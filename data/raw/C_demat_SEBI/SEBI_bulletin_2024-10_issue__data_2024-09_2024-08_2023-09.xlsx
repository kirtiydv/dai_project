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ThisWorkbook" defaultThemeVersion="164011"/>
  <bookViews>
    <workbookView xWindow="0" yWindow="0" windowWidth="19200" windowHeight="11490"/>
  </bookViews>
  <sheets>
    <sheet name="Data Summary" sheetId="2" r:id="rId1"/>
    <sheet name="1" sheetId="78" r:id="rId2"/>
    <sheet name="2" sheetId="200" r:id="rId3"/>
    <sheet name="3" sheetId="139" r:id="rId4"/>
    <sheet name="4" sheetId="140" r:id="rId5"/>
    <sheet name="5" sheetId="79" r:id="rId6"/>
    <sheet name="6" sheetId="8" r:id="rId7"/>
    <sheet name="7" sheetId="9" r:id="rId8"/>
    <sheet name="8" sheetId="10" r:id="rId9"/>
    <sheet name="9" sheetId="11" r:id="rId10"/>
    <sheet name="10" sheetId="12" r:id="rId11"/>
    <sheet name="11" sheetId="13" r:id="rId12"/>
    <sheet name="12" sheetId="14" r:id="rId13"/>
    <sheet name="13 " sheetId="141" r:id="rId14"/>
    <sheet name="14" sheetId="15" r:id="rId15"/>
    <sheet name="15" sheetId="16" r:id="rId16"/>
    <sheet name="16" sheetId="142" r:id="rId17"/>
    <sheet name="17" sheetId="143" r:id="rId18"/>
    <sheet name="18" sheetId="144" r:id="rId19"/>
    <sheet name="19" sheetId="145" r:id="rId20"/>
    <sheet name="20" sheetId="146" r:id="rId21"/>
    <sheet name="21" sheetId="147" r:id="rId22"/>
    <sheet name="22" sheetId="148" r:id="rId23"/>
    <sheet name="23" sheetId="149" r:id="rId24"/>
    <sheet name="24" sheetId="150" r:id="rId25"/>
    <sheet name="25" sheetId="151" r:id="rId26"/>
    <sheet name="26" sheetId="152" r:id="rId27"/>
    <sheet name="27" sheetId="153" r:id="rId28"/>
    <sheet name="28" sheetId="154" r:id="rId29"/>
    <sheet name="29" sheetId="155" r:id="rId30"/>
    <sheet name="30" sheetId="156" r:id="rId31"/>
    <sheet name="31" sheetId="157" r:id="rId32"/>
    <sheet name="32" sheetId="158" r:id="rId33"/>
    <sheet name="33" sheetId="159" r:id="rId34"/>
    <sheet name="34" sheetId="160" r:id="rId35"/>
    <sheet name="35" sheetId="161" r:id="rId36"/>
    <sheet name="36" sheetId="162" r:id="rId37"/>
    <sheet name="37" sheetId="163" r:id="rId38"/>
    <sheet name="38" sheetId="164" r:id="rId39"/>
    <sheet name="39" sheetId="165" r:id="rId40"/>
    <sheet name="40" sheetId="166" r:id="rId41"/>
    <sheet name="41" sheetId="167" r:id="rId42"/>
    <sheet name="42" sheetId="168" r:id="rId43"/>
    <sheet name="43" sheetId="169" r:id="rId44"/>
    <sheet name="44" sheetId="170" r:id="rId45"/>
    <sheet name="45" sheetId="171" r:id="rId46"/>
    <sheet name="46" sheetId="172" r:id="rId47"/>
    <sheet name="47" sheetId="173" r:id="rId48"/>
    <sheet name="48" sheetId="174" r:id="rId49"/>
    <sheet name="49" sheetId="175" r:id="rId50"/>
    <sheet name="50" sheetId="176" r:id="rId51"/>
    <sheet name="51" sheetId="177" r:id="rId52"/>
    <sheet name="52" sheetId="178" r:id="rId53"/>
    <sheet name="53" sheetId="182" r:id="rId54"/>
    <sheet name="54" sheetId="183" r:id="rId55"/>
    <sheet name="55" sheetId="184" r:id="rId56"/>
    <sheet name="56" sheetId="185" r:id="rId57"/>
    <sheet name="57" sheetId="186" r:id="rId58"/>
    <sheet name="58" sheetId="187" r:id="rId59"/>
    <sheet name="59" sheetId="188" r:id="rId60"/>
    <sheet name="60" sheetId="189" r:id="rId61"/>
    <sheet name="61 " sheetId="179" r:id="rId62"/>
    <sheet name="62" sheetId="180" r:id="rId63"/>
    <sheet name="63" sheetId="181" r:id="rId64"/>
    <sheet name="64" sheetId="190" r:id="rId65"/>
    <sheet name="65" sheetId="191" r:id="rId66"/>
    <sheet name="66" sheetId="192" r:id="rId67"/>
    <sheet name="67" sheetId="193" r:id="rId68"/>
    <sheet name="68" sheetId="194" r:id="rId69"/>
    <sheet name="69" sheetId="195" r:id="rId70"/>
    <sheet name="70" sheetId="196" r:id="rId71"/>
    <sheet name="71" sheetId="197" r:id="rId72"/>
    <sheet name="72" sheetId="198" r:id="rId73"/>
    <sheet name="73" sheetId="199" r:id="rId74"/>
    <sheet name="74" sheetId="17" r:id="rId75"/>
  </sheets>
  <externalReferences>
    <externalReference r:id="rId76"/>
    <externalReference r:id="rId77"/>
    <externalReference r:id="rId78"/>
    <externalReference r:id="rId79"/>
    <externalReference r:id="rId80"/>
  </externalReferences>
  <definedNames>
    <definedName name="_xlnm._FilterDatabase" localSheetId="3" hidden="1">'3'!$A$2:$J$3</definedName>
    <definedName name="_xlnm._FilterDatabase" localSheetId="72" hidden="1">'72'!#REF!</definedName>
    <definedName name="BSE">INDEX([1]Indices!$G$2:$G$166,MATCH([1]Indices!#REF!,[1]Indices!$E$2:$E$166)):INDEX([1]Indices!$G$2:$G$166,MATCH([1]Indices!#REF!,[1]Indices!$E$2:$E$166))</definedName>
    <definedName name="Date">INDEX([1]Indices!$E$2:$E$166,MATCH([1]Indices!#REF!,[1]Indices!$E$2:$E$166)):INDEX([1]Indices!$E$2:$E$166,MATCH([1]Indices!#REF!,[1]Indices!$E$2:$E$166))</definedName>
    <definedName name="fa" hidden="1">#REF!</definedName>
    <definedName name="NSE">INDEX([1]Indices!$F$2:$F$166,MATCH([1]Indices!#REF!,[1]Indices!$E$2:$E$166)):INDEX([1]Indices!$F$2:$F$166,MATCH([1]Indices!#REF!,[1]Indices!$E$2:$E$166))</definedName>
    <definedName name="_xlnm.Print_Area" localSheetId="1">'1'!$A$1:$C$64</definedName>
    <definedName name="_xlnm.Print_Area" localSheetId="10">'10'!$A$1:$K$16</definedName>
    <definedName name="_xlnm.Print_Area" localSheetId="11">'11'!$A$1:$K$15</definedName>
    <definedName name="_xlnm.Print_Area" localSheetId="12">'12'!$A$1:$I$14</definedName>
    <definedName name="_xlnm.Print_Area" localSheetId="14">'14'!$A$1:$M$14</definedName>
    <definedName name="_xlnm.Print_Area" localSheetId="15">'15'!$A$1:$K$14</definedName>
    <definedName name="_xlnm.Print_Area" localSheetId="16">'16'!$A$1:$D$9</definedName>
    <definedName name="_xlnm.Print_Area" localSheetId="17">'17'!$A$1:$P$15</definedName>
    <definedName name="_xlnm.Print_Area" localSheetId="18">'18'!$A$1:$Q$17</definedName>
    <definedName name="_xlnm.Print_Area" localSheetId="19">'19'!$A$1:$P$16</definedName>
    <definedName name="_xlnm.Print_Area" localSheetId="20">'20'!$A$1:$H$32</definedName>
    <definedName name="_xlnm.Print_Area" localSheetId="21">'21'!$A$1:$F$14</definedName>
    <definedName name="_xlnm.Print_Area" localSheetId="24">'24'!$A$1:$J$39</definedName>
    <definedName name="_xlnm.Print_Area" localSheetId="3">'3'!$A$1:$J$4</definedName>
    <definedName name="_xlnm.Print_Area" localSheetId="34">'34'!#REF!</definedName>
    <definedName name="_xlnm.Print_Area" localSheetId="35">'35'!$A$1:$W$26</definedName>
    <definedName name="_xlnm.Print_Area" localSheetId="4">'4'!$A$1:$I$17</definedName>
    <definedName name="_xlnm.Print_Area" localSheetId="49">'49'!$A$1:$K$20</definedName>
    <definedName name="_xlnm.Print_Area" localSheetId="5">'5'!$A$1:$AG$56</definedName>
    <definedName name="_xlnm.Print_Area" localSheetId="53">'53'!$A$1:$F$7</definedName>
    <definedName name="_xlnm.Print_Area" localSheetId="54">'54'!$A$1:$F$14</definedName>
    <definedName name="_xlnm.Print_Area" localSheetId="55">'55'!$A$1:$AC$12</definedName>
    <definedName name="_xlnm.Print_Area" localSheetId="58">'58'!$A$1:$N$89</definedName>
    <definedName name="_xlnm.Print_Area" localSheetId="6">'6'!$A$1:$O$17</definedName>
    <definedName name="_xlnm.Print_Area" localSheetId="64">'64'!$A$1:$L$18</definedName>
    <definedName name="_xlnm.Print_Area" localSheetId="65">'65'!$A$1:$F$17</definedName>
    <definedName name="_xlnm.Print_Area" localSheetId="66">'66'!$A$1:$T$37</definedName>
    <definedName name="_xlnm.Print_Area" localSheetId="67">'67'!$A$1:$T$20</definedName>
    <definedName name="_xlnm.Print_Area" localSheetId="68">'68'!$A$1:$N$37</definedName>
    <definedName name="_xlnm.Print_Area" localSheetId="69">'69'!$A$1:$N$33</definedName>
    <definedName name="_xlnm.Print_Area" localSheetId="7">'7'!$A$1:$S$67</definedName>
    <definedName name="_xlnm.Print_Area" localSheetId="70">'70'!$A$1:$H$53</definedName>
    <definedName name="_xlnm.Print_Area" localSheetId="74">'74'!$A$1:$C$44</definedName>
    <definedName name="_xlnm.Print_Area" localSheetId="8">'8'!$A$1:$Q$15</definedName>
    <definedName name="_xlnm.Print_Area" localSheetId="9">'9'!$A$1:$O$14</definedName>
    <definedName name="rDate">[2]Raw!$C$2</definedName>
    <definedName name="sDate">[3]Raw!$C$2</definedName>
    <definedName name="SpreadsheetBuilder_1" hidden="1">'[4]PE &amp;VOL'!$A$1:$Q$7</definedName>
    <definedName name="SpreadsheetBuilder_2" hidden="1">'[5]PE &amp;VOL'!$A$1:$Q$7</definedName>
    <definedName name="TRNR_6531c5328a1948209f1e3286516358c5_1_0" hidden="1">#REF!</definedName>
    <definedName name="TRNR_66fc5e9b2a8143859bb0bf5a6edf55aa_9_0" hidden="1">#REF!</definedName>
    <definedName name="TRNR_70d05a7930e64010b93feb78615fc9a1_1_0" hidden="1">#REF!</definedName>
    <definedName name="TRNR_7703dcd31ba94dc3b5f94a2b004d0246_1_0" hidden="1">#REF!</definedName>
    <definedName name="TRNR_78d1153e1e7347b9ae17b308bc65aca5_1_0" hidden="1">#REF!</definedName>
    <definedName name="TRNR_82966002c5ea4543be04a1398f142f6c_9_0" hidden="1">#REF!</definedName>
    <definedName name="TRNR_8a2c585f2f8c4acd9d5a4d6a1c6ffda3_1_0" hidden="1">#REF!</definedName>
    <definedName name="TRNR_a77c790d917545999f3fd7ce3ef195b4_1_0" hidden="1">#REF!</definedName>
    <definedName name="TRNR_a788a290182e4000a95044e270ad5579_1_0" hidden="1">#REF!</definedName>
    <definedName name="TRNR_d66104a0ac794f7b8f3127e9f50ab578_9_0" hidden="1">#REF!</definedName>
    <definedName name="TRNR_dbbfc746b1744da1ba06fa62b4f510ec_1_0" hidden="1">#REF!</definedName>
    <definedName name="TRNR_dc51d34d3bb44ebe85294c9ecab50790_9_0" hidden="1">#REF!</definedName>
    <definedName name="TRNR_ddba629b237349b68875a21ec04fd3c1_2_0" hidden="1">#REF!</definedName>
    <definedName name="XX" hidden="1">#REF!</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12" i="10" l="1"/>
  <c r="C11" i="10"/>
  <c r="B12" i="10"/>
  <c r="B11" i="10"/>
  <c r="F63" i="9"/>
  <c r="Q63" i="9"/>
  <c r="P63" i="9"/>
  <c r="AC6" i="79" l="1"/>
  <c r="AC9" i="79"/>
  <c r="F40" i="17" l="1"/>
  <c r="E40" i="17"/>
  <c r="D40" i="17"/>
  <c r="C40" i="17"/>
  <c r="B40" i="17"/>
  <c r="G29" i="17"/>
  <c r="C29" i="17"/>
  <c r="G12" i="17"/>
  <c r="G11" i="17"/>
  <c r="G10" i="17"/>
  <c r="F34" i="199"/>
  <c r="F32" i="199"/>
  <c r="F29" i="199"/>
  <c r="F35" i="199" s="1"/>
  <c r="F23" i="199"/>
  <c r="F24" i="199" s="1"/>
  <c r="F20" i="199"/>
  <c r="F15" i="199"/>
  <c r="F9" i="199"/>
  <c r="F48" i="197"/>
  <c r="F43" i="197"/>
  <c r="F39" i="197"/>
  <c r="F49" i="197" s="1"/>
  <c r="F33" i="197"/>
  <c r="F30" i="197"/>
  <c r="F25" i="197"/>
  <c r="F21" i="197"/>
  <c r="F11" i="197"/>
  <c r="F34" i="197" s="1"/>
  <c r="N19" i="195"/>
  <c r="M19" i="195"/>
  <c r="L19" i="195"/>
  <c r="K19" i="195"/>
  <c r="J19" i="195"/>
  <c r="I19" i="195"/>
  <c r="H19" i="195"/>
  <c r="G19" i="195"/>
  <c r="F19" i="195"/>
  <c r="E19" i="195"/>
  <c r="D19" i="195"/>
  <c r="C19" i="195"/>
  <c r="B19" i="195"/>
  <c r="N6" i="195"/>
  <c r="M6" i="195"/>
  <c r="L6" i="195"/>
  <c r="K6" i="195"/>
  <c r="J6" i="195"/>
  <c r="I6" i="195"/>
  <c r="H6" i="195"/>
  <c r="G6" i="195"/>
  <c r="F6" i="195"/>
  <c r="E6" i="195"/>
  <c r="D6" i="195"/>
  <c r="C6" i="195"/>
  <c r="B6" i="195"/>
  <c r="L25" i="194"/>
  <c r="L24" i="194"/>
  <c r="L23" i="194"/>
  <c r="K23" i="194"/>
  <c r="L22" i="194"/>
  <c r="K22" i="194"/>
  <c r="L21" i="194"/>
  <c r="K21" i="194"/>
  <c r="N20" i="194"/>
  <c r="M20" i="194"/>
  <c r="L20" i="194"/>
  <c r="K20" i="194"/>
  <c r="J20" i="194"/>
  <c r="I20" i="194"/>
  <c r="H20" i="194"/>
  <c r="G20" i="194"/>
  <c r="F20" i="194"/>
  <c r="E20" i="194"/>
  <c r="D20" i="194"/>
  <c r="C20" i="194"/>
  <c r="B20" i="194"/>
  <c r="L9" i="194"/>
  <c r="K9" i="194"/>
  <c r="L8" i="194"/>
  <c r="K8" i="194"/>
  <c r="L7" i="194"/>
  <c r="K7" i="194"/>
  <c r="N6" i="194"/>
  <c r="M6" i="194"/>
  <c r="L6" i="194"/>
  <c r="K6" i="194"/>
  <c r="J6" i="194"/>
  <c r="I6" i="194"/>
  <c r="H6" i="194"/>
  <c r="G6" i="194"/>
  <c r="F6" i="194"/>
  <c r="E6" i="194"/>
  <c r="D6" i="194"/>
  <c r="C6" i="194"/>
  <c r="B6" i="194"/>
  <c r="R9" i="193"/>
  <c r="Q9" i="193"/>
  <c r="J9" i="193"/>
  <c r="I9" i="193"/>
  <c r="R8" i="193"/>
  <c r="Q8" i="193"/>
  <c r="J8" i="193"/>
  <c r="I8" i="193"/>
  <c r="R7" i="193"/>
  <c r="Q7" i="193"/>
  <c r="J7" i="193"/>
  <c r="J6" i="193" s="1"/>
  <c r="I7" i="193"/>
  <c r="I6" i="193" s="1"/>
  <c r="R6" i="193"/>
  <c r="Q6" i="193"/>
  <c r="P6" i="193"/>
  <c r="O6" i="193"/>
  <c r="N6" i="193"/>
  <c r="M6" i="193"/>
  <c r="L6" i="193"/>
  <c r="K6" i="193"/>
  <c r="H6" i="193"/>
  <c r="G6" i="193"/>
  <c r="F6" i="193"/>
  <c r="E6" i="193"/>
  <c r="D6" i="193"/>
  <c r="C6" i="193"/>
  <c r="B6" i="193"/>
  <c r="P22" i="192"/>
  <c r="O22" i="192"/>
  <c r="P21" i="192"/>
  <c r="O21" i="192"/>
  <c r="P20" i="192"/>
  <c r="O20" i="192"/>
  <c r="R19" i="192"/>
  <c r="Q19" i="192"/>
  <c r="P19" i="192"/>
  <c r="O19" i="192"/>
  <c r="N19" i="192"/>
  <c r="M19" i="192"/>
  <c r="L19" i="192"/>
  <c r="K19" i="192"/>
  <c r="J19" i="192"/>
  <c r="I19" i="192"/>
  <c r="H19" i="192"/>
  <c r="G19" i="192"/>
  <c r="F19" i="192"/>
  <c r="E19" i="192"/>
  <c r="D19" i="192"/>
  <c r="C19" i="192"/>
  <c r="B19" i="192"/>
  <c r="R9" i="192"/>
  <c r="Q9" i="192"/>
  <c r="R8" i="192"/>
  <c r="Q8" i="192"/>
  <c r="R7" i="192"/>
  <c r="Q7" i="192"/>
  <c r="T6" i="192"/>
  <c r="S6" i="192"/>
  <c r="R6" i="192"/>
  <c r="Q6" i="192"/>
  <c r="P6" i="192"/>
  <c r="O6" i="192"/>
  <c r="N6" i="192"/>
  <c r="M6" i="192"/>
  <c r="L6" i="192"/>
  <c r="K6" i="192"/>
  <c r="J6" i="192"/>
  <c r="I6" i="192"/>
  <c r="H6" i="192"/>
  <c r="G6" i="192"/>
  <c r="F6" i="192"/>
  <c r="E6" i="192"/>
  <c r="D6" i="192"/>
  <c r="C6" i="192"/>
  <c r="B6" i="192"/>
  <c r="E5" i="191"/>
  <c r="D5" i="191"/>
  <c r="C5" i="191"/>
  <c r="B5" i="191"/>
  <c r="K5" i="180"/>
  <c r="J5" i="180"/>
  <c r="I5" i="180"/>
  <c r="H5" i="180"/>
  <c r="G5" i="180"/>
  <c r="F5" i="180"/>
  <c r="E5" i="180"/>
  <c r="D5" i="180"/>
  <c r="C5" i="180"/>
  <c r="B5" i="180"/>
  <c r="J11" i="188"/>
  <c r="I11" i="188"/>
  <c r="H11" i="188"/>
  <c r="J10" i="188"/>
  <c r="I10" i="188"/>
  <c r="H10" i="188"/>
  <c r="J9" i="188"/>
  <c r="I9" i="188"/>
  <c r="H9" i="188"/>
  <c r="J8" i="188"/>
  <c r="I8" i="188"/>
  <c r="H8" i="188"/>
  <c r="J7" i="188"/>
  <c r="I7" i="188"/>
  <c r="H7" i="188"/>
  <c r="I6" i="188"/>
  <c r="I5" i="188" s="1"/>
  <c r="H6" i="188"/>
  <c r="H5" i="188" s="1"/>
  <c r="G6" i="188"/>
  <c r="J6" i="188" s="1"/>
  <c r="J5" i="188" s="1"/>
  <c r="D6" i="188"/>
  <c r="D5" i="188" s="1"/>
  <c r="F5" i="188"/>
  <c r="E5" i="188"/>
  <c r="C5" i="188"/>
  <c r="B5" i="188"/>
  <c r="J36" i="187"/>
  <c r="J22" i="187"/>
  <c r="J6" i="186"/>
  <c r="G6" i="186"/>
  <c r="D6" i="186"/>
  <c r="K5" i="186"/>
  <c r="J5" i="186"/>
  <c r="I5" i="186"/>
  <c r="H5" i="186"/>
  <c r="G5" i="186"/>
  <c r="F5" i="186"/>
  <c r="E5" i="186"/>
  <c r="D5" i="186"/>
  <c r="C5" i="186"/>
  <c r="B5" i="186"/>
  <c r="I12" i="185"/>
  <c r="H12" i="185"/>
  <c r="G12" i="185"/>
  <c r="F12" i="185"/>
  <c r="E12" i="185"/>
  <c r="D12" i="185"/>
  <c r="C12" i="185"/>
  <c r="B12" i="185"/>
  <c r="AC8" i="184"/>
  <c r="AB8" i="184"/>
  <c r="AC5" i="184"/>
  <c r="AB5" i="184"/>
  <c r="AA5" i="184"/>
  <c r="Z5" i="184"/>
  <c r="Y5" i="184"/>
  <c r="X5" i="184"/>
  <c r="W5" i="184"/>
  <c r="V5" i="184"/>
  <c r="U5" i="184"/>
  <c r="T5" i="184"/>
  <c r="S5" i="184"/>
  <c r="R5" i="184"/>
  <c r="Q5" i="184"/>
  <c r="P5" i="184"/>
  <c r="O5" i="184"/>
  <c r="N5" i="184"/>
  <c r="M5" i="184"/>
  <c r="L5" i="184"/>
  <c r="K5" i="184"/>
  <c r="J5" i="184"/>
  <c r="I5" i="184"/>
  <c r="H5" i="184"/>
  <c r="G5" i="184"/>
  <c r="F5" i="184"/>
  <c r="E5" i="184"/>
  <c r="D5" i="184"/>
  <c r="C5" i="184"/>
  <c r="B5" i="184"/>
  <c r="F8" i="183"/>
  <c r="E8" i="183"/>
  <c r="F7" i="183"/>
  <c r="E7" i="183"/>
  <c r="F6" i="183"/>
  <c r="E6" i="183"/>
  <c r="F5" i="183"/>
  <c r="E5" i="183"/>
  <c r="F4" i="183"/>
  <c r="E4" i="183"/>
  <c r="D4" i="183"/>
  <c r="C4" i="183"/>
  <c r="B4" i="183"/>
  <c r="F5" i="182"/>
  <c r="F6" i="182" s="1"/>
  <c r="F7" i="182" s="1"/>
  <c r="F8" i="182" s="1"/>
  <c r="F9" i="182" s="1"/>
  <c r="F10" i="182" s="1"/>
  <c r="E4" i="182"/>
  <c r="F4" i="182" s="1"/>
  <c r="D4" i="182"/>
  <c r="C4" i="182"/>
  <c r="B4" i="182"/>
  <c r="G5" i="178"/>
  <c r="F5" i="178"/>
  <c r="E5" i="178"/>
  <c r="D5" i="178"/>
  <c r="C5" i="178"/>
  <c r="B5" i="178"/>
  <c r="J6" i="177"/>
  <c r="I6" i="177"/>
  <c r="H6" i="177"/>
  <c r="G6" i="177"/>
  <c r="F6" i="177"/>
  <c r="E6" i="177"/>
  <c r="D6" i="177"/>
  <c r="C6" i="177"/>
  <c r="B6" i="177"/>
  <c r="K5" i="176"/>
  <c r="J5" i="176"/>
  <c r="I5" i="176"/>
  <c r="H5" i="176"/>
  <c r="G5" i="176"/>
  <c r="F5" i="176"/>
  <c r="E5" i="176"/>
  <c r="D5" i="176"/>
  <c r="C5" i="176"/>
  <c r="B5" i="176"/>
  <c r="K5" i="175"/>
  <c r="J5" i="175"/>
  <c r="I5" i="175"/>
  <c r="H5" i="175"/>
  <c r="G5" i="175"/>
  <c r="F5" i="175"/>
  <c r="E5" i="175"/>
  <c r="D5" i="175"/>
  <c r="C5" i="175"/>
  <c r="B5" i="175"/>
  <c r="K5" i="174"/>
  <c r="J5" i="174"/>
  <c r="I5" i="174"/>
  <c r="H5" i="174"/>
  <c r="G5" i="174"/>
  <c r="F5" i="174"/>
  <c r="E5" i="174"/>
  <c r="D5" i="174"/>
  <c r="C5" i="174"/>
  <c r="B5" i="174"/>
  <c r="I5" i="173"/>
  <c r="H5" i="173"/>
  <c r="G5" i="173"/>
  <c r="F5" i="173"/>
  <c r="E5" i="173"/>
  <c r="D5" i="173"/>
  <c r="C5" i="173"/>
  <c r="B5" i="173"/>
  <c r="O5" i="172"/>
  <c r="N5" i="172"/>
  <c r="M5" i="172"/>
  <c r="L5" i="172"/>
  <c r="K5" i="172"/>
  <c r="J5" i="172"/>
  <c r="I5" i="172"/>
  <c r="H5" i="172"/>
  <c r="G5" i="172"/>
  <c r="F5" i="172"/>
  <c r="E5" i="172"/>
  <c r="D5" i="172"/>
  <c r="C5" i="172"/>
  <c r="B5" i="172"/>
  <c r="O5" i="171"/>
  <c r="N5" i="171"/>
  <c r="M5" i="171"/>
  <c r="L5" i="171"/>
  <c r="K5" i="171"/>
  <c r="J5" i="171"/>
  <c r="I5" i="171"/>
  <c r="H5" i="171"/>
  <c r="G5" i="171"/>
  <c r="F5" i="171"/>
  <c r="E5" i="171"/>
  <c r="D5" i="171"/>
  <c r="C5" i="171"/>
  <c r="B5" i="171"/>
  <c r="K6" i="170"/>
  <c r="J6" i="170"/>
  <c r="I6" i="170"/>
  <c r="H6" i="170"/>
  <c r="G6" i="170"/>
  <c r="F6" i="170"/>
  <c r="E6" i="170"/>
  <c r="D6" i="170"/>
  <c r="C6" i="170"/>
  <c r="B6" i="170"/>
  <c r="L6" i="169"/>
  <c r="K6" i="169"/>
  <c r="J6" i="169"/>
  <c r="I6" i="169"/>
  <c r="H6" i="169"/>
  <c r="G6" i="169"/>
  <c r="F6" i="169"/>
  <c r="E6" i="169"/>
  <c r="D6" i="169"/>
  <c r="C6" i="169"/>
  <c r="B6" i="169"/>
  <c r="L6" i="168"/>
  <c r="K6" i="168"/>
  <c r="J6" i="168"/>
  <c r="I6" i="168"/>
  <c r="H6" i="168"/>
  <c r="G6" i="168"/>
  <c r="F6" i="168"/>
  <c r="E6" i="168"/>
  <c r="D6" i="168"/>
  <c r="C6" i="168"/>
  <c r="B6" i="168"/>
  <c r="L6" i="167"/>
  <c r="K6" i="167"/>
  <c r="J6" i="167"/>
  <c r="I6" i="167"/>
  <c r="H6" i="167"/>
  <c r="G6" i="167"/>
  <c r="F6" i="167"/>
  <c r="E6" i="167"/>
  <c r="D6" i="167"/>
  <c r="C6" i="167"/>
  <c r="B6" i="167"/>
  <c r="K5" i="164"/>
  <c r="J5" i="164"/>
  <c r="I5" i="164"/>
  <c r="H5" i="164"/>
  <c r="G5" i="164"/>
  <c r="K5" i="163"/>
  <c r="J5" i="163"/>
  <c r="I5" i="163"/>
  <c r="H5" i="163"/>
  <c r="G5" i="163"/>
  <c r="H6" i="162"/>
  <c r="G6" i="162"/>
  <c r="F6" i="162"/>
  <c r="E6" i="162"/>
  <c r="C6" i="162"/>
  <c r="B6" i="162"/>
  <c r="T14" i="161"/>
  <c r="T13" i="161"/>
  <c r="T12" i="161"/>
  <c r="T11" i="161"/>
  <c r="T10" i="161"/>
  <c r="T9" i="161"/>
  <c r="W8" i="160"/>
  <c r="V8" i="160"/>
  <c r="U8" i="160"/>
  <c r="T8" i="160"/>
  <c r="S8" i="160"/>
  <c r="R8" i="160"/>
  <c r="Q8" i="160"/>
  <c r="P8" i="160"/>
  <c r="O8" i="160"/>
  <c r="N8" i="160"/>
  <c r="M8" i="160"/>
  <c r="L8" i="160"/>
  <c r="K8" i="160"/>
  <c r="J8" i="160"/>
  <c r="I8" i="160"/>
  <c r="H8" i="160"/>
  <c r="G8" i="160"/>
  <c r="F8" i="160"/>
  <c r="E8" i="160"/>
  <c r="D8" i="160"/>
  <c r="C8" i="160"/>
  <c r="B8" i="160"/>
  <c r="A6" i="160"/>
  <c r="B6" i="160" s="1"/>
  <c r="C6" i="160" s="1"/>
  <c r="D6" i="160" s="1"/>
  <c r="E6" i="160" s="1"/>
  <c r="F6" i="160" s="1"/>
  <c r="G6" i="160" s="1"/>
  <c r="H6" i="160" s="1"/>
  <c r="I6" i="160" s="1"/>
  <c r="J6" i="160" s="1"/>
  <c r="K6" i="160" s="1"/>
  <c r="L6" i="160" s="1"/>
  <c r="M6" i="160" s="1"/>
  <c r="N6" i="160" s="1"/>
  <c r="O6" i="160" s="1"/>
  <c r="P6" i="160" s="1"/>
  <c r="Q6" i="160" s="1"/>
  <c r="R6" i="160" s="1"/>
  <c r="S6" i="160" s="1"/>
  <c r="T6" i="160" s="1"/>
  <c r="U6" i="160" s="1"/>
  <c r="V6" i="160" s="1"/>
  <c r="W6" i="160" s="1"/>
  <c r="G5" i="188" l="1"/>
  <c r="Q6" i="141" l="1"/>
  <c r="Q50" i="200"/>
  <c r="Q41" i="200"/>
  <c r="Q33" i="200"/>
  <c r="Q23" i="200"/>
  <c r="Q21" i="200"/>
  <c r="Q14" i="200"/>
  <c r="Q58" i="200"/>
  <c r="Q52" i="200"/>
  <c r="Q49" i="200"/>
  <c r="Q40" i="200"/>
  <c r="Q39" i="200"/>
  <c r="Q36" i="200"/>
  <c r="Q20" i="200"/>
  <c r="Q17" i="200"/>
  <c r="Q6" i="200"/>
  <c r="Q5" i="200"/>
  <c r="Q4" i="200"/>
  <c r="Q61" i="200"/>
  <c r="Q48" i="200"/>
  <c r="Q47" i="200"/>
  <c r="Q46" i="200"/>
  <c r="Q35" i="200"/>
  <c r="Q32" i="200"/>
  <c r="Q31" i="200"/>
  <c r="Q30" i="200"/>
  <c r="Q25" i="200"/>
  <c r="Q19" i="200"/>
  <c r="Q16" i="200"/>
  <c r="Q13" i="200"/>
  <c r="Q10" i="200"/>
  <c r="Q60" i="200"/>
  <c r="Q59" i="200"/>
  <c r="Q57" i="200"/>
  <c r="Q56" i="200"/>
  <c r="Q53" i="200"/>
  <c r="Q51" i="200"/>
  <c r="Q45" i="200"/>
  <c r="Q44" i="200"/>
  <c r="Q37" i="200"/>
  <c r="Q34" i="200"/>
  <c r="Q29" i="200"/>
  <c r="Q28" i="200"/>
  <c r="Q26" i="200"/>
  <c r="Q24" i="200"/>
  <c r="Q22" i="200"/>
  <c r="Q15" i="200"/>
  <c r="Q9" i="200"/>
  <c r="Q8" i="200"/>
  <c r="Q55" i="200"/>
  <c r="Q54" i="200"/>
  <c r="Q43" i="200"/>
  <c r="Q42" i="200"/>
  <c r="Q38" i="200"/>
  <c r="Q27" i="200"/>
  <c r="Q18" i="200"/>
  <c r="Q12" i="200"/>
  <c r="Q11" i="200"/>
  <c r="Q7" i="200"/>
  <c r="B7" i="10" l="1"/>
  <c r="B5" i="154" l="1"/>
  <c r="G5" i="9" l="1"/>
  <c r="G6" i="9"/>
  <c r="G7" i="9"/>
  <c r="G8" i="9"/>
  <c r="G9" i="9"/>
  <c r="G10" i="9"/>
  <c r="G11" i="9"/>
  <c r="G12" i="9"/>
  <c r="G13" i="9"/>
  <c r="G14" i="9"/>
  <c r="G15" i="9"/>
  <c r="G16" i="9"/>
  <c r="G17" i="9"/>
  <c r="G18" i="9"/>
  <c r="G19" i="9"/>
  <c r="G20" i="9"/>
  <c r="G21" i="9"/>
  <c r="G22" i="9"/>
  <c r="G23" i="9"/>
  <c r="G24" i="9"/>
  <c r="G25" i="9"/>
  <c r="G26" i="9"/>
  <c r="G27" i="9"/>
  <c r="G28" i="9"/>
  <c r="G29" i="9"/>
  <c r="G30" i="9"/>
  <c r="G31" i="9"/>
  <c r="G32" i="9"/>
  <c r="G33" i="9"/>
  <c r="G34" i="9"/>
  <c r="G35" i="9"/>
  <c r="G36" i="9"/>
  <c r="G37" i="9"/>
  <c r="G38" i="9"/>
  <c r="G39" i="9"/>
  <c r="G40" i="9"/>
  <c r="G41" i="9"/>
  <c r="G42" i="9"/>
  <c r="G43" i="9"/>
  <c r="G44" i="9"/>
  <c r="G45" i="9"/>
  <c r="G46" i="9"/>
  <c r="G47" i="9"/>
  <c r="G48" i="9"/>
  <c r="G49" i="9"/>
  <c r="G50" i="9"/>
  <c r="G51" i="9"/>
  <c r="G52" i="9"/>
  <c r="G53" i="9"/>
  <c r="G54" i="9"/>
  <c r="G55" i="9"/>
  <c r="G56" i="9"/>
  <c r="G57" i="9"/>
  <c r="G58" i="9"/>
  <c r="G59" i="9"/>
  <c r="G60" i="9"/>
  <c r="G61" i="9"/>
  <c r="G62" i="9"/>
  <c r="G4" i="9"/>
  <c r="F5" i="9"/>
  <c r="F6" i="9"/>
  <c r="F7" i="9"/>
  <c r="F8" i="9"/>
  <c r="F9" i="9"/>
  <c r="F10" i="9"/>
  <c r="F11" i="9"/>
  <c r="F12" i="9"/>
  <c r="F13" i="9"/>
  <c r="F14" i="9"/>
  <c r="F15" i="9"/>
  <c r="F16" i="9"/>
  <c r="F17" i="9"/>
  <c r="F18" i="9"/>
  <c r="F19" i="9"/>
  <c r="F20" i="9"/>
  <c r="F21" i="9"/>
  <c r="F22" i="9"/>
  <c r="F23" i="9"/>
  <c r="F24" i="9"/>
  <c r="F25" i="9"/>
  <c r="F26" i="9"/>
  <c r="F27" i="9"/>
  <c r="F28" i="9"/>
  <c r="F29" i="9"/>
  <c r="F30" i="9"/>
  <c r="F31" i="9"/>
  <c r="F32" i="9"/>
  <c r="F33" i="9"/>
  <c r="F34" i="9"/>
  <c r="F35" i="9"/>
  <c r="F36" i="9"/>
  <c r="F37" i="9"/>
  <c r="F38" i="9"/>
  <c r="F39" i="9"/>
  <c r="F40" i="9"/>
  <c r="F41" i="9"/>
  <c r="F42" i="9"/>
  <c r="F43" i="9"/>
  <c r="F44" i="9"/>
  <c r="F45" i="9"/>
  <c r="F46" i="9"/>
  <c r="F47" i="9"/>
  <c r="F48" i="9"/>
  <c r="F49" i="9"/>
  <c r="F50" i="9"/>
  <c r="F51" i="9"/>
  <c r="F52" i="9"/>
  <c r="F53" i="9"/>
  <c r="F54" i="9"/>
  <c r="F55" i="9"/>
  <c r="F56" i="9"/>
  <c r="F57" i="9"/>
  <c r="F58" i="9"/>
  <c r="F59" i="9"/>
  <c r="F60" i="9"/>
  <c r="F61" i="9"/>
  <c r="F62" i="9"/>
  <c r="F4" i="9"/>
  <c r="AG24" i="79"/>
  <c r="I7" i="79" l="1"/>
  <c r="I48" i="79"/>
  <c r="I47" i="79"/>
  <c r="I44" i="79"/>
  <c r="I43" i="79"/>
  <c r="I34" i="79"/>
  <c r="I35" i="79"/>
  <c r="I37" i="79"/>
  <c r="I38" i="79"/>
  <c r="I32" i="79"/>
  <c r="I31" i="79"/>
  <c r="I29" i="79"/>
  <c r="I28" i="79"/>
  <c r="I16" i="79"/>
  <c r="I17" i="79"/>
  <c r="I19" i="79"/>
  <c r="I20" i="79"/>
  <c r="I11" i="79"/>
  <c r="I10" i="79"/>
  <c r="I8" i="79"/>
  <c r="I6" i="79"/>
  <c r="H48" i="79"/>
  <c r="H47" i="79"/>
  <c r="H44" i="79"/>
  <c r="H43" i="79"/>
  <c r="H31" i="79"/>
  <c r="H32" i="79"/>
  <c r="H34" i="79"/>
  <c r="H35" i="79"/>
  <c r="H37" i="79"/>
  <c r="H38" i="79"/>
  <c r="H29" i="79"/>
  <c r="H28" i="79"/>
  <c r="H16" i="79"/>
  <c r="H17" i="79"/>
  <c r="H19" i="79"/>
  <c r="H20" i="79"/>
  <c r="H9" i="79"/>
  <c r="H6" i="79"/>
  <c r="G48" i="79"/>
  <c r="G47" i="79"/>
  <c r="G44" i="79"/>
  <c r="G43" i="79"/>
  <c r="G31" i="79"/>
  <c r="G32" i="79"/>
  <c r="G34" i="79"/>
  <c r="G35" i="79"/>
  <c r="G37" i="79"/>
  <c r="G38" i="79"/>
  <c r="G29" i="79"/>
  <c r="G28" i="79"/>
  <c r="G16" i="79"/>
  <c r="G17" i="79"/>
  <c r="G19" i="79"/>
  <c r="G20" i="79"/>
  <c r="G11" i="79"/>
  <c r="G10" i="79"/>
  <c r="G9" i="79"/>
  <c r="G7" i="79"/>
  <c r="G8" i="79"/>
  <c r="G6" i="79"/>
  <c r="F48" i="79"/>
  <c r="F47" i="79"/>
  <c r="F44" i="79"/>
  <c r="F43" i="79"/>
  <c r="F28" i="79"/>
  <c r="F29" i="79"/>
  <c r="F31" i="79"/>
  <c r="F32" i="79"/>
  <c r="F34" i="79"/>
  <c r="F35" i="79"/>
  <c r="F37" i="79"/>
  <c r="F38" i="79"/>
  <c r="F16" i="79"/>
  <c r="F17" i="79"/>
  <c r="F19" i="79"/>
  <c r="F20" i="79"/>
  <c r="F9" i="79"/>
  <c r="F12" i="79" s="1"/>
  <c r="F6" i="79"/>
  <c r="AD45" i="79" l="1"/>
  <c r="AE45" i="79"/>
  <c r="AF45" i="79"/>
  <c r="AG45" i="79"/>
  <c r="G11" i="154" l="1"/>
  <c r="B3" i="142"/>
  <c r="AG33" i="79" l="1"/>
  <c r="J11" i="12"/>
  <c r="K11" i="12"/>
  <c r="J11" i="13" l="1"/>
  <c r="AG36" i="79" l="1"/>
  <c r="AG27" i="79" l="1"/>
  <c r="AG9" i="79"/>
  <c r="I9" i="79" s="1"/>
  <c r="B11" i="11" l="1"/>
  <c r="C11" i="11"/>
  <c r="R63" i="9"/>
  <c r="S63" i="9"/>
  <c r="H12" i="8" l="1"/>
  <c r="B12" i="8" s="1"/>
  <c r="I12" i="8"/>
  <c r="C12" i="8" s="1"/>
  <c r="J10" i="13" l="1"/>
  <c r="A14" i="140" l="1"/>
  <c r="D2" i="142" l="1"/>
  <c r="Q4" i="157" l="1"/>
  <c r="P4" i="157"/>
  <c r="O4" i="157"/>
  <c r="M4" i="157"/>
  <c r="K4" i="157"/>
  <c r="I4" i="157"/>
  <c r="G4" i="157"/>
  <c r="F4" i="157"/>
  <c r="D4" i="157"/>
  <c r="C4" i="157"/>
  <c r="B4" i="157"/>
  <c r="H9" i="155"/>
  <c r="G10" i="154"/>
  <c r="D10" i="154"/>
  <c r="G9" i="154"/>
  <c r="D9" i="154"/>
  <c r="G8" i="154"/>
  <c r="D8" i="154"/>
  <c r="G7" i="154"/>
  <c r="D7" i="154"/>
  <c r="G6" i="154"/>
  <c r="D6" i="154"/>
  <c r="E5" i="154"/>
  <c r="G5" i="154" s="1"/>
  <c r="D5" i="154"/>
  <c r="E26" i="146"/>
  <c r="J8" i="143"/>
  <c r="I8" i="143"/>
  <c r="B5" i="142"/>
  <c r="B4" i="142"/>
  <c r="P6" i="141"/>
  <c r="O6" i="141"/>
  <c r="N6" i="141"/>
  <c r="M6" i="141"/>
  <c r="L6" i="141"/>
  <c r="K6" i="141"/>
  <c r="J6" i="141"/>
  <c r="I6" i="141"/>
  <c r="H6" i="141"/>
  <c r="G6" i="141"/>
  <c r="F6" i="141"/>
  <c r="E6" i="141"/>
  <c r="D6" i="141"/>
  <c r="C6" i="141"/>
  <c r="B6" i="141"/>
  <c r="E4" i="157" l="1"/>
  <c r="N4" i="157"/>
  <c r="H4" i="157"/>
  <c r="J4" i="157"/>
  <c r="L4" i="157"/>
  <c r="H8" i="140" l="1"/>
  <c r="I8" i="140"/>
  <c r="H10" i="140"/>
  <c r="I10" i="140"/>
  <c r="H11" i="140"/>
  <c r="I11" i="140"/>
  <c r="H12" i="140"/>
  <c r="I12" i="140"/>
  <c r="H13" i="140"/>
  <c r="I13" i="140"/>
  <c r="N63" i="9" l="1"/>
  <c r="O63" i="9"/>
  <c r="H10" i="8"/>
  <c r="I10" i="8"/>
  <c r="H11" i="8"/>
  <c r="I11" i="8"/>
  <c r="C11" i="8" s="1"/>
  <c r="S27" i="79" l="1"/>
  <c r="R27" i="79"/>
  <c r="Q27" i="79"/>
  <c r="P27" i="79"/>
  <c r="AG49" i="79"/>
  <c r="AF49" i="79"/>
  <c r="AE49" i="79"/>
  <c r="AD49" i="79"/>
  <c r="AC49" i="79"/>
  <c r="AB49" i="79"/>
  <c r="AA49" i="79"/>
  <c r="Z49" i="79"/>
  <c r="Y49" i="79"/>
  <c r="X49" i="79"/>
  <c r="W49" i="79"/>
  <c r="V49" i="79"/>
  <c r="U49" i="79"/>
  <c r="T49" i="79"/>
  <c r="S49" i="79"/>
  <c r="R49" i="79"/>
  <c r="Q49" i="79"/>
  <c r="P49" i="79"/>
  <c r="O49" i="79"/>
  <c r="N49" i="79"/>
  <c r="M49" i="79"/>
  <c r="L49" i="79"/>
  <c r="K49" i="79"/>
  <c r="J49" i="79"/>
  <c r="E49" i="79"/>
  <c r="D49" i="79"/>
  <c r="C49" i="79"/>
  <c r="B49" i="79"/>
  <c r="H49" i="79"/>
  <c r="AC45" i="79"/>
  <c r="AB45" i="79"/>
  <c r="AA45" i="79"/>
  <c r="Z45" i="79"/>
  <c r="Y45" i="79"/>
  <c r="X45" i="79"/>
  <c r="W45" i="79"/>
  <c r="V45" i="79"/>
  <c r="U45" i="79"/>
  <c r="T45" i="79"/>
  <c r="S45" i="79"/>
  <c r="R45" i="79"/>
  <c r="Q45" i="79"/>
  <c r="P45" i="79"/>
  <c r="O45" i="79"/>
  <c r="N45" i="79"/>
  <c r="M45" i="79"/>
  <c r="L45" i="79"/>
  <c r="K45" i="79"/>
  <c r="J45" i="79"/>
  <c r="E45" i="79"/>
  <c r="D45" i="79"/>
  <c r="C45" i="79"/>
  <c r="B45" i="79"/>
  <c r="I45" i="79"/>
  <c r="AF36" i="79"/>
  <c r="AE36" i="79"/>
  <c r="AD36" i="79"/>
  <c r="AC36" i="79"/>
  <c r="AB36" i="79"/>
  <c r="AA36" i="79"/>
  <c r="Z36" i="79"/>
  <c r="Y36" i="79"/>
  <c r="X36" i="79"/>
  <c r="W36" i="79"/>
  <c r="V36" i="79"/>
  <c r="U36" i="79"/>
  <c r="T36" i="79"/>
  <c r="S36" i="79"/>
  <c r="R36" i="79"/>
  <c r="Q36" i="79"/>
  <c r="P36" i="79"/>
  <c r="O36" i="79"/>
  <c r="N36" i="79"/>
  <c r="M36" i="79"/>
  <c r="L36" i="79"/>
  <c r="K36" i="79"/>
  <c r="J36" i="79"/>
  <c r="AF33" i="79"/>
  <c r="AE33" i="79"/>
  <c r="AD33" i="79"/>
  <c r="AC33" i="79"/>
  <c r="AB33" i="79"/>
  <c r="AA33" i="79"/>
  <c r="Z33" i="79"/>
  <c r="Y33" i="79"/>
  <c r="X33" i="79"/>
  <c r="W33" i="79"/>
  <c r="V33" i="79"/>
  <c r="U33" i="79"/>
  <c r="T33" i="79"/>
  <c r="S33" i="79"/>
  <c r="R33" i="79"/>
  <c r="Q33" i="79"/>
  <c r="P33" i="79"/>
  <c r="O33" i="79"/>
  <c r="N33" i="79"/>
  <c r="M33" i="79"/>
  <c r="L33" i="79"/>
  <c r="K33" i="79"/>
  <c r="J33" i="79"/>
  <c r="AG30" i="79"/>
  <c r="AF30" i="79"/>
  <c r="AE30" i="79"/>
  <c r="AD30" i="79"/>
  <c r="AC30" i="79"/>
  <c r="AB30" i="79"/>
  <c r="AA30" i="79"/>
  <c r="Z30" i="79"/>
  <c r="Y30" i="79"/>
  <c r="X30" i="79"/>
  <c r="W30" i="79"/>
  <c r="V30" i="79"/>
  <c r="U30" i="79"/>
  <c r="T30" i="79"/>
  <c r="S30" i="79"/>
  <c r="R30" i="79"/>
  <c r="Q30" i="79"/>
  <c r="P30" i="79"/>
  <c r="O30" i="79"/>
  <c r="N30" i="79"/>
  <c r="M30" i="79"/>
  <c r="L30" i="79"/>
  <c r="K30" i="79"/>
  <c r="J30" i="79"/>
  <c r="AF27" i="79"/>
  <c r="AE27" i="79"/>
  <c r="AD27" i="79"/>
  <c r="AC27" i="79"/>
  <c r="AB27" i="79"/>
  <c r="AA27" i="79"/>
  <c r="Z27" i="79"/>
  <c r="Y27" i="79"/>
  <c r="X27" i="79"/>
  <c r="W27" i="79"/>
  <c r="V27" i="79"/>
  <c r="U27" i="79"/>
  <c r="T27" i="79"/>
  <c r="M27" i="79"/>
  <c r="L27" i="79"/>
  <c r="K27" i="79"/>
  <c r="J27" i="79"/>
  <c r="E26" i="79"/>
  <c r="E41" i="79" s="1"/>
  <c r="C26" i="79"/>
  <c r="C41" i="79" s="1"/>
  <c r="E25" i="79"/>
  <c r="E40" i="79" s="1"/>
  <c r="C25" i="79"/>
  <c r="C40" i="79" s="1"/>
  <c r="E24" i="79"/>
  <c r="E39" i="79" s="1"/>
  <c r="D24" i="79"/>
  <c r="D39" i="79" s="1"/>
  <c r="C24" i="79"/>
  <c r="C39" i="79" s="1"/>
  <c r="B24" i="79"/>
  <c r="B39" i="79" s="1"/>
  <c r="AG23" i="79"/>
  <c r="AF23" i="79"/>
  <c r="AE23" i="79"/>
  <c r="AD23" i="79"/>
  <c r="AC23" i="79"/>
  <c r="AB23" i="79"/>
  <c r="AA23" i="79"/>
  <c r="Z23" i="79"/>
  <c r="Y23" i="79"/>
  <c r="X23" i="79"/>
  <c r="W23" i="79"/>
  <c r="V23" i="79"/>
  <c r="U23" i="79"/>
  <c r="T23" i="79"/>
  <c r="S23" i="79"/>
  <c r="R23" i="79"/>
  <c r="Q23" i="79"/>
  <c r="P23" i="79"/>
  <c r="O23" i="79"/>
  <c r="N23" i="79"/>
  <c r="M23" i="79"/>
  <c r="L23" i="79"/>
  <c r="K23" i="79"/>
  <c r="J23" i="79"/>
  <c r="F23" i="79" s="1"/>
  <c r="AG22" i="79"/>
  <c r="AF22" i="79"/>
  <c r="AE22" i="79"/>
  <c r="AD22" i="79"/>
  <c r="AC22" i="79"/>
  <c r="AB22" i="79"/>
  <c r="AA22" i="79"/>
  <c r="Z22" i="79"/>
  <c r="Y22" i="79"/>
  <c r="X22" i="79"/>
  <c r="W22" i="79"/>
  <c r="V22" i="79"/>
  <c r="U22" i="79"/>
  <c r="T22" i="79"/>
  <c r="S22" i="79"/>
  <c r="R22" i="79"/>
  <c r="Q22" i="79"/>
  <c r="P22" i="79"/>
  <c r="O22" i="79"/>
  <c r="N22" i="79"/>
  <c r="M22" i="79"/>
  <c r="L22" i="79"/>
  <c r="K22" i="79"/>
  <c r="J22" i="79"/>
  <c r="F22" i="79" s="1"/>
  <c r="AG18" i="79"/>
  <c r="AF18" i="79"/>
  <c r="AE18" i="79"/>
  <c r="AD18" i="79"/>
  <c r="AC18" i="79"/>
  <c r="AB18" i="79"/>
  <c r="AA18" i="79"/>
  <c r="Z18" i="79"/>
  <c r="Y18" i="79"/>
  <c r="X18" i="79"/>
  <c r="W18" i="79"/>
  <c r="V18" i="79"/>
  <c r="U18" i="79"/>
  <c r="T18" i="79"/>
  <c r="S18" i="79"/>
  <c r="R18" i="79"/>
  <c r="Q18" i="79"/>
  <c r="P18" i="79"/>
  <c r="O18" i="79"/>
  <c r="N18" i="79"/>
  <c r="M18" i="79"/>
  <c r="L18" i="79"/>
  <c r="K18" i="79"/>
  <c r="J18" i="79"/>
  <c r="F18" i="79" s="1"/>
  <c r="AG15" i="79"/>
  <c r="AF15" i="79"/>
  <c r="AE15" i="79"/>
  <c r="AD15" i="79"/>
  <c r="AC15" i="79"/>
  <c r="AB15" i="79"/>
  <c r="AA15" i="79"/>
  <c r="Z15" i="79"/>
  <c r="Y15" i="79"/>
  <c r="X15" i="79"/>
  <c r="W15" i="79"/>
  <c r="V15" i="79"/>
  <c r="U15" i="79"/>
  <c r="T15" i="79"/>
  <c r="S15" i="79"/>
  <c r="R15" i="79"/>
  <c r="Q15" i="79"/>
  <c r="P15" i="79"/>
  <c r="O15" i="79"/>
  <c r="N15" i="79"/>
  <c r="K15" i="79"/>
  <c r="J15" i="79"/>
  <c r="AG14" i="79"/>
  <c r="AE14" i="79"/>
  <c r="AC14" i="79"/>
  <c r="AA14" i="79"/>
  <c r="Y14" i="79"/>
  <c r="W14" i="79"/>
  <c r="M14" i="79"/>
  <c r="K14" i="79"/>
  <c r="AG13" i="79"/>
  <c r="AE13" i="79"/>
  <c r="AC13" i="79"/>
  <c r="AA13" i="79"/>
  <c r="Y13" i="79"/>
  <c r="Y25" i="79" s="1"/>
  <c r="W13" i="79"/>
  <c r="M13" i="79"/>
  <c r="K13" i="79"/>
  <c r="AG12" i="79"/>
  <c r="AF12" i="79"/>
  <c r="AE12" i="79"/>
  <c r="AD12" i="79"/>
  <c r="AC12" i="79"/>
  <c r="AB12" i="79"/>
  <c r="AA12" i="79"/>
  <c r="Z12" i="79"/>
  <c r="Y12" i="79"/>
  <c r="X12" i="79"/>
  <c r="W12" i="79"/>
  <c r="V12" i="79"/>
  <c r="M12" i="79"/>
  <c r="L12" i="79"/>
  <c r="K12" i="79"/>
  <c r="J12" i="79"/>
  <c r="N2" i="79"/>
  <c r="R2" i="79" s="1"/>
  <c r="V2" i="79" s="1"/>
  <c r="Z2" i="79" s="1"/>
  <c r="AD2" i="79" s="1"/>
  <c r="H27" i="79" l="1"/>
  <c r="I27" i="79"/>
  <c r="F36" i="79"/>
  <c r="G23" i="79"/>
  <c r="F30" i="79"/>
  <c r="F33" i="79"/>
  <c r="G36" i="79"/>
  <c r="F15" i="79"/>
  <c r="L21" i="79"/>
  <c r="H21" i="79" s="1"/>
  <c r="H18" i="79"/>
  <c r="H22" i="79"/>
  <c r="H23" i="79"/>
  <c r="G30" i="79"/>
  <c r="G33" i="79"/>
  <c r="H36" i="79"/>
  <c r="H30" i="79"/>
  <c r="H33" i="79"/>
  <c r="I36" i="79"/>
  <c r="G27" i="79"/>
  <c r="G18" i="79"/>
  <c r="G15" i="79"/>
  <c r="I22" i="79"/>
  <c r="I30" i="79"/>
  <c r="I33" i="79"/>
  <c r="G22" i="79"/>
  <c r="M21" i="79"/>
  <c r="I18" i="79"/>
  <c r="I23" i="79"/>
  <c r="H15" i="79"/>
  <c r="I15" i="79"/>
  <c r="F27" i="79"/>
  <c r="AA21" i="79"/>
  <c r="AA24" i="79" s="1"/>
  <c r="AA39" i="79" s="1"/>
  <c r="AE26" i="79"/>
  <c r="AE41" i="79" s="1"/>
  <c r="AD21" i="79"/>
  <c r="AD24" i="79" s="1"/>
  <c r="AD39" i="79" s="1"/>
  <c r="AE21" i="79"/>
  <c r="AE24" i="79" s="1"/>
  <c r="AE39" i="79" s="1"/>
  <c r="S21" i="79"/>
  <c r="S24" i="79" s="1"/>
  <c r="S39" i="79" s="1"/>
  <c r="F45" i="79"/>
  <c r="AA25" i="79"/>
  <c r="AA40" i="79" s="1"/>
  <c r="AC21" i="79"/>
  <c r="K26" i="79"/>
  <c r="G45" i="79"/>
  <c r="AG26" i="79"/>
  <c r="AG41" i="79" s="1"/>
  <c r="I49" i="79"/>
  <c r="AF21" i="79"/>
  <c r="AF24" i="79" s="1"/>
  <c r="AF39" i="79" s="1"/>
  <c r="J21" i="79"/>
  <c r="K21" i="79"/>
  <c r="AC26" i="79"/>
  <c r="AC41" i="79" s="1"/>
  <c r="N21" i="79"/>
  <c r="Z21" i="79"/>
  <c r="Z24" i="79" s="1"/>
  <c r="Z39" i="79" s="1"/>
  <c r="H45" i="79"/>
  <c r="AG21" i="79"/>
  <c r="AG39" i="79" s="1"/>
  <c r="P21" i="79"/>
  <c r="Q21" i="79"/>
  <c r="AB21" i="79"/>
  <c r="AB24" i="79" s="1"/>
  <c r="AB39" i="79" s="1"/>
  <c r="AA26" i="79"/>
  <c r="AA41" i="79" s="1"/>
  <c r="AC24" i="79"/>
  <c r="AC39" i="79" s="1"/>
  <c r="M25" i="79"/>
  <c r="M40" i="79" s="1"/>
  <c r="O21" i="79"/>
  <c r="K25" i="79"/>
  <c r="K40" i="79" s="1"/>
  <c r="M26" i="79"/>
  <c r="M41" i="79" s="1"/>
  <c r="W25" i="79"/>
  <c r="W40" i="79" s="1"/>
  <c r="W26" i="79"/>
  <c r="W41" i="79" s="1"/>
  <c r="Y26" i="79"/>
  <c r="Y41" i="79" s="1"/>
  <c r="AC25" i="79"/>
  <c r="AC40" i="79" s="1"/>
  <c r="AE25" i="79"/>
  <c r="AE40" i="79" s="1"/>
  <c r="V21" i="79"/>
  <c r="V24" i="79" s="1"/>
  <c r="V39" i="79" s="1"/>
  <c r="AG25" i="79"/>
  <c r="AG40" i="79" s="1"/>
  <c r="W21" i="79"/>
  <c r="W24" i="79" s="1"/>
  <c r="W39" i="79" s="1"/>
  <c r="X21" i="79"/>
  <c r="X24" i="79" s="1"/>
  <c r="X39" i="79" s="1"/>
  <c r="Y40" i="79"/>
  <c r="Y21" i="79"/>
  <c r="Y24" i="79" s="1"/>
  <c r="Y39" i="79" s="1"/>
  <c r="F49" i="79"/>
  <c r="G49" i="79"/>
  <c r="N27" i="79"/>
  <c r="O27" i="79"/>
  <c r="R12" i="79"/>
  <c r="S12" i="79"/>
  <c r="T12" i="79"/>
  <c r="O14" i="79"/>
  <c r="O26" i="79" s="1"/>
  <c r="S14" i="79"/>
  <c r="S26" i="79" s="1"/>
  <c r="S41" i="79" s="1"/>
  <c r="N12" i="79"/>
  <c r="O12" i="79"/>
  <c r="P12" i="79"/>
  <c r="Q12" i="79"/>
  <c r="U12" i="79"/>
  <c r="Q13" i="79"/>
  <c r="Q25" i="79" s="1"/>
  <c r="Q40" i="79" s="1"/>
  <c r="Q14" i="79"/>
  <c r="Q26" i="79" s="1"/>
  <c r="Q41" i="79" s="1"/>
  <c r="O13" i="79"/>
  <c r="O25" i="79" s="1"/>
  <c r="O40" i="79" s="1"/>
  <c r="S13" i="79"/>
  <c r="S25" i="79" s="1"/>
  <c r="S40" i="79" s="1"/>
  <c r="U13" i="79"/>
  <c r="U25" i="79" s="1"/>
  <c r="U40" i="79" s="1"/>
  <c r="U14" i="79"/>
  <c r="U26" i="79" s="1"/>
  <c r="U41" i="79" s="1"/>
  <c r="L24" i="79"/>
  <c r="L39" i="79" s="1"/>
  <c r="M24" i="79"/>
  <c r="M39" i="79" s="1"/>
  <c r="R21" i="79"/>
  <c r="T21" i="79"/>
  <c r="U21" i="79"/>
  <c r="K41" i="79"/>
  <c r="I21" i="79" l="1"/>
  <c r="K24" i="79"/>
  <c r="K39" i="79" s="1"/>
  <c r="G21" i="79"/>
  <c r="J24" i="79"/>
  <c r="J39" i="79" s="1"/>
  <c r="F21" i="79"/>
  <c r="F24" i="79" s="1"/>
  <c r="F39" i="79" s="1"/>
  <c r="Q24" i="79"/>
  <c r="Q39" i="79" s="1"/>
  <c r="G12" i="79"/>
  <c r="P24" i="79"/>
  <c r="P39" i="79" s="1"/>
  <c r="N24" i="79"/>
  <c r="N39" i="79" s="1"/>
  <c r="R24" i="79"/>
  <c r="R39" i="79" s="1"/>
  <c r="H12" i="79"/>
  <c r="H24" i="79" s="1"/>
  <c r="H39" i="79" s="1"/>
  <c r="G13" i="79"/>
  <c r="G25" i="79" s="1"/>
  <c r="G40" i="79" s="1"/>
  <c r="O24" i="79"/>
  <c r="O39" i="79" s="1"/>
  <c r="T24" i="79"/>
  <c r="T39" i="79" s="1"/>
  <c r="I12" i="79"/>
  <c r="O41" i="79"/>
  <c r="I14" i="79"/>
  <c r="I26" i="79" s="1"/>
  <c r="I41" i="79" s="1"/>
  <c r="G14" i="79"/>
  <c r="G26" i="79" s="1"/>
  <c r="G41" i="79" s="1"/>
  <c r="U24" i="79"/>
  <c r="U39" i="79" s="1"/>
  <c r="I13" i="79"/>
  <c r="I25" i="79" s="1"/>
  <c r="I40" i="79" s="1"/>
  <c r="G24" i="79" l="1"/>
  <c r="G39" i="79" s="1"/>
  <c r="I24" i="79"/>
  <c r="I39" i="79" s="1"/>
  <c r="G63" i="9" l="1"/>
  <c r="L63" i="9"/>
  <c r="M63" i="9"/>
  <c r="H9" i="8"/>
  <c r="B9" i="8" s="1"/>
  <c r="I9" i="8"/>
  <c r="J63" i="9" l="1"/>
  <c r="K63" i="9"/>
  <c r="J2" i="9"/>
  <c r="L2" i="9" s="1"/>
  <c r="N2" i="9" s="1"/>
  <c r="P2" i="9" s="1"/>
  <c r="R2" i="9" s="1"/>
  <c r="I8" i="8"/>
  <c r="H8" i="8"/>
  <c r="B8" i="8" s="1"/>
  <c r="I7" i="8"/>
  <c r="H7" i="8"/>
  <c r="B7" i="8" s="1"/>
  <c r="K7" i="13" l="1"/>
  <c r="J7" i="13"/>
  <c r="J6" i="12" l="1"/>
  <c r="E63" i="9" l="1"/>
  <c r="H63" i="9"/>
  <c r="I63" i="9"/>
  <c r="D63" i="9"/>
  <c r="J5" i="16" l="1"/>
  <c r="I5" i="16"/>
  <c r="H5" i="16"/>
  <c r="G5" i="16"/>
  <c r="F5" i="16"/>
  <c r="E5" i="16"/>
  <c r="D5" i="16"/>
  <c r="C5" i="16"/>
  <c r="B5" i="16"/>
  <c r="M6" i="15"/>
  <c r="L6" i="15"/>
  <c r="K6" i="15"/>
  <c r="J6" i="15"/>
  <c r="I6" i="15"/>
  <c r="H6" i="15"/>
  <c r="G6" i="15"/>
  <c r="F6" i="15"/>
  <c r="E6" i="15"/>
  <c r="D6" i="15"/>
  <c r="C6" i="15"/>
  <c r="B6" i="15"/>
  <c r="I6" i="14"/>
  <c r="H6" i="14"/>
  <c r="G5" i="14"/>
  <c r="F5" i="14"/>
  <c r="E5" i="14"/>
  <c r="D5" i="14"/>
  <c r="C5" i="14"/>
  <c r="B5" i="14"/>
  <c r="K10" i="13"/>
  <c r="K9" i="13"/>
  <c r="J9" i="13"/>
  <c r="K8" i="13"/>
  <c r="J8" i="13"/>
  <c r="K6" i="13"/>
  <c r="J6" i="13"/>
  <c r="I5" i="13"/>
  <c r="H5" i="13"/>
  <c r="G5" i="13"/>
  <c r="F5" i="13"/>
  <c r="E5" i="13"/>
  <c r="D5" i="13"/>
  <c r="C5" i="13"/>
  <c r="B5" i="13"/>
  <c r="K10" i="12"/>
  <c r="J10" i="12"/>
  <c r="K9" i="12"/>
  <c r="J9" i="12"/>
  <c r="K8" i="12"/>
  <c r="J8" i="12"/>
  <c r="K7" i="12"/>
  <c r="J7" i="12"/>
  <c r="K6" i="12"/>
  <c r="I5" i="12"/>
  <c r="H5" i="12"/>
  <c r="G5" i="12"/>
  <c r="F5" i="12"/>
  <c r="E5" i="12"/>
  <c r="D5" i="12"/>
  <c r="C5" i="12"/>
  <c r="B5" i="12"/>
  <c r="C10" i="11"/>
  <c r="B10" i="11"/>
  <c r="C9" i="11"/>
  <c r="B9" i="11"/>
  <c r="C8" i="11"/>
  <c r="B8" i="11"/>
  <c r="C7" i="11"/>
  <c r="B7" i="11"/>
  <c r="C6" i="11"/>
  <c r="B6" i="11"/>
  <c r="C10" i="10"/>
  <c r="B10" i="10"/>
  <c r="C9" i="10"/>
  <c r="B9" i="10"/>
  <c r="C8" i="10"/>
  <c r="B8" i="10"/>
  <c r="C7" i="10"/>
  <c r="B11" i="8"/>
  <c r="C10" i="8"/>
  <c r="B10" i="8"/>
  <c r="C8" i="8"/>
  <c r="C7" i="8"/>
  <c r="K5" i="13" l="1"/>
  <c r="A13" i="8"/>
  <c r="H5" i="14"/>
  <c r="J5" i="12"/>
  <c r="K5" i="12"/>
  <c r="I5" i="14"/>
  <c r="J5" i="13"/>
  <c r="C9" i="8"/>
</calcChain>
</file>

<file path=xl/sharedStrings.xml><?xml version="1.0" encoding="utf-8"?>
<sst xmlns="http://schemas.openxmlformats.org/spreadsheetml/2006/main" count="3568" uniqueCount="1449">
  <si>
    <t>CURRENT STATISTICS</t>
  </si>
  <si>
    <t>Table 1: SEBI Registered Market Intermediaries/Institutions</t>
  </si>
  <si>
    <t>Table 2: Company-Wise Capital Raised through Public and Rights Issues (Equity)</t>
  </si>
  <si>
    <t>Table 3: Offers closed during the month under SEBI (SAST), 2011</t>
  </si>
  <si>
    <t>Table 7: Industry-wise Classification of Capital Raised through Public and Rights Issues (Equity)</t>
  </si>
  <si>
    <t>Table 8: Sector-wise and Region-wise Distribution of Capital Mobilised through Public and Rights Issues (Equity)</t>
  </si>
  <si>
    <t>Table 9: Size-wise Classification of Capital Raised through Public and Rights Issues (Equity)</t>
  </si>
  <si>
    <t>Table 10: Capital Raised by Listed Companies from the Primary Market through QIPs</t>
  </si>
  <si>
    <t>Table 11: Preferential Allotments Listed at BSE and NSE</t>
  </si>
  <si>
    <t>Table 13: Trends in Settled Trades in the Corporate Debt Market</t>
  </si>
  <si>
    <t>Table 14: Ratings Assigned for Long-term Corporate Debt Securities (Maturity &gt;= 1 year)</t>
  </si>
  <si>
    <t>Table 15: Review of Accepted Ratings of Corporate Debt Securities (Maturity &gt;= 1 year)</t>
  </si>
  <si>
    <t>Table 16: Distribution of Turnover on Cash Segments of Exchanges</t>
  </si>
  <si>
    <t>Table 17: Trends in Cash Segment of BSE</t>
  </si>
  <si>
    <t>Table 18: Trends in Cash Segment of NSE</t>
  </si>
  <si>
    <t>Table 19: Trends in Cash Segment of MSEI</t>
  </si>
  <si>
    <t>Table 20: City-wise Distribution of Turnover on Cash Segments</t>
  </si>
  <si>
    <t>Table 21: Category-wise Share of Turnover in Cash Segment of BSE</t>
  </si>
  <si>
    <t>Table 22: Category-wise Share of Turnover in Cash Segment of NSE</t>
  </si>
  <si>
    <t>Table 23: Category-wise Share of Turnover in Cash Segment of MSEI</t>
  </si>
  <si>
    <t>Table 24: Component Stocks: S&amp;P BSE Sensex</t>
  </si>
  <si>
    <t>Table 25: Component Stocks: Nifty 50 Index</t>
  </si>
  <si>
    <t>Table 26: Component Stock: SX 40 Index</t>
  </si>
  <si>
    <t>Table 27: Advances/Declines in Cash Segment</t>
  </si>
  <si>
    <t>Table 28: Trading Frequency in Cash Segment</t>
  </si>
  <si>
    <t>Table 29: Daily Volatility of Major Indices</t>
  </si>
  <si>
    <t>Table 30: Percentage Share of Top ‘N’ Securities/Members in Turnover of Cash Segment</t>
  </si>
  <si>
    <t>Table 31: Settlement Statistics for Cash Segment of BSE</t>
  </si>
  <si>
    <t xml:space="preserve">Table 32: Settlement Statistics for Cash Segment of NSE </t>
  </si>
  <si>
    <t xml:space="preserve">Table 33: Settlement Statistics for Cash Segment of MSEI </t>
  </si>
  <si>
    <t xml:space="preserve">Table 34: Trends in Equity Derivatives Segment at BSE (Turnover in Notional Value) </t>
  </si>
  <si>
    <t xml:space="preserve">Table 35: Trends in Equity Derivatives Segment at NSE (Turnover in Notional Value) </t>
  </si>
  <si>
    <t>Table 36: Settlement Statistics in Equity Derivatives Segment at BSE and NSE</t>
  </si>
  <si>
    <t>Table 37: Category-wise Share of Turnover &amp; Open Interest in Equity Derivative Segment of BSE</t>
  </si>
  <si>
    <t>Table 38: Category-wise Share of Turnover &amp; Open Interest in Equity Derivative Segment of NSE</t>
  </si>
  <si>
    <t>Table 39: Instrument-wise Turnover in Index Derivatives at BSE</t>
  </si>
  <si>
    <t>Table 40: Instrument-wise Turnover in Index Derivatives at NSE</t>
  </si>
  <si>
    <t>Table 41: Trends in Currency Derivatives Segment at BSE</t>
  </si>
  <si>
    <t>Table 42: Trends in Currency Derivatives Segment at NSE</t>
  </si>
  <si>
    <t>Table 43: Trends in Currency Derivatives Segment at MSEI</t>
  </si>
  <si>
    <t xml:space="preserve">Table 44: Settlement Statistics of Currency Derivatives Segment </t>
  </si>
  <si>
    <t>Table 45: Instrument-wise Turnover in Currency Futures Segment of BSE</t>
  </si>
  <si>
    <t>Table 46: Instrument-wise Turnover in Currency Derivatives Segment  of NSE</t>
  </si>
  <si>
    <t>Table 47: Instrument-wise Turnover in Currency Derivative Segment of MSEI</t>
  </si>
  <si>
    <t>Table 48: Maturity-wise Turnover in Currency Derivative Segment of BSE</t>
  </si>
  <si>
    <t>Table 49: Maturity-wise Turnover in Currency Derivative Segment of NSE</t>
  </si>
  <si>
    <t xml:space="preserve">Table 50: Maturity-wise Turnover in Currency Derivative Segment of MSEI </t>
  </si>
  <si>
    <t>Table 51: Trading Statistics of Interest Rate Futures at BSE, NSE and MSEI</t>
  </si>
  <si>
    <t>Table 52: Settlement Statistics in Interest Rate Futures at BSE, NSE and MSEI</t>
  </si>
  <si>
    <t>Table 53: Trends in Foreign Portfolio Investment</t>
  </si>
  <si>
    <t>Table 54: Notional Value of Offshore Derivative Instruments (ODIs) Vs Assets Under Custody (AUC) of FPIs</t>
  </si>
  <si>
    <t>Table 55: Assets under the Custody of Custodians</t>
  </si>
  <si>
    <t>Table 56: Cumulative Sectoral  Investment of Foreign Venture Capital Investors (FVCIs)</t>
  </si>
  <si>
    <t xml:space="preserve">Table 57: Trends in Resource Mobilization by Mutual Funds </t>
  </si>
  <si>
    <t>Table 58: Scheme-wise Statistics of Mutual Funds</t>
  </si>
  <si>
    <t>Table 59: Trends in Transactions on Stock Exchanges by Mutual Funds</t>
  </si>
  <si>
    <t>Table 60: Assets Managed by Portfolio Managers</t>
  </si>
  <si>
    <t>Table 61: Progress Report of NSDL &amp; CDSl as on end of Month (Listed Companies)</t>
  </si>
  <si>
    <t>Table 62: Progress of Dematerialisation at NSDL and CDSL (Listed and Unlisted Companies)</t>
  </si>
  <si>
    <t>Table 63: Depository Statistics</t>
  </si>
  <si>
    <t>Table 64: Number of Commodities Permitted and traded at Exchanges</t>
  </si>
  <si>
    <t>Table 65: Trends in Commodity Indices</t>
  </si>
  <si>
    <t>Table 66: Trends in Commodity Derivatives at MCX</t>
  </si>
  <si>
    <t>Table 67: Trends in Commodity Derivatives at NCDEX</t>
  </si>
  <si>
    <t>Table 68: Trends in  Commodity Derivatives at BSE</t>
  </si>
  <si>
    <t>Table 69: Trends in Commodity Derivatives at NSE</t>
  </si>
  <si>
    <t>Table 70: Participant-wise percentage share of turnover in Commodity Futures</t>
  </si>
  <si>
    <t>Table 71: Commodity-wise Trading Volume and Turnover at MCX</t>
  </si>
  <si>
    <t>Table 72: Commodity-wise Trading Volume and Turnover at NCDEX</t>
  </si>
  <si>
    <t>Table 73: Commodity-wise Trading Volume and Turnover at ICEX, NSE and BSE</t>
  </si>
  <si>
    <t>Table 74: Macro Economic Indicators</t>
  </si>
  <si>
    <t>2022-23</t>
  </si>
  <si>
    <t>2023-24$</t>
  </si>
  <si>
    <t>BSE</t>
  </si>
  <si>
    <t>NSE</t>
  </si>
  <si>
    <t>MSEI</t>
  </si>
  <si>
    <t>MCX</t>
  </si>
  <si>
    <t>NCDEX</t>
  </si>
  <si>
    <t>NSDL</t>
  </si>
  <si>
    <t>CDSL</t>
  </si>
  <si>
    <t>Mutual Funds</t>
  </si>
  <si>
    <t>Notes:</t>
  </si>
  <si>
    <t>Sl.No.</t>
  </si>
  <si>
    <t>Name of the Issuer/Company</t>
  </si>
  <si>
    <t>Date of Listing</t>
  </si>
  <si>
    <t>Type of Issue</t>
  </si>
  <si>
    <t>Number of Shares issued</t>
  </si>
  <si>
    <t>Face Value (₹ )</t>
  </si>
  <si>
    <t>Premium Value (₹ )</t>
  </si>
  <si>
    <t>Issue Price (₹ )</t>
  </si>
  <si>
    <t>Amount raised (in crores)</t>
  </si>
  <si>
    <t>Oversubscribed (no. of times)</t>
  </si>
  <si>
    <t>Allocation in Net offer to public &amp; Others (No. of shares)</t>
  </si>
  <si>
    <t>Net offer to public*</t>
  </si>
  <si>
    <t>Fresh</t>
  </si>
  <si>
    <t>OFS</t>
  </si>
  <si>
    <t>Total</t>
  </si>
  <si>
    <t>QIB</t>
  </si>
  <si>
    <t>NII</t>
  </si>
  <si>
    <t>RII</t>
  </si>
  <si>
    <t>Others, if any (Market Maker &amp; Reservation)</t>
  </si>
  <si>
    <t>IPO</t>
  </si>
  <si>
    <t>Rights</t>
  </si>
  <si>
    <t>*Shares issued by the Company are partly paid up but the information is provided considering the same as fully paid up.</t>
  </si>
  <si>
    <t>Net offer to Public = QIB (Including anchor) + RII + NII (Excluding Employee Reservation +Shareholder Reservation + Market maker)</t>
  </si>
  <si>
    <t>Sl.No</t>
  </si>
  <si>
    <t>Target Company</t>
  </si>
  <si>
    <t>Acquirers/PACs</t>
  </si>
  <si>
    <t>Public Announcement Date</t>
  </si>
  <si>
    <t>Offer Opening Date</t>
  </si>
  <si>
    <t>Offer Closing Date</t>
  </si>
  <si>
    <t>Offer Size</t>
  </si>
  <si>
    <t>Offer
 Price 
(₹ ) per share</t>
  </si>
  <si>
    <t>Offer Size (₹  crore)</t>
  </si>
  <si>
    <t>No. of 
Shares</t>
  </si>
  <si>
    <t>Year / Month</t>
  </si>
  <si>
    <t>Open Offers</t>
  </si>
  <si>
    <t>Objectives</t>
  </si>
  <si>
    <t>Change in Control 
of Management</t>
  </si>
  <si>
    <t>Consolidation of Holdings</t>
  </si>
  <si>
    <t>Substantial Acquisition</t>
  </si>
  <si>
    <t>No. of Offers</t>
  </si>
  <si>
    <t>Amount (₹  crore)</t>
  </si>
  <si>
    <t>Amount (₹ crore)</t>
  </si>
  <si>
    <t>Apr-23</t>
  </si>
  <si>
    <t>May-23</t>
  </si>
  <si>
    <t>*In instances where offers have more than one objective, the issue is classified only under one of the same.</t>
  </si>
  <si>
    <t>Data is compiled based on offer closing date</t>
  </si>
  <si>
    <t>$ indicates upto July 31, 2023</t>
  </si>
  <si>
    <t>Source: SEBI.</t>
  </si>
  <si>
    <t>Modes of Fund Raising</t>
  </si>
  <si>
    <t>Financial Sector</t>
  </si>
  <si>
    <t>Non-Financial Sector</t>
  </si>
  <si>
    <t>No. of Issues</t>
  </si>
  <si>
    <t>Amount
(Rs.crore)</t>
  </si>
  <si>
    <t>Equity Issues</t>
  </si>
  <si>
    <t>Total
(Equity+Debt)</t>
  </si>
  <si>
    <t>Public</t>
  </si>
  <si>
    <t>Listed</t>
  </si>
  <si>
    <t>Debt</t>
  </si>
  <si>
    <t>No. of issues</t>
  </si>
  <si>
    <t>Year/ Month</t>
  </si>
  <si>
    <t>Source: SEBI</t>
  </si>
  <si>
    <t>Table 7:  Industry-wise Classification of Capital Raised through Public and Rights Issues (Equity)</t>
  </si>
  <si>
    <t>Industry</t>
  </si>
  <si>
    <t>Consumer Services</t>
  </si>
  <si>
    <t>Healthcare</t>
  </si>
  <si>
    <t>Power</t>
  </si>
  <si>
    <t>Notes - From April 2020 onwards, data on IPO issues are categorised based on the listing date .</t>
  </si>
  <si>
    <t>Sector-wise</t>
  </si>
  <si>
    <t>Region-wise</t>
  </si>
  <si>
    <t>Private</t>
  </si>
  <si>
    <t>Northern</t>
  </si>
  <si>
    <t>Eastern</t>
  </si>
  <si>
    <t>Western</t>
  </si>
  <si>
    <t>Southern</t>
  </si>
  <si>
    <t>Central</t>
  </si>
  <si>
    <t>&lt; 5 crore</t>
  </si>
  <si>
    <t>≥ 5crore - &lt; 10crore</t>
  </si>
  <si>
    <t xml:space="preserve">  ≥ 10 crore - &lt; 50 crore</t>
  </si>
  <si>
    <t xml:space="preserve">  ≥ 50 crore - &lt; 100 crore</t>
  </si>
  <si>
    <t xml:space="preserve">  ≥ 100 crore -&lt;500 crore</t>
  </si>
  <si>
    <t>&gt;=₹500 crore</t>
  </si>
  <si>
    <t>Only BSE</t>
  </si>
  <si>
    <t>Only NSE</t>
  </si>
  <si>
    <t>Only MSEI</t>
  </si>
  <si>
    <t>Both NSE and BSE</t>
  </si>
  <si>
    <t xml:space="preserve">Notes: 1. The above data includes both "no. of issues" and "Amount" raised on conversion of convertible securities issued on QIP basis. 
</t>
  </si>
  <si>
    <t>Source: BSE, NSE and MSEI.</t>
  </si>
  <si>
    <t>Year/Month</t>
  </si>
  <si>
    <t>Common#</t>
  </si>
  <si>
    <t>#Listed at any two or three exchanges.</t>
  </si>
  <si>
    <t>Source: BSE and NSE</t>
  </si>
  <si>
    <t>Table 14: Ratings Assigned for Long-term Corporate Debt Securities (Maturity ≥ 1 year)</t>
  </si>
  <si>
    <t>Grade</t>
  </si>
  <si>
    <t>Investment Grade</t>
  </si>
  <si>
    <t>Non-Investment Grade</t>
  </si>
  <si>
    <t>Highest Safety (AAA)</t>
  </si>
  <si>
    <t>High Safety (AA)</t>
  </si>
  <si>
    <t>Adequate Safety (A)</t>
  </si>
  <si>
    <t>Moderate Safety (BBB)</t>
  </si>
  <si>
    <t>Period</t>
  </si>
  <si>
    <t>Jun-23</t>
  </si>
  <si>
    <t>Jul-23</t>
  </si>
  <si>
    <t>This data is provisonal</t>
  </si>
  <si>
    <t>Source: Credit Rating Agencies.</t>
  </si>
  <si>
    <t>Table 15: Review of Accepted Ratings of Corporate Debt Securities (Maturity ≥ 1 year)</t>
  </si>
  <si>
    <t>Upgraded</t>
  </si>
  <si>
    <t>Downgraded</t>
  </si>
  <si>
    <t>Reaffirmed</t>
  </si>
  <si>
    <t>Rating Watch</t>
  </si>
  <si>
    <t>Withdrawn/ Suspended</t>
  </si>
  <si>
    <t>$ indicates  upto July 31, 2023</t>
  </si>
  <si>
    <t>Table 74:  Macro Economic Indicators</t>
  </si>
  <si>
    <t xml:space="preserve">IV.  Monetary and Banking Indicators                  </t>
  </si>
  <si>
    <t>Cash Reserve Ratio (per cent)</t>
  </si>
  <si>
    <t>Repo Rate (per cent)</t>
  </si>
  <si>
    <t>Money Supply (M3)  (₹ billion)</t>
  </si>
  <si>
    <t>Aggregate Deposit (₹ billion)</t>
  </si>
  <si>
    <t>Bank Credit (₹ billion)</t>
  </si>
  <si>
    <t xml:space="preserve">V. Interest Rate                        </t>
  </si>
  <si>
    <t>Call Money Rate (Weighted Average)</t>
  </si>
  <si>
    <t>91-Day-Treasury Bill (Primary Yield)</t>
  </si>
  <si>
    <t>Base rate (per cent)</t>
  </si>
  <si>
    <t xml:space="preserve">Term Deposit Rate &gt; 1 year </t>
  </si>
  <si>
    <t>6.00/7.25</t>
  </si>
  <si>
    <t>VI. Capital Market Indicators (₹crore)</t>
  </si>
  <si>
    <t xml:space="preserve">Equity Cash Turnover (BSE+NSE) </t>
  </si>
  <si>
    <t xml:space="preserve">Market Cap-BSE </t>
  </si>
  <si>
    <t xml:space="preserve">Market Cap-NSE </t>
  </si>
  <si>
    <t xml:space="preserve">Net FPI Investment in Equity </t>
  </si>
  <si>
    <t>VII. Exchange Rate and Reserves</t>
  </si>
  <si>
    <t>Forex Reserves (USD million)</t>
  </si>
  <si>
    <t>Re/ Dollar</t>
  </si>
  <si>
    <t>Re/Euro</t>
  </si>
  <si>
    <t>Forward Premia of USD  6-month</t>
  </si>
  <si>
    <t>VIII.  Public Borrowing and Inflation Rate (Y-o-Y)</t>
  </si>
  <si>
    <t>Central Govt. Market Borrowing-Gross (₹ billion)</t>
  </si>
  <si>
    <t>Wholesale Price Index (2011-12=100) Rate (in per cent) (Y-o-Y)</t>
  </si>
  <si>
    <t>Consumer Price Index (2012 =100) Rate (in per cent) (Y-o-Y)</t>
  </si>
  <si>
    <t>General</t>
  </si>
  <si>
    <t>NA</t>
  </si>
  <si>
    <t>Mining</t>
  </si>
  <si>
    <t>Manufacturing</t>
  </si>
  <si>
    <t>Electricity</t>
  </si>
  <si>
    <t>X. External Sector Indicators (USD billion)</t>
  </si>
  <si>
    <t xml:space="preserve">Exports </t>
  </si>
  <si>
    <t>Imports</t>
  </si>
  <si>
    <t>Trade Balance</t>
  </si>
  <si>
    <t xml:space="preserve">Notes: </t>
  </si>
  <si>
    <t>^ cumulative figure value of the respective months.</t>
  </si>
  <si>
    <t>Data for CPI, WPI, IIP and External sector have been compiled based on available information.</t>
  </si>
  <si>
    <t>Value (₹ crore)</t>
  </si>
  <si>
    <t>-</t>
  </si>
  <si>
    <t>Stock Exchanges</t>
  </si>
  <si>
    <t xml:space="preserve">Table 17: Trends in Cash Segment of BSE </t>
  </si>
  <si>
    <t xml:space="preserve">No. of Companies Listed </t>
  </si>
  <si>
    <t>No. of Companies Permitted</t>
  </si>
  <si>
    <t xml:space="preserve">No. of Companies Traded </t>
  </si>
  <si>
    <t>No. of Trading Days</t>
  </si>
  <si>
    <t>No. of Trades (Lakh)</t>
  </si>
  <si>
    <t>Traded Quantity (Lakh)</t>
  </si>
  <si>
    <t>Demat Securities Traded (Lakh)</t>
  </si>
  <si>
    <t xml:space="preserve">S&amp;P BSE Sensex </t>
  </si>
  <si>
    <t>High</t>
  </si>
  <si>
    <t>Low</t>
  </si>
  <si>
    <t>Close</t>
  </si>
  <si>
    <t>Note : No. of Companies Listed with BSE includes count of both active and suspended companies.</t>
  </si>
  <si>
    <t>No.of trades and turnover details inclusive of exchange traded corporate bonds</t>
  </si>
  <si>
    <t>Source: BSE</t>
  </si>
  <si>
    <t xml:space="preserve">Table 18: Trends in Cash Segment of NSE </t>
  </si>
  <si>
    <t>No. of companies Traded#</t>
  </si>
  <si>
    <t xml:space="preserve">Nifty 50 Index </t>
  </si>
  <si>
    <t>Turnover Data compiled for all markets except auction market</t>
  </si>
  <si>
    <t>#Data for No. of companies traded includes Government securities, Corporate bonds, REITs, InvITs, NSE listed companies as well as “Permitted to Trade” companies but excludes ETFs &amp; Mutual Funds</t>
  </si>
  <si>
    <t>Source: NSE</t>
  </si>
  <si>
    <t>No. of Companies Permitted #</t>
  </si>
  <si>
    <t>No. of Companies Traded</t>
  </si>
  <si>
    <t>Turnover (₹ crore)</t>
  </si>
  <si>
    <t>Average Daily Turnover (₹ crore)</t>
  </si>
  <si>
    <t>Demat Turnover (₹ crore)</t>
  </si>
  <si>
    <t xml:space="preserve">Market  Capitalisation (₹ crore) </t>
  </si>
  <si>
    <t xml:space="preserve">SX 40 Index </t>
  </si>
  <si>
    <t>Note: Data of the Market Capitalisation is provided for all listed as well as permitted companies</t>
  </si>
  <si>
    <t># Details of no. of companies in "permitted to trade" category which are active.</t>
  </si>
  <si>
    <t>Source: MSEI</t>
  </si>
  <si>
    <t>Table 20: City-wise Distribution of Turnover on Cash Segments of BSE and NSE</t>
  </si>
  <si>
    <t>(Percentage share in Turnover)</t>
  </si>
  <si>
    <t>S.No</t>
  </si>
  <si>
    <t>City</t>
  </si>
  <si>
    <t>Ahmedabad</t>
  </si>
  <si>
    <t>Bengaluru</t>
  </si>
  <si>
    <t>Vadodara</t>
  </si>
  <si>
    <t>Bhubneshwar</t>
  </si>
  <si>
    <t>Chennai</t>
  </si>
  <si>
    <t>Ernakulam</t>
  </si>
  <si>
    <t>Coimbatore</t>
  </si>
  <si>
    <t>New Delhi</t>
  </si>
  <si>
    <t>Guwahati</t>
  </si>
  <si>
    <t>Hyderabad</t>
  </si>
  <si>
    <t>Indore</t>
  </si>
  <si>
    <t>Jaipur</t>
  </si>
  <si>
    <t>Kanpur</t>
  </si>
  <si>
    <t>Kolkata</t>
  </si>
  <si>
    <t>Ludhiana</t>
  </si>
  <si>
    <t>Mangalore</t>
  </si>
  <si>
    <t>Mumbai</t>
  </si>
  <si>
    <t>Patna</t>
  </si>
  <si>
    <t>Pune</t>
  </si>
  <si>
    <t>Rajkot</t>
  </si>
  <si>
    <t>Others</t>
  </si>
  <si>
    <t>Percentage Share in Turnover</t>
  </si>
  <si>
    <t>Proprietary</t>
  </si>
  <si>
    <t>FPIs</t>
  </si>
  <si>
    <t>Banks</t>
  </si>
  <si>
    <t>Source: BSE.</t>
  </si>
  <si>
    <t>Year /Month</t>
  </si>
  <si>
    <t>Source: NSE.</t>
  </si>
  <si>
    <t>Source: MSEI.</t>
  </si>
  <si>
    <t>Name of Security</t>
  </si>
  <si>
    <t>Issued
Capital 
(₹ crore)</t>
  </si>
  <si>
    <t>Free Float
Market
Capitalisation
(₹ crore)</t>
  </si>
  <si>
    <t>Weightage (Percent)</t>
  </si>
  <si>
    <t>Beta</t>
  </si>
  <si>
    <t>R 2</t>
  </si>
  <si>
    <t>Daily
Volatility
(Percent)</t>
  </si>
  <si>
    <t>Monthly
Return
(Percent)</t>
  </si>
  <si>
    <t>Impact
Cost
(Percent)</t>
  </si>
  <si>
    <t xml:space="preserve">BAJFINANCE  </t>
  </si>
  <si>
    <t xml:space="preserve">STATE BANK  </t>
  </si>
  <si>
    <t xml:space="preserve">TITAN       </t>
  </si>
  <si>
    <t xml:space="preserve">HDFC BANK   </t>
  </si>
  <si>
    <t xml:space="preserve">INFOSYS LTD </t>
  </si>
  <si>
    <t>KOTAK MAH.BK</t>
  </si>
  <si>
    <t xml:space="preserve">RELIANCE    </t>
  </si>
  <si>
    <t xml:space="preserve">TATA STEEL  </t>
  </si>
  <si>
    <t>LARSEN &amp; TOU</t>
  </si>
  <si>
    <t xml:space="preserve">MAH &amp; MAH   </t>
  </si>
  <si>
    <t xml:space="preserve">TATA MOTORS </t>
  </si>
  <si>
    <t xml:space="preserve">HIND UNI LT </t>
  </si>
  <si>
    <t xml:space="preserve">NESTLE (I)  </t>
  </si>
  <si>
    <t>ASIAN PAINTS</t>
  </si>
  <si>
    <t xml:space="preserve">ITC LTD.    </t>
  </si>
  <si>
    <t xml:space="preserve">SUN PHARMA. </t>
  </si>
  <si>
    <t xml:space="preserve">ICICI BANK  </t>
  </si>
  <si>
    <t>INDUSIND BNK</t>
  </si>
  <si>
    <t xml:space="preserve">AXIS BANK   </t>
  </si>
  <si>
    <t xml:space="preserve">HCL TECHNO  </t>
  </si>
  <si>
    <t xml:space="preserve">BHARTI ARTL </t>
  </si>
  <si>
    <t xml:space="preserve">MARUTISUZUK </t>
  </si>
  <si>
    <t>ULTRATECH CM</t>
  </si>
  <si>
    <t xml:space="preserve">TCS LTD.    </t>
  </si>
  <si>
    <t xml:space="preserve">NTPC LTD    </t>
  </si>
  <si>
    <t xml:space="preserve">TECH MAH    </t>
  </si>
  <si>
    <t xml:space="preserve">POWER GRID  </t>
  </si>
  <si>
    <t xml:space="preserve">BAJAJ FINSE </t>
  </si>
  <si>
    <t>2. The coefficient of determination (R2) measures the strength of relationship between two variables the return on  a security versus that of the market.</t>
  </si>
  <si>
    <t>3. Volatility is the standard deviation of the daily returns for the trailing 12 months.</t>
  </si>
  <si>
    <t>4. Impact cost is calculated as the difference between actual buy price and ideal buy price, divided by ideal buy price, multiplied by 100. Hence ideal price is calculated as (best buy + best sell)/2.</t>
  </si>
  <si>
    <t>5. The above is calculated for a month for the portfolio size of Rs. 5 lakh.  It is calculated for the current month.</t>
  </si>
  <si>
    <t>Sl. No</t>
  </si>
  <si>
    <t>Adani Enterprises Ltd.</t>
  </si>
  <si>
    <t>Adani Ports and Special Economic Zone Ltd.</t>
  </si>
  <si>
    <t>Apollo Hospitals Enterprise Ltd.</t>
  </si>
  <si>
    <t>Asian Paints Ltd.</t>
  </si>
  <si>
    <t>Axis Bank Ltd.</t>
  </si>
  <si>
    <t>Bajaj Auto Ltd.</t>
  </si>
  <si>
    <t>Bajaj Finance Ltd.</t>
  </si>
  <si>
    <t>Bajaj Finserv Ltd.</t>
  </si>
  <si>
    <t>Bharat Petroleum Corporation Ltd.</t>
  </si>
  <si>
    <t>Bharti Airtel Ltd.</t>
  </si>
  <si>
    <t>Britannia Industries Ltd.</t>
  </si>
  <si>
    <t>Cipla Ltd.</t>
  </si>
  <si>
    <t>Coal India Ltd.</t>
  </si>
  <si>
    <t>Dr. Reddy's Laboratories Ltd.</t>
  </si>
  <si>
    <t>Eicher Motors Ltd.</t>
  </si>
  <si>
    <t>Grasim Industries Ltd.</t>
  </si>
  <si>
    <t>HCL Technologies Ltd.</t>
  </si>
  <si>
    <t>HDFC Bank Ltd.</t>
  </si>
  <si>
    <t>HDFC Life Insurance Company Ltd.</t>
  </si>
  <si>
    <t>Hero MotoCorp Ltd.</t>
  </si>
  <si>
    <t>Hindalco Industries Ltd.</t>
  </si>
  <si>
    <t>Hindustan Unilever Ltd.</t>
  </si>
  <si>
    <t>ICICI Bank Ltd.</t>
  </si>
  <si>
    <t>ITC Ltd.</t>
  </si>
  <si>
    <t>IndusInd Bank Ltd.</t>
  </si>
  <si>
    <t>Infosys Ltd.</t>
  </si>
  <si>
    <t>JSW Steel Ltd.</t>
  </si>
  <si>
    <t>Kotak Mahindra Bank Ltd.</t>
  </si>
  <si>
    <t>Larsen &amp; Toubro Ltd.</t>
  </si>
  <si>
    <t>Mahindra &amp; Mahindra Ltd.</t>
  </si>
  <si>
    <t>Maruti Suzuki India Ltd.</t>
  </si>
  <si>
    <t>NTPC Ltd.</t>
  </si>
  <si>
    <t>Nestle India Ltd.</t>
  </si>
  <si>
    <t>Oil &amp; Natural Gas Corporation Ltd.</t>
  </si>
  <si>
    <t>Power Grid Corporation of India Ltd.</t>
  </si>
  <si>
    <t>Reliance Industries Ltd.</t>
  </si>
  <si>
    <t>SBI Life Insurance Company Ltd.</t>
  </si>
  <si>
    <t>State Bank of India</t>
  </si>
  <si>
    <t>Sun Pharmaceutical Industries Ltd.</t>
  </si>
  <si>
    <t>Tata Consultancy Services Ltd.</t>
  </si>
  <si>
    <t>Tata Consumer Products Ltd.</t>
  </si>
  <si>
    <t>Tata Motors Ltd.</t>
  </si>
  <si>
    <t>Tata Steel Ltd.</t>
  </si>
  <si>
    <t>Tech Mahindra Ltd.</t>
  </si>
  <si>
    <t>Titan Company Ltd.</t>
  </si>
  <si>
    <t>UltraTech Cement Ltd.</t>
  </si>
  <si>
    <t>Wipro Ltd.</t>
  </si>
  <si>
    <t>Notes: 1. Beta &amp; R2 are calculated for the the trailing 12 months. Beta measures the  degree to which any portfolio of stocks is affected as compared to the effect on the market as a whole.</t>
  </si>
  <si>
    <t>3. Volatility is the standard deviation of the daily returns for the the trailing 12 months.</t>
  </si>
  <si>
    <t>5. Impact Cost for Nifty 50 is for a portfolio of ₹50 lakh  and is weighted average impact cost.</t>
  </si>
  <si>
    <t>S.No.</t>
  </si>
  <si>
    <t>Issued Capital     (₹ crore)</t>
  </si>
  <si>
    <t xml:space="preserve">Weightage (Percent)   </t>
  </si>
  <si>
    <t>R2</t>
  </si>
  <si>
    <t>Daily Volatility (Percent)</t>
  </si>
  <si>
    <t>Monthly Return (Percent)</t>
  </si>
  <si>
    <t>Impact Cost (Percent) *</t>
  </si>
  <si>
    <t>HDFCBANK</t>
  </si>
  <si>
    <t>RELIANCE</t>
  </si>
  <si>
    <t>ICICIBANK</t>
  </si>
  <si>
    <t>INFY</t>
  </si>
  <si>
    <t>TCS</t>
  </si>
  <si>
    <t>LT</t>
  </si>
  <si>
    <t>ITC</t>
  </si>
  <si>
    <t>AXISBANK</t>
  </si>
  <si>
    <t>KOTAKBANK</t>
  </si>
  <si>
    <t>SBIN</t>
  </si>
  <si>
    <t>HINDUNILVR</t>
  </si>
  <si>
    <t>BHARTIARTL</t>
  </si>
  <si>
    <t>BAJFINANCE</t>
  </si>
  <si>
    <t>ASIANPAINT</t>
  </si>
  <si>
    <t>M&amp;M</t>
  </si>
  <si>
    <t>MARUTI</t>
  </si>
  <si>
    <t>TITAN</t>
  </si>
  <si>
    <t>SUNPHARMA</t>
  </si>
  <si>
    <t>HCLTECH</t>
  </si>
  <si>
    <t>TATAMOTORS</t>
  </si>
  <si>
    <t>NTPC</t>
  </si>
  <si>
    <t>TATASTEEL</t>
  </si>
  <si>
    <t>ULTRACEMCO</t>
  </si>
  <si>
    <t>DRREDDY</t>
  </si>
  <si>
    <t>INDUSINDBK</t>
  </si>
  <si>
    <t>ADANIENT</t>
  </si>
  <si>
    <t>POWERGRID</t>
  </si>
  <si>
    <t>NESTLEIND</t>
  </si>
  <si>
    <t>JSWSTEEL</t>
  </si>
  <si>
    <t>TECHM</t>
  </si>
  <si>
    <t>WIPRO</t>
  </si>
  <si>
    <t>GRASIM</t>
  </si>
  <si>
    <t>ONGC</t>
  </si>
  <si>
    <t>HINDALCO</t>
  </si>
  <si>
    <t>ADANIPORTS</t>
  </si>
  <si>
    <t>CIPLA</t>
  </si>
  <si>
    <t>1. Market Cap, Beta &amp; R2 as on the last day of the month</t>
  </si>
  <si>
    <t>2. Beta &amp; R2 are calculated for the trailing 12 months</t>
  </si>
  <si>
    <t>3. Volatility for the current month</t>
  </si>
  <si>
    <t>4. *Since there is no trading in the SX40 constituents, the Impact Cost for the given stocks is NIL.</t>
  </si>
  <si>
    <t>Table 27: Advances/Declines in Cash Segment of BSE, NSE and MSEI</t>
  </si>
  <si>
    <t>Advances</t>
  </si>
  <si>
    <t>Declines</t>
  </si>
  <si>
    <t>Advance/Decline Ratio</t>
  </si>
  <si>
    <t xml:space="preserve">Note: Advance/Decline ratio is calculated based on the average price methodology.                                                                           </t>
  </si>
  <si>
    <t>Table 28: Trading Frequency in Cash Segment of BSE, NSE and MSEI</t>
  </si>
  <si>
    <t>Month</t>
  </si>
  <si>
    <t>No. of Companies Listed</t>
  </si>
  <si>
    <t>Percent of Traded to Listed</t>
  </si>
  <si>
    <t>No. of Companies Traded#</t>
  </si>
  <si>
    <t>Table 29: Daily Volatility of Major Indices  (percent)</t>
  </si>
  <si>
    <t>BSE Sensex</t>
  </si>
  <si>
    <t>BSE 100</t>
  </si>
  <si>
    <t>BSE 500</t>
  </si>
  <si>
    <t>Nifty 50</t>
  </si>
  <si>
    <t>Nifty Next 50</t>
  </si>
  <si>
    <t>Nifty 500</t>
  </si>
  <si>
    <t>SX40</t>
  </si>
  <si>
    <t>Note: Volatility is calculated as the standard deviation of the natural log of daily returns in indices for the respective period.</t>
  </si>
  <si>
    <t>Source: BSE, MSEI and NSE.</t>
  </si>
  <si>
    <t>Table 30: Percentage Share of Top ‘N’ Securities/Members in Turnover of Cash Segment  (percent)</t>
  </si>
  <si>
    <t>Top</t>
  </si>
  <si>
    <t>5</t>
  </si>
  <si>
    <t>10</t>
  </si>
  <si>
    <t>25</t>
  </si>
  <si>
    <t>50</t>
  </si>
  <si>
    <t>100</t>
  </si>
  <si>
    <t>Securities</t>
  </si>
  <si>
    <t>Members</t>
  </si>
  <si>
    <t>Notes: 1. Data for Top N scrips has been compiled for all markets except Auction market &amp; Retail Debt Market and includes series EQ, BE,BT, BL and IL.</t>
  </si>
  <si>
    <t>Year /  Month</t>
  </si>
  <si>
    <t>No. of Trades(Lakh)</t>
  </si>
  <si>
    <t>Traded Quantity   (Lakh)</t>
  </si>
  <si>
    <t>Delivered Quantity   (Lakh)</t>
  </si>
  <si>
    <t>Percent of Delivered Quantity to Traded Quantity</t>
  </si>
  <si>
    <t>Delivered Value   (₹ crore)</t>
  </si>
  <si>
    <t>Percent  of Delivered Value to Total Turnover</t>
  </si>
  <si>
    <t>Delivered Quantity in Demat Mode (Lakh)</t>
  </si>
  <si>
    <t>Percent of Demat Delivered Quantity to Total Delivered Quantity</t>
  </si>
  <si>
    <t>Delivered Value in Demat Mode     (₹ crore)</t>
  </si>
  <si>
    <t>Percent of Demat Delivered Value to Total Delivered Value</t>
  </si>
  <si>
    <t>Short Delivery (Auctioned quantity) (Lakh)</t>
  </si>
  <si>
    <t>Percent of Short Delivery to Delivery Quantity</t>
  </si>
  <si>
    <t>Funds Pay-in (₹ crore)</t>
  </si>
  <si>
    <t>Securities Pay-in (₹ crore)</t>
  </si>
  <si>
    <t>Settlement Guarantee Fund (₹ crore)</t>
  </si>
  <si>
    <t>Delivered Value      (₹  crore)</t>
  </si>
  <si>
    <t>Settlement Statistics for settlement type N, excluding CM Series IL &amp; BL</t>
  </si>
  <si>
    <t>Table 33: Settlement Statistics for Cash Segment of MSEI</t>
  </si>
  <si>
    <t>Delivered Value      (₹ crore)</t>
  </si>
  <si>
    <t>Settlement Guarantee Fund(₹ crore)</t>
  </si>
  <si>
    <t>Month/ Year</t>
  </si>
  <si>
    <t>Index Futures</t>
  </si>
  <si>
    <t xml:space="preserve"> Stock Futures</t>
  </si>
  <si>
    <t>Index Options</t>
  </si>
  <si>
    <t>Stock Options</t>
  </si>
  <si>
    <t>Total Turnover</t>
  </si>
  <si>
    <t>Open Interest at the end of the day</t>
  </si>
  <si>
    <t xml:space="preserve">                 Calls</t>
  </si>
  <si>
    <t xml:space="preserve">                 Puts</t>
  </si>
  <si>
    <t>No. of  Contracts</t>
  </si>
  <si>
    <t xml:space="preserve">No. of Contracts </t>
  </si>
  <si>
    <t xml:space="preserve">No. of 
Contracts </t>
  </si>
  <si>
    <t>No. of Contracts</t>
  </si>
  <si>
    <t>No. of contracts</t>
  </si>
  <si>
    <t>Premium</t>
  </si>
  <si>
    <t>Notional</t>
  </si>
  <si>
    <t>2023-24</t>
  </si>
  <si>
    <t xml:space="preserve">Note: </t>
  </si>
  <si>
    <t>Note:</t>
  </si>
  <si>
    <t>Table 36: Settlement Statistics in Equity Derivatives Segment at BSE and NSE (₹ crore)</t>
  </si>
  <si>
    <t>Year/     Month</t>
  </si>
  <si>
    <t>Index/Stock
Futures</t>
  </si>
  <si>
    <t>Index/Stock
Options</t>
  </si>
  <si>
    <t>Settlement
Gurantee
Fund</t>
  </si>
  <si>
    <t>MTM
Settlement</t>
  </si>
  <si>
    <t>Final
Settlement</t>
  </si>
  <si>
    <t>Physical Settlement</t>
  </si>
  <si>
    <t>Premium
Settlement</t>
  </si>
  <si>
    <t>Exercise
Settlement</t>
  </si>
  <si>
    <t>Percentage Share in Open Interest</t>
  </si>
  <si>
    <t>Pro</t>
  </si>
  <si>
    <t>Turnover Share (in Percentage)</t>
  </si>
  <si>
    <t>BSE 30 SENSEX</t>
  </si>
  <si>
    <t>BSE SENSEX 50</t>
  </si>
  <si>
    <t>BSE BANKEX</t>
  </si>
  <si>
    <t>BSE OIL &amp; GAS INDEX</t>
  </si>
  <si>
    <t>BSE TECK INDEX</t>
  </si>
  <si>
    <t>HANG SENG Index Futures</t>
  </si>
  <si>
    <t>MICEX Index Futures</t>
  </si>
  <si>
    <t>FTSE/JSE Top 40 Futures</t>
  </si>
  <si>
    <t>IBOVESPA Futures</t>
  </si>
  <si>
    <t>NIFTY</t>
  </si>
  <si>
    <t>BANKNIFTY</t>
  </si>
  <si>
    <t>FINNIFTY</t>
  </si>
  <si>
    <t>MIDCPNIFTY</t>
  </si>
  <si>
    <t>Currency Futures</t>
  </si>
  <si>
    <t>Currency  Options</t>
  </si>
  <si>
    <t>Open Interest at the end of  the Month</t>
  </si>
  <si>
    <t>Call</t>
  </si>
  <si>
    <t>Put</t>
  </si>
  <si>
    <t>Value 
(₹ crore)</t>
  </si>
  <si>
    <t>No. of Trading  Days</t>
  </si>
  <si>
    <t>Currency Options</t>
  </si>
  <si>
    <t>Open Interest at the
end of Month</t>
  </si>
  <si>
    <t>No. of
Contracts</t>
  </si>
  <si>
    <t>Turnover
(₹  crore)</t>
  </si>
  <si>
    <t>Value
(₹  crore)</t>
  </si>
  <si>
    <t>Turnover (₹  crore)</t>
  </si>
  <si>
    <t>Turnover
(₹ crore)</t>
  </si>
  <si>
    <t>Table 44: Settlement Statistics of Currency Derivatives Segment (₹ crore)</t>
  </si>
  <si>
    <t>Currency
Futures</t>
  </si>
  <si>
    <t>Table 45: Instrument-wise Turnover in Currency Derivatives Segment of BSE</t>
  </si>
  <si>
    <t>Open Interest as on last day of the month (in lots)</t>
  </si>
  <si>
    <t>USDINR</t>
  </si>
  <si>
    <t>EURINR</t>
  </si>
  <si>
    <t>GBPINR</t>
  </si>
  <si>
    <t>JPYINR</t>
  </si>
  <si>
    <t>EURUSD</t>
  </si>
  <si>
    <t>GBPUSD</t>
  </si>
  <si>
    <t>USDJPY</t>
  </si>
  <si>
    <t>Table 46: Instrument-wise Turnover in Currency Derivatives of NSE</t>
  </si>
  <si>
    <t>Turnover ( ₹  crore)</t>
  </si>
  <si>
    <t>Open Interest as on last day of the month ( in lots)</t>
  </si>
  <si>
    <t>Table 47:  Instrument-wise Turnover in Currency Derivative Segment of MSEI</t>
  </si>
  <si>
    <t>Open Interest as on last day of the month
(in lots)</t>
  </si>
  <si>
    <t>Table 48: Maturity-wise Turnover in Currency Derivative Segment of BSE (₹ crore)</t>
  </si>
  <si>
    <t>Weekly</t>
  </si>
  <si>
    <t>1 Month</t>
  </si>
  <si>
    <t>2 Months</t>
  </si>
  <si>
    <t>3 Months</t>
  </si>
  <si>
    <t>&gt; 3 Months</t>
  </si>
  <si>
    <t>Table 49: Maturity-wise Turnover in Currency Derivative Segment of NSE  (₹ crore)</t>
  </si>
  <si>
    <t xml:space="preserve">2 Months   </t>
  </si>
  <si>
    <t>The weekly contracts for EUR-INR, GBP-INR and JPY-INR futures and options were introduced on December 7, 2020 and the weekly USD-INR futures contracts were launched at NSE from October 11, 2021.</t>
  </si>
  <si>
    <t>Table 50: Maturity-wise Turnover in Currency Derivative Segment of MSEI (₹ crore)</t>
  </si>
  <si>
    <t>Interest Rate Futures</t>
  </si>
  <si>
    <t>Open Interest at
the end of</t>
  </si>
  <si>
    <t>Interest RateFutures</t>
  </si>
  <si>
    <t xml:space="preserve">Open Interest at the end of </t>
  </si>
  <si>
    <t>Traded Value 
(₹ crore)</t>
  </si>
  <si>
    <t>Source: BSE, NSE and MSEI</t>
  </si>
  <si>
    <t>Table 52: Settlement Statistics in Interest Rate Futures at BSE, NSE and MSEI (₹ crore)</t>
  </si>
  <si>
    <t>Physical Delivery Settlement</t>
  </si>
  <si>
    <t>MTM Settlement</t>
  </si>
  <si>
    <t>Source: NSE, BSE and MSEI</t>
  </si>
  <si>
    <t>Table 61: Progress Report of NSDL &amp; CDSL  (Listed Companies)</t>
  </si>
  <si>
    <t>Parameter</t>
  </si>
  <si>
    <t>Unit</t>
  </si>
  <si>
    <t>NSDL (at the end of the period)</t>
  </si>
  <si>
    <t>CDSL (at the end of the period)</t>
  </si>
  <si>
    <t>Number</t>
  </si>
  <si>
    <t>Lakh</t>
  </si>
  <si>
    <t>Crore</t>
  </si>
  <si>
    <t>₹ Crore</t>
  </si>
  <si>
    <t>Training Programmes conducted for representatives of Corporates, DPs and Brokers</t>
  </si>
  <si>
    <t>Percent</t>
  </si>
  <si>
    <t>Source: NSDL and CDSL.</t>
  </si>
  <si>
    <t>Number of companies available for dematerialisation</t>
  </si>
  <si>
    <t>Number of Participants</t>
  </si>
  <si>
    <t>DPs
Locations</t>
  </si>
  <si>
    <t>Demat Value (₹ crore)</t>
  </si>
  <si>
    <t>Demat Value  (₹ crore)</t>
  </si>
  <si>
    <t>Notes : 1.  DPs Locations represents the total service centres.</t>
  </si>
  <si>
    <t>Particulars</t>
  </si>
  <si>
    <t>Equity</t>
  </si>
  <si>
    <t>Unlisted</t>
  </si>
  <si>
    <t>No.of issuers debt/Companies(equity)</t>
  </si>
  <si>
    <t>(numbers)</t>
  </si>
  <si>
    <t>No.of Active Instruments</t>
  </si>
  <si>
    <t>Demat Quantity</t>
  </si>
  <si>
    <t>(lakhs)</t>
  </si>
  <si>
    <t>Demat Value</t>
  </si>
  <si>
    <t>(Rs.Crore)</t>
  </si>
  <si>
    <t>Quantity settled during the month*</t>
  </si>
  <si>
    <t>(Lakh)</t>
  </si>
  <si>
    <t>Value Settled during the month</t>
  </si>
  <si>
    <t>(Rs.Crores)</t>
  </si>
  <si>
    <t>No. of Issuers (Debt) / Companies (Equity)</t>
  </si>
  <si>
    <t>No. of Active Instruments</t>
  </si>
  <si>
    <t>(lakh)</t>
  </si>
  <si>
    <t>(Rs.crore)</t>
  </si>
  <si>
    <t>Quantity settled during the month</t>
  </si>
  <si>
    <t>Note: The categories included in Others are Preference Shares, Mutual Fund Trace Units, IDRs, AIF,Warrants, PTCs, Treasury Bills, Postal Savings Certificate,CPs, CDs and Government Securities. *Quanttity and value settled does not include settlement details of Warehouse receipts/commodities.</t>
  </si>
  <si>
    <t>Energy</t>
  </si>
  <si>
    <t>A. IPOs (Main Board)</t>
  </si>
  <si>
    <t>i) OFS Component</t>
  </si>
  <si>
    <t>ii) Fresh Capital Raising Component</t>
  </si>
  <si>
    <t>B. IPO (SME)</t>
  </si>
  <si>
    <t>C. IPO (Total) [A+B]</t>
  </si>
  <si>
    <t>i) OFS Component (Total)</t>
  </si>
  <si>
    <t>ii) Fresh Capital Raising Component (Total)</t>
  </si>
  <si>
    <t>D. FPO in the Main Board</t>
  </si>
  <si>
    <t xml:space="preserve">E. FPO in the SME Segment </t>
  </si>
  <si>
    <t>F. FPO (Total) [D+E]</t>
  </si>
  <si>
    <t>G. Total Public Issues in equity (C+F)</t>
  </si>
  <si>
    <t>H. Rights Issue</t>
  </si>
  <si>
    <t xml:space="preserve">i)MainBoard Companies </t>
  </si>
  <si>
    <t>ii) SME / IGP Companies</t>
  </si>
  <si>
    <t>I. Preferential Issue</t>
  </si>
  <si>
    <t>J. QIPs/IPPs</t>
  </si>
  <si>
    <t>K. OFS through Exchanges</t>
  </si>
  <si>
    <t>i)Mainboard companies</t>
  </si>
  <si>
    <t>ii)SME/IGP companies</t>
  </si>
  <si>
    <t>Bond Market</t>
  </si>
  <si>
    <t>Business trusts</t>
  </si>
  <si>
    <t>691406.49#</t>
  </si>
  <si>
    <t xml:space="preserve"># The increase in the amount for rated quantum for withdrawals from previous trends is due to merger of Housing Development Finance Corporation Limited (HDFC) and HDFC Bank Limited (HDFC Bank) where the instruments of HDFC were withdrawn post-merger and the same were transferred to HDFC Bank. </t>
  </si>
  <si>
    <t>Average Trade Size (₹)</t>
  </si>
  <si>
    <t xml:space="preserve">JSWSL       </t>
  </si>
  <si>
    <t>Table 34: Trends in Equity Derivatives Segment at BSE</t>
  </si>
  <si>
    <t>Table 35: Trends in Equity Derivatives Segment at NSE</t>
  </si>
  <si>
    <t>5. The amount raised through fresh issues and OFS are obtained by multiplying the respective number of shares issued with the issue price.</t>
  </si>
  <si>
    <t>``</t>
  </si>
  <si>
    <t>9.10/10.25</t>
  </si>
  <si>
    <t>Stock Exchanges (Cash Segment)</t>
  </si>
  <si>
    <t>Stock Exchanges (Equity Derivatives Segment)</t>
  </si>
  <si>
    <t>Stock Exchanges (Currency Derivatives Segment)</t>
  </si>
  <si>
    <t>Stock Exchanges (Commodity Derivatives Segment)</t>
  </si>
  <si>
    <t>Foreign Portfolio Investors (FPIs)</t>
  </si>
  <si>
    <t>Custodians</t>
  </si>
  <si>
    <t>Designated Depositories Participants (DDPs)</t>
  </si>
  <si>
    <t>Depositories</t>
  </si>
  <si>
    <t>Merchant Bankers</t>
  </si>
  <si>
    <t>Bankers to an Issue</t>
  </si>
  <si>
    <t>Debenture Trustees</t>
  </si>
  <si>
    <t>Credit Rating Agencies</t>
  </si>
  <si>
    <t>KYC Registration Agencies (KRA)</t>
  </si>
  <si>
    <t>Registrars to an Issue &amp; Share Transfer Agents</t>
  </si>
  <si>
    <t>Venture Capital Funds</t>
  </si>
  <si>
    <t>Foreign Venture Capital Investors</t>
  </si>
  <si>
    <t>Alternative Investment Funds</t>
  </si>
  <si>
    <t>Portfolio Managers</t>
  </si>
  <si>
    <t>Investment Advisors</t>
  </si>
  <si>
    <t>Research Analysts</t>
  </si>
  <si>
    <t>Infrastructure Investment Trusts (InvITs)</t>
  </si>
  <si>
    <t>Real Estate Investment Trusts (REITs)</t>
  </si>
  <si>
    <t>Collective Investment Schemes</t>
  </si>
  <si>
    <t>Approved Intermediaries (Stock Lending Schemes)</t>
  </si>
  <si>
    <t>STP (Centralised Hub)</t>
  </si>
  <si>
    <t>STP Service Providers</t>
  </si>
  <si>
    <t>Source: SEBI, NSDL, CDSL.</t>
  </si>
  <si>
    <t>Public issues</t>
  </si>
  <si>
    <t>Table 5: Consolidated Resource Mobilisation through Primary markets</t>
  </si>
  <si>
    <t>FPOs</t>
  </si>
  <si>
    <t>IPOs (SME issues)</t>
  </si>
  <si>
    <t>IPOs (Mainboard)</t>
  </si>
  <si>
    <t>IPOs (Total)</t>
  </si>
  <si>
    <t>Table 5: Consolidated Resource Mobilisation through Primary Market</t>
  </si>
  <si>
    <t>Table 6: Capital Raised from the Primary Market through Public and Rights Issues (Equity and Debt)</t>
  </si>
  <si>
    <t xml:space="preserve">L. Total Equity raised </t>
  </si>
  <si>
    <t>3. The data in Table 5 is segregated into Financial and Non Financial Sector.</t>
  </si>
  <si>
    <t>4. Since, some issue have components of both fresh issues as well as OFS, the number of issues with fresh issues and OFS is not given</t>
  </si>
  <si>
    <t>i) OFS Component (Total) G(i)+K</t>
  </si>
  <si>
    <t>ii) Fresh Capital Raising Component (Total) G(ii)+H+I+J</t>
  </si>
  <si>
    <t>II. Gross Saving as a per cent of Gross National Disposable Income at current market prices in 2022-23*</t>
  </si>
  <si>
    <t>* Second Advance Estimates (2023-24) as per MOSPI press release dated February 29, 2024</t>
  </si>
  <si>
    <t>Table 4: Trends in Offers closed under SEBI (Substantial Acquisition of Shares and Takeover) Regulations, 2011</t>
  </si>
  <si>
    <t>1. Data includes funds raised through public issue, private placement, preferential issue, institutional placement, rights issue</t>
  </si>
  <si>
    <t>2. IPOs are classified based on listing date and public debt issues on the basis of closing date of the issue.</t>
  </si>
  <si>
    <t>Shriram Finance Ltd.</t>
  </si>
  <si>
    <t>%
Change during the year</t>
  </si>
  <si>
    <t>%
Change during the month</t>
  </si>
  <si>
    <t>ESG Rating Provider (ERP)</t>
  </si>
  <si>
    <t>Table 12: Private Placement of Corporate Debt listed at BSE and NSE</t>
  </si>
  <si>
    <t>2024-25$</t>
  </si>
  <si>
    <t>6. Shriram Finance Ltd replaced UPL Ltd in the benchmark Nifty50 index, effective from March 28</t>
  </si>
  <si>
    <t>Macro Economic Sector</t>
  </si>
  <si>
    <t>Sector</t>
  </si>
  <si>
    <r>
      <rPr>
        <sz val="8"/>
        <rFont val="Garamond"/>
        <family val="1"/>
      </rPr>
      <t>Chemicals &amp; Petrochemicals</t>
    </r>
  </si>
  <si>
    <r>
      <rPr>
        <sz val="8"/>
        <rFont val="Garamond"/>
        <family val="1"/>
      </rPr>
      <t>Fertilizers &amp; Agrochemicals</t>
    </r>
  </si>
  <si>
    <r>
      <rPr>
        <sz val="8"/>
        <rFont val="Garamond"/>
        <family val="1"/>
      </rPr>
      <t>Cement &amp; Cement Products</t>
    </r>
  </si>
  <si>
    <r>
      <rPr>
        <sz val="8"/>
        <rFont val="Garamond"/>
        <family val="1"/>
      </rPr>
      <t>Other Construction Materials</t>
    </r>
  </si>
  <si>
    <r>
      <rPr>
        <sz val="8"/>
        <rFont val="Garamond"/>
        <family val="1"/>
      </rPr>
      <t>Ferrous Metals</t>
    </r>
  </si>
  <si>
    <r>
      <rPr>
        <sz val="8"/>
        <rFont val="Garamond"/>
        <family val="1"/>
      </rPr>
      <t>Non - Ferrous Metals</t>
    </r>
  </si>
  <si>
    <r>
      <rPr>
        <sz val="8"/>
        <rFont val="Garamond"/>
        <family val="1"/>
      </rPr>
      <t>Diversified Metals</t>
    </r>
  </si>
  <si>
    <r>
      <rPr>
        <sz val="8"/>
        <rFont val="Garamond"/>
        <family val="1"/>
      </rPr>
      <t>Minerals &amp; Mining</t>
    </r>
  </si>
  <si>
    <r>
      <rPr>
        <sz val="8"/>
        <rFont val="Garamond"/>
        <family val="1"/>
      </rPr>
      <t>Metals &amp; Minerals Trading</t>
    </r>
  </si>
  <si>
    <r>
      <rPr>
        <sz val="8"/>
        <rFont val="Garamond"/>
        <family val="1"/>
      </rPr>
      <t>Paper, Forest &amp; Jute Products</t>
    </r>
  </si>
  <si>
    <r>
      <rPr>
        <sz val="8"/>
        <rFont val="Garamond"/>
        <family val="1"/>
      </rPr>
      <t>Automobiles</t>
    </r>
  </si>
  <si>
    <r>
      <rPr>
        <sz val="8"/>
        <rFont val="Garamond"/>
        <family val="1"/>
      </rPr>
      <t>Auto Components</t>
    </r>
  </si>
  <si>
    <r>
      <rPr>
        <sz val="8"/>
        <rFont val="Garamond"/>
        <family val="1"/>
      </rPr>
      <t>Consumer Durables</t>
    </r>
  </si>
  <si>
    <r>
      <rPr>
        <sz val="8"/>
        <rFont val="Garamond"/>
        <family val="1"/>
      </rPr>
      <t>Textiles &amp; Apparels</t>
    </r>
  </si>
  <si>
    <r>
      <rPr>
        <sz val="8"/>
        <rFont val="Garamond"/>
        <family val="1"/>
      </rPr>
      <t>Media</t>
    </r>
  </si>
  <si>
    <r>
      <rPr>
        <sz val="8"/>
        <rFont val="Garamond"/>
        <family val="1"/>
      </rPr>
      <t>Entertainment</t>
    </r>
  </si>
  <si>
    <r>
      <rPr>
        <sz val="8"/>
        <rFont val="Garamond"/>
        <family val="1"/>
      </rPr>
      <t>Printing &amp; Publication</t>
    </r>
  </si>
  <si>
    <r>
      <rPr>
        <sz val="8"/>
        <rFont val="Garamond"/>
        <family val="1"/>
      </rPr>
      <t>Realty</t>
    </r>
  </si>
  <si>
    <r>
      <rPr>
        <sz val="8"/>
        <rFont val="Garamond"/>
        <family val="1"/>
      </rPr>
      <t>Leisure Services</t>
    </r>
  </si>
  <si>
    <r>
      <rPr>
        <sz val="8"/>
        <rFont val="Garamond"/>
        <family val="1"/>
      </rPr>
      <t>Other Consumer Services</t>
    </r>
  </si>
  <si>
    <r>
      <rPr>
        <sz val="8"/>
        <rFont val="Garamond"/>
        <family val="1"/>
      </rPr>
      <t>Retailing</t>
    </r>
  </si>
  <si>
    <r>
      <rPr>
        <sz val="8"/>
        <rFont val="Garamond"/>
        <family val="1"/>
      </rPr>
      <t>Gas</t>
    </r>
  </si>
  <si>
    <r>
      <rPr>
        <sz val="8"/>
        <rFont val="Garamond"/>
        <family val="1"/>
      </rPr>
      <t>Oil</t>
    </r>
  </si>
  <si>
    <r>
      <rPr>
        <sz val="8"/>
        <rFont val="Garamond"/>
        <family val="1"/>
      </rPr>
      <t>Petroleum Products</t>
    </r>
  </si>
  <si>
    <r>
      <rPr>
        <sz val="8"/>
        <rFont val="Garamond"/>
        <family val="1"/>
      </rPr>
      <t>Consumable Fuels</t>
    </r>
  </si>
  <si>
    <r>
      <rPr>
        <sz val="8"/>
        <rFont val="Garamond"/>
        <family val="1"/>
      </rPr>
      <t>Agricultural Food &amp; other Products</t>
    </r>
  </si>
  <si>
    <r>
      <rPr>
        <sz val="8"/>
        <rFont val="Garamond"/>
        <family val="1"/>
      </rPr>
      <t>Beverages</t>
    </r>
  </si>
  <si>
    <r>
      <rPr>
        <sz val="8"/>
        <rFont val="Garamond"/>
        <family val="1"/>
      </rPr>
      <t>Cigarettes &amp; Tobacco Products</t>
    </r>
  </si>
  <si>
    <r>
      <rPr>
        <sz val="8"/>
        <rFont val="Garamond"/>
        <family val="1"/>
      </rPr>
      <t>Food Products</t>
    </r>
  </si>
  <si>
    <r>
      <rPr>
        <sz val="8"/>
        <rFont val="Garamond"/>
        <family val="1"/>
      </rPr>
      <t>Personal Products</t>
    </r>
  </si>
  <si>
    <r>
      <rPr>
        <sz val="8"/>
        <rFont val="Garamond"/>
        <family val="1"/>
      </rPr>
      <t>Household Products</t>
    </r>
  </si>
  <si>
    <r>
      <rPr>
        <sz val="8"/>
        <rFont val="Garamond"/>
        <family val="1"/>
      </rPr>
      <t>Diversified FMCG</t>
    </r>
  </si>
  <si>
    <r>
      <rPr>
        <sz val="8"/>
        <rFont val="Garamond"/>
        <family val="1"/>
      </rPr>
      <t>Finance</t>
    </r>
  </si>
  <si>
    <r>
      <rPr>
        <sz val="8"/>
        <rFont val="Garamond"/>
        <family val="1"/>
      </rPr>
      <t>Banks</t>
    </r>
  </si>
  <si>
    <r>
      <rPr>
        <sz val="8"/>
        <rFont val="Garamond"/>
        <family val="1"/>
      </rPr>
      <t>Capital Markets</t>
    </r>
  </si>
  <si>
    <r>
      <rPr>
        <sz val="8"/>
        <rFont val="Garamond"/>
        <family val="1"/>
      </rPr>
      <t>Insurance</t>
    </r>
  </si>
  <si>
    <r>
      <rPr>
        <sz val="8"/>
        <rFont val="Garamond"/>
        <family val="1"/>
      </rPr>
      <t>Financial Technology (Fintech)</t>
    </r>
  </si>
  <si>
    <r>
      <rPr>
        <sz val="8"/>
        <rFont val="Garamond"/>
        <family val="1"/>
      </rPr>
      <t>Pharmaceuticals &amp; Biotechnology</t>
    </r>
  </si>
  <si>
    <r>
      <rPr>
        <sz val="8"/>
        <rFont val="Garamond"/>
        <family val="1"/>
      </rPr>
      <t>Healthcare Equipment &amp; Supplies</t>
    </r>
  </si>
  <si>
    <r>
      <rPr>
        <sz val="8"/>
        <rFont val="Garamond"/>
        <family val="1"/>
      </rPr>
      <t>Healthcare Services</t>
    </r>
  </si>
  <si>
    <r>
      <rPr>
        <sz val="8"/>
        <rFont val="Garamond"/>
        <family val="1"/>
      </rPr>
      <t>Construction</t>
    </r>
  </si>
  <si>
    <r>
      <rPr>
        <sz val="8"/>
        <rFont val="Garamond"/>
        <family val="1"/>
      </rPr>
      <t>Aerospace &amp; Defense</t>
    </r>
  </si>
  <si>
    <r>
      <rPr>
        <sz val="8"/>
        <rFont val="Garamond"/>
        <family val="1"/>
      </rPr>
      <t>Agricultural, Commercial
&amp; Construction Vehicles</t>
    </r>
  </si>
  <si>
    <r>
      <rPr>
        <sz val="8"/>
        <rFont val="Garamond"/>
        <family val="1"/>
      </rPr>
      <t>Electrical Equipment</t>
    </r>
  </si>
  <si>
    <r>
      <rPr>
        <sz val="8"/>
        <rFont val="Garamond"/>
        <family val="1"/>
      </rPr>
      <t>Industrial Manufacturing</t>
    </r>
  </si>
  <si>
    <r>
      <rPr>
        <sz val="8"/>
        <rFont val="Garamond"/>
        <family val="1"/>
      </rPr>
      <t>Industrial Products</t>
    </r>
  </si>
  <si>
    <r>
      <rPr>
        <sz val="8"/>
        <rFont val="Garamond"/>
        <family val="1"/>
      </rPr>
      <t>IT - Software</t>
    </r>
  </si>
  <si>
    <r>
      <rPr>
        <sz val="8"/>
        <rFont val="Garamond"/>
        <family val="1"/>
      </rPr>
      <t>IT - Services</t>
    </r>
  </si>
  <si>
    <r>
      <rPr>
        <sz val="8"/>
        <rFont val="Garamond"/>
        <family val="1"/>
      </rPr>
      <t>IT - Hardware</t>
    </r>
  </si>
  <si>
    <r>
      <rPr>
        <sz val="8"/>
        <rFont val="Garamond"/>
        <family val="1"/>
      </rPr>
      <t>Engineering Services</t>
    </r>
  </si>
  <si>
    <r>
      <rPr>
        <sz val="8"/>
        <rFont val="Garamond"/>
        <family val="1"/>
      </rPr>
      <t>Transport Services</t>
    </r>
  </si>
  <si>
    <r>
      <rPr>
        <sz val="8"/>
        <rFont val="Garamond"/>
        <family val="1"/>
      </rPr>
      <t>Transport Infrastructure</t>
    </r>
  </si>
  <si>
    <r>
      <rPr>
        <sz val="8"/>
        <rFont val="Garamond"/>
        <family val="1"/>
      </rPr>
      <t>Commercial Services &amp; Supplies</t>
    </r>
  </si>
  <si>
    <r>
      <rPr>
        <sz val="8"/>
        <rFont val="Garamond"/>
        <family val="1"/>
      </rPr>
      <t>Public Services</t>
    </r>
  </si>
  <si>
    <r>
      <rPr>
        <sz val="8"/>
        <rFont val="Garamond"/>
        <family val="1"/>
      </rPr>
      <t>Telecom - Services</t>
    </r>
  </si>
  <si>
    <r>
      <rPr>
        <sz val="8"/>
        <rFont val="Garamond"/>
        <family val="1"/>
      </rPr>
      <t>Telecom -  Equipment &amp; Accessories</t>
    </r>
  </si>
  <si>
    <r>
      <rPr>
        <sz val="8"/>
        <rFont val="Garamond"/>
        <family val="1"/>
      </rPr>
      <t>Power</t>
    </r>
  </si>
  <si>
    <r>
      <rPr>
        <sz val="8"/>
        <rFont val="Garamond"/>
        <family val="1"/>
      </rPr>
      <t>Other Utilities</t>
    </r>
  </si>
  <si>
    <r>
      <rPr>
        <sz val="8"/>
        <rFont val="Garamond"/>
        <family val="1"/>
      </rPr>
      <t>Diversified</t>
    </r>
  </si>
  <si>
    <t>Commodities</t>
  </si>
  <si>
    <t>Chemicals</t>
  </si>
  <si>
    <t>Construction Materials</t>
  </si>
  <si>
    <t>Metals &amp; Mining</t>
  </si>
  <si>
    <t>Forest Materials</t>
  </si>
  <si>
    <t>Consumer Discretionary</t>
  </si>
  <si>
    <t>Automobile and Auto Components</t>
  </si>
  <si>
    <t>Consumer Durables</t>
  </si>
  <si>
    <t>Textiles</t>
  </si>
  <si>
    <t>Media, Entertainment &amp; Publication</t>
  </si>
  <si>
    <t>Realty</t>
  </si>
  <si>
    <t>Oil, Gas &amp; Consumable Fuels</t>
  </si>
  <si>
    <t>Fast Moving Consumer Goods</t>
  </si>
  <si>
    <t>Financial Services</t>
  </si>
  <si>
    <t>Industrials</t>
  </si>
  <si>
    <t>Construction</t>
  </si>
  <si>
    <t>Capital Goods</t>
  </si>
  <si>
    <t>Information Technology</t>
  </si>
  <si>
    <t>Services</t>
  </si>
  <si>
    <t>Telecommunication</t>
  </si>
  <si>
    <t>Utilities</t>
  </si>
  <si>
    <t>Diversified</t>
  </si>
  <si>
    <t>Note: The industrial classification is based on SEBI 4 tier industry classification</t>
  </si>
  <si>
    <t xml:space="preserve">Notes: 
</t>
  </si>
  <si>
    <t>1. Equity data on IPO issues are categorised based on the listing date .</t>
  </si>
  <si>
    <t>2. Debt issues are classified based on closing date of the issue</t>
  </si>
  <si>
    <t>#Quartely Estimates as per MOSPI press release dated May 31, 2024</t>
  </si>
  <si>
    <t>Note: Data in the table may include ratings of a single company from multiple credit rating agencies across rating categories.</t>
  </si>
  <si>
    <t xml:space="preserve">Table 6: Capital Raised from the Primary Market through Public and Rights Issues </t>
  </si>
  <si>
    <t>9.10/10.40</t>
  </si>
  <si>
    <t>6.00/7.30</t>
  </si>
  <si>
    <t xml:space="preserve">ADANI PORTS </t>
  </si>
  <si>
    <t>1. Beta &amp; R2 are calculated for the trailing 12 months .Beta measures the  degree to which any portfolio of stocks is affected as compared to the effect on the market as a whole.</t>
  </si>
  <si>
    <t>BSE SME IPO</t>
  </si>
  <si>
    <t>Small and Medium REITs</t>
  </si>
  <si>
    <t>BSE/ICCL [Trades executed on OTC+RFQ+anonymous platforms and settled through ICCL]</t>
  </si>
  <si>
    <t>NSE/NSCCL [Trades executed on OTC+RFQ+anonymous platforms and settled through NSCCL]</t>
  </si>
  <si>
    <t>MCX-SX/MSE Clearing</t>
  </si>
  <si>
    <t>Off Market Settled Trades</t>
  </si>
  <si>
    <t>Total Trades Settled</t>
  </si>
  <si>
    <t>Listed Corporate Bonds</t>
  </si>
  <si>
    <t>Unlisted Corporate Bonds</t>
  </si>
  <si>
    <t>No. of Trades Settled</t>
  </si>
  <si>
    <t>Source: ICCL, NSCCL, MSE Clearing, NSDL and CDSL.</t>
  </si>
  <si>
    <t>Table 16: Distribution of Turnover on Cash Segments of Stock Exchanges (₹ crore)</t>
  </si>
  <si>
    <t>BAJAJ-AUTO</t>
  </si>
  <si>
    <t>COALINDIA</t>
  </si>
  <si>
    <t>JIOFIN</t>
  </si>
  <si>
    <t>TRENT</t>
  </si>
  <si>
    <t>Table 31: Settlement Statistics for Cash Segment of ICCL</t>
  </si>
  <si>
    <t>Source: ICCL</t>
  </si>
  <si>
    <t>Table 32: Settlement Statistics for Cash Segment of NSCCL</t>
  </si>
  <si>
    <t>Source: NSCCL</t>
  </si>
  <si>
    <t>Gross Purchase 
(₹ crore)</t>
  </si>
  <si>
    <t>Gross Sales 
(₹ crore)</t>
  </si>
  <si>
    <t>Net Investment (₹ crore)</t>
  </si>
  <si>
    <t>Net Investment (US $ mn.)</t>
  </si>
  <si>
    <t>Cumulative Net Investment (US $ mn.)</t>
  </si>
  <si>
    <t>Source: NSDL, CDSL</t>
  </si>
  <si>
    <t>Table 54: Notional Value of Offshore Derivative Instruments (ODIs) compared to Assets Under Custody (AUC) of FPIs (₹ crore)</t>
  </si>
  <si>
    <t>Notional value of ODIs on Equity, Debt , Hybrid securities &amp; Derivatives (₹ crore)</t>
  </si>
  <si>
    <t>Notional value of ODIs on Equity, Debt , Hybrid securities excluding Derivatives (₹ crore)</t>
  </si>
  <si>
    <t>Assets Under Custody of FPIs (₹ crore)</t>
  </si>
  <si>
    <t xml:space="preserve"> Notional value of ODIs on Equity, Debt &amp; Hybrid securities including Derivatives as % of  Assets Under Custody of FPIs</t>
  </si>
  <si>
    <t>Notional value of ODIs on Equity, Debt and Hybrid securities excluding Derivatives as % of  Assets Under Custody of FPIs</t>
  </si>
  <si>
    <r>
      <t>Notes: 
1. Figures are compiled based on reports submitted by FPIs/deemed FPIs issuing ODIs. 
2</t>
    </r>
    <r>
      <rPr>
        <sz val="10"/>
        <color indexed="10"/>
        <rFont val="Garamond"/>
        <family val="1"/>
      </rPr>
      <t xml:space="preserve">. </t>
    </r>
    <r>
      <rPr>
        <sz val="10"/>
        <color indexed="8"/>
        <rFont val="Garamond"/>
        <family val="1"/>
      </rPr>
      <t>AUC Figures are compiled on the basis of reports submitted by custodians &amp; does not includes positions taken by FPIs in derivatives. 
3. The total value of ODIs excludes the unhedged positions &amp; portfolio hedging positions taken by the FPIs issuing ODIs.</t>
    </r>
  </si>
  <si>
    <t>Source: NSDL.</t>
  </si>
  <si>
    <t>Client</t>
  </si>
  <si>
    <t xml:space="preserve">FPIs </t>
  </si>
  <si>
    <t>Foreign Depositories</t>
  </si>
  <si>
    <t>FDI</t>
  </si>
  <si>
    <t>FVCI</t>
  </si>
  <si>
    <t>OCBs</t>
  </si>
  <si>
    <t>NRIs</t>
  </si>
  <si>
    <t>Corporates</t>
  </si>
  <si>
    <t>Insurance Companies</t>
  </si>
  <si>
    <t>Local Pension Funds</t>
  </si>
  <si>
    <t>Financial Institutions</t>
  </si>
  <si>
    <t>No.</t>
  </si>
  <si>
    <t xml:space="preserve">Notes:  </t>
  </si>
  <si>
    <t>"Others" include Portfolio managers, partnership firms, trusts, depository receipt issues, AIFs, FCCB, HUFs, Brokers etc.</t>
  </si>
  <si>
    <t>Table 56: Cumulative Sectoral  Investment of Foreign Venture Capital Investors (FVCI) (₹ crore)</t>
  </si>
  <si>
    <t>Sectors of Economy</t>
  </si>
  <si>
    <t>As at the end of</t>
  </si>
  <si>
    <t>Information technology</t>
  </si>
  <si>
    <t>Telecommunications</t>
  </si>
  <si>
    <t>Pharmaceuticals</t>
  </si>
  <si>
    <t>Biotechnology</t>
  </si>
  <si>
    <t>Media/ Entertainment</t>
  </si>
  <si>
    <t>Services Sector</t>
  </si>
  <si>
    <t>Industrial Products</t>
  </si>
  <si>
    <t xml:space="preserve">Source: SEBI </t>
  </si>
  <si>
    <t>Table 57: Trends in Resource Mobilization by Mutual Funds (₹  crore)</t>
  </si>
  <si>
    <t>Gross Mobilisation</t>
  </si>
  <si>
    <t>Redemption/Repurchase</t>
  </si>
  <si>
    <t>Net Inflow/ Outflow</t>
  </si>
  <si>
    <t>Assets at the End of
Period</t>
  </si>
  <si>
    <t>Pvt. Sector</t>
  </si>
  <si>
    <t>Public Sector</t>
  </si>
  <si>
    <t>Scheme Category</t>
  </si>
  <si>
    <t>No. of schemes as on March 31, 2024</t>
  </si>
  <si>
    <t>No of Folios as on March 31, 2024</t>
  </si>
  <si>
    <t>Funds mobilized for the period (Since April 01, 2023 to March 31, 2024)  (₹ crore)</t>
  </si>
  <si>
    <t xml:space="preserve">Repurchase/ Redemption for the period (Since April 01, 2023 to March 31, 2024)  (₹ crore) </t>
  </si>
  <si>
    <t>Net Inflow (+ve)/ Outflow (-ve) for the period (Since April 01, 2023 to March 31, 2024)  (₹ crore)</t>
  </si>
  <si>
    <t>Net Assets Under Management as on March 31, 2024</t>
  </si>
  <si>
    <t>A</t>
  </si>
  <si>
    <t>Open ended Schemes</t>
  </si>
  <si>
    <t>I</t>
  </si>
  <si>
    <t>Income/Debt Oriented Schemes</t>
  </si>
  <si>
    <t>Overnight Fund</t>
  </si>
  <si>
    <t>Liquid Fund</t>
  </si>
  <si>
    <t>Ultra Short Duration Fund</t>
  </si>
  <si>
    <t>Low Duration Fund</t>
  </si>
  <si>
    <t>Money Market Fund</t>
  </si>
  <si>
    <t>Short Duration Fund</t>
  </si>
  <si>
    <t>Medium Duration Fund</t>
  </si>
  <si>
    <t>Medium to Long Duration Fund</t>
  </si>
  <si>
    <t>Long Duration Fund</t>
  </si>
  <si>
    <t>Dynamic Bond Fund</t>
  </si>
  <si>
    <t>Corporate Bond Fund</t>
  </si>
  <si>
    <t>Credit Risk Fund</t>
  </si>
  <si>
    <t>Banking and PSU Fund</t>
  </si>
  <si>
    <t>Gilt Fund</t>
  </si>
  <si>
    <t>Gilt Fund with 10 year constant duration</t>
  </si>
  <si>
    <t>Floater Fund</t>
  </si>
  <si>
    <t xml:space="preserve">Sub total - I </t>
  </si>
  <si>
    <t>II</t>
  </si>
  <si>
    <t>Growth/Equity Oriented Schemes</t>
  </si>
  <si>
    <t>Multi Cap Fund</t>
  </si>
  <si>
    <t>Large Cap Fund</t>
  </si>
  <si>
    <t>Large &amp; Mid Cap Fund</t>
  </si>
  <si>
    <t>Mid Cap Fund</t>
  </si>
  <si>
    <t>Small Cap Fund</t>
  </si>
  <si>
    <t>Dividend Yield Fund</t>
  </si>
  <si>
    <t>Value Fund/Contra Fund</t>
  </si>
  <si>
    <t>Focused Fund</t>
  </si>
  <si>
    <t>Sectoral/Thematic Funds</t>
  </si>
  <si>
    <t>ELSS</t>
  </si>
  <si>
    <t>Flexi Cap Fund</t>
  </si>
  <si>
    <t xml:space="preserve">Sub total - II </t>
  </si>
  <si>
    <t>III</t>
  </si>
  <si>
    <t>Hybrid Schemes</t>
  </si>
  <si>
    <t>Conservative Hybrid Fund</t>
  </si>
  <si>
    <t>Balanced Hybrid Fund/Aggressive Hybrid Fund</t>
  </si>
  <si>
    <t>Dynamic Asset Allocation/Balanced Advantage</t>
  </si>
  <si>
    <t>Multi Asset Allocation</t>
  </si>
  <si>
    <t>Arbitrage Fund</t>
  </si>
  <si>
    <t>Equity Savings Fund</t>
  </si>
  <si>
    <t xml:space="preserve">Sub total - III </t>
  </si>
  <si>
    <t>IV</t>
  </si>
  <si>
    <t>Solution Oriented  Schemes</t>
  </si>
  <si>
    <t>Retirement Fund</t>
  </si>
  <si>
    <t>Childrens' Fund</t>
  </si>
  <si>
    <t xml:space="preserve">Sub total - IV </t>
  </si>
  <si>
    <t>V</t>
  </si>
  <si>
    <t>Other Schemes</t>
  </si>
  <si>
    <t>Index Funds</t>
  </si>
  <si>
    <t>GOLD ETFs</t>
  </si>
  <si>
    <t>Other ETFs</t>
  </si>
  <si>
    <t>Fund of funds investing overseas</t>
  </si>
  <si>
    <t xml:space="preserve">Sub total - V </t>
  </si>
  <si>
    <t>Total A-Open ended Schemes</t>
  </si>
  <si>
    <t>B</t>
  </si>
  <si>
    <t>Close  Ended Schemes</t>
  </si>
  <si>
    <t>i</t>
  </si>
  <si>
    <t>Fixed Term Plan</t>
  </si>
  <si>
    <t>ii</t>
  </si>
  <si>
    <t>Capital Protection Oriented  Schemes</t>
  </si>
  <si>
    <t>iii</t>
  </si>
  <si>
    <t xml:space="preserve">Infrastructure Debt Fund </t>
  </si>
  <si>
    <t>iv</t>
  </si>
  <si>
    <t>Other Debt</t>
  </si>
  <si>
    <t>Sub total</t>
  </si>
  <si>
    <t>Total B -Close ended Schemes</t>
  </si>
  <si>
    <t>C</t>
  </si>
  <si>
    <t>Interval Schemes</t>
  </si>
  <si>
    <t>Growth Oriented Schemes</t>
  </si>
  <si>
    <t>Total C -Interval Schemes</t>
  </si>
  <si>
    <t>Grand Total (A+B+C)</t>
  </si>
  <si>
    <t>Fund of Funds Scheme (Domestic)**</t>
  </si>
  <si>
    <t>No.of schemes also includes serial plans.</t>
  </si>
  <si>
    <t>Data in respect Fund of Funds Domestic is shown for information only. The same is included in the respective underlying schemes.</t>
  </si>
  <si>
    <t>Table 59: Trends in Transactions on Stock Markets by Mutual Funds (₹  crore)</t>
  </si>
  <si>
    <t>Gross Purchases</t>
  </si>
  <si>
    <t>Gross Sales</t>
  </si>
  <si>
    <t>Net Purchases /Sales</t>
  </si>
  <si>
    <t>This data is compiled on the basis of reports submitted to SEBI by custodians.</t>
  </si>
  <si>
    <t>Discretionary#</t>
  </si>
  <si>
    <t>Non-Discretionary</t>
  </si>
  <si>
    <t>Co-Investment</t>
  </si>
  <si>
    <t>Advisory</t>
  </si>
  <si>
    <t>Discretionary</t>
  </si>
  <si>
    <t>Advisory**</t>
  </si>
  <si>
    <t>No. of Clients</t>
  </si>
  <si>
    <t>AUM (₹ crore)</t>
  </si>
  <si>
    <t>Listed Equity</t>
  </si>
  <si>
    <t>Unlisted Equity</t>
  </si>
  <si>
    <t>Plain Debt Listed</t>
  </si>
  <si>
    <t>Plain Debt Unlisted</t>
  </si>
  <si>
    <t>Structured Debt Listed</t>
  </si>
  <si>
    <t>Structured Debt Unlisted</t>
  </si>
  <si>
    <t>Derivatives- Equity</t>
  </si>
  <si>
    <t>Derivatives- Commodity</t>
  </si>
  <si>
    <t>Derivatives- Others</t>
  </si>
  <si>
    <t>Total*</t>
  </si>
  <si>
    <t xml:space="preserve">1. **Value of Assets for which Advisory Services are being given. </t>
  </si>
  <si>
    <t xml:space="preserve">
Exchanges</t>
  </si>
  <si>
    <t xml:space="preserve">
Particulars</t>
  </si>
  <si>
    <t>Futures</t>
  </si>
  <si>
    <t>Options #</t>
  </si>
  <si>
    <t xml:space="preserve">
Agriculture</t>
  </si>
  <si>
    <t xml:space="preserve">
Metals other than bullion</t>
  </si>
  <si>
    <t xml:space="preserve">
Bullion </t>
  </si>
  <si>
    <t xml:space="preserve">
Energy </t>
  </si>
  <si>
    <t xml:space="preserve">
Gems and Stones</t>
  </si>
  <si>
    <t xml:space="preserve">
Indices</t>
  </si>
  <si>
    <t xml:space="preserve">
NCDEX</t>
  </si>
  <si>
    <t xml:space="preserve">
Permitted for trading</t>
  </si>
  <si>
    <t xml:space="preserve">
Contracts floated </t>
  </si>
  <si>
    <t xml:space="preserve">
Traded</t>
  </si>
  <si>
    <t xml:space="preserve">
MCX</t>
  </si>
  <si>
    <t xml:space="preserve">
BSE</t>
  </si>
  <si>
    <t xml:space="preserve">
NSE</t>
  </si>
  <si>
    <t xml:space="preserve">
Note : 1. All contract variants are considered as one commodity  </t>
  </si>
  <si>
    <t xml:space="preserve">
2.  #Options includes both Options on futures &amp; on goods.</t>
  </si>
  <si>
    <t xml:space="preserve">
Source: NCDEX, MCX, BSE and NSE</t>
  </si>
  <si>
    <t xml:space="preserve"> </t>
  </si>
  <si>
    <t xml:space="preserve">
Table 65: Trends in Commodity Index</t>
  </si>
  <si>
    <t>MCX iCOMDEX Composite</t>
  </si>
  <si>
    <t>Open</t>
  </si>
  <si>
    <t>Average of Daily Close #</t>
  </si>
  <si>
    <t># Average during the period.</t>
  </si>
  <si>
    <t>Source: MCX</t>
  </si>
  <si>
    <t xml:space="preserve">
Bullion</t>
  </si>
  <si>
    <t xml:space="preserve">
Energy</t>
  </si>
  <si>
    <t>Open interest at the end of the period</t>
  </si>
  <si>
    <t>Options</t>
  </si>
  <si>
    <t>Bullion</t>
  </si>
  <si>
    <t xml:space="preserve">Call Options </t>
  </si>
  <si>
    <t xml:space="preserve">Put Options </t>
  </si>
  <si>
    <t>Note: Options Turnover is based on Notional value (i.e. Strike Price + Premium).</t>
  </si>
  <si>
    <t xml:space="preserve">
Metal</t>
  </si>
  <si>
    <t>Source: NCDEX</t>
  </si>
  <si>
    <t>Agriculture</t>
  </si>
  <si>
    <t xml:space="preserve">Bullion </t>
  </si>
  <si>
    <t xml:space="preserve">Energy </t>
  </si>
  <si>
    <r>
      <t>Turnover 
(</t>
    </r>
    <r>
      <rPr>
        <sz val="11"/>
        <color theme="1"/>
        <rFont val="Garamond"/>
        <family val="1"/>
      </rPr>
      <t>₹</t>
    </r>
    <r>
      <rPr>
        <b/>
        <sz val="11"/>
        <color theme="1"/>
        <rFont val="Garamond"/>
        <family val="1"/>
      </rPr>
      <t xml:space="preserve"> crore)</t>
    </r>
  </si>
  <si>
    <t>Note: 1. Conversion factor for Brent Crude Oil of Energy segment is 1 Tonne = 7.33 Barrels</t>
  </si>
  <si>
    <t>Metals</t>
  </si>
  <si>
    <r>
      <t xml:space="preserve"> Value
(</t>
    </r>
    <r>
      <rPr>
        <sz val="11"/>
        <color theme="1"/>
        <rFont val="Garamond"/>
        <family val="1"/>
      </rPr>
      <t>₹</t>
    </r>
    <r>
      <rPr>
        <b/>
        <sz val="11"/>
        <color theme="1"/>
        <rFont val="Garamond"/>
        <family val="1"/>
      </rPr>
      <t xml:space="preserve"> crore)</t>
    </r>
  </si>
  <si>
    <t>No. of contracts traded</t>
  </si>
  <si>
    <t xml:space="preserve"> Year</t>
  </si>
  <si>
    <t>Notes :1.''Category of 'others' include clients which do not fall in specific categories mentioned above, clients registered such as retail, HUF, individual proprietary firms, partnership firms, public and private companies, body corporates, etc.</t>
  </si>
  <si>
    <t>2. Data on percentage of participants for financial year is average of the monthly share.</t>
  </si>
  <si>
    <t xml:space="preserve">
Source: MCX, NCDEX, BSE and NSE</t>
  </si>
  <si>
    <t>Exchange &amp; Segment</t>
  </si>
  <si>
    <t>Commodity Type</t>
  </si>
  <si>
    <t>Name of the Commodity Contract</t>
  </si>
  <si>
    <t>Contract Size</t>
  </si>
  <si>
    <t>Quotation</t>
  </si>
  <si>
    <t>Close Price</t>
  </si>
  <si>
    <t>Average Daily Open Interest in Aug-24</t>
  </si>
  <si>
    <t>No of Contracts</t>
  </si>
  <si>
    <t>Values of Contracts (₹ Crore)</t>
  </si>
  <si>
    <t>MCX Futures</t>
  </si>
  <si>
    <t>Gold</t>
  </si>
  <si>
    <t>1 'KG</t>
  </si>
  <si>
    <t>₹/10 grams</t>
  </si>
  <si>
    <t>Gold Mini</t>
  </si>
  <si>
    <t>100 'Grams</t>
  </si>
  <si>
    <t>Gold Guinea</t>
  </si>
  <si>
    <t>8 'Grams</t>
  </si>
  <si>
    <t>₹/8 grams</t>
  </si>
  <si>
    <t>Gold Petals</t>
  </si>
  <si>
    <t>1 'Gram</t>
  </si>
  <si>
    <t>₹/1 grams</t>
  </si>
  <si>
    <t>Silver</t>
  </si>
  <si>
    <t>30 'KGs</t>
  </si>
  <si>
    <t>₹/ KG</t>
  </si>
  <si>
    <t>Silver Mini</t>
  </si>
  <si>
    <t>5 'KGs</t>
  </si>
  <si>
    <t>Silver Micro</t>
  </si>
  <si>
    <t>1 'KGs</t>
  </si>
  <si>
    <t>Total for Bullion</t>
  </si>
  <si>
    <t>Base Metals</t>
  </si>
  <si>
    <t>Aluminium</t>
  </si>
  <si>
    <t>5 MT</t>
  </si>
  <si>
    <t>Aluminium Mini</t>
  </si>
  <si>
    <t>1 MT</t>
  </si>
  <si>
    <t>Copper</t>
  </si>
  <si>
    <t>2.5 MT</t>
  </si>
  <si>
    <t>Lead</t>
  </si>
  <si>
    <t>Lead Mini</t>
  </si>
  <si>
    <t>Nickel</t>
  </si>
  <si>
    <t>1.5 MT</t>
  </si>
  <si>
    <t>Steel Rebar</t>
  </si>
  <si>
    <t>₹/ MT</t>
  </si>
  <si>
    <t>Zinc</t>
  </si>
  <si>
    <t>Zinc Mini</t>
  </si>
  <si>
    <t>Total for Base Metals</t>
  </si>
  <si>
    <t>Agri</t>
  </si>
  <si>
    <t>Cotton Candy</t>
  </si>
  <si>
    <t xml:space="preserve">48 Candy (355.56 kg/Candy)
</t>
  </si>
  <si>
    <t>₹/ per candy</t>
  </si>
  <si>
    <t>Mentha Oil</t>
  </si>
  <si>
    <t>360 KGs</t>
  </si>
  <si>
    <t>Kapas</t>
  </si>
  <si>
    <t>4 MT</t>
  </si>
  <si>
    <t>₹/20 KG</t>
  </si>
  <si>
    <t>Total for Agri.</t>
  </si>
  <si>
    <t>Crude Oil</t>
  </si>
  <si>
    <t>100 barrels</t>
  </si>
  <si>
    <t>₹/ Barrel</t>
  </si>
  <si>
    <t>Crude Oil Mini</t>
  </si>
  <si>
    <t>10 barrels</t>
  </si>
  <si>
    <t xml:space="preserve">Natural Gas </t>
  </si>
  <si>
    <t>1250 mmBtu</t>
  </si>
  <si>
    <t>₹/ mmBtu</t>
  </si>
  <si>
    <t>Natural Gas Mini</t>
  </si>
  <si>
    <t>250 mmBtu</t>
  </si>
  <si>
    <t>Total for Energy</t>
  </si>
  <si>
    <t xml:space="preserve">iCOMDEX Bullion </t>
  </si>
  <si>
    <t>₹/ Unit</t>
  </si>
  <si>
    <t>iCOMDEX Metal</t>
  </si>
  <si>
    <t>Total for Index Futures</t>
  </si>
  <si>
    <t>Total MCX Futures</t>
  </si>
  <si>
    <t>MCX Options</t>
  </si>
  <si>
    <t>Total MCX Options</t>
  </si>
  <si>
    <t>1 Option here refers to  'Option on commodity Futures'</t>
  </si>
  <si>
    <t>2. Closing prices have been considered for the most active contract at the end of month</t>
  </si>
  <si>
    <t xml:space="preserve">3. Average Daily OI and Values of Contract have been derived by taking the sum of end of day OI and then dividing by no. of trading days during the month. ( Deepavali Muhurat trading is not counted as trading day) </t>
  </si>
  <si>
    <t>4. Options Turnover is based on Notional value.</t>
  </si>
  <si>
    <t>Source : MCX</t>
  </si>
  <si>
    <t>Average Daily Open Interest in May 2024</t>
  </si>
  <si>
    <t>Symbol</t>
  </si>
  <si>
    <t xml:space="preserve"> 
NCDEX Futures</t>
  </si>
  <si>
    <t xml:space="preserve"> 
Agri.</t>
  </si>
  <si>
    <t>Bajra</t>
  </si>
  <si>
    <t>BAJRA</t>
  </si>
  <si>
    <t>10 MT</t>
  </si>
  <si>
    <t>₹/ Quintal</t>
  </si>
  <si>
    <t>Barley</t>
  </si>
  <si>
    <t>BARLEYJPR</t>
  </si>
  <si>
    <t>CASTOROIL</t>
  </si>
  <si>
    <t>2MT</t>
  </si>
  <si>
    <t>₹/ 10 KG</t>
  </si>
  <si>
    <t>Castorseed</t>
  </si>
  <si>
    <t>CASTOR</t>
  </si>
  <si>
    <t>Chana</t>
  </si>
  <si>
    <t>CHANA</t>
  </si>
  <si>
    <t>Coffee</t>
  </si>
  <si>
    <t>COFFEE</t>
  </si>
  <si>
    <t>1MT</t>
  </si>
  <si>
    <t>Coriander</t>
  </si>
  <si>
    <t>DHANIYA</t>
  </si>
  <si>
    <t xml:space="preserve">Cotton   </t>
  </si>
  <si>
    <t>COTTON</t>
  </si>
  <si>
    <t>₹/ Bale</t>
  </si>
  <si>
    <t>Cotton seed oil cake</t>
  </si>
  <si>
    <t>COCUDAKL</t>
  </si>
  <si>
    <t>CPO</t>
  </si>
  <si>
    <t>Guar seed</t>
  </si>
  <si>
    <t>GUARSEED10</t>
  </si>
  <si>
    <t>Guargum</t>
  </si>
  <si>
    <t>GUARGUM5</t>
  </si>
  <si>
    <t>Groundnut</t>
  </si>
  <si>
    <t>GROUNDNUT</t>
  </si>
  <si>
    <t>5MT</t>
  </si>
  <si>
    <t>Gur</t>
  </si>
  <si>
    <t>GUR</t>
  </si>
  <si>
    <t>₹/ 40KG</t>
  </si>
  <si>
    <t>Isabgol</t>
  </si>
  <si>
    <t>ISABGOL</t>
  </si>
  <si>
    <t>3 MT</t>
  </si>
  <si>
    <t>Jeera</t>
  </si>
  <si>
    <t>JEERAMINI</t>
  </si>
  <si>
    <t>JEERAUNJHA</t>
  </si>
  <si>
    <t>KAPAS</t>
  </si>
  <si>
    <t>₹/ 20KG</t>
  </si>
  <si>
    <t>Maize</t>
  </si>
  <si>
    <t>MAIZE</t>
  </si>
  <si>
    <t>Refined Soy Oil</t>
  </si>
  <si>
    <t>SYOREF</t>
  </si>
  <si>
    <t>RM seed</t>
  </si>
  <si>
    <t>RMSEED</t>
  </si>
  <si>
    <t>Sesameseed</t>
  </si>
  <si>
    <t>SESAMESEED</t>
  </si>
  <si>
    <t>Soy bean</t>
  </si>
  <si>
    <t>SYBEANIDR</t>
  </si>
  <si>
    <t>Soyameal</t>
  </si>
  <si>
    <t>SBMEALIDR</t>
  </si>
  <si>
    <t>Crude Sunflower Oil</t>
  </si>
  <si>
    <t>SUNOIL</t>
  </si>
  <si>
    <t>Turmeric</t>
  </si>
  <si>
    <t>TMCFGRNZM</t>
  </si>
  <si>
    <t>Wheat</t>
  </si>
  <si>
    <t>WHEATFAQ</t>
  </si>
  <si>
    <t>Steel Long</t>
  </si>
  <si>
    <t>STEEL</t>
  </si>
  <si>
    <t>Total for Metal</t>
  </si>
  <si>
    <t>Index</t>
  </si>
  <si>
    <t>AGRIDEX</t>
  </si>
  <si>
    <t>1 lot</t>
  </si>
  <si>
    <t>GUAREX</t>
  </si>
  <si>
    <t>SOYDEX</t>
  </si>
  <si>
    <t>Total Index Futures</t>
  </si>
  <si>
    <t>Total NCDEX Futures</t>
  </si>
  <si>
    <t xml:space="preserve">
NCDEX Options</t>
  </si>
  <si>
    <t>Agri.</t>
  </si>
  <si>
    <t>Guarseed</t>
  </si>
  <si>
    <t>Soybean</t>
  </si>
  <si>
    <t>RM Seed</t>
  </si>
  <si>
    <t>Total NCDEX Options</t>
  </si>
  <si>
    <t>Note: 1. AGRIDEX volume are in '000 lots and is not included for computing the total volume in "000 tonnes" .</t>
  </si>
  <si>
    <t>2. For Options traded qty is in '000 tons.</t>
  </si>
  <si>
    <t>Values of Contracts (₹ crore)</t>
  </si>
  <si>
    <t xml:space="preserve">
BSE Futures</t>
  </si>
  <si>
    <t>1 KG</t>
  </si>
  <si>
    <t>30 KGs</t>
  </si>
  <si>
    <t>Gold M</t>
  </si>
  <si>
    <t>100 Grams</t>
  </si>
  <si>
    <t>SilverKG</t>
  </si>
  <si>
    <t>5 KG</t>
  </si>
  <si>
    <t>SilverM</t>
  </si>
  <si>
    <t xml:space="preserve"> 1 KG</t>
  </si>
  <si>
    <t xml:space="preserve">
Agri.</t>
  </si>
  <si>
    <t>Guar Seed</t>
  </si>
  <si>
    <t>Cotton29</t>
  </si>
  <si>
    <t>BSE Almond</t>
  </si>
  <si>
    <t>1000 KGs</t>
  </si>
  <si>
    <t>CottonJ34^</t>
  </si>
  <si>
    <t>25 Bales</t>
  </si>
  <si>
    <t>SUFIBLT (Steel Billets Futures)</t>
  </si>
  <si>
    <t>Brent Crude</t>
  </si>
  <si>
    <t>WTI Crude</t>
  </si>
  <si>
    <t xml:space="preserve">
BSE Options</t>
  </si>
  <si>
    <t xml:space="preserve"> 
Bullion</t>
  </si>
  <si>
    <t>30 Kg</t>
  </si>
  <si>
    <t>Silver KG</t>
  </si>
  <si>
    <t>₹/ BBL</t>
  </si>
  <si>
    <t xml:space="preserve">
Total -BSE Options</t>
  </si>
  <si>
    <t xml:space="preserve">
NSE Futures</t>
  </si>
  <si>
    <t>Gold 1G</t>
  </si>
  <si>
    <t>1Gram</t>
  </si>
  <si>
    <t>₹/ gram</t>
  </si>
  <si>
    <t>SILVERM</t>
  </si>
  <si>
    <t>5 KGs</t>
  </si>
  <si>
    <t>SILVERMIC</t>
  </si>
  <si>
    <t xml:space="preserve"> Energy</t>
  </si>
  <si>
    <t>Brent Crude Oil</t>
  </si>
  <si>
    <t>100 Barrel</t>
  </si>
  <si>
    <t>Brent Crude Oil Mini</t>
  </si>
  <si>
    <t>10 Barrel</t>
  </si>
  <si>
    <t>Natural Gas</t>
  </si>
  <si>
    <t>100 Barrels</t>
  </si>
  <si>
    <t>Crude Degummed  Soybean Oil </t>
  </si>
  <si>
    <t>₹/10 KGs</t>
  </si>
  <si>
    <t>Total for base metals</t>
  </si>
  <si>
    <t>Total -NSE Futures</t>
  </si>
  <si>
    <t xml:space="preserve">
NSE Options</t>
  </si>
  <si>
    <t>One NSE Natural Gas futures contract</t>
  </si>
  <si>
    <t>One NSE WTI Crude Oil futures contract</t>
  </si>
  <si>
    <t>Total -NSE Option</t>
  </si>
  <si>
    <t>Total -NSE Options</t>
  </si>
  <si>
    <t>Source : BSE and NSE</t>
  </si>
  <si>
    <t xml:space="preserve">I.GDP at Current prices for 2024-25 Q1 (₹ crore) #                   </t>
  </si>
  <si>
    <t>Source: Custodians</t>
  </si>
  <si>
    <t>1. The city-wise distribution of turnover is based on the cities uploaded in the UCC database of the Exchange for clientele trades and members registered office city for proprietary trades.</t>
  </si>
  <si>
    <t>i) BSE</t>
  </si>
  <si>
    <t>ii) NSE</t>
  </si>
  <si>
    <t>iii) MSEI</t>
  </si>
  <si>
    <t>i) MCX</t>
  </si>
  <si>
    <t>ii) NCDEX</t>
  </si>
  <si>
    <t>iii) ICEX</t>
  </si>
  <si>
    <t>iv) BSE</t>
  </si>
  <si>
    <t>v) NSE</t>
  </si>
  <si>
    <t>i) NSDL</t>
  </si>
  <si>
    <t>ii) CDSL</t>
  </si>
  <si>
    <t>Market Intermediaries/Institutions</t>
  </si>
  <si>
    <t>Other Intermediaries</t>
  </si>
  <si>
    <t>Amount 
(₹  crore)</t>
  </si>
  <si>
    <t>Amount 
(₹ crore)</t>
  </si>
  <si>
    <t>Amount
(₹ crore)</t>
  </si>
  <si>
    <t>Sl. No.</t>
  </si>
  <si>
    <t>Brokers (Cash Segment) (i+ii+iii)</t>
  </si>
  <si>
    <t>Brokers (Equity Derivatives Segment) (i+ii+iii)</t>
  </si>
  <si>
    <t>Brokers (Currency Derivatives Segment) (i+ii+iii)</t>
  </si>
  <si>
    <t>Brokers (Debt Segment) (i+ii+iii)</t>
  </si>
  <si>
    <t>Brokers (Commodity Derivatives Segment) (i+ii+iii+iv+v)</t>
  </si>
  <si>
    <t>Corporate Brokers(Cash Segment) (i+ii+iii)</t>
  </si>
  <si>
    <t>Depository Participants (i+ii)</t>
  </si>
  <si>
    <t>Vdeal System Limited</t>
  </si>
  <si>
    <t xml:space="preserve"> NSE SME IPO</t>
  </si>
  <si>
    <t>Aeron Composite Limited</t>
  </si>
  <si>
    <t>Paramatrix Technologies Limited</t>
  </si>
  <si>
    <t>Jeyyam Global Foods Limited</t>
  </si>
  <si>
    <t>Gajanand International Limited</t>
  </si>
  <si>
    <t>Excellent Wires and Packaging Limited</t>
  </si>
  <si>
    <t>Deccan Transcon Leasing Limited</t>
  </si>
  <si>
    <t>Envirotech Systems Limited</t>
  </si>
  <si>
    <t>Avi Ansh Textile Limited</t>
  </si>
  <si>
    <t>Phoenix Overseas Limited</t>
  </si>
  <si>
    <t>Indian Phosphate Limited</t>
  </si>
  <si>
    <t>Jay Bee Laminations Limited</t>
  </si>
  <si>
    <t>Boss Packaging Solutions Limited</t>
  </si>
  <si>
    <t>Namo eWaste Management Limited</t>
  </si>
  <si>
    <t>My Mudra Fincorp Limited</t>
  </si>
  <si>
    <t>Vision Infra Equipment Solutions Limited</t>
  </si>
  <si>
    <t>Aditya Ultra Steel Limited</t>
  </si>
  <si>
    <t>Shubhshree Biofuels Energy Limited</t>
  </si>
  <si>
    <t>SPP Polymer Limited</t>
  </si>
  <si>
    <t>Innomet Advanced Materials Limited</t>
  </si>
  <si>
    <t>Osel Devices Limited</t>
  </si>
  <si>
    <t>Pelatro Limited</t>
  </si>
  <si>
    <t>Paramount Speciality Forgings Limited</t>
  </si>
  <si>
    <t>Kalana Ispat Limited</t>
  </si>
  <si>
    <t>Bikewo Green Tech Limited</t>
  </si>
  <si>
    <t>S D Retail Limited</t>
  </si>
  <si>
    <t>WOL 3D India Limited</t>
  </si>
  <si>
    <t>Rappid Valves (India) Limited</t>
  </si>
  <si>
    <t>Premier Energies Limited</t>
  </si>
  <si>
    <t>Ecos (India) Mobility &amp; Hospitality Limited</t>
  </si>
  <si>
    <t>Baazar Style Retail Limited</t>
  </si>
  <si>
    <t>Gala Precision Engineering Limited</t>
  </si>
  <si>
    <t>Shree Tirupati Balajee Agro Trading Company Limited</t>
  </si>
  <si>
    <t>Bajaj Housing Finance Limited</t>
  </si>
  <si>
    <t>Kross Limited</t>
  </si>
  <si>
    <t>Tolins Tyres Limited</t>
  </si>
  <si>
    <t>P N Gadgil Jewellers Limited</t>
  </si>
  <si>
    <t>Western Carriers (India) Limited</t>
  </si>
  <si>
    <t>Northern Arc Capital Limited</t>
  </si>
  <si>
    <t>Arkade Developers Limited</t>
  </si>
  <si>
    <t>Manba Finance Limited</t>
  </si>
  <si>
    <t>GACM Technologies Limited</t>
  </si>
  <si>
    <t>GACM Technologies Ltd.</t>
  </si>
  <si>
    <t>Nirman Agri Genetics Limited</t>
  </si>
  <si>
    <t>Luharuka Media &amp; Infra Limited</t>
  </si>
  <si>
    <t>A.F. Enterprises Limited</t>
  </si>
  <si>
    <t>Jaykay Enterprises Limited</t>
  </si>
  <si>
    <t>Vinny Overseas Limited</t>
  </si>
  <si>
    <t>Orient Green Power Company Limited</t>
  </si>
  <si>
    <t>Travels &amp; rentals Limited</t>
  </si>
  <si>
    <t>Naturewings Holidays Limited</t>
  </si>
  <si>
    <t>Share Samadhan Limited</t>
  </si>
  <si>
    <t>Sodhani Academy of Fintech Enablers Limited</t>
  </si>
  <si>
    <t>622.75</t>
  </si>
  <si>
    <t>435.15</t>
  </si>
  <si>
    <t>192.31</t>
  </si>
  <si>
    <t>18.40</t>
  </si>
  <si>
    <t>466.38</t>
  </si>
  <si>
    <t>14.89</t>
  </si>
  <si>
    <t>Table 2: Company-Wise Capital Raised through Public and Rights Issues (Equity) (During the month of September 2024)</t>
  </si>
  <si>
    <t xml:space="preserve">Source: Exchanges </t>
  </si>
  <si>
    <t>2024-25 (Till September-24)</t>
  </si>
  <si>
    <t>Source: Exchanges</t>
  </si>
  <si>
    <t>Table 24: Component Stocks: S&amp;P BSE Sensex during September, 2024</t>
  </si>
  <si>
    <t>Bharat Electronics Ltd.</t>
  </si>
  <si>
    <t>Trent Ltd.</t>
  </si>
  <si>
    <t>Table 25: Component Stocks: Nifty 50 Index during September, 2024</t>
  </si>
  <si>
    <t>5. Data Not Available w.r.t. Column 'H' and 'I' in view of interoperability of the clearing corporations.</t>
  </si>
  <si>
    <t>Table 26: Component Stocks: SX40 Index during September, 2024</t>
  </si>
  <si>
    <t>Flora textiles</t>
  </si>
  <si>
    <t>Oilmax Energy Private Limited</t>
  </si>
  <si>
    <t>Lucent Industries Limited</t>
  </si>
  <si>
    <t>Mrs. Prachi and Mr Tejas K Rathod</t>
  </si>
  <si>
    <t>Gujchem Distillers India Limited</t>
  </si>
  <si>
    <t>ZR2 Group Holdings Limited (“Acquirer”)</t>
  </si>
  <si>
    <t>Windsor Machines Limited</t>
  </si>
  <si>
    <t>Plutus Investments and Holding Private Limited</t>
  </si>
  <si>
    <t>Table 3: Offers closed during September 2024 under SEBI (Substantial Acquisition of Shares and Takeover) Regulations, 2011</t>
  </si>
  <si>
    <t>P. Total Funds Mobilized by REITs</t>
  </si>
  <si>
    <t>Q. Total Funds Mobilized by InvITs</t>
  </si>
  <si>
    <t>R. Total Funds Mobilized by REITs &amp; InvITs (P+Q)</t>
  </si>
  <si>
    <t>M. Funds mobilized through Private Placement in Corporate Bond Market (CBM)</t>
  </si>
  <si>
    <t>N. Funds mobilized through Public Issue in CBM</t>
  </si>
  <si>
    <t>O. Total Funds Mobilized in CBM (M+N)</t>
  </si>
  <si>
    <t>2. For Sep-24, both NSE and BSE amount includes CCDS of 150000 of Rs. 100000 (issue size of Rs. 1500crores)</t>
  </si>
  <si>
    <r>
      <t xml:space="preserve">Turnover (₹ </t>
    </r>
    <r>
      <rPr>
        <b/>
        <sz val="11"/>
        <color indexed="8"/>
        <rFont val="Rupee Foradian"/>
        <family val="2"/>
      </rPr>
      <t xml:space="preserve"> </t>
    </r>
    <r>
      <rPr>
        <b/>
        <sz val="11"/>
        <color indexed="8"/>
        <rFont val="Garamond"/>
        <family val="1"/>
      </rPr>
      <t>crore)</t>
    </r>
  </si>
  <si>
    <t>Average Daily Turnover (₹  crore)</t>
  </si>
  <si>
    <t>Average Trade Size (₹ )</t>
  </si>
  <si>
    <r>
      <t xml:space="preserve">Demat Turnover (₹ </t>
    </r>
    <r>
      <rPr>
        <b/>
        <sz val="11"/>
        <color indexed="8"/>
        <rFont val="Rupee Foradian"/>
        <family val="2"/>
      </rPr>
      <t xml:space="preserve"> </t>
    </r>
    <r>
      <rPr>
        <b/>
        <sz val="11"/>
        <color indexed="8"/>
        <rFont val="Garamond"/>
        <family val="1"/>
      </rPr>
      <t>crore)</t>
    </r>
  </si>
  <si>
    <t xml:space="preserve">Market  Capitalisation ( ₹ crore) </t>
  </si>
  <si>
    <t>Per cent of Equity 
Capital</t>
  </si>
  <si>
    <t>Shrydus Industries Limited</t>
  </si>
  <si>
    <t>Vishvprabha Ventures Limited</t>
  </si>
  <si>
    <t>Swiss Military Consumer Goods Limited</t>
  </si>
  <si>
    <t>MACH Conferences and Events Limited</t>
  </si>
  <si>
    <t>Popular Foundations Limited</t>
  </si>
  <si>
    <t>Includes exchange traded turnover in corporate bonds</t>
  </si>
  <si>
    <t>Notional turnover considered in case of futures contracts.</t>
  </si>
  <si>
    <t>Total Premium Turnover is the aggregate of Total Index Options Premium Turnover and Total Stock Options Premium Turnover.</t>
  </si>
  <si>
    <t>Calls</t>
  </si>
  <si>
    <t>Puts</t>
  </si>
  <si>
    <t>Turnover 
(₹ crore)</t>
  </si>
  <si>
    <t>Value
(₹ crore)</t>
  </si>
  <si>
    <t xml:space="preserve">Please note that percentage derived is by dividing individual index turnover (futures+options) as a percentage of total index turnover (futures+options) </t>
  </si>
  <si>
    <t xml:space="preserve">Notes: 1. Trading Value :- For Futures, Value of contract = Traded Qty*Traded Price. </t>
  </si>
  <si>
    <t>2. For Options, Value of contract = Traded Qty*(Strike Price+Traded Premium)</t>
  </si>
  <si>
    <t>Amount
 (₹ crore)</t>
  </si>
  <si>
    <t>Net assets of INR 86599.53 crores pertaining to Funds of Funds Schemes for September 30, 2024 is not included in the above data.</t>
  </si>
  <si>
    <t>No.of schemes as on September 30, 2024</t>
  </si>
  <si>
    <t>No.of folios as on September 30, 2024</t>
  </si>
  <si>
    <t>Funds mobilised for theriod (since April 01, 2024 to September 30, 2024)
(₹ crore)</t>
  </si>
  <si>
    <t xml:space="preserve">Repurchase/ Redemption for the period (Since April 01, 2024 to September 30, 2024)
(₹ crore) </t>
  </si>
  <si>
    <t>Net Inflow(ve) / Outflow(-ve) for the period (since April 01, 2024 to September 30, 2024 ) (₹ crore)</t>
  </si>
  <si>
    <t>Net Asset under management as on September 30, 2024 (₹ crore)</t>
  </si>
  <si>
    <t>$ indicates as on September 30, 2024</t>
  </si>
  <si>
    <t>August, 2024</t>
  </si>
  <si>
    <t>August, 2023</t>
  </si>
  <si>
    <t>2. #Of the August , 2023 AUM, Rs.21,69,239/- Crores are contributed by funds from EPFO/PFs.</t>
  </si>
  <si>
    <t>3. Of the August , 2024 AUM,  Rs.25,34,146/- Crores are contributed by funds from EPFO/PFs.</t>
  </si>
  <si>
    <t>4.  The above data is as per submissions made by 429 Nos. of PMS on the SI Portal till September 30, 2024</t>
  </si>
  <si>
    <r>
      <t xml:space="preserve">Number of </t>
    </r>
    <r>
      <rPr>
        <b/>
        <sz val="11"/>
        <color indexed="8"/>
        <rFont val="Garamond"/>
        <family val="1"/>
      </rPr>
      <t>companies</t>
    </r>
    <r>
      <rPr>
        <sz val="11"/>
        <color indexed="8"/>
        <rFont val="Garamond"/>
        <family val="1"/>
      </rPr>
      <t xml:space="preserve"> signed up to make their shares available for dematerialization</t>
    </r>
  </si>
  <si>
    <r>
      <t xml:space="preserve">Number of </t>
    </r>
    <r>
      <rPr>
        <b/>
        <sz val="11"/>
        <color indexed="8"/>
        <rFont val="Garamond"/>
        <family val="1"/>
      </rPr>
      <t>Depository Participants</t>
    </r>
    <r>
      <rPr>
        <sz val="11"/>
        <color indexed="8"/>
        <rFont val="Garamond"/>
        <family val="1"/>
      </rPr>
      <t xml:space="preserve"> (registered)</t>
    </r>
  </si>
  <si>
    <r>
      <t xml:space="preserve">Number of </t>
    </r>
    <r>
      <rPr>
        <b/>
        <sz val="11"/>
        <color indexed="8"/>
        <rFont val="Garamond"/>
        <family val="1"/>
      </rPr>
      <t>Clearing Corporations</t>
    </r>
    <r>
      <rPr>
        <sz val="11"/>
        <color indexed="8"/>
        <rFont val="Garamond"/>
        <family val="1"/>
      </rPr>
      <t xml:space="preserve"> (connected)</t>
    </r>
  </si>
  <si>
    <r>
      <t xml:space="preserve">Number of </t>
    </r>
    <r>
      <rPr>
        <b/>
        <sz val="11"/>
        <color indexed="8"/>
        <rFont val="Garamond"/>
        <family val="1"/>
      </rPr>
      <t>Investors Accounts</t>
    </r>
  </si>
  <si>
    <r>
      <rPr>
        <b/>
        <sz val="11"/>
        <color indexed="8"/>
        <rFont val="Garamond"/>
        <family val="1"/>
      </rPr>
      <t>Quantity</t>
    </r>
    <r>
      <rPr>
        <sz val="11"/>
        <color indexed="8"/>
        <rFont val="Garamond"/>
        <family val="1"/>
      </rPr>
      <t xml:space="preserve"> of Shares dematerialized</t>
    </r>
  </si>
  <si>
    <r>
      <rPr>
        <b/>
        <sz val="11"/>
        <color indexed="8"/>
        <rFont val="Garamond"/>
        <family val="1"/>
      </rPr>
      <t>Value</t>
    </r>
    <r>
      <rPr>
        <sz val="11"/>
        <color indexed="8"/>
        <rFont val="Garamond"/>
        <family val="1"/>
      </rPr>
      <t xml:space="preserve"> of Shares dematerialized</t>
    </r>
  </si>
  <si>
    <r>
      <rPr>
        <b/>
        <sz val="11"/>
        <color indexed="8"/>
        <rFont val="Garamond"/>
        <family val="1"/>
      </rPr>
      <t>Quantity</t>
    </r>
    <r>
      <rPr>
        <sz val="11"/>
        <color indexed="8"/>
        <rFont val="Garamond"/>
        <family val="1"/>
      </rPr>
      <t xml:space="preserve"> of Securities dematerialized #</t>
    </r>
  </si>
  <si>
    <r>
      <rPr>
        <b/>
        <sz val="11"/>
        <color indexed="8"/>
        <rFont val="Garamond"/>
        <family val="1"/>
      </rPr>
      <t>Value</t>
    </r>
    <r>
      <rPr>
        <sz val="11"/>
        <color indexed="8"/>
        <rFont val="Garamond"/>
        <family val="1"/>
      </rPr>
      <t xml:space="preserve"> of Securities dematerialized #</t>
    </r>
  </si>
  <si>
    <r>
      <rPr>
        <b/>
        <sz val="11"/>
        <color indexed="8"/>
        <rFont val="Garamond"/>
        <family val="1"/>
      </rPr>
      <t>Quantity</t>
    </r>
    <r>
      <rPr>
        <sz val="11"/>
        <color indexed="8"/>
        <rFont val="Garamond"/>
        <family val="1"/>
      </rPr>
      <t xml:space="preserve"> of shares settled during the month</t>
    </r>
  </si>
  <si>
    <r>
      <rPr>
        <b/>
        <sz val="11"/>
        <color indexed="8"/>
        <rFont val="Garamond"/>
        <family val="1"/>
      </rPr>
      <t>Average Quantity</t>
    </r>
    <r>
      <rPr>
        <sz val="11"/>
        <color indexed="8"/>
        <rFont val="Garamond"/>
        <family val="1"/>
      </rPr>
      <t xml:space="preserve"> of shares settled daily (quantity of shares settled during the month divided by actual settlement days)</t>
    </r>
  </si>
  <si>
    <r>
      <rPr>
        <b/>
        <sz val="11"/>
        <color indexed="8"/>
        <rFont val="Garamond"/>
        <family val="1"/>
      </rPr>
      <t>Value</t>
    </r>
    <r>
      <rPr>
        <sz val="11"/>
        <color indexed="8"/>
        <rFont val="Garamond"/>
        <family val="1"/>
      </rPr>
      <t xml:space="preserve"> of shares settled during the month in dematerialized form</t>
    </r>
  </si>
  <si>
    <r>
      <rPr>
        <b/>
        <sz val="11"/>
        <color indexed="8"/>
        <rFont val="Garamond"/>
        <family val="1"/>
      </rPr>
      <t>Average Value</t>
    </r>
    <r>
      <rPr>
        <sz val="11"/>
        <color indexed="8"/>
        <rFont val="Garamond"/>
        <family val="1"/>
      </rPr>
      <t xml:space="preserve"> of shares settled daily (value of shares settled during the month divided by actual settlement days)</t>
    </r>
  </si>
  <si>
    <t>22*</t>
  </si>
  <si>
    <r>
      <t xml:space="preserve">The ratio of dematerialized </t>
    </r>
    <r>
      <rPr>
        <b/>
        <sz val="11"/>
        <color indexed="8"/>
        <rFont val="Garamond"/>
        <family val="1"/>
      </rPr>
      <t>equity shares</t>
    </r>
    <r>
      <rPr>
        <sz val="11"/>
        <color indexed="8"/>
        <rFont val="Garamond"/>
        <family val="1"/>
      </rPr>
      <t xml:space="preserve"> to the total outstanding shares market value</t>
    </r>
  </si>
  <si>
    <t xml:space="preserve">Notes: 1. Shares includes only equity shares. </t>
  </si>
  <si>
    <t xml:space="preserve">2. Securities include common equity shares, preference shares, debenture, MF units, etc. </t>
  </si>
  <si>
    <t>3. Quantity and value of shares mentioned are single sided.</t>
  </si>
  <si>
    <t>4. #Source for listed securities information: Issuer/ NSE/BSE.</t>
  </si>
  <si>
    <t>5. * Training Programmes conducted for number of representatives of Corporates, DPs and Brokers indicates Number of candidates attended such programme</t>
  </si>
  <si>
    <t>DPs Locations</t>
  </si>
  <si>
    <t>Demat Quantity 
(million securities)</t>
  </si>
  <si>
    <t>Table 63: Depository Statistics as on September 30, 2024</t>
  </si>
  <si>
    <t>Table 64: Number of commodities permitted and traded at exchanges during the month (September 2024)</t>
  </si>
  <si>
    <t xml:space="preserve">Table 66: Trends in Commodity Derivatives at MCX </t>
  </si>
  <si>
    <t>No.of Trading days</t>
  </si>
  <si>
    <t>iCOMDEX Bullion</t>
  </si>
  <si>
    <t>iCOMDEX Energy</t>
  </si>
  <si>
    <t>Total Futures</t>
  </si>
  <si>
    <t>Open Interest at the end of the period</t>
  </si>
  <si>
    <r>
      <t>Turnover (</t>
    </r>
    <r>
      <rPr>
        <sz val="11"/>
        <color theme="1"/>
        <rFont val="Garamond"/>
        <family val="1"/>
      </rPr>
      <t>₹</t>
    </r>
    <r>
      <rPr>
        <b/>
        <sz val="11"/>
        <color theme="1"/>
        <rFont val="Garamond"/>
        <family val="1"/>
      </rPr>
      <t xml:space="preserve"> crore)</t>
    </r>
  </si>
  <si>
    <t xml:space="preserve"> No. of contracts</t>
  </si>
  <si>
    <r>
      <t>Value
(</t>
    </r>
    <r>
      <rPr>
        <sz val="11"/>
        <color theme="1"/>
        <rFont val="Garamond"/>
        <family val="1"/>
      </rPr>
      <t>₹</t>
    </r>
    <r>
      <rPr>
        <b/>
        <sz val="11"/>
        <color theme="1"/>
        <rFont val="Garamond"/>
        <family val="1"/>
      </rPr>
      <t xml:space="preserve"> crore)</t>
    </r>
  </si>
  <si>
    <t>Total Options</t>
  </si>
  <si>
    <r>
      <t>Notional Value 
(</t>
    </r>
    <r>
      <rPr>
        <sz val="11"/>
        <rFont val="Garamond"/>
        <family val="1"/>
      </rPr>
      <t>₹</t>
    </r>
    <r>
      <rPr>
        <b/>
        <sz val="11"/>
        <rFont val="Garamond"/>
        <family val="1"/>
      </rPr>
      <t xml:space="preserve"> crore)</t>
    </r>
  </si>
  <si>
    <t xml:space="preserve">Table 67: Trends in Commodity Derivatives at NCDEX </t>
  </si>
  <si>
    <t xml:space="preserve">Agriculture </t>
  </si>
  <si>
    <t xml:space="preserve">Agridex Index </t>
  </si>
  <si>
    <t>Metal</t>
  </si>
  <si>
    <t xml:space="preserve">Call options </t>
  </si>
  <si>
    <t xml:space="preserve"> Put options </t>
  </si>
  <si>
    <t>Notional Value 
(₹ crore)</t>
  </si>
  <si>
    <t xml:space="preserve">Table 68: Trends in Commodity Derivatives at BSE </t>
  </si>
  <si>
    <t>Base Metal</t>
  </si>
  <si>
    <r>
      <t>Turnover (</t>
    </r>
    <r>
      <rPr>
        <sz val="11"/>
        <color theme="1"/>
        <rFont val="Garamond"/>
        <family val="1"/>
      </rPr>
      <t xml:space="preserve">₹ </t>
    </r>
    <r>
      <rPr>
        <b/>
        <sz val="11"/>
        <color theme="1"/>
        <rFont val="Garamond"/>
        <family val="1"/>
      </rPr>
      <t>crore)</t>
    </r>
  </si>
  <si>
    <r>
      <t>Turnover 
(</t>
    </r>
    <r>
      <rPr>
        <sz val="11"/>
        <color theme="1"/>
        <rFont val="Garamond"/>
        <family val="1"/>
      </rPr>
      <t xml:space="preserve">₹ </t>
    </r>
    <r>
      <rPr>
        <b/>
        <sz val="11"/>
        <color theme="1"/>
        <rFont val="Garamond"/>
        <family val="1"/>
      </rPr>
      <t>crore)</t>
    </r>
  </si>
  <si>
    <t>Table 70 : Participant-wise Percentage Share of Turnover in Commodity Derivatives Segment</t>
  </si>
  <si>
    <t>Farmers / FPOs</t>
  </si>
  <si>
    <t>VCPs/ Hedger</t>
  </si>
  <si>
    <t>Proprietary traders</t>
  </si>
  <si>
    <t>Domestic Financial institutional investors</t>
  </si>
  <si>
    <t>Foreign Participants</t>
  </si>
  <si>
    <t>Table 71: Commodity-wise Turnover and Trading Volume at MCX</t>
  </si>
  <si>
    <t>$ indicates till September 30, 2024</t>
  </si>
  <si>
    <t xml:space="preserve">Table 72: Commodity-wise Turnover and Trading Volume at NCDEX </t>
  </si>
  <si>
    <t>Table 73:  Commodity-wise Turnover and Trading Volume at BSE and NSE</t>
  </si>
  <si>
    <t>Total -BSE Futures</t>
  </si>
  <si>
    <t>$ indicates data till September 2024</t>
  </si>
  <si>
    <t>II. Real GDP Growth (Q1 FY 2024-25)</t>
  </si>
  <si>
    <t>6.7 per cent</t>
  </si>
  <si>
    <t>III. Nominal GDP Growth (Q1 FY 2024-25)</t>
  </si>
  <si>
    <t>9.7 per cent</t>
  </si>
  <si>
    <t>III.Gross Fixed Capital Formation as a per cent of GDP in Q1 2024-25$</t>
  </si>
  <si>
    <t>IX.  Index of Industrial Production (Base year 2011-12 = 100)**</t>
  </si>
  <si>
    <t>** Figures for August 2024 are Quick Estimates</t>
  </si>
  <si>
    <t>$ Estimates of GDP for the  First Quarter (April-June) as per MOSPI press release dated August 30, 2024</t>
  </si>
  <si>
    <t>2024-25 (upto September 30, 2024)</t>
  </si>
  <si>
    <t>$ indicates as on September 01, 2024</t>
  </si>
  <si>
    <t>$ indicates as on July 31, 2024</t>
  </si>
  <si>
    <t>Free Float Market Capitalisation
(₹ crore)</t>
  </si>
  <si>
    <t>Issued Capital (₹ crore)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</si>
</sst>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5">
    <numFmt numFmtId="43" formatCode="_ * #,##0.00_ ;_ * \-#,##0.00_ ;_ * &quot;-&quot;??_ ;_ @_ "/>
    <numFmt numFmtId="164" formatCode="_(* #,##0.00_);_(* \(#,##0.00\);_(* &quot;-&quot;??_);_(@_)"/>
    <numFmt numFmtId="165" formatCode="#,##0;\-#,##0;0"/>
    <numFmt numFmtId="166" formatCode="[$-F800]dddd\,\ mmmm\ dd\,\ yyyy"/>
    <numFmt numFmtId="167" formatCode="#,##0;\-#,##0;0.0"/>
    <numFmt numFmtId="168" formatCode="_ * #,##0_ ;_ * \-#,##0_ ;_ * &quot;-&quot;??_ ;_ @_ "/>
    <numFmt numFmtId="169" formatCode="[$-409]mmm\-yy;@"/>
    <numFmt numFmtId="170" formatCode="0;\(0\)"/>
    <numFmt numFmtId="171" formatCode="0\,00\,000;\-0\,00\,000;0"/>
    <numFmt numFmtId="172" formatCode="0.0;\(0.0\)"/>
    <numFmt numFmtId="173" formatCode="0\,00\,00\,000;\-0\,00\,00\,000;0"/>
    <numFmt numFmtId="174" formatCode="[$-409]d\-mmm\-yy;@"/>
    <numFmt numFmtId="175" formatCode="#,##0.0;\-#,##0.0;0.0"/>
    <numFmt numFmtId="176" formatCode="#,##0.000000;\-#,##0.000000;0.000000"/>
    <numFmt numFmtId="177" formatCode="0.0;\-0.0;0.0"/>
    <numFmt numFmtId="178" formatCode="0;\-0;0"/>
    <numFmt numFmtId="179" formatCode="0.0"/>
    <numFmt numFmtId="180" formatCode="0.00_);\(0.00\)"/>
    <numFmt numFmtId="181" formatCode="0.0%"/>
    <numFmt numFmtId="182" formatCode="0.0;0.0;0"/>
    <numFmt numFmtId="183" formatCode="0.0;\-0.0;0"/>
    <numFmt numFmtId="184" formatCode="0.00;\-0.00;0.0"/>
    <numFmt numFmtId="185" formatCode="#,##0.0"/>
    <numFmt numFmtId="186" formatCode="_(* #,##0.00000_);_(* \(#,##0.00000\);_(* &quot;-&quot;??_);_(@_)"/>
    <numFmt numFmtId="187" formatCode="0_);\(0\)"/>
    <numFmt numFmtId="188" formatCode="_-* #,##0_-;\-* #,##0_-;_-* &quot;-&quot;??_-;_-@_-"/>
    <numFmt numFmtId="189" formatCode="0.00;\-0.00;0.00"/>
    <numFmt numFmtId="190" formatCode="0\,00\,00\,00\,000;\-0\,00\,00\,00\,000;0"/>
    <numFmt numFmtId="191" formatCode="[$-409]d/mmm/yy;@"/>
    <numFmt numFmtId="192" formatCode="[&gt;=10000000]#.###\,##\,##0;[&gt;=100000]#.###\,##0;##,##0.0"/>
    <numFmt numFmtId="193" formatCode="_(* #,##0_);_(* \(#,##0\);_(* &quot;-&quot;??_);_(@_)"/>
    <numFmt numFmtId="194" formatCode="_ * #,##0.0_ ;_ * \-#,##0.0_ ;_ * &quot;-&quot;??_ ;_ @_ "/>
    <numFmt numFmtId="195" formatCode="#,##0.00;\-#,##0.00;0.0"/>
    <numFmt numFmtId="196" formatCode="dd\/mm\/yyyy"/>
    <numFmt numFmtId="197" formatCode="[&gt;=10000000]#\,##\,##\,##0;[&gt;=100000]#\,##\,##0;##,##0"/>
    <numFmt numFmtId="198" formatCode="[&gt;=10000000]#.0\,##\,##\,##0;[&gt;=100000]#.0\,##\,##0;##,##0.0"/>
    <numFmt numFmtId="199" formatCode="_(* #,##0.0_);_(* \(#,##0.0\);_(* &quot;-&quot;??_);_(@_)"/>
    <numFmt numFmtId="200" formatCode="0.00;0.00;0.0"/>
    <numFmt numFmtId="201" formatCode="0;0;0"/>
    <numFmt numFmtId="202" formatCode="0.000;0.000;0.00"/>
    <numFmt numFmtId="203" formatCode="0.00;\(0.0\);0.00"/>
    <numFmt numFmtId="204" formatCode="#,##0.00;\-#,##0.00;0.00"/>
    <numFmt numFmtId="205" formatCode="0.00;\-0.00;0"/>
    <numFmt numFmtId="206" formatCode="_-* #,##0.00_-;\-* #,##0.00_-;_-* &quot;-&quot;??_-;_-@_-"/>
    <numFmt numFmtId="207" formatCode="#,##0.0000_ ;\-#,##0.0000\ "/>
  </numFmts>
  <fonts count="89">
    <font>
      <sz val="11"/>
      <color theme="1"/>
      <name val="Calibri"/>
      <family val="2"/>
      <scheme val="minor"/>
    </font>
    <font>
      <sz val="11"/>
      <color theme="1"/>
      <name val="Calibri"/>
      <family val="2"/>
      <scheme val="minor"/>
    </font>
    <font>
      <sz val="10"/>
      <name val="Arial"/>
      <family val="2"/>
    </font>
    <font>
      <b/>
      <sz val="14"/>
      <color theme="4" tint="-0.499984740745262"/>
      <name val="Garamond"/>
      <family val="1"/>
    </font>
    <font>
      <sz val="6"/>
      <color indexed="8"/>
      <name val="Arial"/>
      <family val="2"/>
    </font>
    <font>
      <sz val="12"/>
      <color indexed="8"/>
      <name val="Garamond"/>
      <family val="1"/>
    </font>
    <font>
      <sz val="12"/>
      <name val="Garamond"/>
      <family val="1"/>
    </font>
    <font>
      <b/>
      <sz val="11"/>
      <color indexed="8"/>
      <name val="Garamond"/>
      <family val="1"/>
    </font>
    <font>
      <sz val="11"/>
      <color indexed="8"/>
      <name val="Garamond"/>
      <family val="1"/>
    </font>
    <font>
      <sz val="11"/>
      <color rgb="FF000000"/>
      <name val="Garamond"/>
      <family val="1"/>
    </font>
    <font>
      <sz val="11"/>
      <color theme="1"/>
      <name val="Garamond"/>
      <family val="1"/>
    </font>
    <font>
      <sz val="11"/>
      <name val="Garamond"/>
      <family val="1"/>
    </font>
    <font>
      <b/>
      <sz val="11"/>
      <name val="Garamond"/>
      <family val="1"/>
    </font>
    <font>
      <b/>
      <sz val="11"/>
      <color rgb="FF000000"/>
      <name val="Garamond"/>
      <family val="1"/>
    </font>
    <font>
      <sz val="10"/>
      <color rgb="FF000000"/>
      <name val="Palatino Linotype"/>
      <family val="1"/>
    </font>
    <font>
      <b/>
      <sz val="11"/>
      <color theme="1"/>
      <name val="Garamond"/>
      <family val="1"/>
    </font>
    <font>
      <sz val="11"/>
      <color theme="1"/>
      <name val="Consolas"/>
      <family val="2"/>
    </font>
    <font>
      <b/>
      <sz val="10"/>
      <color indexed="8"/>
      <name val="Palatino Linotype"/>
      <family val="1"/>
    </font>
    <font>
      <b/>
      <sz val="10"/>
      <name val="Palatino Linotype"/>
      <family val="1"/>
    </font>
    <font>
      <b/>
      <sz val="11"/>
      <color indexed="8"/>
      <name val="Rupee Foradian"/>
      <family val="2"/>
    </font>
    <font>
      <i/>
      <sz val="11"/>
      <color indexed="8"/>
      <name val="Garamond"/>
      <family val="1"/>
    </font>
    <font>
      <sz val="10"/>
      <name val="Garamond"/>
      <family val="1"/>
    </font>
    <font>
      <sz val="10"/>
      <color theme="1"/>
      <name val="Garamond"/>
      <family val="1"/>
    </font>
    <font>
      <sz val="10"/>
      <color indexed="8"/>
      <name val="Garamond"/>
      <family val="1"/>
    </font>
    <font>
      <sz val="9"/>
      <color rgb="FF000000"/>
      <name val="Arial"/>
      <family val="2"/>
    </font>
    <font>
      <b/>
      <sz val="9"/>
      <color indexed="8"/>
      <name val="Garamond"/>
      <family val="1"/>
    </font>
    <font>
      <sz val="9"/>
      <name val="Garamond"/>
      <family val="1"/>
    </font>
    <font>
      <sz val="9"/>
      <color indexed="8"/>
      <name val="Garamond"/>
      <family val="1"/>
    </font>
    <font>
      <sz val="9"/>
      <color indexed="8"/>
      <name val="Arial"/>
      <family val="2"/>
    </font>
    <font>
      <sz val="10"/>
      <color theme="1"/>
      <name val="Garamond"/>
      <family val="2"/>
    </font>
    <font>
      <b/>
      <sz val="10"/>
      <color theme="1"/>
      <name val="Garamond"/>
      <family val="1"/>
    </font>
    <font>
      <b/>
      <i/>
      <sz val="11"/>
      <color indexed="8"/>
      <name val="Garamond"/>
      <family val="1"/>
    </font>
    <font>
      <sz val="6"/>
      <color indexed="8"/>
      <name val="Garamond"/>
      <family val="1"/>
    </font>
    <font>
      <sz val="10"/>
      <name val="Times New Roman"/>
      <family val="1"/>
    </font>
    <font>
      <sz val="8"/>
      <name val="Garamond"/>
      <family val="1"/>
    </font>
    <font>
      <sz val="11"/>
      <color indexed="8"/>
      <name val="Calibri"/>
      <family val="2"/>
    </font>
    <font>
      <u/>
      <sz val="11"/>
      <color theme="10"/>
      <name val="Calibri"/>
      <family val="2"/>
      <scheme val="minor"/>
    </font>
    <font>
      <sz val="10"/>
      <color theme="1"/>
      <name val="Book Antiqua"/>
      <family val="1"/>
    </font>
    <font>
      <sz val="13"/>
      <color rgb="FF333333"/>
      <name val="Segoe UI"/>
      <family val="2"/>
    </font>
    <font>
      <sz val="11"/>
      <name val="Times New Roman"/>
      <family val="1"/>
    </font>
    <font>
      <sz val="11"/>
      <color theme="1"/>
      <name val="Times New Roman"/>
      <family val="1"/>
    </font>
    <font>
      <b/>
      <sz val="10"/>
      <color indexed="8"/>
      <name val="Garamond"/>
      <family val="1"/>
    </font>
    <font>
      <sz val="10"/>
      <color indexed="8"/>
      <name val="Garamond"/>
      <family val="2"/>
    </font>
    <font>
      <sz val="11"/>
      <color rgb="FFFF0000"/>
      <name val="Garamond"/>
      <family val="1"/>
    </font>
    <font>
      <b/>
      <sz val="11"/>
      <color theme="1"/>
      <name val="Calibri"/>
      <family val="2"/>
      <scheme val="minor"/>
    </font>
    <font>
      <sz val="8"/>
      <color theme="1"/>
      <name val="Garamond"/>
      <family val="1"/>
    </font>
    <font>
      <b/>
      <sz val="11"/>
      <color indexed="8"/>
      <name val="Calibri Light"/>
      <family val="2"/>
      <scheme val="major"/>
    </font>
    <font>
      <sz val="11"/>
      <name val="Calibri Light"/>
      <family val="2"/>
      <scheme val="major"/>
    </font>
    <font>
      <sz val="11"/>
      <color theme="1"/>
      <name val="Calibri Light"/>
      <family val="2"/>
      <scheme val="major"/>
    </font>
    <font>
      <sz val="10"/>
      <color indexed="10"/>
      <name val="Garamond"/>
      <family val="1"/>
    </font>
    <font>
      <i/>
      <sz val="11"/>
      <color theme="1"/>
      <name val="Garamond"/>
      <family val="1"/>
    </font>
    <font>
      <sz val="11"/>
      <color theme="1" tint="4.9989318521683403E-2"/>
      <name val="Garamond"/>
      <family val="1"/>
    </font>
    <font>
      <b/>
      <sz val="12"/>
      <color theme="1"/>
      <name val="Garamond"/>
      <family val="1"/>
    </font>
    <font>
      <b/>
      <i/>
      <sz val="11"/>
      <color rgb="FF000000"/>
      <name val="Garamond"/>
      <family val="1"/>
    </font>
    <font>
      <sz val="10"/>
      <color theme="1"/>
      <name val="Calibri"/>
      <family val="2"/>
      <scheme val="minor"/>
    </font>
    <font>
      <b/>
      <i/>
      <sz val="11"/>
      <color theme="1"/>
      <name val="Garamond"/>
      <family val="1"/>
    </font>
    <font>
      <i/>
      <sz val="11"/>
      <color rgb="FF000000"/>
      <name val="Garamond"/>
      <family val="1"/>
    </font>
    <font>
      <i/>
      <sz val="11"/>
      <name val="Garamond"/>
      <family val="1"/>
    </font>
    <font>
      <b/>
      <i/>
      <sz val="11"/>
      <name val="Garamond"/>
      <family val="1"/>
    </font>
    <font>
      <i/>
      <sz val="11"/>
      <color theme="1"/>
      <name val="Calibri"/>
      <family val="2"/>
      <scheme val="minor"/>
    </font>
    <font>
      <i/>
      <sz val="10"/>
      <color theme="1"/>
      <name val="Calibri"/>
      <family val="2"/>
      <scheme val="minor"/>
    </font>
    <font>
      <sz val="8"/>
      <color theme="1"/>
      <name val="Arial"/>
      <family val="2"/>
    </font>
    <font>
      <b/>
      <sz val="8"/>
      <name val="Arial"/>
      <family val="2"/>
    </font>
    <font>
      <b/>
      <sz val="8"/>
      <color theme="1"/>
      <name val="Arial"/>
      <family val="2"/>
    </font>
    <font>
      <sz val="12"/>
      <color rgb="FF000000"/>
      <name val="Garamond"/>
      <family val="1"/>
    </font>
    <font>
      <b/>
      <sz val="10"/>
      <name val="Garamond"/>
      <family val="1"/>
    </font>
    <font>
      <sz val="10"/>
      <color rgb="FF000000"/>
      <name val="Garamond"/>
      <family val="1"/>
    </font>
    <font>
      <sz val="8"/>
      <color rgb="FF000000"/>
      <name val="Arial"/>
      <family val="2"/>
    </font>
    <font>
      <i/>
      <sz val="10"/>
      <color rgb="FF000000"/>
      <name val="Garamond"/>
      <family val="1"/>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u/>
      <sz val="11"/>
      <color theme="10"/>
      <name val="Calibri"/>
      <family val="2"/>
    </font>
    <font>
      <sz val="11"/>
      <color theme="1"/>
      <name val="Calibri"/>
      <family val="2"/>
    </font>
    <font>
      <b/>
      <i/>
      <sz val="10"/>
      <color indexed="8"/>
      <name val="Garamond"/>
      <family val="1"/>
    </font>
    <font>
      <sz val="11"/>
      <name val="Calibri"/>
      <family val="2"/>
    </font>
    <font>
      <sz val="10"/>
      <name val="Palatino Linotype"/>
      <family val="1"/>
    </font>
  </fonts>
  <fills count="42">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rgb="FFFFFFFF"/>
        <bgColor indexed="64"/>
      </patternFill>
    </fill>
    <fill>
      <patternFill patternType="solid">
        <fgColor indexed="9"/>
        <bgColor indexed="9"/>
      </patternFill>
    </fill>
    <fill>
      <patternFill patternType="solid">
        <fgColor theme="0" tint="-0.14999847407452621"/>
        <bgColor indexed="64"/>
      </patternFill>
    </fill>
    <fill>
      <patternFill patternType="solid">
        <fgColor theme="2"/>
        <bgColor indexed="64"/>
      </patternFill>
    </fill>
    <fill>
      <patternFill patternType="solid">
        <fgColor theme="4" tint="0.79998168889431442"/>
        <bgColor indexed="64"/>
      </patternFill>
    </fill>
    <fill>
      <patternFill patternType="solid">
        <fgColor theme="0"/>
        <bgColor theme="4" tint="0.79998168889431442"/>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tint="-9.9978637043366805E-2"/>
        <bgColor indexed="64"/>
      </patternFill>
    </fill>
  </fills>
  <borders count="165">
    <border>
      <left/>
      <right/>
      <top/>
      <bottom/>
      <diagonal/>
    </border>
    <border>
      <left style="thin">
        <color indexed="8"/>
      </left>
      <right style="thin">
        <color indexed="8"/>
      </right>
      <top style="thin">
        <color indexed="8"/>
      </top>
      <bottom style="thin">
        <color indexed="8"/>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style="thin">
        <color indexed="64"/>
      </right>
      <top/>
      <bottom/>
      <diagonal/>
    </border>
    <border>
      <left style="thin">
        <color indexed="8"/>
      </left>
      <right style="thin">
        <color indexed="8"/>
      </right>
      <top style="thin">
        <color indexed="8"/>
      </top>
      <bottom/>
      <diagonal/>
    </border>
    <border>
      <left style="thin">
        <color indexed="8"/>
      </left>
      <right/>
      <top style="thin">
        <color indexed="8"/>
      </top>
      <bottom/>
      <diagonal/>
    </border>
    <border>
      <left/>
      <right style="thin">
        <color indexed="8"/>
      </right>
      <top style="thin">
        <color indexed="8"/>
      </top>
      <bottom/>
      <diagonal/>
    </border>
    <border>
      <left style="thin">
        <color indexed="8"/>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8"/>
      </right>
      <top/>
      <bottom/>
      <diagonal/>
    </border>
    <border>
      <left style="thin">
        <color indexed="8"/>
      </left>
      <right/>
      <top/>
      <bottom/>
      <diagonal/>
    </border>
    <border>
      <left/>
      <right style="thin">
        <color indexed="8"/>
      </right>
      <top/>
      <bottom/>
      <diagonal/>
    </border>
    <border>
      <left/>
      <right/>
      <top/>
      <bottom style="thin">
        <color indexed="8"/>
      </bottom>
      <diagonal/>
    </border>
    <border>
      <left/>
      <right/>
      <top style="thin">
        <color indexed="8"/>
      </top>
      <bottom style="thin">
        <color indexed="8"/>
      </bottom>
      <diagonal/>
    </border>
    <border>
      <left style="thin">
        <color indexed="8"/>
      </left>
      <right style="thin">
        <color indexed="8"/>
      </right>
      <top/>
      <bottom style="thin">
        <color indexed="8"/>
      </bottom>
      <diagonal/>
    </border>
    <border>
      <left style="thin">
        <color indexed="64"/>
      </left>
      <right style="thin">
        <color indexed="64"/>
      </right>
      <top/>
      <bottom style="thin">
        <color indexed="64"/>
      </bottom>
      <diagonal/>
    </border>
    <border>
      <left/>
      <right/>
      <top style="thin">
        <color indexed="8"/>
      </top>
      <bottom/>
      <diagonal/>
    </border>
    <border>
      <left style="thin">
        <color indexed="8"/>
      </left>
      <right/>
      <top/>
      <bottom style="thin">
        <color indexed="64"/>
      </bottom>
      <diagonal/>
    </border>
    <border>
      <left/>
      <right style="thin">
        <color indexed="8"/>
      </right>
      <top/>
      <bottom style="thin">
        <color indexed="64"/>
      </bottom>
      <diagonal/>
    </border>
    <border>
      <left/>
      <right/>
      <top/>
      <bottom style="thin">
        <color indexed="64"/>
      </bottom>
      <diagonal/>
    </border>
    <border>
      <left style="thin">
        <color indexed="8"/>
      </left>
      <right/>
      <top/>
      <bottom style="thin">
        <color indexed="8"/>
      </bottom>
      <diagonal/>
    </border>
    <border>
      <left/>
      <right style="thin">
        <color indexed="8"/>
      </right>
      <top/>
      <bottom style="thin">
        <color indexed="8"/>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auto="1"/>
      </left>
      <right style="thin">
        <color auto="1"/>
      </right>
      <top style="thin">
        <color auto="1"/>
      </top>
      <bottom/>
      <diagonal/>
    </border>
    <border>
      <left/>
      <right/>
      <top/>
      <bottom style="thin">
        <color auto="1"/>
      </bottom>
      <diagonal/>
    </border>
    <border>
      <left style="thin">
        <color indexed="64"/>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8"/>
      </left>
      <right/>
      <top style="thin">
        <color indexed="8"/>
      </top>
      <bottom/>
      <diagonal/>
    </border>
    <border>
      <left/>
      <right style="thin">
        <color indexed="8"/>
      </right>
      <top style="thin">
        <color indexed="8"/>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top style="thin">
        <color indexed="8"/>
      </top>
      <bottom style="thin">
        <color indexed="64"/>
      </bottom>
      <diagonal/>
    </border>
    <border>
      <left/>
      <right style="thin">
        <color indexed="8"/>
      </right>
      <top style="thin">
        <color indexed="8"/>
      </top>
      <bottom style="thin">
        <color indexed="64"/>
      </bottom>
      <diagonal/>
    </border>
    <border>
      <left style="thin">
        <color indexed="8"/>
      </left>
      <right style="thin">
        <color indexed="8"/>
      </right>
      <top style="thin">
        <color indexed="8"/>
      </top>
      <bottom style="thin">
        <color indexed="8"/>
      </bottom>
      <diagonal/>
    </border>
    <border>
      <left style="thin">
        <color auto="1"/>
      </left>
      <right/>
      <top style="thin">
        <color auto="1"/>
      </top>
      <bottom style="thin">
        <color auto="1"/>
      </bottom>
      <diagonal/>
    </border>
    <border>
      <left style="thin">
        <color auto="1"/>
      </left>
      <right style="thin">
        <color indexed="64"/>
      </right>
      <top/>
      <bottom style="thin">
        <color indexed="64"/>
      </bottom>
      <diagonal/>
    </border>
    <border>
      <left style="thin">
        <color indexed="8"/>
      </left>
      <right style="thin">
        <color indexed="8"/>
      </right>
      <top style="thin">
        <color indexed="8"/>
      </top>
      <bottom/>
      <diagonal/>
    </border>
    <border>
      <left/>
      <right style="thin">
        <color indexed="64"/>
      </right>
      <top style="thin">
        <color indexed="64"/>
      </top>
      <bottom style="thin">
        <color indexed="64"/>
      </bottom>
      <diagonal/>
    </border>
    <border>
      <left style="thin">
        <color indexed="8"/>
      </left>
      <right/>
      <top style="thin">
        <color indexed="8"/>
      </top>
      <bottom style="thin">
        <color indexed="8"/>
      </bottom>
      <diagonal/>
    </border>
    <border>
      <left style="thin">
        <color auto="1"/>
      </left>
      <right/>
      <top style="thin">
        <color auto="1"/>
      </top>
      <bottom style="thin">
        <color auto="1"/>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right/>
      <top/>
      <bottom style="thin">
        <color indexed="8"/>
      </bottom>
      <diagonal/>
    </border>
    <border>
      <left/>
      <right/>
      <top style="thin">
        <color auto="1"/>
      </top>
      <bottom style="thin">
        <color auto="1"/>
      </bottom>
      <diagonal/>
    </border>
    <border>
      <left/>
      <right style="thin">
        <color indexed="64"/>
      </right>
      <top style="thin">
        <color indexed="64"/>
      </top>
      <bottom style="thin">
        <color indexed="64"/>
      </bottom>
      <diagonal/>
    </border>
    <border>
      <left style="thin">
        <color auto="1"/>
      </left>
      <right/>
      <top style="thin">
        <color auto="1"/>
      </top>
      <bottom style="thin">
        <color auto="1"/>
      </bottom>
      <diagonal/>
    </border>
    <border>
      <left style="thin">
        <color auto="1"/>
      </left>
      <right/>
      <top style="thin">
        <color auto="1"/>
      </top>
      <bottom style="thin">
        <color auto="1"/>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double">
        <color indexed="8"/>
      </right>
      <top style="thin">
        <color indexed="8"/>
      </top>
      <bottom style="thin">
        <color indexed="8"/>
      </bottom>
      <diagonal/>
    </border>
    <border>
      <left style="thin">
        <color indexed="64"/>
      </left>
      <right style="thin">
        <color indexed="64"/>
      </right>
      <top style="thin">
        <color indexed="64"/>
      </top>
      <bottom/>
      <diagonal/>
    </border>
    <border>
      <left/>
      <right/>
      <top style="thin">
        <color indexed="64"/>
      </top>
      <bottom/>
      <diagonal/>
    </border>
    <border>
      <left style="thin">
        <color indexed="8"/>
      </left>
      <right/>
      <top style="thin">
        <color indexed="8"/>
      </top>
      <bottom style="thin">
        <color indexed="8"/>
      </bottom>
      <diagonal/>
    </border>
    <border>
      <left style="thin">
        <color indexed="8"/>
      </left>
      <right style="thin">
        <color indexed="8"/>
      </right>
      <top style="thin">
        <color indexed="8"/>
      </top>
      <bottom/>
      <diagonal/>
    </border>
    <border>
      <left style="thin">
        <color indexed="8"/>
      </left>
      <right style="thin">
        <color indexed="8"/>
      </right>
      <top style="thin">
        <color indexed="8"/>
      </top>
      <bottom style="thin">
        <color indexed="8"/>
      </bottom>
      <diagonal/>
    </border>
    <border>
      <left style="thin">
        <color indexed="8"/>
      </left>
      <right/>
      <top style="thin">
        <color indexed="8"/>
      </top>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auto="1"/>
      </left>
      <right/>
      <top/>
      <bottom/>
      <diagonal/>
    </border>
    <border>
      <left style="thin">
        <color indexed="8"/>
      </left>
      <right style="thin">
        <color indexed="8"/>
      </right>
      <top/>
      <bottom/>
      <diagonal/>
    </border>
    <border>
      <left style="thin">
        <color indexed="8"/>
      </left>
      <right/>
      <top/>
      <bottom/>
      <diagonal/>
    </border>
    <border>
      <left/>
      <right style="thin">
        <color indexed="8"/>
      </right>
      <top style="thin">
        <color indexed="8"/>
      </top>
      <bottom/>
      <diagonal/>
    </border>
    <border>
      <left style="thin">
        <color indexed="8"/>
      </left>
      <right style="double">
        <color indexed="8"/>
      </right>
      <top/>
      <bottom style="thin">
        <color indexed="64"/>
      </bottom>
      <diagonal/>
    </border>
    <border>
      <left style="thin">
        <color auto="1"/>
      </left>
      <right/>
      <top style="thin">
        <color auto="1"/>
      </top>
      <bottom style="thin">
        <color auto="1"/>
      </bottom>
      <diagonal/>
    </border>
    <border>
      <left/>
      <right/>
      <top style="thin">
        <color indexed="64"/>
      </top>
      <bottom/>
      <diagonal/>
    </border>
    <border>
      <left style="thin">
        <color indexed="64"/>
      </left>
      <right/>
      <top/>
      <bottom style="thin">
        <color indexed="64"/>
      </bottom>
      <diagonal/>
    </border>
    <border>
      <left style="thin">
        <color indexed="8"/>
      </left>
      <right/>
      <top style="thin">
        <color indexed="8"/>
      </top>
      <bottom style="thin">
        <color indexed="8"/>
      </bottom>
      <diagonal/>
    </border>
    <border>
      <left style="thin">
        <color indexed="64"/>
      </left>
      <right/>
      <top/>
      <bottom/>
      <diagonal/>
    </border>
    <border>
      <left/>
      <right/>
      <top style="thin">
        <color indexed="64"/>
      </top>
      <bottom style="thin">
        <color indexed="64"/>
      </bottom>
      <diagonal/>
    </border>
    <border>
      <left style="thin">
        <color auto="1"/>
      </left>
      <right/>
      <top style="thin">
        <color auto="1"/>
      </top>
      <bottom style="thin">
        <color auto="1"/>
      </bottom>
      <diagonal/>
    </border>
    <border>
      <left style="thin">
        <color indexed="8"/>
      </left>
      <right/>
      <top style="thin">
        <color indexed="8"/>
      </top>
      <bottom style="thin">
        <color indexed="8"/>
      </bottom>
      <diagonal/>
    </border>
    <border>
      <left style="thin">
        <color indexed="8"/>
      </left>
      <right style="thin">
        <color indexed="8"/>
      </right>
      <top style="thin">
        <color indexed="8"/>
      </top>
      <bottom/>
      <diagonal/>
    </border>
    <border>
      <left style="thin">
        <color auto="1"/>
      </left>
      <right/>
      <top style="thin">
        <color auto="1"/>
      </top>
      <bottom style="thin">
        <color auto="1"/>
      </bottom>
      <diagonal/>
    </border>
    <border>
      <left/>
      <right/>
      <top style="thin">
        <color indexed="64"/>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8"/>
      </left>
      <right/>
      <top style="thin">
        <color indexed="8"/>
      </top>
      <bottom style="thin">
        <color indexed="8"/>
      </bottom>
      <diagonal/>
    </border>
    <border>
      <left/>
      <right/>
      <top style="thin">
        <color indexed="8"/>
      </top>
      <bottom style="thin">
        <color indexed="8"/>
      </bottom>
      <diagonal/>
    </border>
    <border>
      <left style="thin">
        <color indexed="8"/>
      </left>
      <right/>
      <top style="thin">
        <color indexed="8"/>
      </top>
      <bottom/>
      <diagonal/>
    </border>
    <border>
      <left style="thin">
        <color indexed="8"/>
      </left>
      <right/>
      <top style="thin">
        <color indexed="8"/>
      </top>
      <bottom/>
      <diagonal/>
    </border>
    <border>
      <left/>
      <right style="thin">
        <color indexed="8"/>
      </right>
      <top style="thin">
        <color indexed="8"/>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8"/>
      </top>
      <bottom/>
      <diagonal/>
    </border>
    <border>
      <left style="thin">
        <color indexed="8"/>
      </left>
      <right/>
      <top style="thin">
        <color indexed="8"/>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auto="1"/>
      </left>
      <right/>
      <top/>
      <bottom style="thin">
        <color auto="1"/>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auto="1"/>
      </left>
      <right/>
      <top style="thin">
        <color auto="1"/>
      </top>
      <bottom style="thin">
        <color auto="1"/>
      </bottom>
      <diagonal/>
    </border>
    <border>
      <left style="medium">
        <color indexed="64"/>
      </left>
      <right/>
      <top style="thin">
        <color auto="1"/>
      </top>
      <bottom style="thin">
        <color auto="1"/>
      </bottom>
      <diagonal/>
    </border>
    <border>
      <left style="thin">
        <color indexed="64"/>
      </left>
      <right style="thin">
        <color indexed="64"/>
      </right>
      <top style="thin">
        <color indexed="64"/>
      </top>
      <bottom style="medium">
        <color indexed="64"/>
      </bottom>
      <diagonal/>
    </border>
    <border>
      <left style="thin">
        <color auto="1"/>
      </left>
      <right/>
      <top style="thin">
        <color auto="1"/>
      </top>
      <bottom style="medium">
        <color indexed="64"/>
      </bottom>
      <diagonal/>
    </border>
    <border>
      <left/>
      <right/>
      <top style="thin">
        <color indexed="64"/>
      </top>
      <bottom style="thin">
        <color indexed="64"/>
      </bottom>
      <diagonal/>
    </border>
    <border>
      <left/>
      <right style="thin">
        <color auto="1"/>
      </right>
      <top style="thin">
        <color auto="1"/>
      </top>
      <bottom style="thin">
        <color auto="1"/>
      </bottom>
      <diagonal/>
    </border>
    <border>
      <left style="thin">
        <color auto="1"/>
      </left>
      <right style="thin">
        <color indexed="8"/>
      </right>
      <top style="thin">
        <color auto="1"/>
      </top>
      <bottom style="thin">
        <color indexed="8"/>
      </bottom>
      <diagonal/>
    </border>
    <border>
      <left style="thin">
        <color indexed="8"/>
      </left>
      <right/>
      <top style="thin">
        <color auto="1"/>
      </top>
      <bottom style="thin">
        <color indexed="8"/>
      </bottom>
      <diagonal/>
    </border>
    <border>
      <left/>
      <right/>
      <top style="thin">
        <color auto="1"/>
      </top>
      <bottom style="thin">
        <color indexed="8"/>
      </bottom>
      <diagonal/>
    </border>
    <border>
      <left/>
      <right style="thin">
        <color indexed="8"/>
      </right>
      <top style="thin">
        <color auto="1"/>
      </top>
      <bottom style="thin">
        <color indexed="8"/>
      </bottom>
      <diagonal/>
    </border>
    <border>
      <left/>
      <right style="thin">
        <color auto="1"/>
      </right>
      <top style="thin">
        <color auto="1"/>
      </top>
      <bottom style="thin">
        <color indexed="8"/>
      </bottom>
      <diagonal/>
    </border>
    <border>
      <left style="thin">
        <color auto="1"/>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thin">
        <color auto="1"/>
      </right>
      <top style="thin">
        <color indexed="8"/>
      </top>
      <bottom style="thin">
        <color indexed="8"/>
      </bottom>
      <diagonal/>
    </border>
    <border>
      <left style="thin">
        <color indexed="64"/>
      </left>
      <right style="thin">
        <color indexed="64"/>
      </right>
      <top style="thin">
        <color indexed="8"/>
      </top>
      <bottom style="thin">
        <color indexed="64"/>
      </bottom>
      <diagonal/>
    </border>
    <border>
      <left style="thin">
        <color auto="1"/>
      </left>
      <right/>
      <top style="thin">
        <color indexed="8"/>
      </top>
      <bottom style="thin">
        <color indexed="8"/>
      </bottom>
      <diagonal/>
    </border>
    <border>
      <left style="thin">
        <color auto="1"/>
      </left>
      <right style="thin">
        <color indexed="8"/>
      </right>
      <top style="thin">
        <color indexed="8"/>
      </top>
      <bottom style="thin">
        <color auto="1"/>
      </bottom>
      <diagonal/>
    </border>
    <border>
      <left style="thin">
        <color indexed="8"/>
      </left>
      <right style="thin">
        <color indexed="8"/>
      </right>
      <top style="thin">
        <color indexed="8"/>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64"/>
      </right>
      <top style="thin">
        <color indexed="8"/>
      </top>
      <bottom style="thin">
        <color indexed="8"/>
      </bottom>
      <diagonal/>
    </border>
    <border>
      <left/>
      <right/>
      <top style="thin">
        <color indexed="8"/>
      </top>
      <bottom/>
      <diagonal/>
    </border>
    <border>
      <left/>
      <right style="thin">
        <color indexed="8"/>
      </right>
      <top style="thin">
        <color indexed="8"/>
      </top>
      <bottom style="thin">
        <color indexed="8"/>
      </bottom>
      <diagonal/>
    </border>
    <border>
      <left style="thin">
        <color indexed="64"/>
      </left>
      <right style="thin">
        <color indexed="64"/>
      </right>
      <top style="thin">
        <color indexed="64"/>
      </top>
      <bottom/>
      <diagonal/>
    </border>
    <border>
      <left/>
      <right/>
      <top style="thin">
        <color indexed="64"/>
      </top>
      <bottom/>
      <diagonal/>
    </border>
    <border>
      <left style="thin">
        <color auto="1"/>
      </left>
      <right/>
      <top style="thin">
        <color auto="1"/>
      </top>
      <bottom style="thin">
        <color auto="1"/>
      </bottom>
      <diagonal/>
    </border>
    <border>
      <left/>
      <right/>
      <top style="thin">
        <color indexed="64"/>
      </top>
      <bottom style="thin">
        <color indexed="64"/>
      </bottom>
      <diagonal/>
    </border>
    <border>
      <left/>
      <right style="thin">
        <color auto="1"/>
      </right>
      <top style="thin">
        <color auto="1"/>
      </top>
      <bottom style="thin">
        <color auto="1"/>
      </bottom>
      <diagonal/>
    </border>
    <border>
      <left style="thin">
        <color indexed="8"/>
      </left>
      <right/>
      <top style="thin">
        <color indexed="8"/>
      </top>
      <bottom style="thin">
        <color indexed="8"/>
      </bottom>
      <diagonal/>
    </border>
    <border>
      <left style="thin">
        <color indexed="8"/>
      </left>
      <right style="thin">
        <color indexed="8"/>
      </right>
      <top style="thin">
        <color indexed="8"/>
      </top>
      <bottom/>
      <diagonal/>
    </border>
    <border>
      <left style="thin">
        <color indexed="64"/>
      </left>
      <right style="thin">
        <color indexed="64"/>
      </right>
      <top style="medium">
        <color indexed="64"/>
      </top>
      <bottom/>
      <diagonal/>
    </border>
    <border>
      <left style="thin">
        <color auto="1"/>
      </left>
      <right/>
      <top style="medium">
        <color indexed="64"/>
      </top>
      <bottom style="thin">
        <color auto="1"/>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bottom style="medium">
        <color indexed="64"/>
      </bottom>
      <diagonal/>
    </border>
    <border>
      <left style="thin">
        <color indexed="64"/>
      </left>
      <right style="thin">
        <color indexed="64"/>
      </right>
      <top style="thin">
        <color indexed="64"/>
      </top>
      <bottom style="thin">
        <color indexed="64"/>
      </bottom>
      <diagonal/>
    </border>
  </borders>
  <cellStyleXfs count="116">
    <xf numFmtId="0" fontId="0" fillId="0" borderId="0"/>
    <xf numFmtId="43" fontId="1" fillId="0" borderId="0" applyFont="0" applyFill="0" applyBorder="0" applyAlignment="0" applyProtection="0"/>
    <xf numFmtId="9" fontId="1" fillId="0" borderId="0" applyFont="0" applyFill="0" applyBorder="0" applyAlignment="0" applyProtection="0"/>
    <xf numFmtId="0" fontId="2" fillId="0" borderId="0" applyNumberFormat="0" applyFont="0" applyFill="0" applyBorder="0" applyAlignment="0" applyProtection="0"/>
    <xf numFmtId="0" fontId="1" fillId="0" borderId="0"/>
    <xf numFmtId="0" fontId="1" fillId="0" borderId="0"/>
    <xf numFmtId="0" fontId="16" fillId="0" borderId="0"/>
    <xf numFmtId="43" fontId="1" fillId="0" borderId="0" applyFont="0" applyFill="0" applyBorder="0" applyAlignment="0" applyProtection="0"/>
    <xf numFmtId="0" fontId="2" fillId="0" borderId="0" applyNumberFormat="0" applyFont="0" applyFill="0" applyBorder="0" applyAlignment="0" applyProtection="0"/>
    <xf numFmtId="174" fontId="1" fillId="0" borderId="0" applyNumberFormat="0" applyFill="0" applyBorder="0" applyAlignment="0" applyProtection="0"/>
    <xf numFmtId="9" fontId="1" fillId="0" borderId="0" applyFont="0" applyFill="0" applyBorder="0" applyAlignment="0" applyProtection="0"/>
    <xf numFmtId="43" fontId="16" fillId="0" borderId="0" applyFont="0" applyFill="0" applyBorder="0" applyAlignment="0" applyProtection="0"/>
    <xf numFmtId="0" fontId="1" fillId="0" borderId="0"/>
    <xf numFmtId="179" fontId="2" fillId="0" borderId="0" applyFont="0" applyFill="0" applyBorder="0" applyAlignment="0" applyProtection="0"/>
    <xf numFmtId="174" fontId="1" fillId="0" borderId="0"/>
    <xf numFmtId="0" fontId="2" fillId="0" borderId="0"/>
    <xf numFmtId="0" fontId="1" fillId="0" borderId="0"/>
    <xf numFmtId="164" fontId="2" fillId="0" borderId="0" applyNumberFormat="0" applyFont="0" applyFill="0" applyBorder="0" applyAlignment="0" applyProtection="0"/>
    <xf numFmtId="0" fontId="29" fillId="0" borderId="0"/>
    <xf numFmtId="174" fontId="1" fillId="0" borderId="0"/>
    <xf numFmtId="191" fontId="1" fillId="0" borderId="0"/>
    <xf numFmtId="174" fontId="2" fillId="0" borderId="0" applyNumberFormat="0" applyFill="0" applyBorder="0" applyAlignment="0" applyProtection="0"/>
    <xf numFmtId="174" fontId="2" fillId="0" borderId="0" applyNumberFormat="0" applyFill="0" applyBorder="0" applyAlignment="0" applyProtection="0"/>
    <xf numFmtId="192" fontId="33" fillId="0" borderId="0">
      <alignment horizontal="right"/>
    </xf>
    <xf numFmtId="0" fontId="2" fillId="0" borderId="0"/>
    <xf numFmtId="164" fontId="1" fillId="0" borderId="0" applyFont="0" applyFill="0" applyBorder="0" applyAlignment="0" applyProtection="0"/>
    <xf numFmtId="43" fontId="1" fillId="0" borderId="0" applyFont="0" applyFill="0" applyBorder="0" applyAlignment="0" applyProtection="0"/>
    <xf numFmtId="179" fontId="2"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43" fontId="2" fillId="0" borderId="0" applyFont="0" applyFill="0" applyBorder="0" applyAlignment="0" applyProtection="0"/>
    <xf numFmtId="0" fontId="1" fillId="0" borderId="0"/>
    <xf numFmtId="164" fontId="35" fillId="0" borderId="0" applyFont="0" applyFill="0" applyBorder="0" applyAlignment="0" applyProtection="0"/>
    <xf numFmtId="43" fontId="35" fillId="0" borderId="0" applyFont="0" applyFill="0" applyBorder="0" applyAlignment="0" applyProtection="0"/>
    <xf numFmtId="43" fontId="1" fillId="0" borderId="0" applyFont="0" applyFill="0" applyBorder="0" applyAlignment="0" applyProtection="0"/>
    <xf numFmtId="0" fontId="36" fillId="0" borderId="0" applyNumberFormat="0" applyFill="0" applyBorder="0" applyAlignment="0" applyProtection="0"/>
    <xf numFmtId="164" fontId="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2" fillId="0" borderId="0" applyNumberFormat="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35"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174" fontId="2" fillId="0" borderId="0" applyNumberFormat="0" applyFill="0" applyBorder="0" applyAlignment="0" applyProtection="0"/>
    <xf numFmtId="174" fontId="1" fillId="0" borderId="0" applyNumberFormat="0" applyFill="0" applyBorder="0" applyAlignment="0" applyProtection="0"/>
    <xf numFmtId="164" fontId="42" fillId="0" borderId="0" applyFont="0" applyFill="0" applyBorder="0" applyAlignment="0" applyProtection="0"/>
    <xf numFmtId="191" fontId="1" fillId="0" borderId="0"/>
    <xf numFmtId="191" fontId="1" fillId="0" borderId="0"/>
    <xf numFmtId="191" fontId="2" fillId="0" borderId="0" applyNumberFormat="0" applyFill="0" applyBorder="0" applyAlignment="0" applyProtection="0"/>
    <xf numFmtId="191" fontId="2" fillId="0" borderId="0" applyNumberFormat="0" applyFill="0" applyBorder="0" applyAlignment="0" applyProtection="0"/>
    <xf numFmtId="191" fontId="1" fillId="0" borderId="0"/>
    <xf numFmtId="191" fontId="1" fillId="0" borderId="0"/>
    <xf numFmtId="191" fontId="1" fillId="0" borderId="0"/>
    <xf numFmtId="191" fontId="1" fillId="0" borderId="0"/>
    <xf numFmtId="191" fontId="1" fillId="0" borderId="0"/>
    <xf numFmtId="191" fontId="1" fillId="0" borderId="0"/>
    <xf numFmtId="191" fontId="1" fillId="0" borderId="0"/>
    <xf numFmtId="9" fontId="42" fillId="0" borderId="0" applyFont="0" applyFill="0" applyBorder="0" applyAlignment="0" applyProtection="0"/>
    <xf numFmtId="174" fontId="29" fillId="0" borderId="0"/>
    <xf numFmtId="0" fontId="1" fillId="0" borderId="0"/>
    <xf numFmtId="43" fontId="16" fillId="0" borderId="0" applyFont="0" applyFill="0" applyBorder="0" applyAlignment="0" applyProtection="0"/>
    <xf numFmtId="191" fontId="2" fillId="0" borderId="0"/>
    <xf numFmtId="0" fontId="70" fillId="0" borderId="82" applyNumberFormat="0" applyFill="0" applyAlignment="0" applyProtection="0"/>
    <xf numFmtId="0" fontId="71" fillId="0" borderId="83" applyNumberFormat="0" applyFill="0" applyAlignment="0" applyProtection="0"/>
    <xf numFmtId="0" fontId="72" fillId="0" borderId="84" applyNumberFormat="0" applyFill="0" applyAlignment="0" applyProtection="0"/>
    <xf numFmtId="0" fontId="72" fillId="0" borderId="0" applyNumberFormat="0" applyFill="0" applyBorder="0" applyAlignment="0" applyProtection="0"/>
    <xf numFmtId="0" fontId="73" fillId="10" borderId="0" applyNumberFormat="0" applyBorder="0" applyAlignment="0" applyProtection="0"/>
    <xf numFmtId="0" fontId="74" fillId="11" borderId="0" applyNumberFormat="0" applyBorder="0" applyAlignment="0" applyProtection="0"/>
    <xf numFmtId="0" fontId="75" fillId="12" borderId="0" applyNumberFormat="0" applyBorder="0" applyAlignment="0" applyProtection="0"/>
    <xf numFmtId="0" fontId="76" fillId="13" borderId="85" applyNumberFormat="0" applyAlignment="0" applyProtection="0"/>
    <xf numFmtId="0" fontId="77" fillId="14" borderId="86" applyNumberFormat="0" applyAlignment="0" applyProtection="0"/>
    <xf numFmtId="0" fontId="78" fillId="14" borderId="85" applyNumberFormat="0" applyAlignment="0" applyProtection="0"/>
    <xf numFmtId="0" fontId="79" fillId="0" borderId="87" applyNumberFormat="0" applyFill="0" applyAlignment="0" applyProtection="0"/>
    <xf numFmtId="0" fontId="80" fillId="15" borderId="88" applyNumberFormat="0" applyAlignment="0" applyProtection="0"/>
    <xf numFmtId="0" fontId="81" fillId="0" borderId="0" applyNumberFormat="0" applyFill="0" applyBorder="0" applyAlignment="0" applyProtection="0"/>
    <xf numFmtId="0" fontId="82" fillId="0" borderId="0" applyNumberFormat="0" applyFill="0" applyBorder="0" applyAlignment="0" applyProtection="0"/>
    <xf numFmtId="0" fontId="44" fillId="0" borderId="90" applyNumberFormat="0" applyFill="0" applyAlignment="0" applyProtection="0"/>
    <xf numFmtId="0" fontId="83"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83" fillId="20" borderId="0" applyNumberFormat="0" applyBorder="0" applyAlignment="0" applyProtection="0"/>
    <xf numFmtId="0" fontId="83"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83" fillId="24" borderId="0" applyNumberFormat="0" applyBorder="0" applyAlignment="0" applyProtection="0"/>
    <xf numFmtId="0" fontId="83"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83" fillId="28" borderId="0" applyNumberFormat="0" applyBorder="0" applyAlignment="0" applyProtection="0"/>
    <xf numFmtId="0" fontId="83"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83" fillId="32" borderId="0" applyNumberFormat="0" applyBorder="0" applyAlignment="0" applyProtection="0"/>
    <xf numFmtId="0" fontId="83" fillId="33"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83" fillId="36" borderId="0" applyNumberFormat="0" applyBorder="0" applyAlignment="0" applyProtection="0"/>
    <xf numFmtId="0" fontId="83" fillId="37" borderId="0" applyNumberFormat="0" applyBorder="0" applyAlignment="0" applyProtection="0"/>
    <xf numFmtId="0" fontId="1" fillId="38" borderId="0" applyNumberFormat="0" applyBorder="0" applyAlignment="0" applyProtection="0"/>
    <xf numFmtId="0" fontId="1" fillId="39" borderId="0" applyNumberFormat="0" applyBorder="0" applyAlignment="0" applyProtection="0"/>
    <xf numFmtId="0" fontId="83" fillId="40" borderId="0" applyNumberFormat="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1" fillId="0" borderId="0" applyFont="0" applyFill="0" applyBorder="0" applyAlignment="0" applyProtection="0"/>
    <xf numFmtId="0" fontId="84" fillId="0" borderId="0" applyNumberFormat="0" applyFill="0" applyBorder="0" applyAlignment="0" applyProtection="0"/>
    <xf numFmtId="179" fontId="33" fillId="0" borderId="0">
      <alignment horizontal="right"/>
    </xf>
    <xf numFmtId="0" fontId="85" fillId="0" borderId="0"/>
    <xf numFmtId="0" fontId="85" fillId="0" borderId="0"/>
    <xf numFmtId="0" fontId="1" fillId="16" borderId="89" applyNumberFormat="0" applyFont="0" applyAlignment="0" applyProtection="0"/>
    <xf numFmtId="0" fontId="69" fillId="0" borderId="0" applyNumberFormat="0" applyFill="0" applyBorder="0" applyAlignment="0" applyProtection="0"/>
  </cellStyleXfs>
  <cellXfs count="1783">
    <xf numFmtId="0" fontId="0" fillId="0" borderId="0" xfId="0"/>
    <xf numFmtId="0" fontId="2" fillId="0" borderId="0" xfId="3" applyNumberFormat="1" applyFont="1" applyFill="1" applyBorder="1" applyAlignment="1"/>
    <xf numFmtId="0" fontId="4" fillId="2" borderId="0" xfId="3" applyFont="1" applyFill="1" applyAlignment="1">
      <alignment vertical="center"/>
    </xf>
    <xf numFmtId="0" fontId="6" fillId="0" borderId="0" xfId="3" applyNumberFormat="1" applyFont="1" applyFill="1" applyBorder="1" applyAlignment="1"/>
    <xf numFmtId="0" fontId="0" fillId="0" borderId="0" xfId="0" applyBorder="1"/>
    <xf numFmtId="49" fontId="7" fillId="0" borderId="0" xfId="0" applyNumberFormat="1" applyFont="1" applyFill="1" applyBorder="1" applyAlignment="1">
      <alignment horizontal="left"/>
    </xf>
    <xf numFmtId="0" fontId="10" fillId="0" borderId="4" xfId="0" applyFont="1" applyFill="1" applyBorder="1"/>
    <xf numFmtId="49" fontId="7" fillId="0" borderId="0" xfId="0" applyNumberFormat="1" applyFont="1" applyFill="1" applyBorder="1" applyAlignment="1">
      <alignment vertical="top" wrapText="1"/>
    </xf>
    <xf numFmtId="0" fontId="8" fillId="0" borderId="0" xfId="0" applyFont="1" applyFill="1" applyAlignment="1">
      <alignment vertical="top" wrapText="1"/>
    </xf>
    <xf numFmtId="0" fontId="8" fillId="0" borderId="0" xfId="0" applyFont="1" applyFill="1" applyBorder="1" applyAlignment="1">
      <alignment vertical="top" wrapText="1"/>
    </xf>
    <xf numFmtId="0" fontId="0" fillId="0" borderId="0" xfId="0" applyFill="1" applyBorder="1"/>
    <xf numFmtId="2" fontId="10" fillId="0" borderId="0" xfId="0" applyNumberFormat="1" applyFont="1"/>
    <xf numFmtId="166" fontId="0" fillId="0" borderId="0" xfId="0" applyNumberFormat="1" applyFill="1" applyBorder="1"/>
    <xf numFmtId="166" fontId="0" fillId="0" borderId="0" xfId="0" applyNumberFormat="1" applyFill="1"/>
    <xf numFmtId="166" fontId="0" fillId="0" borderId="0" xfId="0" applyNumberFormat="1"/>
    <xf numFmtId="0" fontId="0" fillId="0" borderId="0" xfId="0" applyFill="1"/>
    <xf numFmtId="49" fontId="7" fillId="0" borderId="0" xfId="0" applyNumberFormat="1" applyFont="1" applyFill="1" applyAlignment="1">
      <alignment vertical="center"/>
    </xf>
    <xf numFmtId="3" fontId="7" fillId="0" borderId="0" xfId="0" applyNumberFormat="1" applyFont="1" applyFill="1" applyBorder="1" applyAlignment="1">
      <alignment horizontal="right"/>
    </xf>
    <xf numFmtId="3" fontId="0" fillId="0" borderId="0" xfId="0" applyNumberFormat="1"/>
    <xf numFmtId="0" fontId="8" fillId="0" borderId="0" xfId="0" applyFont="1" applyFill="1" applyBorder="1" applyAlignment="1">
      <alignment horizontal="right"/>
    </xf>
    <xf numFmtId="167" fontId="8" fillId="0" borderId="0" xfId="0" applyNumberFormat="1" applyFont="1" applyFill="1" applyBorder="1" applyAlignment="1">
      <alignment horizontal="right"/>
    </xf>
    <xf numFmtId="49" fontId="8" fillId="0" borderId="0" xfId="0" applyNumberFormat="1" applyFont="1" applyFill="1" applyBorder="1" applyAlignment="1">
      <alignment horizontal="left"/>
    </xf>
    <xf numFmtId="165" fontId="8" fillId="0" borderId="0" xfId="0" applyNumberFormat="1" applyFont="1" applyFill="1" applyBorder="1" applyAlignment="1">
      <alignment horizontal="right"/>
    </xf>
    <xf numFmtId="49" fontId="7" fillId="0" borderId="0" xfId="0" applyNumberFormat="1" applyFont="1" applyFill="1" applyAlignment="1"/>
    <xf numFmtId="49" fontId="8" fillId="0" borderId="0" xfId="0" applyNumberFormat="1" applyFont="1" applyFill="1" applyBorder="1" applyAlignment="1">
      <alignment horizontal="left" vertical="center"/>
    </xf>
    <xf numFmtId="1" fontId="8" fillId="0" borderId="0" xfId="0" applyNumberFormat="1" applyFont="1" applyFill="1" applyBorder="1" applyAlignment="1">
      <alignment horizontal="right"/>
    </xf>
    <xf numFmtId="49" fontId="8" fillId="0" borderId="0" xfId="0" applyNumberFormat="1" applyFont="1" applyFill="1" applyBorder="1" applyAlignment="1"/>
    <xf numFmtId="0" fontId="14" fillId="0" borderId="0" xfId="0" applyFont="1" applyBorder="1" applyAlignment="1">
      <alignment horizontal="right" vertical="center" wrapText="1"/>
    </xf>
    <xf numFmtId="3" fontId="14" fillId="0" borderId="0" xfId="0" applyNumberFormat="1" applyFont="1" applyBorder="1" applyAlignment="1">
      <alignment horizontal="right" vertical="center" wrapText="1"/>
    </xf>
    <xf numFmtId="3" fontId="0" fillId="0" borderId="0" xfId="0" applyNumberFormat="1" applyFill="1"/>
    <xf numFmtId="49" fontId="8" fillId="0" borderId="0" xfId="5" applyNumberFormat="1" applyFont="1" applyFill="1" applyBorder="1" applyAlignment="1">
      <alignment horizontal="left" vertical="center"/>
    </xf>
    <xf numFmtId="1" fontId="8" fillId="0" borderId="0" xfId="5" applyNumberFormat="1" applyFont="1" applyFill="1" applyBorder="1" applyAlignment="1">
      <alignment horizontal="right"/>
    </xf>
    <xf numFmtId="17" fontId="8" fillId="0" borderId="0" xfId="5" applyNumberFormat="1" applyFont="1" applyFill="1" applyBorder="1" applyAlignment="1">
      <alignment horizontal="left" vertical="center"/>
    </xf>
    <xf numFmtId="1" fontId="10" fillId="0" borderId="0" xfId="0" applyNumberFormat="1" applyFont="1"/>
    <xf numFmtId="3" fontId="10" fillId="0" borderId="0" xfId="0" applyNumberFormat="1" applyFont="1"/>
    <xf numFmtId="165" fontId="7" fillId="0" borderId="4" xfId="0" applyNumberFormat="1" applyFont="1" applyFill="1" applyBorder="1" applyAlignment="1">
      <alignment horizontal="right" vertical="top"/>
    </xf>
    <xf numFmtId="165" fontId="0" fillId="0" borderId="0" xfId="0" applyNumberFormat="1"/>
    <xf numFmtId="165" fontId="8" fillId="0" borderId="4" xfId="0" applyNumberFormat="1" applyFont="1" applyFill="1" applyBorder="1" applyAlignment="1">
      <alignment horizontal="right" vertical="top"/>
    </xf>
    <xf numFmtId="0" fontId="2" fillId="0" borderId="0" xfId="0" applyFont="1" applyFill="1" applyBorder="1" applyAlignment="1">
      <alignment vertical="center" wrapText="1"/>
    </xf>
    <xf numFmtId="165" fontId="8" fillId="0" borderId="0" xfId="0" applyNumberFormat="1" applyFont="1" applyFill="1" applyAlignment="1">
      <alignment horizontal="left" vertical="top"/>
    </xf>
    <xf numFmtId="169" fontId="8" fillId="0" borderId="0" xfId="0" applyNumberFormat="1" applyFont="1" applyFill="1" applyBorder="1" applyAlignment="1">
      <alignment horizontal="left" vertical="top"/>
    </xf>
    <xf numFmtId="165" fontId="8" fillId="0" borderId="0" xfId="0" applyNumberFormat="1" applyFont="1" applyFill="1" applyBorder="1" applyAlignment="1">
      <alignment horizontal="right" vertical="top"/>
    </xf>
    <xf numFmtId="0" fontId="6" fillId="0" borderId="0" xfId="0" applyFont="1" applyFill="1" applyBorder="1" applyAlignment="1">
      <alignment horizontal="right" vertical="center" wrapText="1"/>
    </xf>
    <xf numFmtId="168" fontId="6" fillId="0" borderId="0" xfId="7" applyNumberFormat="1" applyFont="1" applyFill="1" applyBorder="1" applyAlignment="1">
      <alignment horizontal="right" vertical="center" wrapText="1"/>
    </xf>
    <xf numFmtId="49" fontId="8" fillId="0" borderId="0" xfId="6" applyNumberFormat="1" applyFont="1" applyFill="1" applyBorder="1" applyAlignment="1">
      <alignment horizontal="left" vertical="center"/>
    </xf>
    <xf numFmtId="165" fontId="8" fillId="0" borderId="0" xfId="6" applyNumberFormat="1" applyFont="1" applyFill="1" applyBorder="1" applyAlignment="1">
      <alignment horizontal="right" vertical="center"/>
    </xf>
    <xf numFmtId="168" fontId="11" fillId="0" borderId="0" xfId="7" applyNumberFormat="1" applyFont="1" applyFill="1" applyBorder="1" applyAlignment="1">
      <alignment horizontal="right" vertical="center" wrapText="1"/>
    </xf>
    <xf numFmtId="0" fontId="8" fillId="0" borderId="0" xfId="6" applyFont="1" applyFill="1" applyBorder="1" applyAlignment="1">
      <alignment vertical="center"/>
    </xf>
    <xf numFmtId="1" fontId="8" fillId="0" borderId="0" xfId="6" applyNumberFormat="1" applyFont="1" applyFill="1" applyBorder="1" applyAlignment="1">
      <alignment vertical="center"/>
    </xf>
    <xf numFmtId="2" fontId="2" fillId="0" borderId="0" xfId="0" applyNumberFormat="1" applyFont="1" applyFill="1" applyBorder="1" applyAlignment="1">
      <alignment horizontal="center" wrapText="1"/>
    </xf>
    <xf numFmtId="169" fontId="8" fillId="0" borderId="0" xfId="5" applyNumberFormat="1" applyFont="1" applyFill="1" applyBorder="1" applyAlignment="1">
      <alignment horizontal="left" vertical="top" wrapText="1"/>
    </xf>
    <xf numFmtId="0" fontId="11" fillId="0" borderId="0" xfId="0" applyNumberFormat="1" applyFont="1" applyFill="1" applyBorder="1" applyAlignment="1"/>
    <xf numFmtId="49" fontId="7" fillId="0" borderId="0" xfId="0" applyNumberFormat="1" applyFont="1" applyFill="1" applyBorder="1" applyAlignment="1">
      <alignment vertical="center"/>
    </xf>
    <xf numFmtId="49" fontId="7" fillId="0" borderId="0" xfId="0" applyNumberFormat="1" applyFont="1" applyFill="1" applyBorder="1" applyAlignment="1">
      <alignment horizontal="center" vertical="top" wrapText="1"/>
    </xf>
    <xf numFmtId="1" fontId="10" fillId="0" borderId="0" xfId="5" applyNumberFormat="1" applyFont="1" applyFill="1" applyBorder="1" applyAlignment="1">
      <alignment horizontal="right" vertical="center" wrapText="1"/>
    </xf>
    <xf numFmtId="1" fontId="10" fillId="0" borderId="0" xfId="0" applyNumberFormat="1" applyFont="1" applyFill="1" applyBorder="1" applyAlignment="1">
      <alignment horizontal="right" vertical="top"/>
    </xf>
    <xf numFmtId="165" fontId="10" fillId="0" borderId="0" xfId="0" applyNumberFormat="1" applyFont="1" applyFill="1" applyBorder="1" applyAlignment="1">
      <alignment horizontal="right" vertical="top"/>
    </xf>
    <xf numFmtId="49" fontId="7" fillId="0" borderId="0" xfId="0" applyNumberFormat="1" applyFont="1" applyFill="1" applyAlignment="1">
      <alignment horizontal="left"/>
    </xf>
    <xf numFmtId="169" fontId="10" fillId="0" borderId="0" xfId="0" applyNumberFormat="1" applyFont="1" applyFill="1" applyBorder="1" applyAlignment="1">
      <alignment horizontal="left" vertical="top"/>
    </xf>
    <xf numFmtId="1" fontId="11" fillId="0" borderId="0" xfId="0" applyNumberFormat="1" applyFont="1" applyFill="1" applyBorder="1" applyAlignment="1">
      <alignment horizontal="right" wrapText="1"/>
    </xf>
    <xf numFmtId="1" fontId="0" fillId="0" borderId="0" xfId="0" applyNumberFormat="1" applyFont="1" applyFill="1" applyBorder="1" applyAlignment="1"/>
    <xf numFmtId="1" fontId="11" fillId="0" borderId="0" xfId="0" applyNumberFormat="1" applyFont="1" applyFill="1" applyBorder="1" applyAlignment="1"/>
    <xf numFmtId="0" fontId="11" fillId="0" borderId="0" xfId="0" applyFont="1" applyFill="1" applyBorder="1" applyAlignment="1">
      <alignment horizontal="right" wrapText="1"/>
    </xf>
    <xf numFmtId="1" fontId="10" fillId="0" borderId="0" xfId="0" applyNumberFormat="1" applyFont="1" applyFill="1" applyBorder="1" applyAlignment="1">
      <alignment horizontal="right"/>
    </xf>
    <xf numFmtId="1" fontId="11" fillId="0" borderId="0" xfId="5" applyNumberFormat="1" applyFont="1" applyFill="1" applyBorder="1" applyAlignment="1">
      <alignment horizontal="right" vertical="center" wrapText="1"/>
    </xf>
    <xf numFmtId="0" fontId="8" fillId="0" borderId="0" xfId="0" applyFont="1" applyFill="1" applyAlignment="1">
      <alignment vertical="center"/>
    </xf>
    <xf numFmtId="3" fontId="7" fillId="0" borderId="4" xfId="0" applyNumberFormat="1" applyFont="1" applyFill="1" applyBorder="1" applyAlignment="1">
      <alignment horizontal="right" vertical="center"/>
    </xf>
    <xf numFmtId="3" fontId="8" fillId="0" borderId="4" xfId="0" applyNumberFormat="1" applyFont="1" applyFill="1" applyBorder="1" applyAlignment="1">
      <alignment horizontal="right" vertical="center"/>
    </xf>
    <xf numFmtId="1" fontId="6" fillId="0" borderId="0" xfId="5" applyNumberFormat="1" applyFont="1" applyFill="1" applyBorder="1" applyAlignment="1">
      <alignment horizontal="right" vertical="center" wrapText="1"/>
    </xf>
    <xf numFmtId="3" fontId="8" fillId="0" borderId="0" xfId="0" applyNumberFormat="1" applyFont="1" applyFill="1" applyBorder="1" applyAlignment="1">
      <alignment horizontal="right" vertical="center"/>
    </xf>
    <xf numFmtId="169" fontId="8" fillId="0" borderId="0" xfId="5" applyNumberFormat="1" applyFont="1" applyFill="1" applyBorder="1" applyAlignment="1">
      <alignment horizontal="left" vertical="top"/>
    </xf>
    <xf numFmtId="3" fontId="7" fillId="2" borderId="9" xfId="0" applyNumberFormat="1" applyFont="1" applyFill="1" applyBorder="1" applyAlignment="1">
      <alignment horizontal="right"/>
    </xf>
    <xf numFmtId="3" fontId="8" fillId="0" borderId="0" xfId="0" applyNumberFormat="1" applyFont="1" applyFill="1" applyBorder="1" applyAlignment="1">
      <alignment horizontal="right"/>
    </xf>
    <xf numFmtId="3" fontId="8" fillId="0" borderId="0" xfId="5" applyNumberFormat="1" applyFont="1" applyFill="1" applyBorder="1" applyAlignment="1">
      <alignment horizontal="right"/>
    </xf>
    <xf numFmtId="1" fontId="10" fillId="0" borderId="0" xfId="0" applyNumberFormat="1" applyFont="1" applyFill="1" applyBorder="1"/>
    <xf numFmtId="1" fontId="9" fillId="0" borderId="0" xfId="0" applyNumberFormat="1" applyFont="1" applyFill="1" applyBorder="1"/>
    <xf numFmtId="1" fontId="10" fillId="0" borderId="0" xfId="5" applyNumberFormat="1" applyFont="1" applyFill="1" applyBorder="1"/>
    <xf numFmtId="167" fontId="8" fillId="0" borderId="0" xfId="5" applyNumberFormat="1" applyFont="1" applyFill="1" applyBorder="1" applyAlignment="1">
      <alignment horizontal="right"/>
    </xf>
    <xf numFmtId="49" fontId="7" fillId="0" borderId="0" xfId="0" applyNumberFormat="1" applyFont="1" applyFill="1" applyBorder="1" applyAlignment="1"/>
    <xf numFmtId="0" fontId="4" fillId="0" borderId="0" xfId="0" applyFont="1" applyFill="1" applyAlignment="1">
      <alignment vertical="center"/>
    </xf>
    <xf numFmtId="0" fontId="11" fillId="0" borderId="0" xfId="8" applyNumberFormat="1" applyFont="1" applyFill="1" applyBorder="1" applyAlignment="1"/>
    <xf numFmtId="0" fontId="8" fillId="2" borderId="0" xfId="8" applyFont="1" applyFill="1" applyAlignment="1">
      <alignment vertical="center"/>
    </xf>
    <xf numFmtId="49" fontId="7" fillId="2" borderId="1" xfId="8" applyNumberFormat="1" applyFont="1" applyFill="1" applyBorder="1" applyAlignment="1">
      <alignment horizontal="left"/>
    </xf>
    <xf numFmtId="165" fontId="7" fillId="2" borderId="1" xfId="8" applyNumberFormat="1" applyFont="1" applyFill="1" applyBorder="1" applyAlignment="1">
      <alignment horizontal="right"/>
    </xf>
    <xf numFmtId="0" fontId="7" fillId="2" borderId="0" xfId="8" applyFont="1" applyFill="1" applyAlignment="1">
      <alignment vertical="center"/>
    </xf>
    <xf numFmtId="165" fontId="7" fillId="2" borderId="0" xfId="8" applyNumberFormat="1" applyFont="1" applyFill="1" applyAlignment="1">
      <alignment vertical="center"/>
    </xf>
    <xf numFmtId="49" fontId="8" fillId="2" borderId="4" xfId="8" applyNumberFormat="1" applyFont="1" applyFill="1" applyBorder="1" applyAlignment="1">
      <alignment horizontal="left"/>
    </xf>
    <xf numFmtId="165" fontId="8" fillId="2" borderId="4" xfId="8" applyNumberFormat="1" applyFont="1" applyFill="1" applyBorder="1" applyAlignment="1">
      <alignment horizontal="right"/>
    </xf>
    <xf numFmtId="165" fontId="8" fillId="0" borderId="4" xfId="8" applyNumberFormat="1" applyFont="1" applyFill="1" applyBorder="1" applyAlignment="1">
      <alignment horizontal="right"/>
    </xf>
    <xf numFmtId="170" fontId="8" fillId="0" borderId="4" xfId="8" applyNumberFormat="1" applyFont="1" applyFill="1" applyBorder="1" applyAlignment="1">
      <alignment horizontal="right"/>
    </xf>
    <xf numFmtId="165" fontId="8" fillId="2" borderId="0" xfId="8" applyNumberFormat="1" applyFont="1" applyFill="1" applyAlignment="1">
      <alignment vertical="center"/>
    </xf>
    <xf numFmtId="165" fontId="11" fillId="0" borderId="0" xfId="8" applyNumberFormat="1" applyFont="1" applyFill="1" applyBorder="1" applyAlignment="1"/>
    <xf numFmtId="170" fontId="11" fillId="0" borderId="0" xfId="8" applyNumberFormat="1" applyFont="1" applyFill="1" applyBorder="1" applyAlignment="1"/>
    <xf numFmtId="172" fontId="11" fillId="0" borderId="0" xfId="8" applyNumberFormat="1" applyFont="1" applyFill="1" applyBorder="1" applyAlignment="1"/>
    <xf numFmtId="165" fontId="7" fillId="0" borderId="1" xfId="8" applyNumberFormat="1" applyFont="1" applyFill="1" applyBorder="1" applyAlignment="1">
      <alignment horizontal="right"/>
    </xf>
    <xf numFmtId="165" fontId="7" fillId="0" borderId="0" xfId="8" applyNumberFormat="1" applyFont="1" applyFill="1" applyAlignment="1">
      <alignment vertical="center"/>
    </xf>
    <xf numFmtId="0" fontId="7" fillId="0" borderId="0" xfId="8" applyFont="1" applyFill="1" applyAlignment="1">
      <alignment vertical="center"/>
    </xf>
    <xf numFmtId="49" fontId="7" fillId="2" borderId="0" xfId="8" applyNumberFormat="1" applyFont="1" applyFill="1" applyAlignment="1">
      <alignment horizontal="left"/>
    </xf>
    <xf numFmtId="3" fontId="11" fillId="0" borderId="0" xfId="8" applyNumberFormat="1" applyFont="1" applyFill="1" applyBorder="1" applyAlignment="1"/>
    <xf numFmtId="0" fontId="7" fillId="2" borderId="1" xfId="8" applyFont="1" applyFill="1" applyBorder="1" applyAlignment="1">
      <alignment horizontal="right"/>
    </xf>
    <xf numFmtId="165" fontId="8" fillId="5" borderId="4" xfId="9" applyNumberFormat="1" applyFont="1" applyFill="1" applyBorder="1" applyAlignment="1">
      <alignment horizontal="right"/>
    </xf>
    <xf numFmtId="1" fontId="8" fillId="5" borderId="4" xfId="9" applyNumberFormat="1" applyFont="1" applyFill="1" applyBorder="1" applyAlignment="1">
      <alignment horizontal="right"/>
    </xf>
    <xf numFmtId="165" fontId="8" fillId="0" borderId="4" xfId="9" applyNumberFormat="1" applyFont="1" applyFill="1" applyBorder="1" applyAlignment="1">
      <alignment horizontal="right"/>
    </xf>
    <xf numFmtId="1" fontId="8" fillId="0" borderId="4" xfId="9" applyNumberFormat="1" applyFont="1" applyFill="1" applyBorder="1" applyAlignment="1">
      <alignment horizontal="right"/>
    </xf>
    <xf numFmtId="3" fontId="10" fillId="0" borderId="4" xfId="0" applyNumberFormat="1" applyFont="1" applyFill="1" applyBorder="1" applyAlignment="1">
      <alignment horizontal="right"/>
    </xf>
    <xf numFmtId="49" fontId="8" fillId="2" borderId="0" xfId="8" applyNumberFormat="1" applyFont="1" applyFill="1" applyBorder="1" applyAlignment="1">
      <alignment horizontal="left"/>
    </xf>
    <xf numFmtId="171" fontId="8" fillId="2" borderId="0" xfId="8" applyNumberFormat="1" applyFont="1" applyFill="1" applyBorder="1" applyAlignment="1">
      <alignment horizontal="right"/>
    </xf>
    <xf numFmtId="171" fontId="8" fillId="2" borderId="0" xfId="8" applyNumberFormat="1" applyFont="1" applyFill="1" applyAlignment="1">
      <alignment vertical="center"/>
    </xf>
    <xf numFmtId="49" fontId="20" fillId="2" borderId="0" xfId="8" applyNumberFormat="1" applyFont="1" applyFill="1" applyAlignment="1">
      <alignment horizontal="left"/>
    </xf>
    <xf numFmtId="174" fontId="21" fillId="0" borderId="0" xfId="9" applyFont="1" applyFill="1"/>
    <xf numFmtId="173" fontId="8" fillId="2" borderId="0" xfId="8" applyNumberFormat="1" applyFont="1" applyFill="1" applyAlignment="1">
      <alignment vertical="center"/>
    </xf>
    <xf numFmtId="171" fontId="11" fillId="0" borderId="0" xfId="8" applyNumberFormat="1" applyFont="1" applyFill="1" applyBorder="1" applyAlignment="1"/>
    <xf numFmtId="176" fontId="11" fillId="0" borderId="0" xfId="8" applyNumberFormat="1" applyFont="1" applyFill="1" applyBorder="1" applyAlignment="1"/>
    <xf numFmtId="178" fontId="8" fillId="2" borderId="0" xfId="8" applyNumberFormat="1" applyFont="1" applyFill="1" applyBorder="1" applyAlignment="1">
      <alignment horizontal="right"/>
    </xf>
    <xf numFmtId="178" fontId="8" fillId="0" borderId="0" xfId="8" applyNumberFormat="1" applyFont="1" applyFill="1" applyBorder="1" applyAlignment="1">
      <alignment horizontal="right"/>
    </xf>
    <xf numFmtId="177" fontId="7" fillId="2" borderId="0" xfId="8" applyNumberFormat="1" applyFont="1" applyFill="1" applyAlignment="1">
      <alignment vertical="center"/>
    </xf>
    <xf numFmtId="0" fontId="11" fillId="0" borderId="0" xfId="8" applyNumberFormat="1" applyFont="1" applyFill="1" applyBorder="1" applyAlignment="1">
      <alignment vertical="top"/>
    </xf>
    <xf numFmtId="2" fontId="8" fillId="2" borderId="0" xfId="8" applyNumberFormat="1" applyFont="1" applyFill="1" applyAlignment="1">
      <alignment vertical="top"/>
    </xf>
    <xf numFmtId="0" fontId="26" fillId="0" borderId="0" xfId="8" applyNumberFormat="1" applyFont="1" applyFill="1" applyBorder="1" applyAlignment="1">
      <alignment vertical="top"/>
    </xf>
    <xf numFmtId="0" fontId="27" fillId="2" borderId="0" xfId="8" applyFont="1" applyFill="1" applyAlignment="1">
      <alignment vertical="top"/>
    </xf>
    <xf numFmtId="49" fontId="8" fillId="2" borderId="0" xfId="8" applyNumberFormat="1" applyFont="1" applyFill="1" applyAlignment="1"/>
    <xf numFmtId="179" fontId="7" fillId="2" borderId="0" xfId="8" applyNumberFormat="1" applyFont="1" applyFill="1" applyAlignment="1">
      <alignment vertical="center"/>
    </xf>
    <xf numFmtId="49" fontId="7" fillId="2" borderId="0" xfId="8" applyNumberFormat="1" applyFont="1" applyFill="1" applyAlignment="1"/>
    <xf numFmtId="165" fontId="11" fillId="0" borderId="0" xfId="6" applyNumberFormat="1" applyFont="1" applyFill="1" applyBorder="1" applyAlignment="1">
      <alignment horizontal="right" vertical="center" wrapText="1"/>
    </xf>
    <xf numFmtId="1" fontId="0" fillId="0" borderId="0" xfId="0" applyNumberFormat="1"/>
    <xf numFmtId="3" fontId="15" fillId="0" borderId="4" xfId="5" applyNumberFormat="1" applyFont="1" applyFill="1" applyBorder="1"/>
    <xf numFmtId="3" fontId="10" fillId="0" borderId="4" xfId="5" applyNumberFormat="1" applyFont="1" applyFill="1" applyBorder="1"/>
    <xf numFmtId="49" fontId="36" fillId="0" borderId="1" xfId="35" applyNumberFormat="1" applyFill="1" applyBorder="1" applyAlignment="1">
      <alignment horizontal="left"/>
    </xf>
    <xf numFmtId="3" fontId="8" fillId="0" borderId="28" xfId="0" applyNumberFormat="1" applyFont="1" applyFill="1" applyBorder="1" applyAlignment="1">
      <alignment horizontal="right" vertical="top"/>
    </xf>
    <xf numFmtId="3" fontId="10" fillId="0" borderId="28" xfId="0" applyNumberFormat="1" applyFont="1" applyBorder="1" applyAlignment="1">
      <alignment horizontal="right"/>
    </xf>
    <xf numFmtId="17" fontId="9" fillId="4" borderId="28" xfId="8" applyNumberFormat="1" applyFont="1" applyFill="1" applyBorder="1" applyAlignment="1">
      <alignment horizontal="left" vertical="center"/>
    </xf>
    <xf numFmtId="1" fontId="11" fillId="0" borderId="0" xfId="8" applyNumberFormat="1" applyFont="1" applyFill="1" applyBorder="1" applyAlignment="1"/>
    <xf numFmtId="184" fontId="7" fillId="2" borderId="28" xfId="8" applyNumberFormat="1" applyFont="1" applyFill="1" applyBorder="1" applyAlignment="1">
      <alignment horizontal="right"/>
    </xf>
    <xf numFmtId="179" fontId="8" fillId="0" borderId="28" xfId="8" applyNumberFormat="1" applyFont="1" applyFill="1" applyBorder="1" applyAlignment="1">
      <alignment horizontal="right"/>
    </xf>
    <xf numFmtId="179" fontId="8" fillId="2" borderId="28" xfId="8" applyNumberFormat="1" applyFont="1" applyFill="1" applyBorder="1" applyAlignment="1">
      <alignment horizontal="right" vertical="center" wrapText="1"/>
    </xf>
    <xf numFmtId="178" fontId="8" fillId="2" borderId="28" xfId="8" applyNumberFormat="1" applyFont="1" applyFill="1" applyBorder="1" applyAlignment="1">
      <alignment horizontal="right" vertical="center" wrapText="1"/>
    </xf>
    <xf numFmtId="183" fontId="8" fillId="2" borderId="28" xfId="8" applyNumberFormat="1" applyFont="1" applyFill="1" applyBorder="1" applyAlignment="1">
      <alignment horizontal="right" vertical="center" wrapText="1"/>
    </xf>
    <xf numFmtId="49" fontId="7" fillId="2" borderId="0" xfId="8" applyNumberFormat="1" applyFont="1" applyFill="1" applyAlignment="1">
      <alignment vertical="center"/>
    </xf>
    <xf numFmtId="3" fontId="11" fillId="0" borderId="28" xfId="6" applyNumberFormat="1" applyFont="1" applyBorder="1" applyAlignment="1">
      <alignment horizontal="right"/>
    </xf>
    <xf numFmtId="3" fontId="10" fillId="0" borderId="28" xfId="0" applyNumberFormat="1" applyFont="1" applyBorder="1"/>
    <xf numFmtId="165" fontId="2" fillId="0" borderId="0" xfId="0" applyNumberFormat="1" applyFont="1" applyFill="1" applyBorder="1" applyAlignment="1">
      <alignment horizontal="center" vertical="center" wrapText="1"/>
    </xf>
    <xf numFmtId="0" fontId="10" fillId="0" borderId="0" xfId="0" applyFont="1" applyBorder="1"/>
    <xf numFmtId="3" fontId="11" fillId="0" borderId="28" xfId="1" applyNumberFormat="1" applyFont="1" applyBorder="1" applyAlignment="1">
      <alignment horizontal="right"/>
    </xf>
    <xf numFmtId="165" fontId="2" fillId="0" borderId="0" xfId="0" applyNumberFormat="1" applyFont="1" applyFill="1" applyBorder="1" applyAlignment="1">
      <alignment vertical="center" wrapText="1"/>
    </xf>
    <xf numFmtId="49" fontId="7" fillId="0" borderId="0" xfId="0" applyNumberFormat="1" applyFont="1" applyFill="1" applyBorder="1" applyAlignment="1">
      <alignment horizontal="left"/>
    </xf>
    <xf numFmtId="0" fontId="9" fillId="0" borderId="28" xfId="0" applyFont="1" applyFill="1" applyBorder="1" applyAlignment="1">
      <alignment horizontal="left" vertical="center"/>
    </xf>
    <xf numFmtId="165" fontId="8" fillId="0" borderId="28" xfId="0" applyNumberFormat="1" applyFont="1" applyFill="1" applyBorder="1" applyAlignment="1">
      <alignment horizontal="center"/>
    </xf>
    <xf numFmtId="0" fontId="10" fillId="0" borderId="28" xfId="0" applyFont="1" applyFill="1" applyBorder="1" applyAlignment="1">
      <alignment horizontal="center"/>
    </xf>
    <xf numFmtId="0" fontId="0" fillId="0" borderId="0" xfId="0" applyFont="1" applyBorder="1"/>
    <xf numFmtId="0" fontId="0" fillId="0" borderId="0" xfId="0" applyFont="1"/>
    <xf numFmtId="49" fontId="8" fillId="0" borderId="28" xfId="0" applyNumberFormat="1" applyFont="1" applyFill="1" applyBorder="1" applyAlignment="1">
      <alignment horizontal="left"/>
    </xf>
    <xf numFmtId="0" fontId="38" fillId="0" borderId="0" xfId="0" applyFont="1"/>
    <xf numFmtId="49" fontId="7" fillId="0" borderId="0" xfId="0" applyNumberFormat="1" applyFont="1" applyFill="1" applyBorder="1" applyAlignment="1">
      <alignment horizontal="center"/>
    </xf>
    <xf numFmtId="15" fontId="10" fillId="0" borderId="28" xfId="0" applyNumberFormat="1" applyFont="1" applyBorder="1" applyAlignment="1">
      <alignment horizontal="center" vertical="center"/>
    </xf>
    <xf numFmtId="49" fontId="7" fillId="2" borderId="0" xfId="8" applyNumberFormat="1" applyFont="1" applyFill="1" applyAlignment="1">
      <alignment vertical="top"/>
    </xf>
    <xf numFmtId="0" fontId="8" fillId="0" borderId="0" xfId="8" applyFont="1" applyFill="1" applyAlignment="1">
      <alignment vertical="center"/>
    </xf>
    <xf numFmtId="0" fontId="8" fillId="0" borderId="28" xfId="0" applyFont="1" applyFill="1" applyBorder="1" applyAlignment="1">
      <alignment horizontal="right"/>
    </xf>
    <xf numFmtId="3" fontId="10" fillId="0" borderId="28" xfId="0" applyNumberFormat="1" applyFont="1" applyFill="1" applyBorder="1"/>
    <xf numFmtId="3" fontId="7" fillId="7" borderId="28" xfId="0" applyNumberFormat="1" applyFont="1" applyFill="1" applyBorder="1" applyAlignment="1">
      <alignment horizontal="right" vertical="top"/>
    </xf>
    <xf numFmtId="49" fontId="7" fillId="0" borderId="0" xfId="0" applyNumberFormat="1" applyFont="1" applyFill="1" applyAlignment="1">
      <alignment horizontal="left" vertical="top"/>
    </xf>
    <xf numFmtId="0" fontId="8" fillId="0" borderId="0" xfId="0" applyFont="1" applyFill="1" applyAlignment="1">
      <alignment horizontal="left" vertical="top"/>
    </xf>
    <xf numFmtId="0" fontId="8" fillId="0" borderId="0" xfId="0" applyFont="1" applyFill="1" applyAlignment="1">
      <alignment horizontal="left" vertical="top"/>
    </xf>
    <xf numFmtId="0" fontId="36" fillId="0" borderId="28" xfId="35" applyBorder="1"/>
    <xf numFmtId="3" fontId="8" fillId="0" borderId="4" xfId="0" applyNumberFormat="1" applyFont="1" applyFill="1" applyBorder="1" applyAlignment="1">
      <alignment horizontal="right" vertical="top"/>
    </xf>
    <xf numFmtId="3" fontId="11" fillId="0" borderId="4" xfId="0" applyNumberFormat="1" applyFont="1" applyFill="1" applyBorder="1" applyAlignment="1">
      <alignment horizontal="right" vertical="center"/>
    </xf>
    <xf numFmtId="3" fontId="11" fillId="0" borderId="28" xfId="6" applyNumberFormat="1" applyFont="1" applyBorder="1" applyAlignment="1">
      <alignment horizontal="right" vertical="center"/>
    </xf>
    <xf numFmtId="0" fontId="11" fillId="0" borderId="28" xfId="0" applyFont="1" applyFill="1" applyBorder="1" applyAlignment="1">
      <alignment horizontal="center" vertical="center"/>
    </xf>
    <xf numFmtId="0" fontId="8" fillId="2" borderId="0" xfId="8" applyFont="1" applyFill="1" applyAlignment="1">
      <alignment vertical="top"/>
    </xf>
    <xf numFmtId="0" fontId="8" fillId="0" borderId="0" xfId="8" applyFont="1" applyFill="1" applyAlignment="1">
      <alignment vertical="top"/>
    </xf>
    <xf numFmtId="0" fontId="7" fillId="2" borderId="0" xfId="8" applyFont="1" applyFill="1" applyAlignment="1">
      <alignment vertical="top"/>
    </xf>
    <xf numFmtId="49" fontId="12" fillId="0" borderId="0" xfId="8" applyNumberFormat="1" applyFont="1" applyFill="1" applyAlignment="1">
      <alignment vertical="center"/>
    </xf>
    <xf numFmtId="0" fontId="22" fillId="0" borderId="0" xfId="8" applyNumberFormat="1" applyFont="1" applyFill="1" applyBorder="1" applyAlignment="1">
      <alignment horizontal="center" vertical="top"/>
    </xf>
    <xf numFmtId="49" fontId="23" fillId="2" borderId="0" xfId="8" applyNumberFormat="1" applyFont="1" applyFill="1" applyBorder="1" applyAlignment="1">
      <alignment horizontal="left" vertical="center" wrapText="1"/>
    </xf>
    <xf numFmtId="3" fontId="22" fillId="0" borderId="0" xfId="8" applyNumberFormat="1" applyFont="1" applyFill="1" applyBorder="1" applyAlignment="1">
      <alignment horizontal="right" vertical="top"/>
    </xf>
    <xf numFmtId="4" fontId="22" fillId="0" borderId="0" xfId="8" applyNumberFormat="1" applyFont="1" applyFill="1" applyBorder="1" applyAlignment="1">
      <alignment horizontal="right" vertical="top"/>
    </xf>
    <xf numFmtId="180" fontId="22" fillId="0" borderId="0" xfId="8" applyNumberFormat="1" applyFont="1" applyFill="1" applyBorder="1" applyAlignment="1">
      <alignment horizontal="right" vertical="top"/>
    </xf>
    <xf numFmtId="2" fontId="22" fillId="0" borderId="0" xfId="8" applyNumberFormat="1" applyFont="1" applyFill="1" applyBorder="1" applyAlignment="1">
      <alignment horizontal="right" vertical="top"/>
    </xf>
    <xf numFmtId="0" fontId="22" fillId="0" borderId="28" xfId="8" applyNumberFormat="1" applyFont="1" applyFill="1" applyBorder="1" applyAlignment="1">
      <alignment horizontal="center" vertical="top"/>
    </xf>
    <xf numFmtId="49" fontId="25" fillId="2" borderId="0" xfId="8" applyNumberFormat="1" applyFont="1" applyFill="1" applyAlignment="1">
      <alignment horizontal="left" vertical="center"/>
    </xf>
    <xf numFmtId="0" fontId="28" fillId="2" borderId="0" xfId="8" applyFont="1" applyFill="1" applyBorder="1" applyAlignment="1">
      <alignment horizontal="center" vertical="center"/>
    </xf>
    <xf numFmtId="49" fontId="28" fillId="2" borderId="0" xfId="8" applyNumberFormat="1" applyFont="1" applyFill="1" applyBorder="1" applyAlignment="1">
      <alignment horizontal="left" vertical="center"/>
    </xf>
    <xf numFmtId="165" fontId="28" fillId="2" borderId="0" xfId="8" applyNumberFormat="1" applyFont="1" applyFill="1" applyBorder="1" applyAlignment="1">
      <alignment horizontal="left" vertical="center"/>
    </xf>
    <xf numFmtId="181" fontId="28" fillId="2" borderId="0" xfId="10" applyNumberFormat="1" applyFont="1" applyFill="1" applyBorder="1" applyAlignment="1">
      <alignment horizontal="left" vertical="center"/>
    </xf>
    <xf numFmtId="0" fontId="28" fillId="2" borderId="0" xfId="8" applyFont="1" applyFill="1" applyBorder="1" applyAlignment="1">
      <alignment horizontal="left" vertical="center"/>
    </xf>
    <xf numFmtId="184" fontId="8" fillId="2" borderId="28" xfId="8" applyNumberFormat="1" applyFont="1" applyFill="1" applyBorder="1" applyAlignment="1">
      <alignment horizontal="right"/>
    </xf>
    <xf numFmtId="3" fontId="8" fillId="2" borderId="28" xfId="8" applyNumberFormat="1" applyFont="1" applyFill="1" applyBorder="1" applyAlignment="1">
      <alignment horizontal="right"/>
    </xf>
    <xf numFmtId="177" fontId="8" fillId="2" borderId="28" xfId="8" applyNumberFormat="1" applyFont="1" applyFill="1" applyBorder="1" applyAlignment="1">
      <alignment horizontal="right"/>
    </xf>
    <xf numFmtId="0" fontId="8" fillId="2" borderId="28" xfId="8" applyFont="1" applyFill="1" applyBorder="1" applyAlignment="1">
      <alignment horizontal="right"/>
    </xf>
    <xf numFmtId="165" fontId="8" fillId="0" borderId="28" xfId="8" applyNumberFormat="1" applyFont="1" applyFill="1" applyBorder="1" applyAlignment="1">
      <alignment horizontal="right"/>
    </xf>
    <xf numFmtId="3" fontId="9" fillId="4" borderId="28" xfId="8" applyNumberFormat="1" applyFont="1" applyFill="1" applyBorder="1" applyAlignment="1">
      <alignment horizontal="right" vertical="center"/>
    </xf>
    <xf numFmtId="165" fontId="8" fillId="2" borderId="28" xfId="8" applyNumberFormat="1" applyFont="1" applyFill="1" applyBorder="1" applyAlignment="1">
      <alignment horizontal="right"/>
    </xf>
    <xf numFmtId="0" fontId="8" fillId="2" borderId="0" xfId="8" applyFont="1" applyFill="1" applyAlignment="1">
      <alignment vertical="center"/>
    </xf>
    <xf numFmtId="0" fontId="0" fillId="0" borderId="0" xfId="0"/>
    <xf numFmtId="165" fontId="8" fillId="2" borderId="0" xfId="8" applyNumberFormat="1" applyFont="1" applyFill="1" applyBorder="1" applyAlignment="1">
      <alignment horizontal="right"/>
    </xf>
    <xf numFmtId="3" fontId="8" fillId="2" borderId="0" xfId="8" applyNumberFormat="1" applyFont="1" applyFill="1" applyBorder="1" applyAlignment="1">
      <alignment horizontal="right"/>
    </xf>
    <xf numFmtId="49" fontId="3" fillId="2" borderId="41" xfId="3" applyNumberFormat="1" applyFont="1" applyFill="1" applyBorder="1" applyAlignment="1">
      <alignment horizontal="center"/>
    </xf>
    <xf numFmtId="0" fontId="10" fillId="0" borderId="0" xfId="0" applyFont="1"/>
    <xf numFmtId="0" fontId="0" fillId="3" borderId="0" xfId="0" applyFill="1"/>
    <xf numFmtId="168" fontId="7" fillId="0" borderId="4" xfId="0" applyNumberFormat="1" applyFont="1" applyFill="1" applyBorder="1" applyAlignment="1">
      <alignment horizontal="right" vertical="top"/>
    </xf>
    <xf numFmtId="168" fontId="7" fillId="0" borderId="28" xfId="0" applyNumberFormat="1" applyFont="1" applyFill="1" applyBorder="1" applyAlignment="1">
      <alignment horizontal="right" vertical="top"/>
    </xf>
    <xf numFmtId="3" fontId="7" fillId="0" borderId="4" xfId="0" applyNumberFormat="1" applyFont="1" applyFill="1" applyBorder="1" applyAlignment="1">
      <alignment horizontal="right" vertical="top"/>
    </xf>
    <xf numFmtId="3" fontId="7" fillId="2" borderId="1" xfId="8" applyNumberFormat="1" applyFont="1" applyFill="1" applyBorder="1" applyAlignment="1">
      <alignment horizontal="right"/>
    </xf>
    <xf numFmtId="1" fontId="8" fillId="2" borderId="4" xfId="8" applyNumberFormat="1" applyFont="1" applyFill="1" applyBorder="1" applyAlignment="1">
      <alignment horizontal="right"/>
    </xf>
    <xf numFmtId="0" fontId="8" fillId="2" borderId="0" xfId="8" applyFont="1" applyFill="1" applyBorder="1" applyAlignment="1">
      <alignment horizontal="right"/>
    </xf>
    <xf numFmtId="173" fontId="8" fillId="2" borderId="0" xfId="8" applyNumberFormat="1" applyFont="1" applyFill="1" applyBorder="1" applyAlignment="1">
      <alignment horizontal="right"/>
    </xf>
    <xf numFmtId="177" fontId="8" fillId="2" borderId="0" xfId="8" applyNumberFormat="1" applyFont="1" applyFill="1" applyBorder="1" applyAlignment="1">
      <alignment horizontal="right"/>
    </xf>
    <xf numFmtId="179" fontId="8" fillId="2" borderId="0" xfId="8" applyNumberFormat="1" applyFont="1" applyFill="1" applyBorder="1" applyAlignment="1">
      <alignment horizontal="right"/>
    </xf>
    <xf numFmtId="49" fontId="27" fillId="2" borderId="0" xfId="8" applyNumberFormat="1" applyFont="1" applyFill="1" applyAlignment="1">
      <alignment horizontal="left" vertical="top"/>
    </xf>
    <xf numFmtId="182" fontId="8" fillId="2" borderId="0" xfId="8" applyNumberFormat="1" applyFont="1" applyFill="1" applyBorder="1" applyAlignment="1">
      <alignment horizontal="right"/>
    </xf>
    <xf numFmtId="165" fontId="8" fillId="0" borderId="0" xfId="8" applyNumberFormat="1" applyFont="1" applyFill="1" applyBorder="1" applyAlignment="1">
      <alignment horizontal="right"/>
    </xf>
    <xf numFmtId="182" fontId="8" fillId="0" borderId="0" xfId="8" applyNumberFormat="1" applyFont="1" applyFill="1" applyBorder="1" applyAlignment="1">
      <alignment horizontal="right"/>
    </xf>
    <xf numFmtId="183" fontId="8" fillId="2" borderId="0" xfId="8" applyNumberFormat="1" applyFont="1" applyFill="1" applyBorder="1" applyAlignment="1">
      <alignment horizontal="right"/>
    </xf>
    <xf numFmtId="184" fontId="8" fillId="2" borderId="0" xfId="8" applyNumberFormat="1" applyFont="1" applyFill="1" applyBorder="1" applyAlignment="1">
      <alignment horizontal="right"/>
    </xf>
    <xf numFmtId="185" fontId="8" fillId="2" borderId="0" xfId="8" applyNumberFormat="1" applyFont="1" applyFill="1" applyBorder="1" applyAlignment="1">
      <alignment horizontal="right"/>
    </xf>
    <xf numFmtId="168" fontId="8" fillId="2" borderId="0" xfId="11" applyNumberFormat="1" applyFont="1" applyFill="1" applyBorder="1" applyAlignment="1">
      <alignment horizontal="right"/>
    </xf>
    <xf numFmtId="3" fontId="21" fillId="3" borderId="28" xfId="49" applyNumberFormat="1" applyFont="1" applyFill="1" applyBorder="1" applyAlignment="1">
      <alignment horizontal="right" vertical="center" wrapText="1"/>
    </xf>
    <xf numFmtId="3" fontId="21" fillId="3" borderId="28" xfId="49" applyNumberFormat="1" applyFont="1" applyFill="1" applyBorder="1" applyAlignment="1">
      <alignment horizontal="right" wrapText="1"/>
    </xf>
    <xf numFmtId="0" fontId="8" fillId="0" borderId="0" xfId="0" applyFont="1" applyFill="1" applyBorder="1" applyAlignment="1">
      <alignment horizontal="left" vertical="top"/>
    </xf>
    <xf numFmtId="0" fontId="10" fillId="0" borderId="28" xfId="0" applyFont="1" applyBorder="1"/>
    <xf numFmtId="1" fontId="10" fillId="0" borderId="28" xfId="0" applyNumberFormat="1" applyFont="1" applyBorder="1"/>
    <xf numFmtId="0" fontId="10" fillId="0" borderId="28" xfId="0" applyFont="1" applyBorder="1" applyAlignment="1">
      <alignment wrapText="1"/>
    </xf>
    <xf numFmtId="49" fontId="17" fillId="0" borderId="24" xfId="0" applyNumberFormat="1" applyFont="1" applyFill="1" applyBorder="1" applyAlignment="1">
      <alignment horizontal="left"/>
    </xf>
    <xf numFmtId="0" fontId="10" fillId="0" borderId="28" xfId="0" applyFont="1" applyBorder="1" applyAlignment="1">
      <alignment vertical="center" wrapText="1"/>
    </xf>
    <xf numFmtId="0" fontId="18" fillId="0" borderId="0" xfId="0" applyFont="1" applyFill="1" applyBorder="1" applyAlignment="1">
      <alignment horizontal="left" vertical="top"/>
    </xf>
    <xf numFmtId="3" fontId="10" fillId="0" borderId="0" xfId="0" applyNumberFormat="1" applyFont="1" applyBorder="1"/>
    <xf numFmtId="0" fontId="10" fillId="3" borderId="28" xfId="0" applyFont="1" applyFill="1" applyBorder="1" applyAlignment="1">
      <alignment horizontal="center"/>
    </xf>
    <xf numFmtId="49" fontId="8" fillId="3" borderId="28" xfId="0" applyNumberFormat="1" applyFont="1" applyFill="1" applyBorder="1" applyAlignment="1">
      <alignment horizontal="left"/>
    </xf>
    <xf numFmtId="165" fontId="8" fillId="3" borderId="28" xfId="0" applyNumberFormat="1" applyFont="1" applyFill="1" applyBorder="1" applyAlignment="1">
      <alignment horizontal="center"/>
    </xf>
    <xf numFmtId="0" fontId="9" fillId="3" borderId="28" xfId="0" applyFont="1" applyFill="1" applyBorder="1" applyAlignment="1">
      <alignment horizontal="left" vertical="center"/>
    </xf>
    <xf numFmtId="3" fontId="10" fillId="3" borderId="28" xfId="0" applyNumberFormat="1" applyFont="1" applyFill="1" applyBorder="1" applyAlignment="1">
      <alignment horizontal="center"/>
    </xf>
    <xf numFmtId="0" fontId="8" fillId="3" borderId="0" xfId="8" applyFont="1" applyFill="1" applyAlignment="1">
      <alignment vertical="center"/>
    </xf>
    <xf numFmtId="17" fontId="21" fillId="0" borderId="0" xfId="19" applyNumberFormat="1" applyFont="1" applyFill="1" applyBorder="1" applyAlignment="1">
      <alignment horizontal="left" vertical="top"/>
    </xf>
    <xf numFmtId="179" fontId="8" fillId="2" borderId="0" xfId="8" applyNumberFormat="1" applyFont="1" applyFill="1" applyAlignment="1">
      <alignment vertical="center"/>
    </xf>
    <xf numFmtId="0" fontId="8" fillId="2" borderId="0" xfId="0" applyFont="1" applyFill="1" applyBorder="1" applyAlignment="1">
      <alignment horizontal="right"/>
    </xf>
    <xf numFmtId="49" fontId="7" fillId="0" borderId="12" xfId="0" applyNumberFormat="1" applyFont="1" applyFill="1" applyBorder="1" applyAlignment="1">
      <alignment horizontal="left"/>
    </xf>
    <xf numFmtId="49" fontId="7" fillId="2" borderId="0" xfId="8" applyNumberFormat="1" applyFont="1" applyFill="1" applyAlignment="1">
      <alignment horizontal="left"/>
    </xf>
    <xf numFmtId="43" fontId="10" fillId="0" borderId="28" xfId="1" applyFont="1" applyFill="1" applyBorder="1" applyAlignment="1">
      <alignment vertical="top" wrapText="1"/>
    </xf>
    <xf numFmtId="43" fontId="10" fillId="0" borderId="28" xfId="1" applyFont="1" applyFill="1" applyBorder="1" applyAlignment="1">
      <alignment horizontal="right" vertical="top" wrapText="1"/>
    </xf>
    <xf numFmtId="49" fontId="7" fillId="2" borderId="0" xfId="8" applyNumberFormat="1" applyFont="1" applyFill="1" applyAlignment="1">
      <alignment horizontal="left"/>
    </xf>
    <xf numFmtId="0" fontId="12" fillId="0" borderId="31" xfId="0" applyFont="1" applyBorder="1" applyAlignment="1">
      <alignment horizontal="left" vertical="top" wrapText="1"/>
    </xf>
    <xf numFmtId="0" fontId="11" fillId="0" borderId="0" xfId="0" applyFont="1" applyAlignment="1">
      <alignment horizontal="left" vertical="top"/>
    </xf>
    <xf numFmtId="0" fontId="10" fillId="3" borderId="0" xfId="0" applyFont="1" applyFill="1"/>
    <xf numFmtId="0" fontId="10" fillId="0" borderId="0" xfId="0" applyFont="1" applyFill="1" applyBorder="1" applyProtection="1">
      <protection locked="0"/>
    </xf>
    <xf numFmtId="0" fontId="10" fillId="0" borderId="0" xfId="0" applyFont="1" applyBorder="1" applyProtection="1">
      <protection locked="0"/>
    </xf>
    <xf numFmtId="0" fontId="11" fillId="0" borderId="28" xfId="0" applyFont="1" applyBorder="1" applyAlignment="1">
      <alignment horizontal="left"/>
    </xf>
    <xf numFmtId="14" fontId="11" fillId="0" borderId="28" xfId="0" applyNumberFormat="1" applyFont="1" applyBorder="1" applyAlignment="1">
      <alignment horizontal="left"/>
    </xf>
    <xf numFmtId="0" fontId="11" fillId="0" borderId="28" xfId="0" applyFont="1" applyBorder="1" applyAlignment="1">
      <alignment horizontal="right"/>
    </xf>
    <xf numFmtId="0" fontId="11" fillId="3" borderId="28" xfId="0" applyFont="1" applyFill="1" applyBorder="1" applyAlignment="1">
      <alignment horizontal="left"/>
    </xf>
    <xf numFmtId="14" fontId="11" fillId="3" borderId="28" xfId="0" applyNumberFormat="1" applyFont="1" applyFill="1" applyBorder="1" applyAlignment="1">
      <alignment horizontal="left"/>
    </xf>
    <xf numFmtId="14" fontId="10" fillId="0" borderId="0" xfId="0" applyNumberFormat="1" applyFont="1" applyBorder="1" applyAlignment="1">
      <alignment horizontal="right"/>
    </xf>
    <xf numFmtId="14" fontId="10" fillId="0" borderId="0" xfId="0" applyNumberFormat="1" applyFont="1" applyFill="1" applyBorder="1" applyAlignment="1">
      <alignment horizontal="right"/>
    </xf>
    <xf numFmtId="14" fontId="10" fillId="0" borderId="0" xfId="0" applyNumberFormat="1" applyFont="1" applyBorder="1"/>
    <xf numFmtId="0" fontId="10" fillId="0" borderId="0" xfId="0" applyFont="1" applyFill="1" applyBorder="1"/>
    <xf numFmtId="168" fontId="15" fillId="0" borderId="28" xfId="29" applyNumberFormat="1" applyFont="1" applyBorder="1" applyAlignment="1">
      <alignment horizontal="left" vertical="top"/>
    </xf>
    <xf numFmtId="168" fontId="15" fillId="0" borderId="28" xfId="29" applyNumberFormat="1" applyFont="1" applyFill="1" applyBorder="1" applyAlignment="1">
      <alignment horizontal="left" vertical="top"/>
    </xf>
    <xf numFmtId="3" fontId="40" fillId="0" borderId="28" xfId="0" applyNumberFormat="1" applyFont="1" applyBorder="1" applyAlignment="1">
      <alignment horizontal="right"/>
    </xf>
    <xf numFmtId="3" fontId="39" fillId="0" borderId="28" xfId="6" applyNumberFormat="1" applyFont="1" applyBorder="1" applyAlignment="1">
      <alignment horizontal="right"/>
    </xf>
    <xf numFmtId="167" fontId="0" fillId="0" borderId="0" xfId="0" applyNumberFormat="1"/>
    <xf numFmtId="3" fontId="10" fillId="0" borderId="28" xfId="0" applyNumberFormat="1" applyFont="1" applyBorder="1" applyAlignment="1">
      <alignment horizontal="right" vertical="center"/>
    </xf>
    <xf numFmtId="43" fontId="10" fillId="0" borderId="28" xfId="1" applyFont="1" applyBorder="1" applyAlignment="1">
      <alignment horizontal="right" vertical="center"/>
    </xf>
    <xf numFmtId="49" fontId="7" fillId="2" borderId="50" xfId="8" applyNumberFormat="1" applyFont="1" applyFill="1" applyBorder="1" applyAlignment="1">
      <alignment vertical="center"/>
    </xf>
    <xf numFmtId="49" fontId="7" fillId="2" borderId="50" xfId="8" applyNumberFormat="1" applyFont="1" applyFill="1" applyBorder="1" applyAlignment="1">
      <alignment vertical="center" wrapText="1"/>
    </xf>
    <xf numFmtId="49" fontId="7" fillId="2" borderId="50" xfId="8" applyNumberFormat="1" applyFont="1" applyFill="1" applyBorder="1" applyAlignment="1">
      <alignment vertical="top"/>
    </xf>
    <xf numFmtId="0" fontId="2" fillId="0" borderId="50" xfId="8" applyNumberFormat="1" applyFont="1" applyFill="1" applyBorder="1" applyAlignment="1"/>
    <xf numFmtId="3" fontId="7" fillId="2" borderId="33" xfId="8" applyNumberFormat="1" applyFont="1" applyFill="1" applyBorder="1" applyAlignment="1">
      <alignment horizontal="right"/>
    </xf>
    <xf numFmtId="171" fontId="7" fillId="2" borderId="33" xfId="8" applyNumberFormat="1" applyFont="1" applyFill="1" applyBorder="1" applyAlignment="1">
      <alignment horizontal="right"/>
    </xf>
    <xf numFmtId="168" fontId="0" fillId="0" borderId="0" xfId="0" applyNumberFormat="1"/>
    <xf numFmtId="49" fontId="7" fillId="0" borderId="60" xfId="0" applyNumberFormat="1" applyFont="1" applyFill="1" applyBorder="1" applyAlignment="1">
      <alignment horizontal="left"/>
    </xf>
    <xf numFmtId="49" fontId="7" fillId="0" borderId="61" xfId="0" applyNumberFormat="1" applyFont="1" applyFill="1" applyBorder="1" applyAlignment="1">
      <alignment horizontal="left"/>
    </xf>
    <xf numFmtId="165" fontId="7" fillId="2" borderId="62" xfId="8" applyNumberFormat="1" applyFont="1" applyFill="1" applyBorder="1" applyAlignment="1">
      <alignment horizontal="right"/>
    </xf>
    <xf numFmtId="171" fontId="7" fillId="2" borderId="62" xfId="8" applyNumberFormat="1" applyFont="1" applyFill="1" applyBorder="1" applyAlignment="1">
      <alignment horizontal="right"/>
    </xf>
    <xf numFmtId="0" fontId="43" fillId="0" borderId="0" xfId="0" applyFont="1" applyFill="1" applyBorder="1" applyAlignment="1">
      <alignment horizontal="left" vertical="top"/>
    </xf>
    <xf numFmtId="0" fontId="43" fillId="0" borderId="0" xfId="0" applyFont="1" applyFill="1" applyAlignment="1">
      <alignment horizontal="left" vertical="top"/>
    </xf>
    <xf numFmtId="49" fontId="8" fillId="0" borderId="0" xfId="0" applyNumberFormat="1" applyFont="1" applyFill="1" applyBorder="1" applyAlignment="1">
      <alignment horizontal="left"/>
    </xf>
    <xf numFmtId="0" fontId="8" fillId="0" borderId="4" xfId="0" applyFont="1" applyFill="1" applyBorder="1" applyAlignment="1">
      <alignment vertical="top"/>
    </xf>
    <xf numFmtId="0" fontId="8" fillId="0" borderId="4" xfId="0" applyFont="1" applyFill="1" applyBorder="1" applyAlignment="1">
      <alignment horizontal="right" vertical="top"/>
    </xf>
    <xf numFmtId="17" fontId="11" fillId="0" borderId="0" xfId="19" applyNumberFormat="1" applyFont="1" applyFill="1" applyBorder="1" applyAlignment="1">
      <alignment horizontal="left" vertical="top"/>
    </xf>
    <xf numFmtId="165" fontId="11" fillId="0" borderId="28" xfId="6" applyNumberFormat="1" applyFont="1" applyBorder="1" applyAlignment="1">
      <alignment horizontal="right"/>
    </xf>
    <xf numFmtId="193" fontId="11" fillId="0" borderId="28" xfId="0" applyNumberFormat="1" applyFont="1" applyBorder="1" applyAlignment="1">
      <alignment horizontal="right"/>
    </xf>
    <xf numFmtId="193" fontId="11" fillId="3" borderId="28" xfId="0" applyNumberFormat="1" applyFont="1" applyFill="1" applyBorder="1" applyAlignment="1">
      <alignment horizontal="right"/>
    </xf>
    <xf numFmtId="14" fontId="10" fillId="0" borderId="28" xfId="0" applyNumberFormat="1" applyFont="1" applyBorder="1" applyAlignment="1">
      <alignment horizontal="right"/>
    </xf>
    <xf numFmtId="193" fontId="10" fillId="0" borderId="28" xfId="0" applyNumberFormat="1" applyFont="1" applyBorder="1" applyAlignment="1">
      <alignment horizontal="center"/>
    </xf>
    <xf numFmtId="14" fontId="10" fillId="0" borderId="28" xfId="0" applyNumberFormat="1" applyFont="1" applyFill="1" applyBorder="1" applyAlignment="1">
      <alignment horizontal="right"/>
    </xf>
    <xf numFmtId="49" fontId="7" fillId="8" borderId="28" xfId="0" applyNumberFormat="1" applyFont="1" applyFill="1" applyBorder="1" applyAlignment="1">
      <alignment horizontal="left" vertical="center"/>
    </xf>
    <xf numFmtId="49" fontId="7" fillId="8" borderId="28" xfId="0" applyNumberFormat="1" applyFont="1" applyFill="1" applyBorder="1" applyAlignment="1">
      <alignment horizontal="center"/>
    </xf>
    <xf numFmtId="169" fontId="7" fillId="8" borderId="4" xfId="5" applyNumberFormat="1" applyFont="1" applyFill="1" applyBorder="1" applyAlignment="1">
      <alignment horizontal="center" vertical="top" wrapText="1"/>
    </xf>
    <xf numFmtId="49" fontId="7" fillId="2" borderId="0" xfId="8" applyNumberFormat="1" applyFont="1" applyFill="1" applyAlignment="1">
      <alignment horizontal="left"/>
    </xf>
    <xf numFmtId="49" fontId="7" fillId="2" borderId="0" xfId="8" applyNumberFormat="1" applyFont="1" applyFill="1" applyAlignment="1">
      <alignment horizontal="left" vertical="top" wrapText="1"/>
    </xf>
    <xf numFmtId="49" fontId="7" fillId="2" borderId="0" xfId="8" applyNumberFormat="1" applyFont="1" applyFill="1" applyAlignment="1">
      <alignment horizontal="left" wrapText="1"/>
    </xf>
    <xf numFmtId="49" fontId="27" fillId="2" borderId="0" xfId="8" applyNumberFormat="1" applyFont="1" applyFill="1" applyAlignment="1">
      <alignment horizontal="left" vertical="top" wrapText="1"/>
    </xf>
    <xf numFmtId="0" fontId="8" fillId="2" borderId="28" xfId="0" applyFont="1" applyFill="1" applyBorder="1" applyAlignment="1">
      <alignment horizontal="right"/>
    </xf>
    <xf numFmtId="0" fontId="8" fillId="0" borderId="56" xfId="0" applyFont="1" applyFill="1" applyBorder="1" applyAlignment="1">
      <alignment horizontal="right"/>
    </xf>
    <xf numFmtId="0" fontId="8" fillId="2" borderId="56" xfId="0" applyFont="1" applyFill="1" applyBorder="1" applyAlignment="1">
      <alignment horizontal="right"/>
    </xf>
    <xf numFmtId="3" fontId="7" fillId="7" borderId="67" xfId="0" applyNumberFormat="1" applyFont="1" applyFill="1" applyBorder="1" applyAlignment="1">
      <alignment horizontal="right"/>
    </xf>
    <xf numFmtId="3" fontId="7" fillId="7" borderId="16" xfId="0" applyNumberFormat="1" applyFont="1" applyFill="1" applyBorder="1" applyAlignment="1">
      <alignment horizontal="right"/>
    </xf>
    <xf numFmtId="49" fontId="7" fillId="0" borderId="28" xfId="0" applyNumberFormat="1" applyFont="1" applyFill="1" applyBorder="1" applyAlignment="1">
      <alignment horizontal="left"/>
    </xf>
    <xf numFmtId="3" fontId="13" fillId="0" borderId="28" xfId="0" applyNumberFormat="1" applyFont="1" applyFill="1" applyBorder="1" applyAlignment="1">
      <alignment horizontal="right" vertical="center" wrapText="1"/>
    </xf>
    <xf numFmtId="49" fontId="7" fillId="0" borderId="63" xfId="0" applyNumberFormat="1" applyFont="1" applyFill="1" applyBorder="1" applyAlignment="1">
      <alignment horizontal="left"/>
    </xf>
    <xf numFmtId="49" fontId="7" fillId="3" borderId="62" xfId="8" applyNumberFormat="1" applyFont="1" applyFill="1" applyBorder="1" applyAlignment="1">
      <alignment horizontal="left"/>
    </xf>
    <xf numFmtId="196" fontId="6" fillId="3" borderId="0" xfId="3" applyNumberFormat="1" applyFont="1" applyFill="1" applyBorder="1" applyAlignment="1">
      <alignment horizontal="center"/>
    </xf>
    <xf numFmtId="0" fontId="7" fillId="2" borderId="62" xfId="8" applyFont="1" applyFill="1" applyBorder="1" applyAlignment="1">
      <alignment horizontal="right"/>
    </xf>
    <xf numFmtId="165" fontId="7" fillId="2" borderId="61" xfId="8" applyNumberFormat="1" applyFont="1" applyFill="1" applyBorder="1" applyAlignment="1">
      <alignment horizontal="right"/>
    </xf>
    <xf numFmtId="49" fontId="8" fillId="2" borderId="62" xfId="8" applyNumberFormat="1" applyFont="1" applyFill="1" applyBorder="1" applyAlignment="1">
      <alignment horizontal="left"/>
    </xf>
    <xf numFmtId="2" fontId="21" fillId="0" borderId="28" xfId="62" applyNumberFormat="1" applyFont="1" applyFill="1" applyBorder="1" applyAlignment="1">
      <alignment vertical="top"/>
    </xf>
    <xf numFmtId="49" fontId="23" fillId="2" borderId="62" xfId="8" applyNumberFormat="1" applyFont="1" applyFill="1" applyBorder="1" applyAlignment="1">
      <alignment horizontal="left" vertical="center" wrapText="1"/>
    </xf>
    <xf numFmtId="189" fontId="8" fillId="2" borderId="28" xfId="8" applyNumberFormat="1" applyFont="1" applyFill="1" applyBorder="1" applyAlignment="1">
      <alignment horizontal="right"/>
    </xf>
    <xf numFmtId="0" fontId="22" fillId="0" borderId="59" xfId="8" applyNumberFormat="1" applyFont="1" applyFill="1" applyBorder="1" applyAlignment="1">
      <alignment horizontal="center" vertical="top"/>
    </xf>
    <xf numFmtId="2" fontId="24" fillId="0" borderId="59" xfId="8" applyNumberFormat="1" applyFont="1" applyBorder="1" applyAlignment="1">
      <alignment vertical="top"/>
    </xf>
    <xf numFmtId="3" fontId="22" fillId="0" borderId="59" xfId="8" applyNumberFormat="1" applyFont="1" applyFill="1" applyBorder="1" applyAlignment="1">
      <alignment horizontal="right" vertical="top"/>
    </xf>
    <xf numFmtId="4" fontId="22" fillId="0" borderId="59" xfId="8" applyNumberFormat="1" applyFont="1" applyFill="1" applyBorder="1" applyAlignment="1">
      <alignment horizontal="center" vertical="top"/>
    </xf>
    <xf numFmtId="4" fontId="22" fillId="0" borderId="59" xfId="8" applyNumberFormat="1" applyFont="1" applyFill="1" applyBorder="1" applyAlignment="1">
      <alignment horizontal="right" vertical="top"/>
    </xf>
    <xf numFmtId="180" fontId="22" fillId="0" borderId="59" xfId="8" applyNumberFormat="1" applyFont="1" applyFill="1" applyBorder="1" applyAlignment="1">
      <alignment horizontal="right" vertical="top"/>
    </xf>
    <xf numFmtId="2" fontId="22" fillId="0" borderId="59" xfId="8" applyNumberFormat="1" applyFont="1" applyFill="1" applyBorder="1" applyAlignment="1">
      <alignment horizontal="right" vertical="top"/>
    </xf>
    <xf numFmtId="0" fontId="27" fillId="2" borderId="62" xfId="8" applyFont="1" applyFill="1" applyBorder="1" applyAlignment="1">
      <alignment horizontal="center" vertical="center"/>
    </xf>
    <xf numFmtId="49" fontId="27" fillId="2" borderId="62" xfId="8" applyNumberFormat="1" applyFont="1" applyFill="1" applyBorder="1" applyAlignment="1">
      <alignment horizontal="left" vertical="center"/>
    </xf>
    <xf numFmtId="184" fontId="7" fillId="2" borderId="61" xfId="8" applyNumberFormat="1" applyFont="1" applyFill="1" applyBorder="1" applyAlignment="1">
      <alignment horizontal="right"/>
    </xf>
    <xf numFmtId="49" fontId="7" fillId="0" borderId="46" xfId="0" applyNumberFormat="1" applyFont="1" applyFill="1" applyBorder="1" applyAlignment="1">
      <alignment horizontal="left"/>
    </xf>
    <xf numFmtId="179" fontId="7" fillId="2" borderId="44" xfId="8" applyNumberFormat="1" applyFont="1" applyFill="1" applyBorder="1" applyAlignment="1">
      <alignment horizontal="right" vertical="center" wrapText="1"/>
    </xf>
    <xf numFmtId="178" fontId="7" fillId="2" borderId="44" xfId="8" applyNumberFormat="1" applyFont="1" applyFill="1" applyBorder="1" applyAlignment="1">
      <alignment horizontal="right" vertical="center" wrapText="1"/>
    </xf>
    <xf numFmtId="183" fontId="7" fillId="2" borderId="44" xfId="8" applyNumberFormat="1" applyFont="1" applyFill="1" applyBorder="1" applyAlignment="1">
      <alignment horizontal="right" vertical="center" wrapText="1"/>
    </xf>
    <xf numFmtId="165" fontId="8" fillId="2" borderId="0" xfId="8" applyNumberFormat="1" applyFont="1" applyFill="1" applyBorder="1" applyAlignment="1">
      <alignment horizontal="left"/>
    </xf>
    <xf numFmtId="3" fontId="8" fillId="0" borderId="0" xfId="0" applyNumberFormat="1" applyFont="1" applyFill="1" applyBorder="1" applyAlignment="1">
      <alignment horizontal="right" vertical="top"/>
    </xf>
    <xf numFmtId="168" fontId="8" fillId="0" borderId="0" xfId="0" applyNumberFormat="1" applyFont="1" applyFill="1" applyBorder="1" applyAlignment="1">
      <alignment horizontal="right" vertical="top"/>
    </xf>
    <xf numFmtId="0" fontId="10" fillId="3" borderId="0" xfId="0" applyFont="1" applyFill="1" applyAlignment="1"/>
    <xf numFmtId="49" fontId="46" fillId="3" borderId="0" xfId="0" applyNumberFormat="1" applyFont="1" applyFill="1" applyBorder="1" applyAlignment="1">
      <alignment vertical="top" wrapText="1"/>
    </xf>
    <xf numFmtId="0" fontId="47" fillId="3" borderId="0" xfId="0" applyNumberFormat="1" applyFont="1" applyFill="1" applyBorder="1" applyAlignment="1"/>
    <xf numFmtId="4" fontId="7" fillId="7" borderId="28" xfId="0" applyNumberFormat="1" applyFont="1" applyFill="1" applyBorder="1" applyAlignment="1">
      <alignment horizontal="right" vertical="top"/>
    </xf>
    <xf numFmtId="0" fontId="11" fillId="3" borderId="0" xfId="0" applyNumberFormat="1" applyFont="1" applyFill="1" applyBorder="1" applyAlignment="1">
      <alignment horizontal="left"/>
    </xf>
    <xf numFmtId="0" fontId="7" fillId="3" borderId="0" xfId="0" applyFont="1" applyFill="1" applyAlignment="1">
      <alignment horizontal="left" vertical="center"/>
    </xf>
    <xf numFmtId="171" fontId="7" fillId="3" borderId="0" xfId="0" applyNumberFormat="1" applyFont="1" applyFill="1" applyAlignment="1">
      <alignment horizontal="left" vertical="center"/>
    </xf>
    <xf numFmtId="168" fontId="15" fillId="7" borderId="28" xfId="1" applyNumberFormat="1" applyFont="1" applyFill="1" applyBorder="1" applyAlignment="1">
      <alignment horizontal="center" wrapText="1"/>
    </xf>
    <xf numFmtId="168" fontId="15" fillId="7" borderId="28" xfId="1" applyNumberFormat="1" applyFont="1" applyFill="1" applyBorder="1" applyAlignment="1">
      <alignment horizontal="right" wrapText="1"/>
    </xf>
    <xf numFmtId="0" fontId="10" fillId="3" borderId="0" xfId="0" applyFont="1" applyFill="1" applyBorder="1"/>
    <xf numFmtId="0" fontId="11" fillId="3" borderId="0" xfId="0" applyFont="1" applyFill="1" applyAlignment="1"/>
    <xf numFmtId="0" fontId="13" fillId="3" borderId="0" xfId="61" applyNumberFormat="1" applyFont="1" applyFill="1" applyAlignment="1">
      <alignment vertical="top"/>
    </xf>
    <xf numFmtId="0" fontId="22" fillId="3" borderId="0" xfId="0" applyFont="1" applyFill="1"/>
    <xf numFmtId="0" fontId="10" fillId="3" borderId="28" xfId="61" applyNumberFormat="1" applyFont="1" applyFill="1" applyBorder="1"/>
    <xf numFmtId="1" fontId="10" fillId="0" borderId="28" xfId="0" applyNumberFormat="1" applyFont="1" applyFill="1" applyBorder="1" applyAlignment="1">
      <alignment horizontal="right"/>
    </xf>
    <xf numFmtId="0" fontId="10" fillId="0" borderId="28" xfId="0" applyFont="1" applyFill="1" applyBorder="1" applyAlignment="1">
      <alignment horizontal="right"/>
    </xf>
    <xf numFmtId="0" fontId="11" fillId="0" borderId="28" xfId="0" applyFont="1" applyFill="1" applyBorder="1" applyAlignment="1">
      <alignment horizontal="right"/>
    </xf>
    <xf numFmtId="1" fontId="22" fillId="3" borderId="0" xfId="0" applyNumberFormat="1" applyFont="1" applyFill="1"/>
    <xf numFmtId="1" fontId="11" fillId="3" borderId="28" xfId="0" applyNumberFormat="1" applyFont="1" applyFill="1" applyBorder="1" applyAlignment="1">
      <alignment horizontal="right"/>
    </xf>
    <xf numFmtId="37" fontId="11" fillId="3" borderId="28" xfId="0" applyNumberFormat="1" applyFont="1" applyFill="1" applyBorder="1" applyAlignment="1">
      <alignment horizontal="right"/>
    </xf>
    <xf numFmtId="1" fontId="11" fillId="3" borderId="0" xfId="0" applyNumberFormat="1" applyFont="1" applyFill="1" applyAlignment="1">
      <alignment horizontal="right" vertical="center"/>
    </xf>
    <xf numFmtId="1" fontId="21" fillId="3" borderId="0" xfId="61" applyNumberFormat="1" applyFont="1" applyFill="1" applyAlignment="1">
      <alignment horizontal="right" vertical="center"/>
    </xf>
    <xf numFmtId="0" fontId="30" fillId="3" borderId="0" xfId="0" applyFont="1" applyFill="1"/>
    <xf numFmtId="3" fontId="12" fillId="7" borderId="28" xfId="66" applyNumberFormat="1" applyFont="1" applyFill="1" applyBorder="1" applyAlignment="1">
      <alignment horizontal="right" vertical="top" wrapText="1"/>
    </xf>
    <xf numFmtId="3" fontId="11" fillId="3" borderId="28" xfId="66" applyNumberFormat="1" applyFont="1" applyFill="1" applyBorder="1" applyAlignment="1">
      <alignment horizontal="right" vertical="top" wrapText="1"/>
    </xf>
    <xf numFmtId="0" fontId="13" fillId="3" borderId="0" xfId="55" applyNumberFormat="1" applyFont="1" applyFill="1" applyBorder="1" applyAlignment="1">
      <alignment horizontal="left" wrapText="1"/>
    </xf>
    <xf numFmtId="0" fontId="13" fillId="3" borderId="0" xfId="55" applyNumberFormat="1" applyFont="1" applyFill="1" applyBorder="1" applyAlignment="1">
      <alignment horizontal="center" vertical="center"/>
    </xf>
    <xf numFmtId="0" fontId="12" fillId="7" borderId="28" xfId="55" applyNumberFormat="1" applyFont="1" applyFill="1" applyBorder="1" applyAlignment="1">
      <alignment horizontal="left" vertical="top" wrapText="1"/>
    </xf>
    <xf numFmtId="3" fontId="12" fillId="7" borderId="28" xfId="23" applyNumberFormat="1" applyFont="1" applyFill="1" applyBorder="1" applyAlignment="1">
      <alignment horizontal="right" vertical="top"/>
    </xf>
    <xf numFmtId="3" fontId="12" fillId="7" borderId="28" xfId="1" applyNumberFormat="1" applyFont="1" applyFill="1" applyBorder="1" applyAlignment="1">
      <alignment horizontal="right" vertical="top"/>
    </xf>
    <xf numFmtId="0" fontId="13" fillId="3" borderId="0" xfId="56" applyNumberFormat="1" applyFont="1" applyFill="1" applyAlignment="1">
      <alignment horizontal="left" vertical="center"/>
    </xf>
    <xf numFmtId="0" fontId="12" fillId="7" borderId="28" xfId="56" applyNumberFormat="1" applyFont="1" applyFill="1" applyBorder="1" applyAlignment="1">
      <alignment horizontal="left" vertical="top"/>
    </xf>
    <xf numFmtId="4" fontId="12" fillId="7" borderId="28" xfId="23" applyNumberFormat="1" applyFont="1" applyFill="1" applyBorder="1" applyAlignment="1">
      <alignment horizontal="right" vertical="top"/>
    </xf>
    <xf numFmtId="0" fontId="12" fillId="7" borderId="28" xfId="56" applyNumberFormat="1" applyFont="1" applyFill="1" applyBorder="1" applyAlignment="1">
      <alignment horizontal="left" vertical="top" wrapText="1"/>
    </xf>
    <xf numFmtId="1" fontId="13" fillId="3" borderId="28" xfId="26" quotePrefix="1" applyNumberFormat="1" applyFont="1" applyFill="1" applyBorder="1" applyAlignment="1">
      <alignment horizontal="right"/>
    </xf>
    <xf numFmtId="199" fontId="9" fillId="3" borderId="28" xfId="0" applyNumberFormat="1" applyFont="1" applyFill="1" applyBorder="1" applyAlignment="1">
      <alignment horizontal="left" vertical="top"/>
    </xf>
    <xf numFmtId="199" fontId="56" fillId="3" borderId="28" xfId="0" quotePrefix="1" applyNumberFormat="1" applyFont="1" applyFill="1" applyBorder="1" applyAlignment="1">
      <alignment horizontal="center" vertical="top"/>
    </xf>
    <xf numFmtId="168" fontId="10" fillId="3" borderId="28" xfId="1" applyNumberFormat="1" applyFont="1" applyFill="1" applyBorder="1" applyAlignment="1">
      <alignment horizontal="right" vertical="top"/>
    </xf>
    <xf numFmtId="3" fontId="10" fillId="3" borderId="28" xfId="1" applyNumberFormat="1" applyFont="1" applyFill="1" applyBorder="1" applyAlignment="1">
      <alignment horizontal="right" vertical="top"/>
    </xf>
    <xf numFmtId="193" fontId="10" fillId="3" borderId="28" xfId="0" applyNumberFormat="1" applyFont="1" applyFill="1" applyBorder="1" applyAlignment="1">
      <alignment horizontal="left" vertical="top"/>
    </xf>
    <xf numFmtId="193" fontId="11" fillId="3" borderId="28" xfId="0" applyNumberFormat="1" applyFont="1" applyFill="1" applyBorder="1" applyAlignment="1">
      <alignment horizontal="left" vertical="top"/>
    </xf>
    <xf numFmtId="3" fontId="56" fillId="3" borderId="28" xfId="1" quotePrefix="1" applyNumberFormat="1" applyFont="1" applyFill="1" applyBorder="1" applyAlignment="1">
      <alignment horizontal="center" vertical="top"/>
    </xf>
    <xf numFmtId="179" fontId="10" fillId="0" borderId="0" xfId="0" applyNumberFormat="1" applyFont="1"/>
    <xf numFmtId="168" fontId="10" fillId="3" borderId="28" xfId="1" applyNumberFormat="1" applyFont="1" applyFill="1" applyBorder="1" applyAlignment="1">
      <alignment horizontal="center" vertical="top"/>
    </xf>
    <xf numFmtId="43" fontId="10" fillId="3" borderId="28" xfId="1" applyFont="1" applyFill="1" applyBorder="1" applyAlignment="1">
      <alignment horizontal="center" vertical="top"/>
    </xf>
    <xf numFmtId="164" fontId="11" fillId="3" borderId="28" xfId="0" applyNumberFormat="1" applyFont="1" applyFill="1" applyBorder="1" applyAlignment="1">
      <alignment horizontal="left" vertical="top"/>
    </xf>
    <xf numFmtId="199" fontId="56" fillId="3" borderId="28" xfId="0" quotePrefix="1" applyNumberFormat="1" applyFont="1" applyFill="1" applyBorder="1" applyAlignment="1">
      <alignment horizontal="center" vertical="top" wrapText="1"/>
    </xf>
    <xf numFmtId="193" fontId="11" fillId="3" borderId="28" xfId="0" applyNumberFormat="1" applyFont="1" applyFill="1" applyBorder="1" applyAlignment="1">
      <alignment horizontal="center" vertical="top"/>
    </xf>
    <xf numFmtId="43" fontId="10" fillId="3" borderId="28" xfId="1" applyFont="1" applyFill="1" applyBorder="1" applyAlignment="1">
      <alignment horizontal="right" vertical="top"/>
    </xf>
    <xf numFmtId="168" fontId="10" fillId="3" borderId="28" xfId="1" applyNumberFormat="1" applyFont="1" applyFill="1" applyBorder="1" applyAlignment="1">
      <alignment horizontal="center" vertical="center"/>
    </xf>
    <xf numFmtId="199" fontId="10" fillId="3" borderId="28" xfId="0" applyNumberFormat="1" applyFont="1" applyFill="1" applyBorder="1" applyAlignment="1">
      <alignment horizontal="left" vertical="top"/>
    </xf>
    <xf numFmtId="0" fontId="10" fillId="3" borderId="0" xfId="0" applyFont="1" applyFill="1" applyAlignment="1">
      <alignment horizontal="left"/>
    </xf>
    <xf numFmtId="199" fontId="9" fillId="3" borderId="28" xfId="0" applyNumberFormat="1" applyFont="1" applyFill="1" applyBorder="1" applyAlignment="1">
      <alignment vertical="center"/>
    </xf>
    <xf numFmtId="3" fontId="9" fillId="3" borderId="28" xfId="7" applyNumberFormat="1" applyFont="1" applyFill="1" applyBorder="1" applyAlignment="1">
      <alignment vertical="center"/>
    </xf>
    <xf numFmtId="3" fontId="9" fillId="3" borderId="28" xfId="7" quotePrefix="1" applyNumberFormat="1" applyFont="1" applyFill="1" applyBorder="1" applyAlignment="1">
      <alignment horizontal="center" vertical="center"/>
    </xf>
    <xf numFmtId="3" fontId="9" fillId="3" borderId="28" xfId="7" applyNumberFormat="1" applyFont="1" applyFill="1" applyBorder="1" applyAlignment="1">
      <alignment horizontal="right" vertical="center"/>
    </xf>
    <xf numFmtId="4" fontId="9" fillId="3" borderId="28" xfId="7" applyNumberFormat="1" applyFont="1" applyFill="1" applyBorder="1" applyAlignment="1">
      <alignment horizontal="right" vertical="center"/>
    </xf>
    <xf numFmtId="3" fontId="9" fillId="3" borderId="28" xfId="42" quotePrefix="1" applyNumberFormat="1" applyFont="1" applyFill="1" applyBorder="1" applyAlignment="1">
      <alignment horizontal="center" vertical="center"/>
    </xf>
    <xf numFmtId="185" fontId="9" fillId="3" borderId="28" xfId="7" applyNumberFormat="1" applyFont="1" applyFill="1" applyBorder="1" applyAlignment="1">
      <alignment horizontal="right" vertical="center"/>
    </xf>
    <xf numFmtId="199" fontId="66" fillId="3" borderId="28" xfId="0" applyNumberFormat="1" applyFont="1" applyFill="1" applyBorder="1" applyAlignment="1">
      <alignment horizontal="left" vertical="top"/>
    </xf>
    <xf numFmtId="3" fontId="66" fillId="3" borderId="28" xfId="1" applyNumberFormat="1" applyFont="1" applyFill="1" applyBorder="1" applyAlignment="1">
      <alignment horizontal="right" vertical="top"/>
    </xf>
    <xf numFmtId="3" fontId="66" fillId="3" borderId="28" xfId="0" applyNumberFormat="1" applyFont="1" applyFill="1" applyBorder="1" applyAlignment="1">
      <alignment horizontal="center" vertical="top"/>
    </xf>
    <xf numFmtId="43" fontId="67" fillId="3" borderId="28" xfId="1" applyFont="1" applyFill="1" applyBorder="1" applyAlignment="1">
      <alignment horizontal="right" vertical="center"/>
    </xf>
    <xf numFmtId="3" fontId="66" fillId="3" borderId="28" xfId="0" applyNumberFormat="1" applyFont="1" applyFill="1" applyBorder="1" applyAlignment="1">
      <alignment horizontal="right" vertical="top"/>
    </xf>
    <xf numFmtId="43" fontId="66" fillId="3" borderId="28" xfId="0" applyNumberFormat="1" applyFont="1" applyFill="1" applyBorder="1" applyAlignment="1">
      <alignment horizontal="right" vertical="top"/>
    </xf>
    <xf numFmtId="43" fontId="66" fillId="3" borderId="28" xfId="1" applyFont="1" applyFill="1" applyBorder="1" applyAlignment="1">
      <alignment horizontal="right" vertical="top"/>
    </xf>
    <xf numFmtId="4" fontId="66" fillId="3" borderId="28" xfId="0" applyNumberFormat="1" applyFont="1" applyFill="1" applyBorder="1" applyAlignment="1">
      <alignment horizontal="right" vertical="top"/>
    </xf>
    <xf numFmtId="4" fontId="66" fillId="3" borderId="28" xfId="1" applyNumberFormat="1" applyFont="1" applyFill="1" applyBorder="1" applyAlignment="1">
      <alignment horizontal="right" vertical="top"/>
    </xf>
    <xf numFmtId="3" fontId="66" fillId="3" borderId="28" xfId="43" applyNumberFormat="1" applyFont="1" applyFill="1" applyBorder="1" applyAlignment="1">
      <alignment horizontal="left" vertical="top"/>
    </xf>
    <xf numFmtId="3" fontId="67" fillId="3" borderId="28" xfId="1" applyNumberFormat="1" applyFont="1" applyFill="1" applyBorder="1" applyAlignment="1">
      <alignment horizontal="right" vertical="center"/>
    </xf>
    <xf numFmtId="3" fontId="66" fillId="3" borderId="28" xfId="43" applyNumberFormat="1" applyFont="1" applyFill="1" applyBorder="1" applyAlignment="1">
      <alignment horizontal="right" vertical="top"/>
    </xf>
    <xf numFmtId="168" fontId="66" fillId="3" borderId="28" xfId="1" applyNumberFormat="1" applyFont="1" applyFill="1" applyBorder="1" applyAlignment="1">
      <alignment horizontal="right" vertical="top"/>
    </xf>
    <xf numFmtId="185" fontId="66" fillId="3" borderId="28" xfId="1" applyNumberFormat="1" applyFont="1" applyFill="1" applyBorder="1" applyAlignment="1">
      <alignment horizontal="right" vertical="top"/>
    </xf>
    <xf numFmtId="199" fontId="66" fillId="3" borderId="28" xfId="0" applyNumberFormat="1" applyFont="1" applyFill="1" applyBorder="1" applyAlignment="1">
      <alignment horizontal="right" vertical="top"/>
    </xf>
    <xf numFmtId="199" fontId="66" fillId="3" borderId="28" xfId="0" applyNumberFormat="1" applyFont="1" applyFill="1" applyBorder="1" applyAlignment="1">
      <alignment horizontal="left" vertical="top" wrapText="1"/>
    </xf>
    <xf numFmtId="185" fontId="66" fillId="3" borderId="28" xfId="0" applyNumberFormat="1" applyFont="1" applyFill="1" applyBorder="1" applyAlignment="1">
      <alignment horizontal="right" vertical="top"/>
    </xf>
    <xf numFmtId="191" fontId="66" fillId="3" borderId="28" xfId="61" applyFont="1" applyFill="1" applyBorder="1" applyAlignment="1">
      <alignment horizontal="center" vertical="center"/>
    </xf>
    <xf numFmtId="3" fontId="66" fillId="3" borderId="28" xfId="61" applyNumberFormat="1" applyFont="1" applyFill="1" applyBorder="1" applyAlignment="1">
      <alignment horizontal="right" vertical="center"/>
    </xf>
    <xf numFmtId="197" fontId="65" fillId="3" borderId="0" xfId="23" applyNumberFormat="1" applyFont="1" applyFill="1" applyAlignment="1">
      <alignment horizontal="right" vertical="top"/>
    </xf>
    <xf numFmtId="199" fontId="66" fillId="3" borderId="0" xfId="0" applyNumberFormat="1" applyFont="1" applyFill="1" applyAlignment="1">
      <alignment horizontal="right" vertical="top"/>
    </xf>
    <xf numFmtId="0" fontId="30" fillId="3" borderId="0" xfId="0" applyFont="1" applyFill="1" applyAlignment="1">
      <alignment horizontal="left"/>
    </xf>
    <xf numFmtId="0" fontId="22" fillId="3" borderId="0" xfId="0" applyFont="1" applyFill="1" applyAlignment="1">
      <alignment horizontal="left" vertical="top"/>
    </xf>
    <xf numFmtId="0" fontId="22" fillId="3" borderId="0" xfId="0" applyFont="1" applyFill="1" applyAlignment="1">
      <alignment horizontal="left" vertical="top" wrapText="1"/>
    </xf>
    <xf numFmtId="0" fontId="10" fillId="0" borderId="81" xfId="0" applyFont="1" applyFill="1" applyBorder="1"/>
    <xf numFmtId="1" fontId="10" fillId="0" borderId="81" xfId="0" applyNumberFormat="1" applyFont="1" applyFill="1" applyBorder="1"/>
    <xf numFmtId="3" fontId="10" fillId="0" borderId="81" xfId="0" applyNumberFormat="1" applyFont="1" applyFill="1" applyBorder="1"/>
    <xf numFmtId="3" fontId="10" fillId="0" borderId="81" xfId="0" applyNumberFormat="1" applyFont="1" applyFill="1" applyBorder="1" applyAlignment="1">
      <alignment horizontal="right"/>
    </xf>
    <xf numFmtId="0" fontId="10" fillId="0" borderId="0" xfId="5" applyFont="1" applyFill="1" applyBorder="1"/>
    <xf numFmtId="3" fontId="10" fillId="0" borderId="0" xfId="5" applyNumberFormat="1" applyFont="1" applyFill="1" applyBorder="1"/>
    <xf numFmtId="0" fontId="8" fillId="0" borderId="0" xfId="8" applyFont="1" applyFill="1" applyBorder="1" applyAlignment="1">
      <alignment horizontal="right"/>
    </xf>
    <xf numFmtId="1" fontId="8" fillId="0" borderId="0" xfId="8" applyNumberFormat="1" applyFont="1" applyFill="1" applyBorder="1" applyAlignment="1">
      <alignment horizontal="right"/>
    </xf>
    <xf numFmtId="170" fontId="8" fillId="0" borderId="0" xfId="8" applyNumberFormat="1" applyFont="1" applyFill="1" applyBorder="1" applyAlignment="1">
      <alignment horizontal="right"/>
    </xf>
    <xf numFmtId="49" fontId="7" fillId="0" borderId="0" xfId="0" applyNumberFormat="1" applyFont="1" applyFill="1" applyBorder="1" applyAlignment="1">
      <alignment horizontal="left" wrapText="1"/>
    </xf>
    <xf numFmtId="0" fontId="8" fillId="0" borderId="0" xfId="0" applyFont="1" applyFill="1" applyBorder="1" applyAlignment="1">
      <alignment vertical="center"/>
    </xf>
    <xf numFmtId="168" fontId="11" fillId="0" borderId="28" xfId="29" applyNumberFormat="1" applyFont="1" applyBorder="1" applyAlignment="1">
      <alignment horizontal="left" vertical="top" indent="4"/>
    </xf>
    <xf numFmtId="49" fontId="8" fillId="0" borderId="0" xfId="0" applyNumberFormat="1" applyFont="1" applyFill="1" applyBorder="1" applyAlignment="1">
      <alignment horizontal="left"/>
    </xf>
    <xf numFmtId="3" fontId="11" fillId="0" borderId="28" xfId="0" applyNumberFormat="1" applyFont="1" applyBorder="1" applyAlignment="1">
      <alignment horizontal="center"/>
    </xf>
    <xf numFmtId="0" fontId="8" fillId="2" borderId="62" xfId="8" applyFont="1" applyFill="1" applyBorder="1" applyAlignment="1">
      <alignment horizontal="center"/>
    </xf>
    <xf numFmtId="43" fontId="0" fillId="0" borderId="0" xfId="0" applyNumberFormat="1" applyFill="1" applyBorder="1"/>
    <xf numFmtId="49" fontId="8" fillId="2" borderId="0" xfId="8" applyNumberFormat="1" applyFont="1" applyFill="1" applyAlignment="1">
      <alignment horizontal="left" vertical="center"/>
    </xf>
    <xf numFmtId="49" fontId="8" fillId="0" borderId="53" xfId="0" applyNumberFormat="1" applyFont="1" applyFill="1" applyBorder="1" applyAlignment="1">
      <alignment horizontal="left"/>
    </xf>
    <xf numFmtId="3" fontId="11" fillId="0" borderId="0" xfId="0" applyNumberFormat="1" applyFont="1" applyBorder="1" applyAlignment="1">
      <alignment horizontal="center"/>
    </xf>
    <xf numFmtId="193" fontId="10" fillId="0" borderId="0" xfId="0" applyNumberFormat="1" applyFont="1" applyBorder="1" applyAlignment="1">
      <alignment horizontal="center"/>
    </xf>
    <xf numFmtId="179" fontId="10" fillId="0" borderId="0" xfId="0" applyNumberFormat="1" applyFont="1" applyBorder="1"/>
    <xf numFmtId="0" fontId="13" fillId="0" borderId="0" xfId="0" applyFont="1" applyFill="1" applyBorder="1" applyAlignment="1">
      <alignment horizontal="left" vertical="top"/>
    </xf>
    <xf numFmtId="0" fontId="12" fillId="0" borderId="0" xfId="0" applyFont="1" applyFill="1" applyBorder="1" applyAlignment="1">
      <alignment horizontal="left"/>
    </xf>
    <xf numFmtId="168" fontId="11" fillId="3" borderId="28" xfId="29" applyNumberFormat="1" applyFont="1" applyFill="1" applyBorder="1" applyAlignment="1">
      <alignment horizontal="left" vertical="top" indent="4"/>
    </xf>
    <xf numFmtId="3" fontId="11" fillId="3" borderId="28" xfId="6" applyNumberFormat="1" applyFont="1" applyFill="1" applyBorder="1" applyAlignment="1">
      <alignment horizontal="right"/>
    </xf>
    <xf numFmtId="3" fontId="10" fillId="3" borderId="28" xfId="1" applyNumberFormat="1" applyFont="1" applyFill="1" applyBorder="1" applyAlignment="1">
      <alignment horizontal="right"/>
    </xf>
    <xf numFmtId="168" fontId="15" fillId="3" borderId="28" xfId="29" applyNumberFormat="1" applyFont="1" applyFill="1" applyBorder="1" applyAlignment="1">
      <alignment horizontal="left" vertical="top"/>
    </xf>
    <xf numFmtId="3" fontId="11" fillId="3" borderId="28" xfId="6" applyNumberFormat="1" applyFont="1" applyFill="1" applyBorder="1" applyAlignment="1">
      <alignment vertical="center"/>
    </xf>
    <xf numFmtId="0" fontId="11" fillId="3" borderId="28" xfId="6" applyFont="1" applyFill="1" applyBorder="1" applyAlignment="1">
      <alignment horizontal="right"/>
    </xf>
    <xf numFmtId="0" fontId="10" fillId="3" borderId="28" xfId="0" applyFont="1" applyFill="1" applyBorder="1" applyAlignment="1">
      <alignment horizontal="right"/>
    </xf>
    <xf numFmtId="165" fontId="8" fillId="3" borderId="4" xfId="0" applyNumberFormat="1" applyFont="1" applyFill="1" applyBorder="1" applyAlignment="1">
      <alignment horizontal="right" vertical="top"/>
    </xf>
    <xf numFmtId="168" fontId="15" fillId="3" borderId="28" xfId="29" applyNumberFormat="1" applyFont="1" applyFill="1" applyBorder="1" applyAlignment="1">
      <alignment horizontal="left" vertical="top" wrapText="1"/>
    </xf>
    <xf numFmtId="3" fontId="11" fillId="3" borderId="28" xfId="6" applyNumberFormat="1" applyFont="1" applyFill="1" applyBorder="1" applyAlignment="1"/>
    <xf numFmtId="165" fontId="10" fillId="3" borderId="28" xfId="1" applyNumberFormat="1" applyFont="1" applyFill="1" applyBorder="1" applyAlignment="1">
      <alignment horizontal="right"/>
    </xf>
    <xf numFmtId="3" fontId="37" fillId="3" borderId="28" xfId="34" applyNumberFormat="1" applyFont="1" applyFill="1" applyBorder="1" applyAlignment="1">
      <alignment horizontal="right"/>
    </xf>
    <xf numFmtId="0" fontId="10" fillId="3" borderId="28" xfId="1" applyNumberFormat="1" applyFont="1" applyFill="1" applyBorder="1" applyAlignment="1">
      <alignment horizontal="right"/>
    </xf>
    <xf numFmtId="3" fontId="10" fillId="3" borderId="28" xfId="0" applyNumberFormat="1" applyFont="1" applyFill="1" applyBorder="1" applyAlignment="1">
      <alignment horizontal="right"/>
    </xf>
    <xf numFmtId="0" fontId="11" fillId="0" borderId="0" xfId="0" applyFont="1" applyFill="1" applyBorder="1" applyAlignment="1">
      <alignment horizontal="center" vertical="center"/>
    </xf>
    <xf numFmtId="0" fontId="11" fillId="0" borderId="0" xfId="0" applyFont="1" applyBorder="1" applyAlignment="1">
      <alignment horizontal="left"/>
    </xf>
    <xf numFmtId="15" fontId="10" fillId="0" borderId="0" xfId="0" applyNumberFormat="1" applyFont="1" applyBorder="1" applyAlignment="1">
      <alignment horizontal="center" vertical="center"/>
    </xf>
    <xf numFmtId="3" fontId="10" fillId="0" borderId="0" xfId="0" applyNumberFormat="1" applyFont="1" applyBorder="1" applyAlignment="1">
      <alignment horizontal="right" vertical="center"/>
    </xf>
    <xf numFmtId="43" fontId="10" fillId="0" borderId="0" xfId="1" applyFont="1" applyBorder="1" applyAlignment="1">
      <alignment horizontal="right" vertical="center"/>
    </xf>
    <xf numFmtId="3" fontId="11" fillId="0" borderId="28" xfId="0" applyNumberFormat="1" applyFont="1" applyFill="1" applyBorder="1" applyAlignment="1">
      <alignment horizontal="right"/>
    </xf>
    <xf numFmtId="3" fontId="11" fillId="3" borderId="28" xfId="6" applyNumberFormat="1" applyFont="1" applyFill="1" applyBorder="1" applyAlignment="1">
      <alignment horizontal="right" vertical="center"/>
    </xf>
    <xf numFmtId="189" fontId="7" fillId="3" borderId="61" xfId="8" applyNumberFormat="1" applyFont="1" applyFill="1" applyBorder="1" applyAlignment="1">
      <alignment horizontal="right"/>
    </xf>
    <xf numFmtId="204" fontId="8" fillId="2" borderId="28" xfId="8" applyNumberFormat="1" applyFont="1" applyFill="1" applyBorder="1" applyAlignment="1">
      <alignment horizontal="right"/>
    </xf>
    <xf numFmtId="204" fontId="12" fillId="0" borderId="61" xfId="8" applyNumberFormat="1" applyFont="1" applyFill="1" applyBorder="1" applyAlignment="1">
      <alignment horizontal="right"/>
    </xf>
    <xf numFmtId="203" fontId="8" fillId="2" borderId="28" xfId="8" applyNumberFormat="1" applyFont="1" applyFill="1" applyBorder="1" applyAlignment="1">
      <alignment horizontal="right"/>
    </xf>
    <xf numFmtId="203" fontId="7" fillId="2" borderId="62" xfId="8" applyNumberFormat="1" applyFont="1" applyFill="1" applyBorder="1" applyAlignment="1">
      <alignment horizontal="right"/>
    </xf>
    <xf numFmtId="201" fontId="7" fillId="6" borderId="61" xfId="8" applyNumberFormat="1" applyFont="1" applyFill="1" applyBorder="1" applyAlignment="1">
      <alignment horizontal="right"/>
    </xf>
    <xf numFmtId="202" fontId="8" fillId="2" borderId="28" xfId="8" applyNumberFormat="1" applyFont="1" applyFill="1" applyBorder="1" applyAlignment="1">
      <alignment horizontal="right"/>
    </xf>
    <xf numFmtId="202" fontId="7" fillId="0" borderId="62" xfId="8" applyNumberFormat="1" applyFont="1" applyFill="1" applyBorder="1" applyAlignment="1">
      <alignment horizontal="right"/>
    </xf>
    <xf numFmtId="201" fontId="8" fillId="2" borderId="28" xfId="8" applyNumberFormat="1" applyFont="1" applyFill="1" applyBorder="1" applyAlignment="1">
      <alignment horizontal="right"/>
    </xf>
    <xf numFmtId="201" fontId="8" fillId="0" borderId="28" xfId="8" applyNumberFormat="1" applyFont="1" applyFill="1" applyBorder="1" applyAlignment="1">
      <alignment horizontal="right"/>
    </xf>
    <xf numFmtId="201" fontId="7" fillId="0" borderId="62" xfId="8" applyNumberFormat="1" applyFont="1" applyFill="1" applyBorder="1" applyAlignment="1">
      <alignment horizontal="right"/>
    </xf>
    <xf numFmtId="200" fontId="8" fillId="0" borderId="28" xfId="8" applyNumberFormat="1" applyFont="1" applyFill="1" applyBorder="1" applyAlignment="1">
      <alignment horizontal="right"/>
    </xf>
    <xf numFmtId="200" fontId="8" fillId="2" borderId="28" xfId="8" applyNumberFormat="1" applyFont="1" applyFill="1" applyBorder="1" applyAlignment="1">
      <alignment horizontal="right"/>
    </xf>
    <xf numFmtId="200" fontId="7" fillId="6" borderId="61" xfId="8" applyNumberFormat="1" applyFont="1" applyFill="1" applyBorder="1" applyAlignment="1">
      <alignment horizontal="right"/>
    </xf>
    <xf numFmtId="200" fontId="7" fillId="0" borderId="62" xfId="8" applyNumberFormat="1" applyFont="1" applyFill="1" applyBorder="1" applyAlignment="1">
      <alignment horizontal="right"/>
    </xf>
    <xf numFmtId="200" fontId="7" fillId="2" borderId="62" xfId="8" applyNumberFormat="1" applyFont="1" applyFill="1" applyBorder="1" applyAlignment="1">
      <alignment horizontal="right"/>
    </xf>
    <xf numFmtId="189" fontId="7" fillId="2" borderId="62" xfId="8" applyNumberFormat="1" applyFont="1" applyFill="1" applyBorder="1" applyAlignment="1">
      <alignment horizontal="right"/>
    </xf>
    <xf numFmtId="189" fontId="8" fillId="0" borderId="28" xfId="8" applyNumberFormat="1" applyFont="1" applyFill="1" applyBorder="1" applyAlignment="1">
      <alignment horizontal="right"/>
    </xf>
    <xf numFmtId="189" fontId="10" fillId="0" borderId="28" xfId="8" applyNumberFormat="1" applyFont="1" applyFill="1" applyBorder="1" applyAlignment="1">
      <alignment horizontal="right"/>
    </xf>
    <xf numFmtId="189" fontId="1" fillId="0" borderId="0" xfId="0" applyNumberFormat="1" applyFont="1"/>
    <xf numFmtId="49" fontId="7" fillId="0" borderId="91" xfId="0" applyNumberFormat="1" applyFont="1" applyFill="1" applyBorder="1" applyAlignment="1">
      <alignment horizontal="left"/>
    </xf>
    <xf numFmtId="17" fontId="9" fillId="4" borderId="80" xfId="8" applyNumberFormat="1" applyFont="1" applyFill="1" applyBorder="1" applyAlignment="1">
      <alignment horizontal="left" vertical="center"/>
    </xf>
    <xf numFmtId="189" fontId="7" fillId="3" borderId="28" xfId="8" applyNumberFormat="1" applyFont="1" applyFill="1" applyBorder="1" applyAlignment="1">
      <alignment horizontal="right"/>
    </xf>
    <xf numFmtId="49" fontId="7" fillId="0" borderId="78" xfId="0" applyNumberFormat="1" applyFont="1" applyFill="1" applyBorder="1" applyAlignment="1">
      <alignment horizontal="left"/>
    </xf>
    <xf numFmtId="17" fontId="9" fillId="4" borderId="77" xfId="8" applyNumberFormat="1" applyFont="1" applyFill="1" applyBorder="1" applyAlignment="1">
      <alignment horizontal="left" vertical="center"/>
    </xf>
    <xf numFmtId="189" fontId="8" fillId="0" borderId="96" xfId="8" applyNumberFormat="1" applyFont="1" applyFill="1" applyBorder="1" applyAlignment="1">
      <alignment horizontal="right"/>
    </xf>
    <xf numFmtId="189" fontId="10" fillId="0" borderId="96" xfId="8" applyNumberFormat="1" applyFont="1" applyFill="1" applyBorder="1" applyAlignment="1">
      <alignment horizontal="right"/>
    </xf>
    <xf numFmtId="189" fontId="7" fillId="0" borderId="28" xfId="8" applyNumberFormat="1" applyFont="1" applyFill="1" applyBorder="1" applyAlignment="1">
      <alignment horizontal="right"/>
    </xf>
    <xf numFmtId="189" fontId="7" fillId="3" borderId="95" xfId="8" applyNumberFormat="1" applyFont="1" applyFill="1" applyBorder="1" applyAlignment="1">
      <alignment horizontal="right"/>
    </xf>
    <xf numFmtId="189" fontId="7" fillId="3" borderId="98" xfId="8" applyNumberFormat="1" applyFont="1" applyFill="1" applyBorder="1" applyAlignment="1">
      <alignment horizontal="right"/>
    </xf>
    <xf numFmtId="189" fontId="8" fillId="0" borderId="76" xfId="8" applyNumberFormat="1" applyFont="1" applyFill="1" applyBorder="1" applyAlignment="1">
      <alignment horizontal="right"/>
    </xf>
    <xf numFmtId="189" fontId="1" fillId="0" borderId="28" xfId="0" applyNumberFormat="1" applyFont="1" applyBorder="1"/>
    <xf numFmtId="189" fontId="7" fillId="0" borderId="50" xfId="8" applyNumberFormat="1" applyFont="1" applyFill="1" applyBorder="1" applyAlignment="1">
      <alignment horizontal="right"/>
    </xf>
    <xf numFmtId="189" fontId="10" fillId="0" borderId="76" xfId="8" applyNumberFormat="1" applyFont="1" applyFill="1" applyBorder="1" applyAlignment="1">
      <alignment horizontal="right"/>
    </xf>
    <xf numFmtId="179" fontId="7" fillId="0" borderId="26" xfId="8" applyNumberFormat="1" applyFont="1" applyFill="1" applyBorder="1" applyAlignment="1">
      <alignment horizontal="right"/>
    </xf>
    <xf numFmtId="179" fontId="8" fillId="0" borderId="96" xfId="8" applyNumberFormat="1" applyFont="1" applyFill="1" applyBorder="1" applyAlignment="1">
      <alignment horizontal="right"/>
    </xf>
    <xf numFmtId="1" fontId="7" fillId="0" borderId="28" xfId="8" applyNumberFormat="1" applyFont="1" applyFill="1" applyBorder="1" applyAlignment="1">
      <alignment horizontal="right"/>
    </xf>
    <xf numFmtId="204" fontId="7" fillId="2" borderId="33" xfId="8" applyNumberFormat="1" applyFont="1" applyFill="1" applyBorder="1" applyAlignment="1">
      <alignment horizontal="right"/>
    </xf>
    <xf numFmtId="204" fontId="7" fillId="2" borderId="28" xfId="8" applyNumberFormat="1" applyFont="1" applyFill="1" applyBorder="1" applyAlignment="1">
      <alignment horizontal="right"/>
    </xf>
    <xf numFmtId="204" fontId="8" fillId="2" borderId="33" xfId="8" applyNumberFormat="1" applyFont="1" applyFill="1" applyBorder="1" applyAlignment="1">
      <alignment horizontal="right"/>
    </xf>
    <xf numFmtId="0" fontId="7" fillId="8" borderId="61" xfId="0" applyFont="1" applyFill="1" applyBorder="1" applyAlignment="1">
      <alignment horizontal="center" vertical="center" wrapText="1"/>
    </xf>
    <xf numFmtId="49" fontId="7" fillId="8" borderId="61" xfId="0" applyNumberFormat="1" applyFont="1" applyFill="1" applyBorder="1" applyAlignment="1">
      <alignment horizontal="center" vertical="center" wrapText="1"/>
    </xf>
    <xf numFmtId="3" fontId="7" fillId="7" borderId="16" xfId="0" applyNumberFormat="1" applyFont="1" applyFill="1" applyBorder="1" applyAlignment="1">
      <alignment horizontal="left"/>
    </xf>
    <xf numFmtId="168" fontId="15" fillId="41" borderId="28" xfId="29" applyNumberFormat="1" applyFont="1" applyFill="1" applyBorder="1" applyAlignment="1">
      <alignment horizontal="left" vertical="top"/>
    </xf>
    <xf numFmtId="3" fontId="12" fillId="41" borderId="28" xfId="6" applyNumberFormat="1" applyFont="1" applyFill="1" applyBorder="1" applyAlignment="1">
      <alignment horizontal="right"/>
    </xf>
    <xf numFmtId="168" fontId="11" fillId="41" borderId="28" xfId="29" applyNumberFormat="1" applyFont="1" applyFill="1" applyBorder="1" applyAlignment="1">
      <alignment horizontal="left" vertical="top" indent="4"/>
    </xf>
    <xf numFmtId="3" fontId="11" fillId="41" borderId="28" xfId="6" applyNumberFormat="1" applyFont="1" applyFill="1" applyBorder="1" applyAlignment="1">
      <alignment horizontal="right"/>
    </xf>
    <xf numFmtId="0" fontId="15" fillId="8" borderId="28" xfId="0" applyFont="1" applyFill="1" applyBorder="1" applyAlignment="1">
      <alignment horizontal="center" vertical="top" wrapText="1"/>
    </xf>
    <xf numFmtId="0" fontId="15" fillId="8" borderId="28" xfId="0" applyFont="1" applyFill="1" applyBorder="1" applyAlignment="1">
      <alignment horizontal="center" vertical="top"/>
    </xf>
    <xf numFmtId="168" fontId="15" fillId="8" borderId="47" xfId="29" applyNumberFormat="1" applyFont="1" applyFill="1" applyBorder="1" applyAlignment="1">
      <alignment horizontal="center" vertical="top"/>
    </xf>
    <xf numFmtId="3" fontId="11" fillId="8" borderId="28" xfId="6" applyNumberFormat="1" applyFont="1" applyFill="1" applyBorder="1" applyAlignment="1">
      <alignment vertical="center"/>
    </xf>
    <xf numFmtId="168" fontId="15" fillId="8" borderId="51" xfId="29" applyNumberFormat="1" applyFont="1" applyFill="1" applyBorder="1" applyAlignment="1">
      <alignment horizontal="center" vertical="top"/>
    </xf>
    <xf numFmtId="3" fontId="15" fillId="41" borderId="28" xfId="0" applyNumberFormat="1" applyFont="1" applyFill="1" applyBorder="1" applyAlignment="1">
      <alignment horizontal="right"/>
    </xf>
    <xf numFmtId="3" fontId="15" fillId="41" borderId="28" xfId="1" applyNumberFormat="1" applyFont="1" applyFill="1" applyBorder="1" applyAlignment="1">
      <alignment horizontal="right"/>
    </xf>
    <xf numFmtId="3" fontId="12" fillId="41" borderId="28" xfId="6" applyNumberFormat="1" applyFont="1" applyFill="1" applyBorder="1" applyAlignment="1">
      <alignment vertical="center"/>
    </xf>
    <xf numFmtId="49" fontId="7" fillId="8" borderId="4" xfId="0" applyNumberFormat="1" applyFont="1" applyFill="1" applyBorder="1" applyAlignment="1">
      <alignment horizontal="center" vertical="top" wrapText="1"/>
    </xf>
    <xf numFmtId="49" fontId="7" fillId="41" borderId="9" xfId="0" applyNumberFormat="1" applyFont="1" applyFill="1" applyBorder="1" applyAlignment="1">
      <alignment horizontal="left"/>
    </xf>
    <xf numFmtId="168" fontId="17" fillId="41" borderId="4" xfId="1" applyNumberFormat="1" applyFont="1" applyFill="1" applyBorder="1" applyAlignment="1">
      <alignment vertical="top" wrapText="1"/>
    </xf>
    <xf numFmtId="165" fontId="7" fillId="41" borderId="4" xfId="0" applyNumberFormat="1" applyFont="1" applyFill="1" applyBorder="1" applyAlignment="1">
      <alignment horizontal="right" vertical="top"/>
    </xf>
    <xf numFmtId="49" fontId="41" fillId="8" borderId="28" xfId="0" applyNumberFormat="1" applyFont="1" applyFill="1" applyBorder="1" applyAlignment="1">
      <alignment horizontal="center" vertical="top" wrapText="1"/>
    </xf>
    <xf numFmtId="3" fontId="10" fillId="41" borderId="28" xfId="0" applyNumberFormat="1" applyFont="1" applyFill="1" applyBorder="1"/>
    <xf numFmtId="3" fontId="7" fillId="41" borderId="4" xfId="0" applyNumberFormat="1" applyFont="1" applyFill="1" applyBorder="1" applyAlignment="1">
      <alignment horizontal="right" vertical="top"/>
    </xf>
    <xf numFmtId="49" fontId="7" fillId="8" borderId="6" xfId="0" applyNumberFormat="1" applyFont="1" applyFill="1" applyBorder="1" applyAlignment="1">
      <alignment horizontal="center" vertical="center" wrapText="1"/>
    </xf>
    <xf numFmtId="3" fontId="7" fillId="41" borderId="4" xfId="0" applyNumberFormat="1" applyFont="1" applyFill="1" applyBorder="1" applyAlignment="1">
      <alignment horizontal="right"/>
    </xf>
    <xf numFmtId="49" fontId="17" fillId="8" borderId="4" xfId="0" applyNumberFormat="1" applyFont="1" applyFill="1" applyBorder="1" applyAlignment="1">
      <alignment horizontal="center" vertical="top" wrapText="1"/>
    </xf>
    <xf numFmtId="49" fontId="7" fillId="8" borderId="1" xfId="0" applyNumberFormat="1" applyFont="1" applyFill="1" applyBorder="1" applyAlignment="1">
      <alignment horizontal="center" vertical="center" wrapText="1"/>
    </xf>
    <xf numFmtId="49" fontId="17" fillId="8" borderId="6" xfId="0" applyNumberFormat="1" applyFont="1" applyFill="1" applyBorder="1" applyAlignment="1">
      <alignment horizontal="center" vertical="center" wrapText="1"/>
    </xf>
    <xf numFmtId="3" fontId="15" fillId="41" borderId="4" xfId="5" applyNumberFormat="1" applyFont="1" applyFill="1" applyBorder="1"/>
    <xf numFmtId="3" fontId="7" fillId="41" borderId="9" xfId="8" applyNumberFormat="1" applyFont="1" applyFill="1" applyBorder="1" applyAlignment="1">
      <alignment horizontal="right"/>
    </xf>
    <xf numFmtId="49" fontId="7" fillId="8" borderId="6" xfId="8" applyNumberFormat="1" applyFont="1" applyFill="1" applyBorder="1" applyAlignment="1">
      <alignment horizontal="center" vertical="center" wrapText="1"/>
    </xf>
    <xf numFmtId="49" fontId="7" fillId="8" borderId="28" xfId="8" applyNumberFormat="1" applyFont="1" applyFill="1" applyBorder="1" applyAlignment="1">
      <alignment horizontal="center" vertical="center" wrapText="1"/>
    </xf>
    <xf numFmtId="49" fontId="7" fillId="41" borderId="28" xfId="0" applyNumberFormat="1" applyFont="1" applyFill="1" applyBorder="1" applyAlignment="1">
      <alignment horizontal="left"/>
    </xf>
    <xf numFmtId="3" fontId="9" fillId="41" borderId="28" xfId="8" applyNumberFormat="1" applyFont="1" applyFill="1" applyBorder="1" applyAlignment="1">
      <alignment horizontal="right" vertical="center"/>
    </xf>
    <xf numFmtId="49" fontId="7" fillId="41" borderId="9" xfId="8" applyNumberFormat="1" applyFont="1" applyFill="1" applyBorder="1" applyAlignment="1">
      <alignment horizontal="left"/>
    </xf>
    <xf numFmtId="165" fontId="7" fillId="41" borderId="9" xfId="8" applyNumberFormat="1" applyFont="1" applyFill="1" applyBorder="1" applyAlignment="1">
      <alignment horizontal="right"/>
    </xf>
    <xf numFmtId="49" fontId="7" fillId="8" borderId="1" xfId="8" applyNumberFormat="1" applyFont="1" applyFill="1" applyBorder="1" applyAlignment="1">
      <alignment horizontal="left"/>
    </xf>
    <xf numFmtId="49" fontId="7" fillId="8" borderId="1" xfId="8" applyNumberFormat="1" applyFont="1" applyFill="1" applyBorder="1" applyAlignment="1">
      <alignment horizontal="right"/>
    </xf>
    <xf numFmtId="49" fontId="7" fillId="8" borderId="62" xfId="8" applyNumberFormat="1" applyFont="1" applyFill="1" applyBorder="1" applyAlignment="1">
      <alignment horizontal="left"/>
    </xf>
    <xf numFmtId="49" fontId="7" fillId="8" borderId="60" xfId="0" applyNumberFormat="1" applyFont="1" applyFill="1" applyBorder="1" applyAlignment="1">
      <alignment horizontal="left"/>
    </xf>
    <xf numFmtId="49" fontId="7" fillId="8" borderId="61" xfId="0" applyNumberFormat="1" applyFont="1" applyFill="1" applyBorder="1" applyAlignment="1">
      <alignment horizontal="left"/>
    </xf>
    <xf numFmtId="17" fontId="13" fillId="8" borderId="28" xfId="8" applyNumberFormat="1" applyFont="1" applyFill="1" applyBorder="1" applyAlignment="1">
      <alignment horizontal="left" vertical="center"/>
    </xf>
    <xf numFmtId="49" fontId="7" fillId="8" borderId="62" xfId="8" applyNumberFormat="1" applyFont="1" applyFill="1" applyBorder="1" applyAlignment="1">
      <alignment horizontal="center" vertical="center" wrapText="1"/>
    </xf>
    <xf numFmtId="49" fontId="7" fillId="41" borderId="61" xfId="0" applyNumberFormat="1" applyFont="1" applyFill="1" applyBorder="1" applyAlignment="1">
      <alignment horizontal="left"/>
    </xf>
    <xf numFmtId="165" fontId="7" fillId="41" borderId="61" xfId="8" applyNumberFormat="1" applyFont="1" applyFill="1" applyBorder="1" applyAlignment="1">
      <alignment horizontal="right"/>
    </xf>
    <xf numFmtId="165" fontId="8" fillId="41" borderId="28" xfId="8" applyNumberFormat="1" applyFont="1" applyFill="1" applyBorder="1" applyAlignment="1">
      <alignment horizontal="right"/>
    </xf>
    <xf numFmtId="49" fontId="7" fillId="8" borderId="62" xfId="8" applyNumberFormat="1" applyFont="1" applyFill="1" applyBorder="1" applyAlignment="1">
      <alignment horizontal="center"/>
    </xf>
    <xf numFmtId="17" fontId="13" fillId="8" borderId="28" xfId="8" applyNumberFormat="1" applyFont="1" applyFill="1" applyBorder="1" applyAlignment="1">
      <alignment horizontal="center" vertical="center"/>
    </xf>
    <xf numFmtId="49" fontId="8" fillId="41" borderId="62" xfId="8" applyNumberFormat="1" applyFont="1" applyFill="1" applyBorder="1" applyAlignment="1">
      <alignment horizontal="left"/>
    </xf>
    <xf numFmtId="2" fontId="30" fillId="41" borderId="28" xfId="63" applyNumberFormat="1" applyFont="1" applyFill="1" applyBorder="1" applyAlignment="1"/>
    <xf numFmtId="189" fontId="7" fillId="41" borderId="61" xfId="8" applyNumberFormat="1" applyFont="1" applyFill="1" applyBorder="1" applyAlignment="1">
      <alignment horizontal="right"/>
    </xf>
    <xf numFmtId="49" fontId="7" fillId="8" borderId="61" xfId="8" applyNumberFormat="1" applyFont="1" applyFill="1" applyBorder="1" applyAlignment="1">
      <alignment horizontal="center" vertical="center"/>
    </xf>
    <xf numFmtId="49" fontId="7" fillId="8" borderId="19" xfId="8" applyNumberFormat="1" applyFont="1" applyFill="1" applyBorder="1" applyAlignment="1">
      <alignment horizontal="center" vertical="center"/>
    </xf>
    <xf numFmtId="49" fontId="7" fillId="8" borderId="62" xfId="8" applyNumberFormat="1" applyFont="1" applyFill="1" applyBorder="1" applyAlignment="1">
      <alignment horizontal="center" vertical="top" wrapText="1"/>
    </xf>
    <xf numFmtId="0" fontId="7" fillId="8" borderId="61" xfId="8" applyFont="1" applyFill="1" applyBorder="1" applyAlignment="1">
      <alignment horizontal="center" vertical="top" wrapText="1"/>
    </xf>
    <xf numFmtId="49" fontId="7" fillId="8" borderId="61" xfId="8" applyNumberFormat="1" applyFont="1" applyFill="1" applyBorder="1" applyAlignment="1">
      <alignment horizontal="center" vertical="top" wrapText="1"/>
    </xf>
    <xf numFmtId="0" fontId="7" fillId="8" borderId="62" xfId="8" applyFont="1" applyFill="1" applyBorder="1" applyAlignment="1">
      <alignment horizontal="center" vertical="top" wrapText="1"/>
    </xf>
    <xf numFmtId="0" fontId="10" fillId="0" borderId="28" xfId="8" applyNumberFormat="1" applyFont="1" applyFill="1" applyBorder="1" applyAlignment="1">
      <alignment horizontal="center" vertical="top"/>
    </xf>
    <xf numFmtId="49" fontId="7" fillId="8" borderId="61" xfId="8" applyNumberFormat="1" applyFont="1" applyFill="1" applyBorder="1" applyAlignment="1">
      <alignment horizontal="center" vertical="center" wrapText="1"/>
    </xf>
    <xf numFmtId="0" fontId="8" fillId="2" borderId="62" xfId="8" applyFont="1" applyFill="1" applyBorder="1" applyAlignment="1">
      <alignment horizontal="center" vertical="center"/>
    </xf>
    <xf numFmtId="49" fontId="8" fillId="2" borderId="62" xfId="8" applyNumberFormat="1" applyFont="1" applyFill="1" applyBorder="1" applyAlignment="1">
      <alignment horizontal="left" vertical="center"/>
    </xf>
    <xf numFmtId="0" fontId="8" fillId="2" borderId="61" xfId="8" applyFont="1" applyFill="1" applyBorder="1" applyAlignment="1">
      <alignment horizontal="center" vertical="center"/>
    </xf>
    <xf numFmtId="49" fontId="8" fillId="2" borderId="61" xfId="8" applyNumberFormat="1" applyFont="1" applyFill="1" applyBorder="1" applyAlignment="1">
      <alignment horizontal="left" vertical="center"/>
    </xf>
    <xf numFmtId="0" fontId="8" fillId="2" borderId="28" xfId="8" applyFont="1" applyFill="1" applyBorder="1" applyAlignment="1">
      <alignment horizontal="center" vertical="center"/>
    </xf>
    <xf numFmtId="49" fontId="8" fillId="2" borderId="28" xfId="8" applyNumberFormat="1" applyFont="1" applyFill="1" applyBorder="1" applyAlignment="1">
      <alignment horizontal="left" vertical="center"/>
    </xf>
    <xf numFmtId="165" fontId="7" fillId="41" borderId="61" xfId="8" applyNumberFormat="1" applyFont="1" applyFill="1" applyBorder="1" applyAlignment="1">
      <alignment horizontal="left"/>
    </xf>
    <xf numFmtId="203" fontId="7" fillId="41" borderId="61" xfId="8" applyNumberFormat="1" applyFont="1" applyFill="1" applyBorder="1" applyAlignment="1">
      <alignment horizontal="right"/>
    </xf>
    <xf numFmtId="204" fontId="7" fillId="41" borderId="61" xfId="8" applyNumberFormat="1" applyFont="1" applyFill="1" applyBorder="1" applyAlignment="1">
      <alignment horizontal="right"/>
    </xf>
    <xf numFmtId="184" fontId="7" fillId="41" borderId="61" xfId="8" applyNumberFormat="1" applyFont="1" applyFill="1" applyBorder="1" applyAlignment="1">
      <alignment horizontal="right"/>
    </xf>
    <xf numFmtId="49" fontId="7" fillId="8" borderId="62" xfId="8" applyNumberFormat="1" applyFont="1" applyFill="1" applyBorder="1" applyAlignment="1">
      <alignment horizontal="center" vertical="center"/>
    </xf>
    <xf numFmtId="49" fontId="7" fillId="8" borderId="91" xfId="8" applyNumberFormat="1" applyFont="1" applyFill="1" applyBorder="1" applyAlignment="1">
      <alignment horizontal="center" vertical="center"/>
    </xf>
    <xf numFmtId="49" fontId="7" fillId="8" borderId="28" xfId="8" applyNumberFormat="1" applyFont="1" applyFill="1" applyBorder="1" applyAlignment="1">
      <alignment horizontal="center"/>
    </xf>
    <xf numFmtId="49" fontId="7" fillId="8" borderId="26" xfId="8" applyNumberFormat="1" applyFont="1" applyFill="1" applyBorder="1" applyAlignment="1">
      <alignment horizontal="center"/>
    </xf>
    <xf numFmtId="49" fontId="7" fillId="8" borderId="19" xfId="8" applyNumberFormat="1" applyFont="1" applyFill="1" applyBorder="1" applyAlignment="1">
      <alignment horizontal="center"/>
    </xf>
    <xf numFmtId="49" fontId="7" fillId="8" borderId="70" xfId="8" applyNumberFormat="1" applyFont="1" applyFill="1" applyBorder="1" applyAlignment="1">
      <alignment horizontal="center"/>
    </xf>
    <xf numFmtId="49" fontId="7" fillId="8" borderId="65" xfId="8" applyNumberFormat="1" applyFont="1" applyFill="1" applyBorder="1" applyAlignment="1">
      <alignment horizontal="center"/>
    </xf>
    <xf numFmtId="184" fontId="7" fillId="41" borderId="93" xfId="8" applyNumberFormat="1" applyFont="1" applyFill="1" applyBorder="1" applyAlignment="1">
      <alignment horizontal="left"/>
    </xf>
    <xf numFmtId="184" fontId="7" fillId="41" borderId="28" xfId="8" applyNumberFormat="1" applyFont="1" applyFill="1" applyBorder="1" applyAlignment="1">
      <alignment horizontal="right"/>
    </xf>
    <xf numFmtId="184" fontId="7" fillId="41" borderId="98" xfId="8" applyNumberFormat="1" applyFont="1" applyFill="1" applyBorder="1" applyAlignment="1">
      <alignment horizontal="right"/>
    </xf>
    <xf numFmtId="184" fontId="7" fillId="41" borderId="95" xfId="8" applyNumberFormat="1" applyFont="1" applyFill="1" applyBorder="1" applyAlignment="1">
      <alignment horizontal="right"/>
    </xf>
    <xf numFmtId="184" fontId="7" fillId="41" borderId="94" xfId="8" applyNumberFormat="1" applyFont="1" applyFill="1" applyBorder="1" applyAlignment="1">
      <alignment horizontal="left"/>
    </xf>
    <xf numFmtId="165" fontId="7" fillId="41" borderId="44" xfId="8" applyNumberFormat="1" applyFont="1" applyFill="1" applyBorder="1" applyAlignment="1">
      <alignment horizontal="left"/>
    </xf>
    <xf numFmtId="165" fontId="7" fillId="41" borderId="44" xfId="8" applyNumberFormat="1" applyFont="1" applyFill="1" applyBorder="1" applyAlignment="1">
      <alignment horizontal="right"/>
    </xf>
    <xf numFmtId="204" fontId="7" fillId="41" borderId="44" xfId="8" applyNumberFormat="1" applyFont="1" applyFill="1" applyBorder="1" applyAlignment="1">
      <alignment horizontal="right"/>
    </xf>
    <xf numFmtId="204" fontId="7" fillId="41" borderId="33" xfId="8" applyNumberFormat="1" applyFont="1" applyFill="1" applyBorder="1" applyAlignment="1">
      <alignment horizontal="right"/>
    </xf>
    <xf numFmtId="49" fontId="7" fillId="8" borderId="33" xfId="8" applyNumberFormat="1" applyFont="1" applyFill="1" applyBorder="1" applyAlignment="1">
      <alignment horizontal="center" vertical="center" wrapText="1"/>
    </xf>
    <xf numFmtId="49" fontId="7" fillId="41" borderId="44" xfId="0" applyNumberFormat="1" applyFont="1" applyFill="1" applyBorder="1" applyAlignment="1">
      <alignment horizontal="left"/>
    </xf>
    <xf numFmtId="179" fontId="7" fillId="41" borderId="44" xfId="8" applyNumberFormat="1" applyFont="1" applyFill="1" applyBorder="1" applyAlignment="1">
      <alignment horizontal="right" vertical="center" wrapText="1"/>
    </xf>
    <xf numFmtId="178" fontId="7" fillId="41" borderId="44" xfId="8" applyNumberFormat="1" applyFont="1" applyFill="1" applyBorder="1" applyAlignment="1">
      <alignment horizontal="right" vertical="center" wrapText="1"/>
    </xf>
    <xf numFmtId="183" fontId="7" fillId="41" borderId="44" xfId="8" applyNumberFormat="1" applyFont="1" applyFill="1" applyBorder="1" applyAlignment="1">
      <alignment horizontal="right" vertical="center" wrapText="1"/>
    </xf>
    <xf numFmtId="2" fontId="10" fillId="0" borderId="28" xfId="0" applyNumberFormat="1" applyFont="1" applyBorder="1" applyAlignment="1">
      <alignment horizontal="right" vertical="center"/>
    </xf>
    <xf numFmtId="4" fontId="13" fillId="0" borderId="28" xfId="0" applyNumberFormat="1" applyFont="1" applyFill="1" applyBorder="1" applyAlignment="1">
      <alignment horizontal="right" vertical="center" wrapText="1"/>
    </xf>
    <xf numFmtId="4" fontId="7" fillId="7" borderId="67" xfId="0" applyNumberFormat="1" applyFont="1" applyFill="1" applyBorder="1" applyAlignment="1">
      <alignment horizontal="right"/>
    </xf>
    <xf numFmtId="4" fontId="8" fillId="2" borderId="28" xfId="0" applyNumberFormat="1" applyFont="1" applyFill="1" applyBorder="1" applyAlignment="1">
      <alignment horizontal="right"/>
    </xf>
    <xf numFmtId="4" fontId="8" fillId="0" borderId="28" xfId="0" applyNumberFormat="1" applyFont="1" applyFill="1" applyBorder="1" applyAlignment="1">
      <alignment horizontal="right"/>
    </xf>
    <xf numFmtId="4" fontId="8" fillId="0" borderId="56" xfId="0" applyNumberFormat="1" applyFont="1" applyFill="1" applyBorder="1" applyAlignment="1">
      <alignment horizontal="right"/>
    </xf>
    <xf numFmtId="4" fontId="8" fillId="0" borderId="0" xfId="0" applyNumberFormat="1" applyFont="1" applyFill="1" applyBorder="1" applyAlignment="1">
      <alignment horizontal="right"/>
    </xf>
    <xf numFmtId="4" fontId="11" fillId="0" borderId="28" xfId="6" applyNumberFormat="1" applyFont="1" applyBorder="1" applyAlignment="1">
      <alignment horizontal="right" vertical="center"/>
    </xf>
    <xf numFmtId="4" fontId="12" fillId="41" borderId="28" xfId="1" applyNumberFormat="1" applyFont="1" applyFill="1" applyBorder="1" applyAlignment="1">
      <alignment horizontal="right"/>
    </xf>
    <xf numFmtId="4" fontId="10" fillId="41" borderId="28" xfId="1" applyNumberFormat="1" applyFont="1" applyFill="1" applyBorder="1" applyAlignment="1">
      <alignment horizontal="right"/>
    </xf>
    <xf numFmtId="4" fontId="11" fillId="3" borderId="28" xfId="6" applyNumberFormat="1" applyFont="1" applyFill="1" applyBorder="1" applyAlignment="1">
      <alignment horizontal="right" vertical="center"/>
    </xf>
    <xf numFmtId="4" fontId="15" fillId="41" borderId="28" xfId="0" applyNumberFormat="1" applyFont="1" applyFill="1" applyBorder="1" applyAlignment="1">
      <alignment horizontal="right"/>
    </xf>
    <xf numFmtId="4" fontId="10" fillId="41" borderId="28" xfId="1" applyNumberFormat="1" applyFont="1" applyFill="1" applyBorder="1" applyAlignment="1">
      <alignment horizontal="right" vertical="top"/>
    </xf>
    <xf numFmtId="4" fontId="11" fillId="8" borderId="28" xfId="6" applyNumberFormat="1" applyFont="1" applyFill="1" applyBorder="1" applyAlignment="1">
      <alignment vertical="center"/>
    </xf>
    <xf numFmtId="4" fontId="11" fillId="3" borderId="28" xfId="6" applyNumberFormat="1" applyFont="1" applyFill="1" applyBorder="1" applyAlignment="1">
      <alignment vertical="center"/>
    </xf>
    <xf numFmtId="4" fontId="15" fillId="41" borderId="28" xfId="1" applyNumberFormat="1" applyFont="1" applyFill="1" applyBorder="1" applyAlignment="1">
      <alignment horizontal="right"/>
    </xf>
    <xf numFmtId="4" fontId="12" fillId="41" borderId="28" xfId="6" applyNumberFormat="1" applyFont="1" applyFill="1" applyBorder="1" applyAlignment="1">
      <alignment vertical="center"/>
    </xf>
    <xf numFmtId="4" fontId="10" fillId="0" borderId="28" xfId="1" applyNumberFormat="1" applyFont="1" applyBorder="1" applyAlignment="1">
      <alignment horizontal="right"/>
    </xf>
    <xf numFmtId="4" fontId="15" fillId="8" borderId="51" xfId="29" applyNumberFormat="1" applyFont="1" applyFill="1" applyBorder="1" applyAlignment="1">
      <alignment horizontal="center" vertical="top"/>
    </xf>
    <xf numFmtId="4" fontId="11" fillId="3" borderId="28" xfId="6" applyNumberFormat="1" applyFont="1" applyFill="1" applyBorder="1" applyAlignment="1"/>
    <xf numFmtId="4" fontId="11" fillId="0" borderId="28" xfId="0" applyNumberFormat="1" applyFont="1" applyBorder="1" applyAlignment="1">
      <alignment horizontal="right"/>
    </xf>
    <xf numFmtId="4" fontId="11" fillId="0" borderId="28" xfId="1" applyNumberFormat="1" applyFont="1" applyBorder="1" applyAlignment="1">
      <alignment horizontal="right" vertical="center"/>
    </xf>
    <xf numFmtId="4" fontId="11" fillId="0" borderId="28" xfId="1" applyNumberFormat="1" applyFont="1" applyBorder="1" applyAlignment="1">
      <alignment horizontal="right"/>
    </xf>
    <xf numFmtId="4" fontId="11" fillId="0" borderId="28" xfId="6" applyNumberFormat="1" applyFont="1" applyBorder="1" applyAlignment="1">
      <alignment horizontal="right"/>
    </xf>
    <xf numFmtId="4" fontId="40" fillId="0" borderId="28" xfId="0" applyNumberFormat="1" applyFont="1" applyBorder="1" applyAlignment="1">
      <alignment horizontal="right"/>
    </xf>
    <xf numFmtId="4" fontId="39" fillId="0" borderId="28" xfId="6" applyNumberFormat="1" applyFont="1" applyBorder="1" applyAlignment="1">
      <alignment horizontal="right"/>
    </xf>
    <xf numFmtId="4" fontId="10" fillId="3" borderId="28" xfId="1" applyNumberFormat="1" applyFont="1" applyFill="1" applyBorder="1" applyAlignment="1">
      <alignment horizontal="right"/>
    </xf>
    <xf numFmtId="4" fontId="11" fillId="3" borderId="28" xfId="6" applyNumberFormat="1" applyFont="1" applyFill="1" applyBorder="1" applyAlignment="1">
      <alignment horizontal="right"/>
    </xf>
    <xf numFmtId="4" fontId="11" fillId="0" borderId="28" xfId="0" applyNumberFormat="1" applyFont="1" applyFill="1" applyBorder="1" applyAlignment="1">
      <alignment horizontal="right" vertical="center"/>
    </xf>
    <xf numFmtId="4" fontId="10" fillId="0" borderId="28" xfId="0" applyNumberFormat="1" applyFont="1" applyBorder="1" applyAlignment="1">
      <alignment horizontal="right"/>
    </xf>
    <xf numFmtId="4" fontId="39" fillId="0" borderId="28" xfId="0" applyNumberFormat="1" applyFont="1" applyBorder="1" applyAlignment="1">
      <alignment horizontal="right"/>
    </xf>
    <xf numFmtId="4" fontId="15" fillId="8" borderId="52" xfId="29" applyNumberFormat="1" applyFont="1" applyFill="1" applyBorder="1" applyAlignment="1">
      <alignment horizontal="center" vertical="top"/>
    </xf>
    <xf numFmtId="4" fontId="11" fillId="3" borderId="28" xfId="0" applyNumberFormat="1" applyFont="1" applyFill="1" applyBorder="1" applyAlignment="1">
      <alignment horizontal="right"/>
    </xf>
    <xf numFmtId="4" fontId="8" fillId="3" borderId="4" xfId="0" applyNumberFormat="1" applyFont="1" applyFill="1" applyBorder="1" applyAlignment="1">
      <alignment horizontal="right" vertical="top"/>
    </xf>
    <xf numFmtId="4" fontId="11" fillId="0" borderId="28" xfId="0" applyNumberFormat="1" applyFont="1" applyFill="1" applyBorder="1" applyAlignment="1">
      <alignment horizontal="right"/>
    </xf>
    <xf numFmtId="204" fontId="7" fillId="0" borderId="4" xfId="0" applyNumberFormat="1" applyFont="1" applyFill="1" applyBorder="1" applyAlignment="1">
      <alignment horizontal="right" vertical="top"/>
    </xf>
    <xf numFmtId="204" fontId="17" fillId="41" borderId="4" xfId="1" applyNumberFormat="1" applyFont="1" applyFill="1" applyBorder="1" applyAlignment="1">
      <alignment vertical="top" wrapText="1"/>
    </xf>
    <xf numFmtId="204" fontId="8" fillId="0" borderId="4" xfId="0" applyNumberFormat="1" applyFont="1" applyFill="1" applyBorder="1" applyAlignment="1">
      <alignment horizontal="right" vertical="top"/>
    </xf>
    <xf numFmtId="204" fontId="11" fillId="0" borderId="4" xfId="0" applyNumberFormat="1" applyFont="1" applyFill="1" applyBorder="1" applyAlignment="1">
      <alignment horizontal="right" vertical="center"/>
    </xf>
    <xf numFmtId="204" fontId="7" fillId="0" borderId="28" xfId="0" applyNumberFormat="1" applyFont="1" applyFill="1" applyBorder="1" applyAlignment="1">
      <alignment horizontal="right" vertical="top"/>
    </xf>
    <xf numFmtId="204" fontId="7" fillId="41" borderId="4" xfId="0" applyNumberFormat="1" applyFont="1" applyFill="1" applyBorder="1" applyAlignment="1">
      <alignment horizontal="right" vertical="top"/>
    </xf>
    <xf numFmtId="204" fontId="8" fillId="3" borderId="4" xfId="0" applyNumberFormat="1" applyFont="1" applyFill="1" applyBorder="1" applyAlignment="1">
      <alignment horizontal="right" vertical="top"/>
    </xf>
    <xf numFmtId="4" fontId="10" fillId="0" borderId="28" xfId="0" applyNumberFormat="1" applyFont="1" applyBorder="1"/>
    <xf numFmtId="4" fontId="10" fillId="41" borderId="28" xfId="0" applyNumberFormat="1" applyFont="1" applyFill="1" applyBorder="1"/>
    <xf numFmtId="4" fontId="10" fillId="0" borderId="28" xfId="0" applyNumberFormat="1" applyFont="1" applyFill="1" applyBorder="1"/>
    <xf numFmtId="4" fontId="7" fillId="0" borderId="4" xfId="0" applyNumberFormat="1" applyFont="1" applyFill="1" applyBorder="1" applyAlignment="1">
      <alignment horizontal="right" vertical="top"/>
    </xf>
    <xf numFmtId="4" fontId="8" fillId="0" borderId="28" xfId="0" applyNumberFormat="1" applyFont="1" applyFill="1" applyBorder="1" applyAlignment="1">
      <alignment horizontal="right" vertical="top"/>
    </xf>
    <xf numFmtId="4" fontId="7" fillId="41" borderId="4" xfId="0" applyNumberFormat="1" applyFont="1" applyFill="1" applyBorder="1" applyAlignment="1">
      <alignment horizontal="right" vertical="top"/>
    </xf>
    <xf numFmtId="4" fontId="7" fillId="0" borderId="4" xfId="0" applyNumberFormat="1" applyFont="1" applyFill="1" applyBorder="1" applyAlignment="1">
      <alignment horizontal="right" vertical="center"/>
    </xf>
    <xf numFmtId="4" fontId="8" fillId="0" borderId="4" xfId="0" applyNumberFormat="1" applyFont="1" applyFill="1" applyBorder="1" applyAlignment="1">
      <alignment horizontal="right" vertical="center"/>
    </xf>
    <xf numFmtId="4" fontId="7" fillId="2" borderId="9" xfId="0" applyNumberFormat="1" applyFont="1" applyFill="1" applyBorder="1" applyAlignment="1">
      <alignment horizontal="right"/>
    </xf>
    <xf numFmtId="4" fontId="7" fillId="41" borderId="4" xfId="0" applyNumberFormat="1" applyFont="1" applyFill="1" applyBorder="1" applyAlignment="1">
      <alignment horizontal="right"/>
    </xf>
    <xf numFmtId="4" fontId="10" fillId="0" borderId="4" xfId="0" applyNumberFormat="1" applyFont="1" applyFill="1" applyBorder="1" applyAlignment="1">
      <alignment horizontal="right"/>
    </xf>
    <xf numFmtId="4" fontId="10" fillId="0" borderId="4" xfId="0" applyNumberFormat="1" applyFont="1" applyFill="1" applyBorder="1"/>
    <xf numFmtId="4" fontId="15" fillId="0" borderId="4" xfId="5" applyNumberFormat="1" applyFont="1" applyFill="1" applyBorder="1"/>
    <xf numFmtId="4" fontId="15" fillId="41" borderId="4" xfId="5" applyNumberFormat="1" applyFont="1" applyFill="1" applyBorder="1"/>
    <xf numFmtId="4" fontId="10" fillId="0" borderId="4" xfId="5" applyNumberFormat="1" applyFont="1" applyFill="1" applyBorder="1"/>
    <xf numFmtId="4" fontId="7" fillId="2" borderId="1" xfId="8" applyNumberFormat="1" applyFont="1" applyFill="1" applyBorder="1" applyAlignment="1">
      <alignment horizontal="right"/>
    </xf>
    <xf numFmtId="4" fontId="7" fillId="41" borderId="9" xfId="8" applyNumberFormat="1" applyFont="1" applyFill="1" applyBorder="1" applyAlignment="1">
      <alignment horizontal="right"/>
    </xf>
    <xf numFmtId="4" fontId="8" fillId="2" borderId="4" xfId="8" applyNumberFormat="1" applyFont="1" applyFill="1" applyBorder="1" applyAlignment="1">
      <alignment horizontal="right"/>
    </xf>
    <xf numFmtId="4" fontId="8" fillId="0" borderId="4" xfId="8" applyNumberFormat="1" applyFont="1" applyFill="1" applyBorder="1" applyAlignment="1">
      <alignment horizontal="right"/>
    </xf>
    <xf numFmtId="4" fontId="7" fillId="0" borderId="1" xfId="8" applyNumberFormat="1" applyFont="1" applyFill="1" applyBorder="1" applyAlignment="1">
      <alignment horizontal="right"/>
    </xf>
    <xf numFmtId="4" fontId="9" fillId="4" borderId="28" xfId="8" applyNumberFormat="1" applyFont="1" applyFill="1" applyBorder="1" applyAlignment="1">
      <alignment horizontal="right" vertical="center"/>
    </xf>
    <xf numFmtId="4" fontId="9" fillId="41" borderId="28" xfId="8" applyNumberFormat="1" applyFont="1" applyFill="1" applyBorder="1" applyAlignment="1">
      <alignment horizontal="right" vertical="center"/>
    </xf>
    <xf numFmtId="205" fontId="7" fillId="2" borderId="1" xfId="8" applyNumberFormat="1" applyFont="1" applyFill="1" applyBorder="1" applyAlignment="1">
      <alignment horizontal="right"/>
    </xf>
    <xf numFmtId="205" fontId="7" fillId="41" borderId="9" xfId="8" applyNumberFormat="1" applyFont="1" applyFill="1" applyBorder="1" applyAlignment="1">
      <alignment horizontal="right"/>
    </xf>
    <xf numFmtId="205" fontId="8" fillId="0" borderId="4" xfId="8" applyNumberFormat="1" applyFont="1" applyFill="1" applyBorder="1" applyAlignment="1">
      <alignment horizontal="right"/>
    </xf>
    <xf numFmtId="205" fontId="8" fillId="2" borderId="4" xfId="8" applyNumberFormat="1" applyFont="1" applyFill="1" applyBorder="1" applyAlignment="1">
      <alignment horizontal="right"/>
    </xf>
    <xf numFmtId="205" fontId="8" fillId="5" borderId="4" xfId="9" applyNumberFormat="1" applyFont="1" applyFill="1" applyBorder="1" applyAlignment="1">
      <alignment horizontal="right"/>
    </xf>
    <xf numFmtId="205" fontId="8" fillId="0" borderId="4" xfId="9" applyNumberFormat="1" applyFont="1" applyFill="1" applyBorder="1" applyAlignment="1">
      <alignment horizontal="right"/>
    </xf>
    <xf numFmtId="205" fontId="7" fillId="0" borderId="1" xfId="8" applyNumberFormat="1" applyFont="1" applyFill="1" applyBorder="1" applyAlignment="1">
      <alignment horizontal="right"/>
    </xf>
    <xf numFmtId="204" fontId="8" fillId="2" borderId="62" xfId="8" applyNumberFormat="1" applyFont="1" applyFill="1" applyBorder="1" applyAlignment="1">
      <alignment horizontal="right"/>
    </xf>
    <xf numFmtId="205" fontId="7" fillId="2" borderId="62" xfId="8" applyNumberFormat="1" applyFont="1" applyFill="1" applyBorder="1" applyAlignment="1">
      <alignment horizontal="right"/>
    </xf>
    <xf numFmtId="205" fontId="7" fillId="41" borderId="61" xfId="8" applyNumberFormat="1" applyFont="1" applyFill="1" applyBorder="1" applyAlignment="1">
      <alignment horizontal="right"/>
    </xf>
    <xf numFmtId="205" fontId="7" fillId="41" borderId="28" xfId="8" applyNumberFormat="1" applyFont="1" applyFill="1" applyBorder="1" applyAlignment="1">
      <alignment horizontal="right"/>
    </xf>
    <xf numFmtId="205" fontId="8" fillId="2" borderId="28" xfId="8" applyNumberFormat="1" applyFont="1" applyFill="1" applyBorder="1" applyAlignment="1">
      <alignment horizontal="right"/>
    </xf>
    <xf numFmtId="204" fontId="7" fillId="2" borderId="62" xfId="8" applyNumberFormat="1" applyFont="1" applyFill="1" applyBorder="1" applyAlignment="1">
      <alignment horizontal="right"/>
    </xf>
    <xf numFmtId="204" fontId="7" fillId="2" borderId="62" xfId="1" applyNumberFormat="1" applyFont="1" applyFill="1" applyBorder="1" applyAlignment="1">
      <alignment horizontal="right"/>
    </xf>
    <xf numFmtId="204" fontId="7" fillId="41" borderId="28" xfId="8" applyNumberFormat="1" applyFont="1" applyFill="1" applyBorder="1" applyAlignment="1">
      <alignment horizontal="right"/>
    </xf>
    <xf numFmtId="204" fontId="7" fillId="2" borderId="61" xfId="8" applyNumberFormat="1" applyFont="1" applyFill="1" applyBorder="1" applyAlignment="1">
      <alignment horizontal="right"/>
    </xf>
    <xf numFmtId="205" fontId="7" fillId="2" borderId="61" xfId="8" applyNumberFormat="1" applyFont="1" applyFill="1" applyBorder="1" applyAlignment="1">
      <alignment horizontal="right"/>
    </xf>
    <xf numFmtId="2" fontId="7" fillId="2" borderId="62" xfId="8" applyNumberFormat="1" applyFont="1" applyFill="1" applyBorder="1" applyAlignment="1">
      <alignment horizontal="right"/>
    </xf>
    <xf numFmtId="2" fontId="7" fillId="41" borderId="61" xfId="8" applyNumberFormat="1" applyFont="1" applyFill="1" applyBorder="1" applyAlignment="1">
      <alignment horizontal="right"/>
    </xf>
    <xf numFmtId="2" fontId="8" fillId="2" borderId="28" xfId="8" applyNumberFormat="1" applyFont="1" applyFill="1" applyBorder="1" applyAlignment="1">
      <alignment horizontal="right"/>
    </xf>
    <xf numFmtId="3" fontId="8" fillId="3" borderId="28" xfId="0" applyNumberFormat="1" applyFont="1" applyFill="1" applyBorder="1" applyAlignment="1">
      <alignment horizontal="right" vertical="top"/>
    </xf>
    <xf numFmtId="4" fontId="8" fillId="3" borderId="28" xfId="0" applyNumberFormat="1" applyFont="1" applyFill="1" applyBorder="1" applyAlignment="1">
      <alignment horizontal="right" vertical="top"/>
    </xf>
    <xf numFmtId="3" fontId="10" fillId="3" borderId="4" xfId="5" applyNumberFormat="1" applyFont="1" applyFill="1" applyBorder="1"/>
    <xf numFmtId="4" fontId="10" fillId="3" borderId="4" xfId="5" applyNumberFormat="1" applyFont="1" applyFill="1" applyBorder="1"/>
    <xf numFmtId="1" fontId="10" fillId="3" borderId="0" xfId="0" applyNumberFormat="1" applyFont="1" applyFill="1" applyBorder="1"/>
    <xf numFmtId="179" fontId="11" fillId="0" borderId="28" xfId="0" applyNumberFormat="1" applyFont="1" applyBorder="1" applyAlignment="1">
      <alignment horizontal="right"/>
    </xf>
    <xf numFmtId="0" fontId="12" fillId="8" borderId="97" xfId="0" applyFont="1" applyFill="1" applyBorder="1" applyAlignment="1">
      <alignment horizontal="center" vertical="center"/>
    </xf>
    <xf numFmtId="0" fontId="12" fillId="8" borderId="100" xfId="0" applyFont="1" applyFill="1" applyBorder="1" applyAlignment="1">
      <alignment horizontal="center" vertical="center" wrapText="1"/>
    </xf>
    <xf numFmtId="49" fontId="20" fillId="0" borderId="0" xfId="8" applyNumberFormat="1" applyFont="1" applyFill="1" applyAlignment="1">
      <alignment horizontal="left"/>
    </xf>
    <xf numFmtId="178" fontId="7" fillId="0" borderId="44" xfId="8" applyNumberFormat="1" applyFont="1" applyFill="1" applyBorder="1" applyAlignment="1">
      <alignment horizontal="right" vertical="center" wrapText="1"/>
    </xf>
    <xf numFmtId="178" fontId="8" fillId="0" borderId="28" xfId="8" applyNumberFormat="1" applyFont="1" applyFill="1" applyBorder="1" applyAlignment="1">
      <alignment horizontal="right" vertical="center" wrapText="1"/>
    </xf>
    <xf numFmtId="49" fontId="7" fillId="8" borderId="28" xfId="8" applyNumberFormat="1" applyFont="1" applyFill="1" applyBorder="1" applyAlignment="1">
      <alignment horizontal="center" vertical="center"/>
    </xf>
    <xf numFmtId="49" fontId="7" fillId="8" borderId="28" xfId="8" applyNumberFormat="1" applyFont="1" applyFill="1" applyBorder="1" applyAlignment="1">
      <alignment horizontal="center" vertical="center" wrapText="1"/>
    </xf>
    <xf numFmtId="49" fontId="7" fillId="8" borderId="26" xfId="8" applyNumberFormat="1" applyFont="1" applyFill="1" applyBorder="1" applyAlignment="1">
      <alignment horizontal="center" vertical="center"/>
    </xf>
    <xf numFmtId="49" fontId="7" fillId="8" borderId="19" xfId="8" applyNumberFormat="1" applyFont="1" applyFill="1" applyBorder="1" applyAlignment="1">
      <alignment horizontal="center" vertical="center"/>
    </xf>
    <xf numFmtId="49" fontId="7" fillId="3" borderId="0" xfId="0" applyNumberFormat="1" applyFont="1" applyFill="1" applyAlignment="1">
      <alignment horizontal="left" vertical="top"/>
    </xf>
    <xf numFmtId="191" fontId="22" fillId="3" borderId="0" xfId="61" applyFont="1" applyFill="1" applyAlignment="1">
      <alignment horizontal="left" vertical="top"/>
    </xf>
    <xf numFmtId="49" fontId="36" fillId="0" borderId="79" xfId="35" applyNumberFormat="1" applyFill="1" applyBorder="1" applyAlignment="1">
      <alignment horizontal="left"/>
    </xf>
    <xf numFmtId="49" fontId="36" fillId="0" borderId="28" xfId="35" applyNumberFormat="1" applyFill="1" applyBorder="1" applyAlignment="1">
      <alignment horizontal="left"/>
    </xf>
    <xf numFmtId="49" fontId="7" fillId="3" borderId="0" xfId="8" applyNumberFormat="1" applyFont="1" applyFill="1" applyAlignment="1"/>
    <xf numFmtId="0" fontId="11" fillId="3" borderId="0" xfId="8" applyNumberFormat="1" applyFont="1" applyFill="1" applyBorder="1" applyAlignment="1"/>
    <xf numFmtId="0" fontId="12" fillId="3" borderId="0" xfId="8" applyNumberFormat="1" applyFont="1" applyFill="1" applyBorder="1" applyAlignment="1"/>
    <xf numFmtId="0" fontId="7" fillId="3" borderId="0" xfId="8" applyFont="1" applyFill="1" applyAlignment="1">
      <alignment vertical="center"/>
    </xf>
    <xf numFmtId="0" fontId="12" fillId="8" borderId="28" xfId="64" applyFont="1" applyFill="1" applyBorder="1" applyAlignment="1">
      <alignment horizontal="center" vertical="center" wrapText="1"/>
    </xf>
    <xf numFmtId="187" fontId="12" fillId="3" borderId="71" xfId="64" applyNumberFormat="1" applyFont="1" applyFill="1" applyBorder="1" applyAlignment="1">
      <alignment horizontal="center" vertical="top" wrapText="1"/>
    </xf>
    <xf numFmtId="187" fontId="12" fillId="3" borderId="28" xfId="64" applyNumberFormat="1" applyFont="1" applyFill="1" applyBorder="1" applyAlignment="1">
      <alignment horizontal="center" vertical="top"/>
    </xf>
    <xf numFmtId="49" fontId="7" fillId="3" borderId="46" xfId="0" applyNumberFormat="1" applyFont="1" applyFill="1" applyBorder="1" applyAlignment="1">
      <alignment horizontal="left"/>
    </xf>
    <xf numFmtId="1" fontId="7" fillId="3" borderId="28" xfId="65" applyNumberFormat="1" applyFont="1" applyFill="1" applyBorder="1" applyAlignment="1">
      <alignment horizontal="right"/>
    </xf>
    <xf numFmtId="168" fontId="13" fillId="3" borderId="28" xfId="65" applyNumberFormat="1" applyFont="1" applyFill="1" applyBorder="1" applyAlignment="1" applyProtection="1">
      <alignment horizontal="right" vertical="center" wrapText="1"/>
    </xf>
    <xf numFmtId="165" fontId="7" fillId="3" borderId="28" xfId="8" applyNumberFormat="1" applyFont="1" applyFill="1" applyBorder="1" applyAlignment="1">
      <alignment horizontal="right"/>
    </xf>
    <xf numFmtId="168" fontId="7" fillId="3" borderId="28" xfId="65" applyNumberFormat="1" applyFont="1" applyFill="1" applyBorder="1" applyAlignment="1" applyProtection="1">
      <alignment horizontal="right" vertical="center" wrapText="1"/>
    </xf>
    <xf numFmtId="43" fontId="7" fillId="3" borderId="28" xfId="65" applyNumberFormat="1" applyFont="1" applyFill="1" applyBorder="1" applyAlignment="1" applyProtection="1">
      <alignment horizontal="right" vertical="center" wrapText="1"/>
    </xf>
    <xf numFmtId="1" fontId="8" fillId="3" borderId="28" xfId="15" applyNumberFormat="1" applyFont="1" applyFill="1" applyBorder="1" applyAlignment="1" applyProtection="1">
      <alignment horizontal="right" vertical="center" wrapText="1"/>
    </xf>
    <xf numFmtId="2" fontId="8" fillId="3" borderId="28" xfId="15" applyNumberFormat="1" applyFont="1" applyFill="1" applyBorder="1" applyAlignment="1" applyProtection="1">
      <alignment horizontal="right" vertical="center" wrapText="1"/>
    </xf>
    <xf numFmtId="206" fontId="7" fillId="3" borderId="28" xfId="65" applyNumberFormat="1" applyFont="1" applyFill="1" applyBorder="1" applyAlignment="1" applyProtection="1">
      <alignment horizontal="right" vertical="center" wrapText="1"/>
    </xf>
    <xf numFmtId="206" fontId="7" fillId="3" borderId="28" xfId="65" applyNumberFormat="1" applyFont="1" applyFill="1" applyBorder="1" applyAlignment="1">
      <alignment horizontal="right" vertical="center" wrapText="1"/>
    </xf>
    <xf numFmtId="188" fontId="7" fillId="3" borderId="0" xfId="8" applyNumberFormat="1" applyFont="1" applyFill="1" applyAlignment="1">
      <alignment vertical="center"/>
    </xf>
    <xf numFmtId="49" fontId="7" fillId="7" borderId="99" xfId="0" applyNumberFormat="1" applyFont="1" applyFill="1" applyBorder="1" applyAlignment="1">
      <alignment horizontal="left"/>
    </xf>
    <xf numFmtId="165" fontId="7" fillId="7" borderId="28" xfId="8" applyNumberFormat="1" applyFont="1" applyFill="1" applyBorder="1" applyAlignment="1">
      <alignment horizontal="right"/>
    </xf>
    <xf numFmtId="43" fontId="7" fillId="7" borderId="28" xfId="8" applyNumberFormat="1" applyFont="1" applyFill="1" applyBorder="1" applyAlignment="1">
      <alignment horizontal="right"/>
    </xf>
    <xf numFmtId="2" fontId="7" fillId="7" borderId="28" xfId="8" applyNumberFormat="1" applyFont="1" applyFill="1" applyBorder="1" applyAlignment="1">
      <alignment horizontal="right"/>
    </xf>
    <xf numFmtId="206" fontId="7" fillId="7" borderId="28" xfId="8" applyNumberFormat="1" applyFont="1" applyFill="1" applyBorder="1" applyAlignment="1">
      <alignment horizontal="right"/>
    </xf>
    <xf numFmtId="168" fontId="13" fillId="7" borderId="28" xfId="65" applyNumberFormat="1" applyFont="1" applyFill="1" applyBorder="1" applyAlignment="1" applyProtection="1">
      <alignment horizontal="right" vertical="center" wrapText="1"/>
    </xf>
    <xf numFmtId="43" fontId="13" fillId="7" borderId="28" xfId="65" applyNumberFormat="1" applyFont="1" applyFill="1" applyBorder="1" applyAlignment="1" applyProtection="1">
      <alignment horizontal="right" vertical="center" wrapText="1"/>
    </xf>
    <xf numFmtId="17" fontId="9" fillId="3" borderId="32" xfId="8" applyNumberFormat="1" applyFont="1" applyFill="1" applyBorder="1" applyAlignment="1">
      <alignment horizontal="left" vertical="center"/>
    </xf>
    <xf numFmtId="3" fontId="9" fillId="3" borderId="28" xfId="65" applyNumberFormat="1" applyFont="1" applyFill="1" applyBorder="1" applyAlignment="1" applyProtection="1">
      <alignment horizontal="right" vertical="center" wrapText="1"/>
      <protection locked="0"/>
    </xf>
    <xf numFmtId="168" fontId="8" fillId="3" borderId="28" xfId="65" applyNumberFormat="1" applyFont="1" applyFill="1" applyBorder="1" applyAlignment="1">
      <alignment horizontal="right" vertical="center" wrapText="1"/>
    </xf>
    <xf numFmtId="43" fontId="8" fillId="3" borderId="28" xfId="65" applyNumberFormat="1" applyFont="1" applyFill="1" applyBorder="1" applyAlignment="1">
      <alignment horizontal="right" vertical="center" wrapText="1"/>
    </xf>
    <xf numFmtId="2" fontId="8" fillId="3" borderId="28" xfId="65" applyNumberFormat="1" applyFont="1" applyFill="1" applyBorder="1" applyAlignment="1">
      <alignment horizontal="right" vertical="center" wrapText="1"/>
    </xf>
    <xf numFmtId="206" fontId="8" fillId="3" borderId="28" xfId="65" applyNumberFormat="1" applyFont="1" applyFill="1" applyBorder="1" applyAlignment="1">
      <alignment horizontal="right" vertical="center" wrapText="1"/>
    </xf>
    <xf numFmtId="43" fontId="8" fillId="3" borderId="0" xfId="8" applyNumberFormat="1" applyFont="1" applyFill="1" applyAlignment="1">
      <alignment vertical="center"/>
    </xf>
    <xf numFmtId="3" fontId="9" fillId="3" borderId="28" xfId="65" applyNumberFormat="1" applyFont="1" applyFill="1" applyBorder="1" applyAlignment="1">
      <alignment horizontal="right" vertical="center" wrapText="1"/>
    </xf>
    <xf numFmtId="165" fontId="8" fillId="3" borderId="28" xfId="8" applyNumberFormat="1" applyFont="1" applyFill="1" applyBorder="1" applyAlignment="1">
      <alignment horizontal="right"/>
    </xf>
    <xf numFmtId="188" fontId="8" fillId="3" borderId="28" xfId="65" applyNumberFormat="1" applyFont="1" applyFill="1" applyBorder="1" applyAlignment="1" applyProtection="1">
      <alignment horizontal="right" vertical="center" wrapText="1"/>
    </xf>
    <xf numFmtId="43" fontId="8" fillId="3" borderId="28" xfId="65" applyNumberFormat="1" applyFont="1" applyFill="1" applyBorder="1" applyAlignment="1" applyProtection="1">
      <alignment horizontal="right" vertical="center" wrapText="1"/>
    </xf>
    <xf numFmtId="168" fontId="8" fillId="3" borderId="28" xfId="1" applyNumberFormat="1" applyFont="1" applyFill="1" applyBorder="1" applyAlignment="1">
      <alignment horizontal="right" vertical="center" wrapText="1"/>
    </xf>
    <xf numFmtId="43" fontId="8" fillId="3" borderId="28" xfId="1" applyNumberFormat="1" applyFont="1" applyFill="1" applyBorder="1" applyAlignment="1">
      <alignment horizontal="right" vertical="center" wrapText="1"/>
    </xf>
    <xf numFmtId="43" fontId="8" fillId="3" borderId="28" xfId="1" applyNumberFormat="1" applyFont="1" applyFill="1" applyBorder="1" applyAlignment="1">
      <alignment horizontal="right" vertical="center"/>
    </xf>
    <xf numFmtId="43" fontId="8" fillId="3" borderId="28" xfId="1" applyNumberFormat="1" applyFont="1" applyFill="1" applyBorder="1" applyAlignment="1">
      <alignment vertical="center"/>
    </xf>
    <xf numFmtId="2" fontId="8" fillId="3" borderId="28" xfId="1" applyNumberFormat="1" applyFont="1" applyFill="1" applyBorder="1" applyAlignment="1">
      <alignment horizontal="right" vertical="center" wrapText="1"/>
    </xf>
    <xf numFmtId="2" fontId="8" fillId="3" borderId="28" xfId="1" applyNumberFormat="1" applyFont="1" applyFill="1" applyBorder="1" applyAlignment="1" applyProtection="1">
      <alignment horizontal="right" vertical="center" wrapText="1"/>
    </xf>
    <xf numFmtId="168" fontId="8" fillId="3" borderId="28" xfId="1" applyNumberFormat="1" applyFont="1" applyFill="1" applyBorder="1" applyAlignment="1" applyProtection="1">
      <alignment horizontal="right" vertical="center" wrapText="1"/>
    </xf>
    <xf numFmtId="2" fontId="8" fillId="3" borderId="28" xfId="1" applyNumberFormat="1" applyFont="1" applyFill="1" applyBorder="1" applyAlignment="1">
      <alignment vertical="center"/>
    </xf>
    <xf numFmtId="43" fontId="8" fillId="3" borderId="28" xfId="1" applyNumberFormat="1" applyFont="1" applyFill="1" applyBorder="1" applyAlignment="1" applyProtection="1">
      <alignment horizontal="right" vertical="center" wrapText="1"/>
    </xf>
    <xf numFmtId="165" fontId="8" fillId="3" borderId="0" xfId="8" applyNumberFormat="1" applyFont="1" applyFill="1" applyBorder="1" applyAlignment="1">
      <alignment horizontal="left"/>
    </xf>
    <xf numFmtId="49" fontId="7" fillId="3" borderId="0" xfId="8" applyNumberFormat="1" applyFont="1" applyFill="1" applyAlignment="1">
      <alignment horizontal="left"/>
    </xf>
    <xf numFmtId="168" fontId="7" fillId="3" borderId="0" xfId="1" applyNumberFormat="1" applyFont="1" applyFill="1" applyAlignment="1">
      <alignment horizontal="left"/>
    </xf>
    <xf numFmtId="43" fontId="11" fillId="3" borderId="0" xfId="8" applyNumberFormat="1" applyFont="1" applyFill="1" applyBorder="1" applyAlignment="1"/>
    <xf numFmtId="168" fontId="8" fillId="3" borderId="0" xfId="8" applyNumberFormat="1" applyFont="1" applyFill="1" applyAlignment="1">
      <alignment vertical="center"/>
    </xf>
    <xf numFmtId="49" fontId="86" fillId="3" borderId="0" xfId="8" applyNumberFormat="1" applyFont="1" applyFill="1" applyAlignment="1">
      <alignment horizontal="left"/>
    </xf>
    <xf numFmtId="49" fontId="7" fillId="3" borderId="0" xfId="8" applyNumberFormat="1" applyFont="1" applyFill="1" applyAlignment="1">
      <alignment vertical="center"/>
    </xf>
    <xf numFmtId="0" fontId="12" fillId="8" borderId="28" xfId="12" applyFont="1" applyFill="1" applyBorder="1" applyAlignment="1">
      <alignment horizontal="center" vertical="center" wrapText="1"/>
    </xf>
    <xf numFmtId="187" fontId="12" fillId="3" borderId="28" xfId="12" applyNumberFormat="1" applyFont="1" applyFill="1" applyBorder="1" applyAlignment="1">
      <alignment horizontal="center" vertical="top" wrapText="1"/>
    </xf>
    <xf numFmtId="187" fontId="12" fillId="3" borderId="28" xfId="12" applyNumberFormat="1" applyFont="1" applyFill="1" applyBorder="1" applyAlignment="1">
      <alignment horizontal="center" vertical="top"/>
    </xf>
    <xf numFmtId="187" fontId="12" fillId="3" borderId="6" xfId="12" applyNumberFormat="1" applyFont="1" applyFill="1" applyBorder="1" applyAlignment="1">
      <alignment horizontal="center" vertical="top"/>
    </xf>
    <xf numFmtId="3" fontId="7" fillId="3" borderId="28" xfId="15" applyNumberFormat="1" applyFont="1" applyFill="1" applyBorder="1" applyAlignment="1">
      <alignment horizontal="right" vertical="center" wrapText="1"/>
    </xf>
    <xf numFmtId="4" fontId="7" fillId="3" borderId="28" xfId="15" applyNumberFormat="1" applyFont="1" applyFill="1" applyBorder="1" applyAlignment="1">
      <alignment horizontal="right" vertical="center" wrapText="1"/>
    </xf>
    <xf numFmtId="49" fontId="7" fillId="7" borderId="79" xfId="0" applyNumberFormat="1" applyFont="1" applyFill="1" applyBorder="1" applyAlignment="1">
      <alignment horizontal="left"/>
    </xf>
    <xf numFmtId="165" fontId="7" fillId="7" borderId="79" xfId="8" applyNumberFormat="1" applyFont="1" applyFill="1" applyBorder="1" applyAlignment="1">
      <alignment horizontal="right"/>
    </xf>
    <xf numFmtId="4" fontId="7" fillId="7" borderId="79" xfId="8" applyNumberFormat="1" applyFont="1" applyFill="1" applyBorder="1" applyAlignment="1">
      <alignment horizontal="right"/>
    </xf>
    <xf numFmtId="4" fontId="13" fillId="7" borderId="28" xfId="11" applyNumberFormat="1" applyFont="1" applyFill="1" applyBorder="1" applyAlignment="1" applyProtection="1">
      <alignment horizontal="right" vertical="center" wrapText="1"/>
    </xf>
    <xf numFmtId="17" fontId="9" fillId="3" borderId="28" xfId="8" applyNumberFormat="1" applyFont="1" applyFill="1" applyBorder="1" applyAlignment="1">
      <alignment horizontal="left" vertical="center"/>
    </xf>
    <xf numFmtId="3" fontId="8" fillId="3" borderId="28" xfId="15" applyNumberFormat="1" applyFont="1" applyFill="1" applyBorder="1" applyAlignment="1">
      <alignment horizontal="right" vertical="center" wrapText="1"/>
    </xf>
    <xf numFmtId="4" fontId="8" fillId="3" borderId="28" xfId="15" applyNumberFormat="1" applyFont="1" applyFill="1" applyBorder="1" applyAlignment="1">
      <alignment horizontal="right" vertical="center" wrapText="1"/>
    </xf>
    <xf numFmtId="3" fontId="8" fillId="3" borderId="0" xfId="8" applyNumberFormat="1" applyFont="1" applyFill="1" applyAlignment="1">
      <alignment vertical="center"/>
    </xf>
    <xf numFmtId="0" fontId="8" fillId="3" borderId="28" xfId="15" applyNumberFormat="1" applyFont="1" applyFill="1" applyBorder="1" applyAlignment="1">
      <alignment horizontal="right" vertical="center" wrapText="1"/>
    </xf>
    <xf numFmtId="2" fontId="7" fillId="3" borderId="0" xfId="8" applyNumberFormat="1" applyFont="1" applyFill="1" applyAlignment="1">
      <alignment horizontal="left"/>
    </xf>
    <xf numFmtId="17" fontId="21" fillId="3" borderId="0" xfId="19" applyNumberFormat="1" applyFont="1" applyFill="1" applyBorder="1" applyAlignment="1">
      <alignment horizontal="left" vertical="top"/>
    </xf>
    <xf numFmtId="4" fontId="11" fillId="3" borderId="0" xfId="8" applyNumberFormat="1" applyFont="1" applyFill="1" applyBorder="1" applyAlignment="1"/>
    <xf numFmtId="3" fontId="11" fillId="3" borderId="0" xfId="8" applyNumberFormat="1" applyFont="1" applyFill="1" applyBorder="1" applyAlignment="1"/>
    <xf numFmtId="4" fontId="8" fillId="3" borderId="0" xfId="8" applyNumberFormat="1" applyFont="1" applyFill="1" applyAlignment="1">
      <alignment vertical="center"/>
    </xf>
    <xf numFmtId="168" fontId="11" fillId="3" borderId="0" xfId="11" applyNumberFormat="1" applyFont="1" applyFill="1" applyBorder="1" applyAlignment="1"/>
    <xf numFmtId="0" fontId="7" fillId="8" borderId="109" xfId="8" applyFont="1" applyFill="1" applyBorder="1" applyAlignment="1">
      <alignment horizontal="center" vertical="center" wrapText="1"/>
    </xf>
    <xf numFmtId="49" fontId="7" fillId="0" borderId="74" xfId="0" applyNumberFormat="1" applyFont="1" applyFill="1" applyBorder="1" applyAlignment="1">
      <alignment horizontal="left"/>
    </xf>
    <xf numFmtId="43" fontId="7" fillId="2" borderId="109" xfId="1" applyFont="1" applyFill="1" applyBorder="1" applyAlignment="1">
      <alignment horizontal="right"/>
    </xf>
    <xf numFmtId="43" fontId="7" fillId="7" borderId="79" xfId="1" applyFont="1" applyFill="1" applyBorder="1" applyAlignment="1">
      <alignment horizontal="right"/>
    </xf>
    <xf numFmtId="43" fontId="8" fillId="7" borderId="28" xfId="1" applyFont="1" applyFill="1" applyBorder="1" applyAlignment="1">
      <alignment horizontal="right"/>
    </xf>
    <xf numFmtId="43" fontId="8" fillId="2" borderId="28" xfId="1" applyFont="1" applyFill="1" applyBorder="1" applyAlignment="1">
      <alignment horizontal="right"/>
    </xf>
    <xf numFmtId="43" fontId="8" fillId="0" borderId="28" xfId="1" applyFont="1" applyFill="1" applyBorder="1" applyAlignment="1">
      <alignment horizontal="right"/>
    </xf>
    <xf numFmtId="165" fontId="11" fillId="3" borderId="0" xfId="8" applyNumberFormat="1" applyFont="1" applyFill="1" applyBorder="1" applyAlignment="1"/>
    <xf numFmtId="49" fontId="7" fillId="8" borderId="109" xfId="8" applyNumberFormat="1" applyFont="1" applyFill="1" applyBorder="1" applyAlignment="1">
      <alignment horizontal="center" vertical="center"/>
    </xf>
    <xf numFmtId="49" fontId="7" fillId="3" borderId="74" xfId="0" applyNumberFormat="1" applyFont="1" applyFill="1" applyBorder="1" applyAlignment="1">
      <alignment horizontal="left"/>
    </xf>
    <xf numFmtId="189" fontId="7" fillId="3" borderId="109" xfId="8" applyNumberFormat="1" applyFont="1" applyFill="1" applyBorder="1" applyAlignment="1">
      <alignment horizontal="right"/>
    </xf>
    <xf numFmtId="189" fontId="7" fillId="7" borderId="97" xfId="8" applyNumberFormat="1" applyFont="1" applyFill="1" applyBorder="1" applyAlignment="1">
      <alignment horizontal="right"/>
    </xf>
    <xf numFmtId="189" fontId="7" fillId="7" borderId="79" xfId="8" applyNumberFormat="1" applyFont="1" applyFill="1" applyBorder="1" applyAlignment="1">
      <alignment horizontal="right"/>
    </xf>
    <xf numFmtId="189" fontId="8" fillId="3" borderId="28" xfId="8" applyNumberFormat="1" applyFont="1" applyFill="1" applyBorder="1" applyAlignment="1">
      <alignment horizontal="right"/>
    </xf>
    <xf numFmtId="165" fontId="8" fillId="0" borderId="0" xfId="8" applyNumberFormat="1" applyFont="1" applyFill="1" applyBorder="1" applyAlignment="1">
      <alignment horizontal="left"/>
    </xf>
    <xf numFmtId="189" fontId="8" fillId="3" borderId="0" xfId="8" applyNumberFormat="1" applyFont="1" applyFill="1" applyBorder="1" applyAlignment="1">
      <alignment horizontal="right"/>
    </xf>
    <xf numFmtId="49" fontId="7" fillId="8" borderId="109" xfId="8" applyNumberFormat="1" applyFont="1" applyFill="1" applyBorder="1" applyAlignment="1">
      <alignment horizontal="center"/>
    </xf>
    <xf numFmtId="177" fontId="8" fillId="3" borderId="0" xfId="8" applyNumberFormat="1" applyFont="1" applyFill="1" applyBorder="1" applyAlignment="1">
      <alignment horizontal="right"/>
    </xf>
    <xf numFmtId="49" fontId="7" fillId="8" borderId="109" xfId="8" applyNumberFormat="1" applyFont="1" applyFill="1" applyBorder="1" applyAlignment="1">
      <alignment vertical="center"/>
    </xf>
    <xf numFmtId="49" fontId="7" fillId="8" borderId="109" xfId="8" applyNumberFormat="1" applyFont="1" applyFill="1" applyBorder="1" applyAlignment="1">
      <alignment horizontal="center" vertical="center" wrapText="1"/>
    </xf>
    <xf numFmtId="49" fontId="7" fillId="8" borderId="108" xfId="8" applyNumberFormat="1" applyFont="1" applyFill="1" applyBorder="1" applyAlignment="1">
      <alignment horizontal="center"/>
    </xf>
    <xf numFmtId="189" fontId="7" fillId="2" borderId="109" xfId="8" applyNumberFormat="1" applyFont="1" applyFill="1" applyBorder="1" applyAlignment="1">
      <alignment horizontal="right"/>
    </xf>
    <xf numFmtId="189" fontId="7" fillId="7" borderId="109" xfId="8" applyNumberFormat="1" applyFont="1" applyFill="1" applyBorder="1" applyAlignment="1">
      <alignment horizontal="right"/>
    </xf>
    <xf numFmtId="0" fontId="11" fillId="3" borderId="0" xfId="8" applyNumberFormat="1" applyFont="1" applyFill="1" applyBorder="1" applyAlignment="1">
      <alignment vertical="top"/>
    </xf>
    <xf numFmtId="0" fontId="8" fillId="3" borderId="0" xfId="8" applyFont="1" applyFill="1" applyAlignment="1">
      <alignment vertical="top"/>
    </xf>
    <xf numFmtId="0" fontId="7" fillId="3" borderId="109" xfId="8" applyFont="1" applyFill="1" applyBorder="1" applyAlignment="1">
      <alignment horizontal="right" vertical="top"/>
    </xf>
    <xf numFmtId="173" fontId="7" fillId="3" borderId="109" xfId="8" applyNumberFormat="1" applyFont="1" applyFill="1" applyBorder="1" applyAlignment="1">
      <alignment horizontal="right" vertical="top"/>
    </xf>
    <xf numFmtId="43" fontId="7" fillId="3" borderId="109" xfId="1" applyFont="1" applyFill="1" applyBorder="1" applyAlignment="1">
      <alignment horizontal="right" vertical="top"/>
    </xf>
    <xf numFmtId="43" fontId="7" fillId="3" borderId="109" xfId="1" applyNumberFormat="1" applyFont="1" applyFill="1" applyBorder="1" applyAlignment="1">
      <alignment horizontal="right" vertical="top"/>
    </xf>
    <xf numFmtId="171" fontId="7" fillId="3" borderId="109" xfId="8" applyNumberFormat="1" applyFont="1" applyFill="1" applyBorder="1" applyAlignment="1">
      <alignment horizontal="right" vertical="top"/>
    </xf>
    <xf numFmtId="0" fontId="7" fillId="3" borderId="0" xfId="8" applyFont="1" applyFill="1" applyAlignment="1">
      <alignment vertical="top"/>
    </xf>
    <xf numFmtId="43" fontId="7" fillId="7" borderId="79" xfId="1" applyNumberFormat="1" applyFont="1" applyFill="1" applyBorder="1" applyAlignment="1">
      <alignment horizontal="right"/>
    </xf>
    <xf numFmtId="0" fontId="8" fillId="3" borderId="28" xfId="8" applyFont="1" applyFill="1" applyBorder="1" applyAlignment="1">
      <alignment horizontal="right" vertical="top"/>
    </xf>
    <xf numFmtId="165" fontId="8" fillId="3" borderId="28" xfId="8" applyNumberFormat="1" applyFont="1" applyFill="1" applyBorder="1" applyAlignment="1">
      <alignment horizontal="right" vertical="top"/>
    </xf>
    <xf numFmtId="43" fontId="8" fillId="3" borderId="28" xfId="1" applyFont="1" applyFill="1" applyBorder="1" applyAlignment="1">
      <alignment horizontal="right" vertical="top"/>
    </xf>
    <xf numFmtId="43" fontId="8" fillId="3" borderId="28" xfId="1" applyNumberFormat="1" applyFont="1" applyFill="1" applyBorder="1" applyAlignment="1">
      <alignment horizontal="right" vertical="top"/>
    </xf>
    <xf numFmtId="171" fontId="8" fillId="3" borderId="28" xfId="8" applyNumberFormat="1" applyFont="1" applyFill="1" applyBorder="1" applyAlignment="1">
      <alignment horizontal="right" vertical="top"/>
    </xf>
    <xf numFmtId="168" fontId="8" fillId="3" borderId="28" xfId="1" applyNumberFormat="1" applyFont="1" applyFill="1" applyBorder="1" applyAlignment="1">
      <alignment horizontal="right" vertical="top"/>
    </xf>
    <xf numFmtId="0" fontId="8" fillId="3" borderId="0" xfId="8" applyFont="1" applyFill="1" applyBorder="1" applyAlignment="1">
      <alignment horizontal="right" vertical="top"/>
    </xf>
    <xf numFmtId="173" fontId="8" fillId="3" borderId="0" xfId="8" applyNumberFormat="1" applyFont="1" applyFill="1" applyBorder="1" applyAlignment="1">
      <alignment horizontal="right" vertical="top"/>
    </xf>
    <xf numFmtId="171" fontId="8" fillId="3" borderId="0" xfId="8" applyNumberFormat="1" applyFont="1" applyFill="1" applyBorder="1" applyAlignment="1">
      <alignment horizontal="right" vertical="top"/>
    </xf>
    <xf numFmtId="181" fontId="8" fillId="3" borderId="0" xfId="2" applyNumberFormat="1" applyFont="1" applyFill="1" applyBorder="1" applyAlignment="1">
      <alignment horizontal="right" vertical="top"/>
    </xf>
    <xf numFmtId="165" fontId="8" fillId="3" borderId="0" xfId="8" applyNumberFormat="1" applyFont="1" applyFill="1" applyBorder="1" applyAlignment="1">
      <alignment horizontal="right" vertical="top"/>
    </xf>
    <xf numFmtId="9" fontId="8" fillId="3" borderId="0" xfId="2" applyFont="1" applyFill="1" applyBorder="1" applyAlignment="1">
      <alignment horizontal="right" vertical="top"/>
    </xf>
    <xf numFmtId="168" fontId="11" fillId="3" borderId="0" xfId="11" applyNumberFormat="1" applyFont="1" applyFill="1" applyBorder="1" applyAlignment="1">
      <alignment vertical="top"/>
    </xf>
    <xf numFmtId="173" fontId="11" fillId="3" borderId="0" xfId="8" applyNumberFormat="1" applyFont="1" applyFill="1" applyBorder="1" applyAlignment="1">
      <alignment vertical="top"/>
    </xf>
    <xf numFmtId="49" fontId="7" fillId="8" borderId="109" xfId="8" applyNumberFormat="1" applyFont="1" applyFill="1" applyBorder="1" applyAlignment="1">
      <alignment horizontal="center" wrapText="1"/>
    </xf>
    <xf numFmtId="49" fontId="7" fillId="3" borderId="109" xfId="8" applyNumberFormat="1" applyFont="1" applyFill="1" applyBorder="1" applyAlignment="1">
      <alignment horizontal="left"/>
    </xf>
    <xf numFmtId="0" fontId="7" fillId="3" borderId="109" xfId="8" applyFont="1" applyFill="1" applyBorder="1" applyAlignment="1">
      <alignment horizontal="right"/>
    </xf>
    <xf numFmtId="173" fontId="7" fillId="3" borderId="109" xfId="8" applyNumberFormat="1" applyFont="1" applyFill="1" applyBorder="1" applyAlignment="1">
      <alignment horizontal="right"/>
    </xf>
    <xf numFmtId="43" fontId="7" fillId="3" borderId="109" xfId="1" applyFont="1" applyFill="1" applyBorder="1" applyAlignment="1">
      <alignment horizontal="right"/>
    </xf>
    <xf numFmtId="190" fontId="7" fillId="3" borderId="109" xfId="8" applyNumberFormat="1" applyFont="1" applyFill="1" applyBorder="1" applyAlignment="1">
      <alignment horizontal="right"/>
    </xf>
    <xf numFmtId="43" fontId="7" fillId="3" borderId="109" xfId="1" applyFont="1" applyFill="1" applyBorder="1" applyAlignment="1">
      <alignment horizontal="right" vertical="center"/>
    </xf>
    <xf numFmtId="0" fontId="13" fillId="7" borderId="28" xfId="8" applyNumberFormat="1" applyFont="1" applyFill="1" applyBorder="1" applyAlignment="1">
      <alignment vertical="center"/>
    </xf>
    <xf numFmtId="0" fontId="8" fillId="3" borderId="28" xfId="8" applyFont="1" applyFill="1" applyBorder="1" applyAlignment="1">
      <alignment horizontal="right"/>
    </xf>
    <xf numFmtId="173" fontId="8" fillId="3" borderId="28" xfId="8" applyNumberFormat="1" applyFont="1" applyFill="1" applyBorder="1" applyAlignment="1">
      <alignment horizontal="right"/>
    </xf>
    <xf numFmtId="43" fontId="8" fillId="3" borderId="28" xfId="1" applyFont="1" applyFill="1" applyBorder="1" applyAlignment="1">
      <alignment horizontal="right"/>
    </xf>
    <xf numFmtId="171" fontId="8" fillId="3" borderId="28" xfId="8" applyNumberFormat="1" applyFont="1" applyFill="1" applyBorder="1" applyAlignment="1">
      <alignment horizontal="right"/>
    </xf>
    <xf numFmtId="168" fontId="8" fillId="3" borderId="28" xfId="1" applyNumberFormat="1" applyFont="1" applyFill="1" applyBorder="1" applyAlignment="1">
      <alignment horizontal="right"/>
    </xf>
    <xf numFmtId="0" fontId="8" fillId="3" borderId="0" xfId="8" applyFont="1" applyFill="1" applyBorder="1" applyAlignment="1">
      <alignment horizontal="right"/>
    </xf>
    <xf numFmtId="173" fontId="8" fillId="3" borderId="0" xfId="8" applyNumberFormat="1" applyFont="1" applyFill="1" applyBorder="1" applyAlignment="1">
      <alignment horizontal="right"/>
    </xf>
    <xf numFmtId="171" fontId="8" fillId="3" borderId="0" xfId="8" applyNumberFormat="1" applyFont="1" applyFill="1" applyBorder="1" applyAlignment="1">
      <alignment horizontal="right"/>
    </xf>
    <xf numFmtId="165" fontId="8" fillId="3" borderId="0" xfId="8" applyNumberFormat="1" applyFont="1" applyFill="1" applyBorder="1" applyAlignment="1">
      <alignment horizontal="right"/>
    </xf>
    <xf numFmtId="0" fontId="86" fillId="3" borderId="0" xfId="8" applyFont="1" applyFill="1" applyAlignment="1">
      <alignment vertical="center"/>
    </xf>
    <xf numFmtId="49" fontId="86" fillId="3" borderId="0" xfId="8" applyNumberFormat="1" applyFont="1" applyFill="1" applyAlignment="1">
      <alignment horizontal="left" wrapText="1"/>
    </xf>
    <xf numFmtId="171" fontId="11" fillId="3" borderId="0" xfId="8" applyNumberFormat="1" applyFont="1" applyFill="1" applyBorder="1" applyAlignment="1"/>
    <xf numFmtId="43" fontId="7" fillId="3" borderId="109" xfId="1" applyNumberFormat="1" applyFont="1" applyFill="1" applyBorder="1" applyAlignment="1">
      <alignment horizontal="right"/>
    </xf>
    <xf numFmtId="165" fontId="7" fillId="3" borderId="109" xfId="8" applyNumberFormat="1" applyFont="1" applyFill="1" applyBorder="1" applyAlignment="1">
      <alignment horizontal="right"/>
    </xf>
    <xf numFmtId="43" fontId="8" fillId="3" borderId="28" xfId="1" applyNumberFormat="1" applyFont="1" applyFill="1" applyBorder="1" applyAlignment="1">
      <alignment horizontal="right"/>
    </xf>
    <xf numFmtId="175" fontId="8" fillId="3" borderId="0" xfId="8" applyNumberFormat="1" applyFont="1" applyFill="1" applyBorder="1" applyAlignment="1">
      <alignment horizontal="right"/>
    </xf>
    <xf numFmtId="43" fontId="7" fillId="7" borderId="97" xfId="1" applyFont="1" applyFill="1" applyBorder="1" applyAlignment="1">
      <alignment horizontal="right"/>
    </xf>
    <xf numFmtId="178" fontId="8" fillId="3" borderId="0" xfId="8" applyNumberFormat="1" applyFont="1" applyFill="1" applyBorder="1" applyAlignment="1">
      <alignment horizontal="right"/>
    </xf>
    <xf numFmtId="178" fontId="11" fillId="3" borderId="0" xfId="8" applyNumberFormat="1" applyFont="1" applyFill="1" applyBorder="1" applyAlignment="1"/>
    <xf numFmtId="168" fontId="7" fillId="3" borderId="109" xfId="1" applyNumberFormat="1" applyFont="1" applyFill="1" applyBorder="1" applyAlignment="1">
      <alignment horizontal="right"/>
    </xf>
    <xf numFmtId="43" fontId="7" fillId="7" borderId="109" xfId="1" applyFont="1" applyFill="1" applyBorder="1" applyAlignment="1">
      <alignment horizontal="right"/>
    </xf>
    <xf numFmtId="43" fontId="7" fillId="7" borderId="28" xfId="1" applyFont="1" applyFill="1" applyBorder="1" applyAlignment="1">
      <alignment horizontal="right"/>
    </xf>
    <xf numFmtId="168" fontId="7" fillId="7" borderId="28" xfId="1" applyNumberFormat="1" applyFont="1" applyFill="1" applyBorder="1" applyAlignment="1">
      <alignment horizontal="right"/>
    </xf>
    <xf numFmtId="49" fontId="7" fillId="3" borderId="0" xfId="8" applyNumberFormat="1" applyFont="1" applyFill="1" applyAlignment="1">
      <alignment horizontal="left" wrapText="1"/>
    </xf>
    <xf numFmtId="171" fontId="8" fillId="3" borderId="0" xfId="8" applyNumberFormat="1" applyFont="1" applyFill="1" applyAlignment="1">
      <alignment vertical="center"/>
    </xf>
    <xf numFmtId="171" fontId="7" fillId="3" borderId="109" xfId="8" applyNumberFormat="1" applyFont="1" applyFill="1" applyBorder="1" applyAlignment="1">
      <alignment horizontal="right"/>
    </xf>
    <xf numFmtId="173" fontId="11" fillId="3" borderId="0" xfId="8" applyNumberFormat="1" applyFont="1" applyFill="1" applyBorder="1" applyAlignment="1"/>
    <xf numFmtId="49" fontId="7" fillId="3" borderId="0" xfId="8" applyNumberFormat="1" applyFont="1" applyFill="1" applyAlignment="1">
      <alignment horizontal="left" vertical="center"/>
    </xf>
    <xf numFmtId="165" fontId="8" fillId="3" borderId="0" xfId="8" applyNumberFormat="1" applyFont="1" applyFill="1" applyAlignment="1">
      <alignment vertical="center"/>
    </xf>
    <xf numFmtId="43" fontId="7" fillId="3" borderId="19" xfId="1" applyFont="1" applyFill="1" applyBorder="1" applyAlignment="1">
      <alignment horizontal="right"/>
    </xf>
    <xf numFmtId="3" fontId="21" fillId="3" borderId="0" xfId="8" applyNumberFormat="1" applyFont="1" applyFill="1" applyBorder="1" applyAlignment="1">
      <alignment horizontal="justify" vertical="center"/>
    </xf>
    <xf numFmtId="49" fontId="7" fillId="3" borderId="0" xfId="8" applyNumberFormat="1" applyFont="1" applyFill="1" applyAlignment="1">
      <alignment vertical="top"/>
    </xf>
    <xf numFmtId="49" fontId="7" fillId="3" borderId="0" xfId="8" applyNumberFormat="1" applyFont="1" applyFill="1" applyAlignment="1">
      <alignment vertical="top" wrapText="1"/>
    </xf>
    <xf numFmtId="49" fontId="7" fillId="8" borderId="108" xfId="8" applyNumberFormat="1" applyFont="1" applyFill="1" applyBorder="1" applyAlignment="1">
      <alignment horizontal="center" vertical="center"/>
    </xf>
    <xf numFmtId="43" fontId="7" fillId="3" borderId="67" xfId="1" applyFont="1" applyFill="1" applyBorder="1" applyAlignment="1">
      <alignment horizontal="right"/>
    </xf>
    <xf numFmtId="43" fontId="7" fillId="3" borderId="79" xfId="1" applyFont="1" applyFill="1" applyBorder="1" applyAlignment="1">
      <alignment horizontal="right"/>
    </xf>
    <xf numFmtId="43" fontId="7" fillId="3" borderId="28" xfId="1" applyFont="1" applyFill="1" applyBorder="1" applyAlignment="1">
      <alignment horizontal="right"/>
    </xf>
    <xf numFmtId="165" fontId="7" fillId="3" borderId="0" xfId="8" applyNumberFormat="1" applyFont="1" applyFill="1" applyAlignment="1">
      <alignment vertical="center"/>
    </xf>
    <xf numFmtId="3" fontId="7" fillId="3" borderId="0" xfId="8" applyNumberFormat="1" applyFont="1" applyFill="1" applyAlignment="1">
      <alignment vertical="center"/>
    </xf>
    <xf numFmtId="3" fontId="11" fillId="3" borderId="0" xfId="17" applyNumberFormat="1" applyFont="1" applyFill="1" applyBorder="1" applyAlignment="1">
      <alignment horizontal="center"/>
    </xf>
    <xf numFmtId="3" fontId="11" fillId="3" borderId="0" xfId="18" applyNumberFormat="1" applyFont="1" applyFill="1" applyBorder="1" applyAlignment="1">
      <alignment horizontal="center"/>
    </xf>
    <xf numFmtId="165" fontId="8" fillId="3" borderId="0" xfId="8" applyNumberFormat="1" applyFont="1" applyFill="1" applyBorder="1" applyAlignment="1">
      <alignment horizontal="center"/>
    </xf>
    <xf numFmtId="3" fontId="7" fillId="3" borderId="67" xfId="17" applyNumberFormat="1" applyFont="1" applyFill="1" applyBorder="1" applyAlignment="1">
      <alignment horizontal="right"/>
    </xf>
    <xf numFmtId="3" fontId="7" fillId="3" borderId="79" xfId="8" applyNumberFormat="1" applyFont="1" applyFill="1" applyBorder="1" applyAlignment="1">
      <alignment horizontal="right"/>
    </xf>
    <xf numFmtId="3" fontId="7" fillId="3" borderId="28" xfId="17" applyNumberFormat="1" applyFont="1" applyFill="1" applyBorder="1" applyAlignment="1">
      <alignment horizontal="right"/>
    </xf>
    <xf numFmtId="3" fontId="7" fillId="3" borderId="28" xfId="8" applyNumberFormat="1" applyFont="1" applyFill="1" applyBorder="1" applyAlignment="1">
      <alignment horizontal="right"/>
    </xf>
    <xf numFmtId="165" fontId="8" fillId="7" borderId="28" xfId="8" applyNumberFormat="1" applyFont="1" applyFill="1" applyBorder="1" applyAlignment="1">
      <alignment horizontal="right"/>
    </xf>
    <xf numFmtId="3" fontId="7" fillId="7" borderId="28" xfId="8" applyNumberFormat="1" applyFont="1" applyFill="1" applyBorder="1" applyAlignment="1">
      <alignment horizontal="right"/>
    </xf>
    <xf numFmtId="3" fontId="8" fillId="3" borderId="28" xfId="8" applyNumberFormat="1" applyFont="1" applyFill="1" applyBorder="1" applyAlignment="1">
      <alignment horizontal="right"/>
    </xf>
    <xf numFmtId="3" fontId="8" fillId="3" borderId="0" xfId="8" applyNumberFormat="1" applyFont="1" applyFill="1" applyBorder="1" applyAlignment="1">
      <alignment horizontal="right" vertical="top"/>
    </xf>
    <xf numFmtId="49" fontId="7" fillId="3" borderId="50" xfId="8" applyNumberFormat="1" applyFont="1" applyFill="1" applyBorder="1" applyAlignment="1">
      <alignment vertical="top"/>
    </xf>
    <xf numFmtId="178" fontId="7" fillId="3" borderId="0" xfId="8" applyNumberFormat="1" applyFont="1" applyFill="1" applyAlignment="1">
      <alignment vertical="center"/>
    </xf>
    <xf numFmtId="195" fontId="8" fillId="3" borderId="0" xfId="8" applyNumberFormat="1" applyFont="1" applyFill="1" applyBorder="1" applyAlignment="1">
      <alignment horizontal="right"/>
    </xf>
    <xf numFmtId="49" fontId="7" fillId="8" borderId="79" xfId="0" applyNumberFormat="1" applyFont="1" applyFill="1" applyBorder="1" applyAlignment="1">
      <alignment horizontal="center" vertical="center" wrapText="1"/>
    </xf>
    <xf numFmtId="43" fontId="7" fillId="3" borderId="110" xfId="1" applyFont="1" applyFill="1" applyBorder="1" applyAlignment="1">
      <alignment horizontal="right"/>
    </xf>
    <xf numFmtId="3" fontId="10" fillId="3" borderId="0" xfId="0" applyNumberFormat="1" applyFont="1" applyFill="1"/>
    <xf numFmtId="171" fontId="10" fillId="3" borderId="0" xfId="0" applyNumberFormat="1" applyFont="1" applyFill="1"/>
    <xf numFmtId="43" fontId="7" fillId="7" borderId="110" xfId="1" applyFont="1" applyFill="1" applyBorder="1" applyAlignment="1">
      <alignment horizontal="right"/>
    </xf>
    <xf numFmtId="17" fontId="9" fillId="3" borderId="110" xfId="8" applyNumberFormat="1" applyFont="1" applyFill="1" applyBorder="1" applyAlignment="1">
      <alignment horizontal="left" vertical="center"/>
    </xf>
    <xf numFmtId="43" fontId="8" fillId="3" borderId="110" xfId="1" applyFont="1" applyFill="1" applyBorder="1" applyAlignment="1">
      <alignment horizontal="right"/>
    </xf>
    <xf numFmtId="171" fontId="10" fillId="3" borderId="0" xfId="0" applyNumberFormat="1" applyFont="1" applyFill="1" applyBorder="1"/>
    <xf numFmtId="168" fontId="8" fillId="3" borderId="0" xfId="1" applyNumberFormat="1" applyFont="1" applyFill="1" applyBorder="1" applyAlignment="1">
      <alignment horizontal="right"/>
    </xf>
    <xf numFmtId="1" fontId="10" fillId="3" borderId="0" xfId="0" applyNumberFormat="1" applyFont="1" applyFill="1"/>
    <xf numFmtId="0" fontId="45" fillId="3" borderId="0" xfId="0" applyFont="1" applyFill="1"/>
    <xf numFmtId="1" fontId="45" fillId="3" borderId="0" xfId="0" applyNumberFormat="1" applyFont="1" applyFill="1"/>
    <xf numFmtId="49" fontId="7" fillId="8" borderId="109" xfId="0" applyNumberFormat="1" applyFont="1" applyFill="1" applyBorder="1" applyAlignment="1">
      <alignment horizontal="center" vertical="center" wrapText="1"/>
    </xf>
    <xf numFmtId="0" fontId="48" fillId="3" borderId="0" xfId="0" applyFont="1" applyFill="1"/>
    <xf numFmtId="49" fontId="7" fillId="3" borderId="109" xfId="0" applyNumberFormat="1" applyFont="1" applyFill="1" applyBorder="1" applyAlignment="1">
      <alignment horizontal="left" vertical="top"/>
    </xf>
    <xf numFmtId="3" fontId="15" fillId="9" borderId="110" xfId="1" applyNumberFormat="1" applyFont="1" applyFill="1" applyBorder="1" applyAlignment="1">
      <alignment horizontal="right"/>
    </xf>
    <xf numFmtId="4" fontId="15" fillId="9" borderId="110" xfId="2" applyNumberFormat="1" applyFont="1" applyFill="1" applyBorder="1" applyAlignment="1">
      <alignment horizontal="right"/>
    </xf>
    <xf numFmtId="49" fontId="7" fillId="7" borderId="109" xfId="0" applyNumberFormat="1" applyFont="1" applyFill="1" applyBorder="1" applyAlignment="1">
      <alignment horizontal="left" vertical="top"/>
    </xf>
    <xf numFmtId="3" fontId="10" fillId="9" borderId="28" xfId="1" applyNumberFormat="1" applyFont="1" applyFill="1" applyBorder="1" applyAlignment="1">
      <alignment horizontal="right"/>
    </xf>
    <xf numFmtId="49" fontId="23" fillId="3" borderId="0" xfId="0" applyNumberFormat="1" applyFont="1" applyFill="1" applyAlignment="1">
      <alignment horizontal="left" wrapText="1"/>
    </xf>
    <xf numFmtId="0" fontId="8" fillId="3" borderId="0" xfId="0" applyFont="1" applyFill="1" applyAlignment="1">
      <alignment horizontal="center" vertical="center"/>
    </xf>
    <xf numFmtId="49" fontId="7" fillId="8" borderId="28" xfId="0" applyNumberFormat="1" applyFont="1" applyFill="1" applyBorder="1" applyAlignment="1">
      <alignment horizontal="center" vertical="center" wrapText="1"/>
    </xf>
    <xf numFmtId="1" fontId="7" fillId="8" borderId="28" xfId="0" applyNumberFormat="1" applyFont="1" applyFill="1" applyBorder="1" applyAlignment="1">
      <alignment horizontal="center" vertical="center" wrapText="1"/>
    </xf>
    <xf numFmtId="168" fontId="15" fillId="3" borderId="110" xfId="1" applyNumberFormat="1" applyFont="1" applyFill="1" applyBorder="1" applyAlignment="1">
      <alignment horizontal="center" wrapText="1"/>
    </xf>
    <xf numFmtId="43" fontId="15" fillId="3" borderId="110" xfId="1" applyFont="1" applyFill="1" applyBorder="1" applyAlignment="1">
      <alignment horizontal="center" wrapText="1"/>
    </xf>
    <xf numFmtId="43" fontId="15" fillId="3" borderId="110" xfId="1" applyFont="1" applyFill="1" applyBorder="1" applyAlignment="1">
      <alignment horizontal="right" wrapText="1"/>
    </xf>
    <xf numFmtId="43" fontId="15" fillId="7" borderId="28" xfId="1" applyFont="1" applyFill="1" applyBorder="1" applyAlignment="1">
      <alignment horizontal="center" wrapText="1"/>
    </xf>
    <xf numFmtId="43" fontId="15" fillId="7" borderId="28" xfId="1" applyFont="1" applyFill="1" applyBorder="1" applyAlignment="1">
      <alignment horizontal="right" wrapText="1"/>
    </xf>
    <xf numFmtId="168" fontId="10" fillId="3" borderId="28" xfId="1" applyNumberFormat="1" applyFont="1" applyFill="1" applyBorder="1" applyAlignment="1">
      <alignment horizontal="center" wrapText="1"/>
    </xf>
    <xf numFmtId="43" fontId="10" fillId="3" borderId="28" xfId="1" applyFont="1" applyFill="1" applyBorder="1" applyAlignment="1">
      <alignment horizontal="center" wrapText="1"/>
    </xf>
    <xf numFmtId="168" fontId="10" fillId="3" borderId="28" xfId="1" applyNumberFormat="1" applyFont="1" applyFill="1" applyBorder="1" applyAlignment="1">
      <alignment horizontal="right" wrapText="1"/>
    </xf>
    <xf numFmtId="43" fontId="10" fillId="3" borderId="28" xfId="1" applyFont="1" applyFill="1" applyBorder="1" applyAlignment="1">
      <alignment horizontal="right" wrapText="1"/>
    </xf>
    <xf numFmtId="43" fontId="8" fillId="3" borderId="28" xfId="1" applyFont="1" applyFill="1" applyBorder="1" applyAlignment="1">
      <alignment horizontal="center"/>
    </xf>
    <xf numFmtId="168" fontId="8" fillId="3" borderId="28" xfId="1" applyNumberFormat="1" applyFont="1" applyFill="1" applyBorder="1" applyAlignment="1">
      <alignment horizontal="center"/>
    </xf>
    <xf numFmtId="0" fontId="8" fillId="3" borderId="0" xfId="0" applyFont="1" applyFill="1" applyAlignment="1">
      <alignment horizontal="left" vertical="center"/>
    </xf>
    <xf numFmtId="0" fontId="0" fillId="3" borderId="0" xfId="0" applyFill="1" applyBorder="1"/>
    <xf numFmtId="17" fontId="12" fillId="8" borderId="110" xfId="0" applyNumberFormat="1" applyFont="1" applyFill="1" applyBorder="1" applyAlignment="1">
      <alignment horizontal="center" vertical="center" wrapText="1"/>
    </xf>
    <xf numFmtId="17" fontId="7" fillId="8" borderId="110" xfId="8" applyNumberFormat="1" applyFont="1" applyFill="1" applyBorder="1" applyAlignment="1">
      <alignment horizontal="center" vertical="center" wrapText="1"/>
    </xf>
    <xf numFmtId="0" fontId="11" fillId="3" borderId="110" xfId="0" applyFont="1" applyFill="1" applyBorder="1" applyAlignment="1">
      <alignment wrapText="1"/>
    </xf>
    <xf numFmtId="43" fontId="11" fillId="3" borderId="110" xfId="1" applyFont="1" applyFill="1" applyBorder="1" applyAlignment="1">
      <alignment horizontal="right"/>
    </xf>
    <xf numFmtId="43" fontId="11" fillId="3" borderId="110" xfId="1" applyFont="1" applyFill="1" applyBorder="1" applyAlignment="1">
      <alignment wrapText="1"/>
    </xf>
    <xf numFmtId="43" fontId="10" fillId="3" borderId="110" xfId="1" applyFont="1" applyFill="1" applyBorder="1" applyAlignment="1">
      <alignment horizontal="right"/>
    </xf>
    <xf numFmtId="43" fontId="11" fillId="3" borderId="110" xfId="1" applyFont="1" applyFill="1" applyBorder="1"/>
    <xf numFmtId="43" fontId="10" fillId="3" borderId="110" xfId="1" applyFont="1" applyFill="1" applyBorder="1"/>
    <xf numFmtId="43" fontId="10" fillId="3" borderId="110" xfId="1" applyFont="1" applyFill="1" applyBorder="1" applyAlignment="1"/>
    <xf numFmtId="0" fontId="12" fillId="3" borderId="110" xfId="0" applyFont="1" applyFill="1" applyBorder="1" applyAlignment="1">
      <alignment wrapText="1"/>
    </xf>
    <xf numFmtId="43" fontId="15" fillId="3" borderId="110" xfId="1" applyFont="1" applyFill="1" applyBorder="1"/>
    <xf numFmtId="0" fontId="65" fillId="3" borderId="0" xfId="0" applyNumberFormat="1" applyFont="1" applyFill="1" applyBorder="1" applyAlignment="1">
      <alignment wrapText="1"/>
    </xf>
    <xf numFmtId="0" fontId="11" fillId="3" borderId="0" xfId="0" applyNumberFormat="1" applyFont="1" applyFill="1" applyBorder="1" applyAlignment="1">
      <alignment wrapText="1"/>
    </xf>
    <xf numFmtId="0" fontId="10" fillId="3" borderId="0" xfId="0" applyNumberFormat="1" applyFont="1" applyFill="1" applyBorder="1" applyAlignment="1"/>
    <xf numFmtId="49" fontId="7" fillId="8" borderId="110" xfId="0" applyNumberFormat="1" applyFont="1" applyFill="1" applyBorder="1" applyAlignment="1">
      <alignment horizontal="center" vertical="center" wrapText="1"/>
    </xf>
    <xf numFmtId="49" fontId="7" fillId="3" borderId="110" xfId="0" applyNumberFormat="1" applyFont="1" applyFill="1" applyBorder="1" applyAlignment="1">
      <alignment horizontal="left"/>
    </xf>
    <xf numFmtId="43" fontId="7" fillId="3" borderId="110" xfId="1" applyFont="1" applyFill="1" applyBorder="1" applyAlignment="1">
      <alignment horizontal="left"/>
    </xf>
    <xf numFmtId="49" fontId="7" fillId="7" borderId="110" xfId="0" applyNumberFormat="1" applyFont="1" applyFill="1" applyBorder="1" applyAlignment="1">
      <alignment horizontal="left"/>
    </xf>
    <xf numFmtId="43" fontId="12" fillId="7" borderId="110" xfId="1" applyFont="1" applyFill="1" applyBorder="1" applyAlignment="1">
      <alignment horizontal="left"/>
    </xf>
    <xf numFmtId="43" fontId="12" fillId="7" borderId="110" xfId="1" applyFont="1" applyFill="1" applyBorder="1" applyAlignment="1">
      <alignment horizontal="center" vertical="center"/>
    </xf>
    <xf numFmtId="43" fontId="11" fillId="3" borderId="110" xfId="1" applyFont="1" applyFill="1" applyBorder="1" applyAlignment="1">
      <alignment horizontal="left"/>
    </xf>
    <xf numFmtId="43" fontId="8" fillId="3" borderId="110" xfId="1" applyFont="1" applyFill="1" applyBorder="1" applyAlignment="1">
      <alignment horizontal="left"/>
    </xf>
    <xf numFmtId="43" fontId="11" fillId="3" borderId="0" xfId="7" applyFont="1" applyFill="1" applyBorder="1" applyAlignment="1">
      <alignment horizontal="center" vertical="center"/>
    </xf>
    <xf numFmtId="43" fontId="12" fillId="3" borderId="0" xfId="7" applyFont="1" applyFill="1" applyBorder="1" applyAlignment="1">
      <alignment horizontal="center" vertical="center"/>
    </xf>
    <xf numFmtId="49" fontId="23" fillId="3" borderId="111" xfId="0" applyNumberFormat="1" applyFont="1" applyFill="1" applyBorder="1" applyAlignment="1">
      <alignment horizontal="left" wrapText="1"/>
    </xf>
    <xf numFmtId="168" fontId="0" fillId="3" borderId="0" xfId="0" applyNumberFormat="1" applyFill="1"/>
    <xf numFmtId="43" fontId="12" fillId="3" borderId="0" xfId="1" applyFont="1" applyFill="1" applyAlignment="1">
      <alignment vertical="center"/>
    </xf>
    <xf numFmtId="168" fontId="12" fillId="3" borderId="0" xfId="1" applyNumberFormat="1" applyFont="1" applyFill="1" applyAlignment="1">
      <alignment vertical="center"/>
    </xf>
    <xf numFmtId="0" fontId="12" fillId="3" borderId="0" xfId="8" applyFont="1" applyFill="1" applyAlignment="1">
      <alignment vertical="center"/>
    </xf>
    <xf numFmtId="168" fontId="12" fillId="8" borderId="121" xfId="1" applyNumberFormat="1" applyFont="1" applyFill="1" applyBorder="1" applyAlignment="1">
      <alignment horizontal="center" vertical="top" wrapText="1"/>
    </xf>
    <xf numFmtId="168" fontId="12" fillId="8" borderId="122" xfId="1" applyNumberFormat="1" applyFont="1" applyFill="1" applyBorder="1" applyAlignment="1">
      <alignment horizontal="center" vertical="top" wrapText="1"/>
    </xf>
    <xf numFmtId="43" fontId="12" fillId="8" borderId="122" xfId="1" applyFont="1" applyFill="1" applyBorder="1" applyAlignment="1">
      <alignment horizontal="center" vertical="top" wrapText="1"/>
    </xf>
    <xf numFmtId="43" fontId="12" fillId="8" borderId="123" xfId="1" applyFont="1" applyFill="1" applyBorder="1" applyAlignment="1">
      <alignment horizontal="center" vertical="top" wrapText="1"/>
    </xf>
    <xf numFmtId="0" fontId="12" fillId="3" borderId="0" xfId="8" applyFont="1" applyFill="1" applyAlignment="1">
      <alignment vertical="top"/>
    </xf>
    <xf numFmtId="0" fontId="12" fillId="3" borderId="112" xfId="31" applyFont="1" applyFill="1" applyBorder="1" applyAlignment="1">
      <alignment vertical="center"/>
    </xf>
    <xf numFmtId="0" fontId="12" fillId="3" borderId="113" xfId="31" applyFont="1" applyFill="1" applyBorder="1" applyAlignment="1">
      <alignment vertical="center" wrapText="1"/>
    </xf>
    <xf numFmtId="168" fontId="12" fillId="3" borderId="124" xfId="1" applyNumberFormat="1" applyFont="1" applyFill="1" applyBorder="1" applyAlignment="1">
      <alignment vertical="center"/>
    </xf>
    <xf numFmtId="168" fontId="12" fillId="3" borderId="103" xfId="1" applyNumberFormat="1" applyFont="1" applyFill="1" applyBorder="1" applyAlignment="1">
      <alignment vertical="center"/>
    </xf>
    <xf numFmtId="43" fontId="11" fillId="3" borderId="103" xfId="1" applyFont="1" applyFill="1" applyBorder="1" applyAlignment="1">
      <alignment vertical="center"/>
    </xf>
    <xf numFmtId="43" fontId="12" fillId="3" borderId="103" xfId="1" applyFont="1" applyFill="1" applyBorder="1" applyAlignment="1">
      <alignment vertical="center"/>
    </xf>
    <xf numFmtId="43" fontId="12" fillId="3" borderId="125" xfId="1" applyFont="1" applyFill="1" applyBorder="1" applyAlignment="1">
      <alignment vertical="center"/>
    </xf>
    <xf numFmtId="168" fontId="12" fillId="3" borderId="112" xfId="1" applyNumberFormat="1" applyFont="1" applyFill="1" applyBorder="1" applyAlignment="1">
      <alignment vertical="center"/>
    </xf>
    <xf numFmtId="168" fontId="12" fillId="3" borderId="126" xfId="1" applyNumberFormat="1" applyFont="1" applyFill="1" applyBorder="1" applyAlignment="1">
      <alignment vertical="center"/>
    </xf>
    <xf numFmtId="43" fontId="11" fillId="3" borderId="126" xfId="1" applyFont="1" applyFill="1" applyBorder="1" applyAlignment="1">
      <alignment vertical="center"/>
    </xf>
    <xf numFmtId="43" fontId="12" fillId="3" borderId="126" xfId="1" applyFont="1" applyFill="1" applyBorder="1" applyAlignment="1">
      <alignment vertical="center"/>
    </xf>
    <xf numFmtId="43" fontId="12" fillId="3" borderId="113" xfId="1" applyFont="1" applyFill="1" applyBorder="1" applyAlignment="1">
      <alignment vertical="center"/>
    </xf>
    <xf numFmtId="0" fontId="12" fillId="3" borderId="127" xfId="31" applyFont="1" applyFill="1" applyBorder="1" applyAlignment="1">
      <alignment vertical="center" wrapText="1"/>
    </xf>
    <xf numFmtId="0" fontId="12" fillId="3" borderId="128" xfId="31" applyFont="1" applyFill="1" applyBorder="1" applyAlignment="1">
      <alignment vertical="center" wrapText="1"/>
    </xf>
    <xf numFmtId="168" fontId="12" fillId="3" borderId="127" xfId="1" applyNumberFormat="1" applyFont="1" applyFill="1" applyBorder="1" applyAlignment="1">
      <alignment vertical="center"/>
    </xf>
    <xf numFmtId="168" fontId="12" fillId="3" borderId="28" xfId="1" applyNumberFormat="1" applyFont="1" applyFill="1" applyBorder="1" applyAlignment="1">
      <alignment vertical="center"/>
    </xf>
    <xf numFmtId="43" fontId="11" fillId="3" borderId="28" xfId="1" applyFont="1" applyFill="1" applyBorder="1" applyAlignment="1">
      <alignment vertical="center"/>
    </xf>
    <xf numFmtId="43" fontId="11" fillId="3" borderId="129" xfId="1" applyFont="1" applyFill="1" applyBorder="1" applyAlignment="1">
      <alignment vertical="center"/>
    </xf>
    <xf numFmtId="168" fontId="12" fillId="3" borderId="110" xfId="1" applyNumberFormat="1" applyFont="1" applyFill="1" applyBorder="1" applyAlignment="1">
      <alignment vertical="center"/>
    </xf>
    <xf numFmtId="43" fontId="11" fillId="3" borderId="110" xfId="1" applyFont="1" applyFill="1" applyBorder="1" applyAlignment="1">
      <alignment vertical="center"/>
    </xf>
    <xf numFmtId="43" fontId="11" fillId="3" borderId="128" xfId="1" applyFont="1" applyFill="1" applyBorder="1" applyAlignment="1">
      <alignment vertical="center"/>
    </xf>
    <xf numFmtId="0" fontId="11" fillId="3" borderId="0" xfId="8" applyFont="1" applyFill="1" applyAlignment="1">
      <alignment vertical="center"/>
    </xf>
    <xf numFmtId="0" fontId="11" fillId="3" borderId="127" xfId="31" applyFont="1" applyFill="1" applyBorder="1" applyAlignment="1">
      <alignment vertical="center"/>
    </xf>
    <xf numFmtId="0" fontId="11" fillId="3" borderId="128" xfId="31" applyFont="1" applyFill="1" applyBorder="1" applyAlignment="1">
      <alignment vertical="center" wrapText="1"/>
    </xf>
    <xf numFmtId="168" fontId="10" fillId="3" borderId="127" xfId="1" applyNumberFormat="1" applyFont="1" applyFill="1" applyBorder="1" applyAlignment="1">
      <alignment vertical="center"/>
    </xf>
    <xf numFmtId="168" fontId="10" fillId="3" borderId="110" xfId="1" applyNumberFormat="1" applyFont="1" applyFill="1" applyBorder="1" applyAlignment="1">
      <alignment vertical="center"/>
    </xf>
    <xf numFmtId="43" fontId="10" fillId="3" borderId="110" xfId="1" applyFont="1" applyFill="1" applyBorder="1" applyAlignment="1">
      <alignment vertical="center"/>
    </xf>
    <xf numFmtId="43" fontId="10" fillId="3" borderId="129" xfId="1" applyFont="1" applyFill="1" applyBorder="1" applyAlignment="1">
      <alignment vertical="center"/>
    </xf>
    <xf numFmtId="43" fontId="10" fillId="3" borderId="128" xfId="1" applyFont="1" applyFill="1" applyBorder="1" applyAlignment="1">
      <alignment vertical="center"/>
    </xf>
    <xf numFmtId="43" fontId="12" fillId="3" borderId="110" xfId="1" applyFont="1" applyFill="1" applyBorder="1" applyAlignment="1">
      <alignment vertical="center"/>
    </xf>
    <xf numFmtId="43" fontId="12" fillId="3" borderId="129" xfId="1" applyFont="1" applyFill="1" applyBorder="1" applyAlignment="1">
      <alignment vertical="center"/>
    </xf>
    <xf numFmtId="43" fontId="12" fillId="3" borderId="128" xfId="1" applyFont="1" applyFill="1" applyBorder="1" applyAlignment="1">
      <alignment vertical="center"/>
    </xf>
    <xf numFmtId="0" fontId="11" fillId="3" borderId="128" xfId="31" applyFont="1" applyFill="1" applyBorder="1" applyAlignment="1">
      <alignment vertical="center"/>
    </xf>
    <xf numFmtId="0" fontId="10" fillId="3" borderId="127" xfId="1" applyNumberFormat="1" applyFont="1" applyFill="1" applyBorder="1" applyAlignment="1">
      <alignment vertical="center"/>
    </xf>
    <xf numFmtId="0" fontId="10" fillId="3" borderId="110" xfId="1" applyNumberFormat="1" applyFont="1" applyFill="1" applyBorder="1" applyAlignment="1">
      <alignment vertical="center"/>
    </xf>
    <xf numFmtId="1" fontId="11" fillId="3" borderId="128" xfId="31" applyNumberFormat="1" applyFont="1" applyFill="1" applyBorder="1" applyAlignment="1">
      <alignment vertical="center" wrapText="1"/>
    </xf>
    <xf numFmtId="0" fontId="12" fillId="3" borderId="127" xfId="31" applyFont="1" applyFill="1" applyBorder="1" applyAlignment="1">
      <alignment vertical="center"/>
    </xf>
    <xf numFmtId="1" fontId="12" fillId="3" borderId="127" xfId="1" applyNumberFormat="1" applyFont="1" applyFill="1" applyBorder="1" applyAlignment="1">
      <alignment vertical="center"/>
    </xf>
    <xf numFmtId="0" fontId="12" fillId="3" borderId="110" xfId="1" applyNumberFormat="1" applyFont="1" applyFill="1" applyBorder="1" applyAlignment="1">
      <alignment vertical="center"/>
    </xf>
    <xf numFmtId="0" fontId="12" fillId="3" borderId="130" xfId="31" applyFont="1" applyFill="1" applyBorder="1" applyAlignment="1">
      <alignment vertical="center" wrapText="1"/>
    </xf>
    <xf numFmtId="0" fontId="11" fillId="3" borderId="119" xfId="31" applyFont="1" applyFill="1" applyBorder="1" applyAlignment="1">
      <alignment vertical="center"/>
    </xf>
    <xf numFmtId="0" fontId="11" fillId="3" borderId="120" xfId="31" applyFont="1" applyFill="1" applyBorder="1" applyAlignment="1">
      <alignment vertical="center" wrapText="1"/>
    </xf>
    <xf numFmtId="168" fontId="11" fillId="3" borderId="119" xfId="1" applyNumberFormat="1" applyFont="1" applyFill="1" applyBorder="1" applyAlignment="1">
      <alignment vertical="center"/>
    </xf>
    <xf numFmtId="168" fontId="11" fillId="3" borderId="131" xfId="1" applyNumberFormat="1" applyFont="1" applyFill="1" applyBorder="1" applyAlignment="1">
      <alignment vertical="center"/>
    </xf>
    <xf numFmtId="43" fontId="11" fillId="3" borderId="131" xfId="1" applyFont="1" applyFill="1" applyBorder="1" applyAlignment="1">
      <alignment vertical="center"/>
    </xf>
    <xf numFmtId="43" fontId="11" fillId="3" borderId="132" xfId="1" applyFont="1" applyFill="1" applyBorder="1" applyAlignment="1">
      <alignment vertical="center"/>
    </xf>
    <xf numFmtId="43" fontId="11" fillId="3" borderId="120" xfId="1" applyFont="1" applyFill="1" applyBorder="1" applyAlignment="1">
      <alignment vertical="center"/>
    </xf>
    <xf numFmtId="0" fontId="21" fillId="3" borderId="0" xfId="31" applyFont="1" applyFill="1" applyBorder="1" applyAlignment="1">
      <alignment vertical="center"/>
    </xf>
    <xf numFmtId="3" fontId="21" fillId="3" borderId="0" xfId="8" applyNumberFormat="1" applyFont="1" applyFill="1" applyBorder="1" applyAlignment="1">
      <alignment vertical="center"/>
    </xf>
    <xf numFmtId="43" fontId="21" fillId="3" borderId="0" xfId="1" applyFont="1" applyFill="1" applyBorder="1" applyAlignment="1">
      <alignment vertical="center"/>
    </xf>
    <xf numFmtId="43" fontId="11" fillId="3" borderId="0" xfId="1" applyFont="1" applyFill="1" applyBorder="1" applyAlignment="1">
      <alignment vertical="center"/>
    </xf>
    <xf numFmtId="168" fontId="11" fillId="3" borderId="0" xfId="1" applyNumberFormat="1" applyFont="1" applyFill="1" applyAlignment="1">
      <alignment vertical="center"/>
    </xf>
    <xf numFmtId="43" fontId="11" fillId="3" borderId="0" xfId="1" applyFont="1" applyFill="1" applyAlignment="1">
      <alignment vertical="center"/>
    </xf>
    <xf numFmtId="0" fontId="21" fillId="3" borderId="0" xfId="8" applyFont="1" applyFill="1" applyAlignment="1">
      <alignment vertical="center"/>
    </xf>
    <xf numFmtId="43" fontId="21" fillId="3" borderId="0" xfId="1" applyFont="1" applyFill="1" applyAlignment="1">
      <alignment vertical="center"/>
    </xf>
    <xf numFmtId="3" fontId="11" fillId="3" borderId="0" xfId="8" applyNumberFormat="1" applyFont="1" applyFill="1" applyAlignment="1">
      <alignment vertical="center"/>
    </xf>
    <xf numFmtId="0" fontId="10" fillId="3" borderId="0" xfId="0" applyFont="1" applyFill="1" applyAlignment="1">
      <alignment vertical="center"/>
    </xf>
    <xf numFmtId="49" fontId="15" fillId="8" borderId="110" xfId="0" applyNumberFormat="1" applyFont="1" applyFill="1" applyBorder="1" applyAlignment="1">
      <alignment horizontal="center" vertical="center" wrapText="1"/>
    </xf>
    <xf numFmtId="43" fontId="15" fillId="3" borderId="110" xfId="1" applyFont="1" applyFill="1" applyBorder="1" applyAlignment="1">
      <alignment vertical="top"/>
    </xf>
    <xf numFmtId="0" fontId="15" fillId="3" borderId="0" xfId="0" applyFont="1" applyFill="1" applyAlignment="1">
      <alignment vertical="center"/>
    </xf>
    <xf numFmtId="43" fontId="15" fillId="7" borderId="28" xfId="1" applyFont="1" applyFill="1" applyBorder="1" applyAlignment="1">
      <alignment vertical="top"/>
    </xf>
    <xf numFmtId="0" fontId="15" fillId="3" borderId="0" xfId="0" applyNumberFormat="1" applyFont="1" applyFill="1" applyBorder="1" applyAlignment="1"/>
    <xf numFmtId="43" fontId="11" fillId="3" borderId="28" xfId="1" applyFont="1" applyFill="1" applyBorder="1" applyAlignment="1">
      <alignment horizontal="left" vertical="top" wrapText="1" indent="2"/>
    </xf>
    <xf numFmtId="43" fontId="10" fillId="3" borderId="28" xfId="1" applyFont="1" applyFill="1" applyBorder="1" applyAlignment="1">
      <alignment vertical="top"/>
    </xf>
    <xf numFmtId="43" fontId="10" fillId="3" borderId="28" xfId="1" applyFont="1" applyFill="1" applyBorder="1" applyAlignment="1">
      <alignment horizontal="left" vertical="top" indent="2"/>
    </xf>
    <xf numFmtId="43" fontId="11" fillId="3" borderId="28" xfId="1" applyFont="1" applyFill="1" applyBorder="1" applyAlignment="1">
      <alignment vertical="top" wrapText="1"/>
    </xf>
    <xf numFmtId="0" fontId="22" fillId="3" borderId="72" xfId="0" applyNumberFormat="1" applyFont="1" applyFill="1" applyBorder="1" applyAlignment="1">
      <alignment horizontal="left" wrapText="1"/>
    </xf>
    <xf numFmtId="0" fontId="22" fillId="3" borderId="0" xfId="0" applyNumberFormat="1" applyFont="1" applyFill="1" applyBorder="1" applyAlignment="1">
      <alignment horizontal="left" wrapText="1"/>
    </xf>
    <xf numFmtId="0" fontId="22" fillId="3" borderId="0" xfId="0" applyNumberFormat="1" applyFont="1" applyFill="1" applyBorder="1" applyAlignment="1">
      <alignment horizontal="left"/>
    </xf>
    <xf numFmtId="49" fontId="7" fillId="8" borderId="135" xfId="0" applyNumberFormat="1" applyFont="1" applyFill="1" applyBorder="1" applyAlignment="1">
      <alignment horizontal="left"/>
    </xf>
    <xf numFmtId="49" fontId="7" fillId="8" borderId="140" xfId="0" applyNumberFormat="1" applyFont="1" applyFill="1" applyBorder="1" applyAlignment="1">
      <alignment horizontal="left" vertical="center"/>
    </xf>
    <xf numFmtId="49" fontId="7" fillId="8" borderId="141" xfId="0" applyNumberFormat="1" applyFont="1" applyFill="1" applyBorder="1" applyAlignment="1">
      <alignment horizontal="center" vertical="center" wrapText="1"/>
    </xf>
    <xf numFmtId="49" fontId="7" fillId="8" borderId="142" xfId="0" applyNumberFormat="1" applyFont="1" applyFill="1" applyBorder="1" applyAlignment="1">
      <alignment horizontal="center" vertical="center" wrapText="1"/>
    </xf>
    <xf numFmtId="43" fontId="8" fillId="3" borderId="140" xfId="1" applyFont="1" applyFill="1" applyBorder="1" applyAlignment="1">
      <alignment horizontal="left"/>
    </xf>
    <xf numFmtId="43" fontId="11" fillId="3" borderId="28" xfId="1" applyFont="1" applyFill="1" applyBorder="1" applyAlignment="1">
      <alignment horizontal="right"/>
    </xf>
    <xf numFmtId="43" fontId="10" fillId="3" borderId="143" xfId="1" applyFont="1" applyFill="1" applyBorder="1"/>
    <xf numFmtId="43" fontId="7" fillId="3" borderId="141" xfId="1" applyFont="1" applyFill="1" applyBorder="1" applyAlignment="1">
      <alignment horizontal="right"/>
    </xf>
    <xf numFmtId="43" fontId="12" fillId="3" borderId="141" xfId="1" applyFont="1" applyFill="1" applyBorder="1" applyAlignment="1">
      <alignment horizontal="right"/>
    </xf>
    <xf numFmtId="43" fontId="9" fillId="3" borderId="28" xfId="1" applyFont="1" applyFill="1" applyBorder="1"/>
    <xf numFmtId="43" fontId="13" fillId="3" borderId="28" xfId="1" applyFont="1" applyFill="1" applyBorder="1"/>
    <xf numFmtId="43" fontId="8" fillId="3" borderId="144" xfId="1" applyFont="1" applyFill="1" applyBorder="1" applyAlignment="1">
      <alignment horizontal="left"/>
    </xf>
    <xf numFmtId="43" fontId="7" fillId="3" borderId="145" xfId="1" applyFont="1" applyFill="1" applyBorder="1" applyAlignment="1">
      <alignment horizontal="left"/>
    </xf>
    <xf numFmtId="43" fontId="12" fillId="3" borderId="28" xfId="1" applyFont="1" applyFill="1" applyBorder="1" applyAlignment="1">
      <alignment horizontal="right"/>
    </xf>
    <xf numFmtId="193" fontId="10" fillId="3" borderId="0" xfId="0" applyNumberFormat="1" applyFont="1" applyFill="1"/>
    <xf numFmtId="0" fontId="9" fillId="3" borderId="0" xfId="0" applyFont="1" applyFill="1" applyAlignment="1">
      <alignment horizontal="left" wrapText="1"/>
    </xf>
    <xf numFmtId="2" fontId="9" fillId="3" borderId="0" xfId="0" applyNumberFormat="1" applyFont="1" applyFill="1" applyAlignment="1">
      <alignment horizontal="right" wrapText="1"/>
    </xf>
    <xf numFmtId="2" fontId="9" fillId="3" borderId="0" xfId="0" applyNumberFormat="1" applyFont="1" applyFill="1" applyAlignment="1">
      <alignment horizontal="right"/>
    </xf>
    <xf numFmtId="0" fontId="9" fillId="3" borderId="0" xfId="0" applyFont="1" applyFill="1" applyAlignment="1">
      <alignment horizontal="center" wrapText="1"/>
    </xf>
    <xf numFmtId="0" fontId="11" fillId="3" borderId="0" xfId="0" applyFont="1" applyFill="1"/>
    <xf numFmtId="0" fontId="14" fillId="3" borderId="0" xfId="0" applyFont="1" applyFill="1"/>
    <xf numFmtId="0" fontId="11" fillId="3" borderId="0" xfId="0" applyFont="1" applyFill="1" applyBorder="1" applyAlignment="1">
      <alignment wrapText="1"/>
    </xf>
    <xf numFmtId="0" fontId="8" fillId="3" borderId="0" xfId="0" applyFont="1" applyFill="1" applyAlignment="1">
      <alignment vertical="center"/>
    </xf>
    <xf numFmtId="0" fontId="88" fillId="3" borderId="0" xfId="0" applyFont="1" applyFill="1"/>
    <xf numFmtId="0" fontId="11" fillId="3" borderId="0" xfId="0" applyNumberFormat="1" applyFont="1" applyFill="1" applyBorder="1" applyAlignment="1"/>
    <xf numFmtId="4" fontId="11" fillId="3" borderId="0" xfId="0" applyNumberFormat="1" applyFont="1" applyFill="1" applyAlignment="1"/>
    <xf numFmtId="171" fontId="11" fillId="3" borderId="0" xfId="0" applyNumberFormat="1" applyFont="1" applyFill="1" applyBorder="1" applyAlignment="1"/>
    <xf numFmtId="17" fontId="15" fillId="8" borderId="28" xfId="0" applyNumberFormat="1" applyFont="1" applyFill="1" applyBorder="1" applyAlignment="1">
      <alignment horizontal="center" vertical="center" wrapText="1"/>
    </xf>
    <xf numFmtId="49" fontId="7" fillId="8" borderId="141" xfId="8" applyNumberFormat="1" applyFont="1" applyFill="1" applyBorder="1" applyAlignment="1">
      <alignment horizontal="center" vertical="center" wrapText="1"/>
    </xf>
    <xf numFmtId="49" fontId="7" fillId="8" borderId="147" xfId="8" applyNumberFormat="1" applyFont="1" applyFill="1" applyBorder="1" applyAlignment="1">
      <alignment horizontal="center" vertical="center" wrapText="1"/>
    </xf>
    <xf numFmtId="49" fontId="8" fillId="3" borderId="141" xfId="8" applyNumberFormat="1" applyFont="1" applyFill="1" applyBorder="1" applyAlignment="1">
      <alignment horizontal="left" vertical="top" wrapText="1"/>
    </xf>
    <xf numFmtId="49" fontId="31" fillId="3" borderId="141" xfId="8" applyNumberFormat="1" applyFont="1" applyFill="1" applyBorder="1" applyAlignment="1">
      <alignment horizontal="center"/>
    </xf>
    <xf numFmtId="165" fontId="8" fillId="3" borderId="141" xfId="8" applyNumberFormat="1" applyFont="1" applyFill="1" applyBorder="1" applyAlignment="1">
      <alignment horizontal="right"/>
    </xf>
    <xf numFmtId="183" fontId="8" fillId="41" borderId="141" xfId="8" applyNumberFormat="1" applyFont="1" applyFill="1" applyBorder="1" applyAlignment="1">
      <alignment horizontal="right"/>
    </xf>
    <xf numFmtId="173" fontId="8" fillId="3" borderId="141" xfId="8" applyNumberFormat="1" applyFont="1" applyFill="1" applyBorder="1" applyAlignment="1">
      <alignment horizontal="right"/>
    </xf>
    <xf numFmtId="49" fontId="8" fillId="3" borderId="150" xfId="8" applyNumberFormat="1" applyFont="1" applyFill="1" applyBorder="1" applyAlignment="1">
      <alignment horizontal="left" vertical="top"/>
    </xf>
    <xf numFmtId="49" fontId="31" fillId="3" borderId="150" xfId="8" applyNumberFormat="1" applyFont="1" applyFill="1" applyBorder="1" applyAlignment="1">
      <alignment horizontal="center"/>
    </xf>
    <xf numFmtId="165" fontId="8" fillId="3" borderId="150" xfId="8" applyNumberFormat="1" applyFont="1" applyFill="1" applyBorder="1" applyAlignment="1">
      <alignment horizontal="right"/>
    </xf>
    <xf numFmtId="183" fontId="8" fillId="3" borderId="150" xfId="8" applyNumberFormat="1" applyFont="1" applyFill="1" applyBorder="1" applyAlignment="1">
      <alignment horizontal="right"/>
    </xf>
    <xf numFmtId="0" fontId="32" fillId="3" borderId="0" xfId="8" applyFont="1" applyFill="1" applyAlignment="1">
      <alignment vertical="center"/>
    </xf>
    <xf numFmtId="49" fontId="8" fillId="3" borderId="0" xfId="8" applyNumberFormat="1" applyFont="1" applyFill="1" applyAlignment="1"/>
    <xf numFmtId="0" fontId="7" fillId="8" borderId="141" xfId="8" applyFont="1" applyFill="1" applyBorder="1" applyAlignment="1">
      <alignment horizontal="center" vertical="center" wrapText="1"/>
    </xf>
    <xf numFmtId="49" fontId="7" fillId="3" borderId="147" xfId="0" applyNumberFormat="1" applyFont="1" applyFill="1" applyBorder="1" applyAlignment="1">
      <alignment horizontal="left"/>
    </xf>
    <xf numFmtId="165" fontId="7" fillId="3" borderId="141" xfId="8" applyNumberFormat="1" applyFont="1" applyFill="1" applyBorder="1" applyAlignment="1">
      <alignment horizontal="right"/>
    </xf>
    <xf numFmtId="49" fontId="7" fillId="7" borderId="146" xfId="0" applyNumberFormat="1" applyFont="1" applyFill="1" applyBorder="1" applyAlignment="1">
      <alignment horizontal="left"/>
    </xf>
    <xf numFmtId="165" fontId="7" fillId="7" borderId="146" xfId="8" applyNumberFormat="1" applyFont="1" applyFill="1" applyBorder="1" applyAlignment="1">
      <alignment horizontal="right"/>
    </xf>
    <xf numFmtId="43" fontId="7" fillId="7" borderId="146" xfId="1" applyFont="1" applyFill="1" applyBorder="1" applyAlignment="1">
      <alignment horizontal="right"/>
    </xf>
    <xf numFmtId="49" fontId="8" fillId="3" borderId="0" xfId="8" applyNumberFormat="1" applyFont="1" applyFill="1" applyAlignment="1">
      <alignment horizontal="left"/>
    </xf>
    <xf numFmtId="49" fontId="7" fillId="0" borderId="0" xfId="8" applyNumberFormat="1" applyFont="1" applyFill="1" applyAlignment="1">
      <alignment horizontal="left" vertical="center"/>
    </xf>
    <xf numFmtId="49" fontId="7" fillId="8" borderId="141" xfId="8" applyNumberFormat="1" applyFont="1" applyFill="1" applyBorder="1" applyAlignment="1">
      <alignment horizontal="center" vertical="center"/>
    </xf>
    <xf numFmtId="49" fontId="8" fillId="3" borderId="141" xfId="8" applyNumberFormat="1" applyFont="1" applyFill="1" applyBorder="1" applyAlignment="1">
      <alignment horizontal="left" wrapText="1"/>
    </xf>
    <xf numFmtId="49" fontId="8" fillId="3" borderId="141" xfId="8" applyNumberFormat="1" applyFont="1" applyFill="1" applyBorder="1" applyAlignment="1">
      <alignment horizontal="center" vertical="center"/>
    </xf>
    <xf numFmtId="43" fontId="8" fillId="3" borderId="141" xfId="1" applyFont="1" applyFill="1" applyBorder="1" applyAlignment="1">
      <alignment horizontal="right"/>
    </xf>
    <xf numFmtId="168" fontId="8" fillId="3" borderId="141" xfId="1" applyNumberFormat="1" applyFont="1" applyFill="1" applyBorder="1" applyAlignment="1">
      <alignment horizontal="right"/>
    </xf>
    <xf numFmtId="49" fontId="8" fillId="3" borderId="0" xfId="8" applyNumberFormat="1" applyFont="1" applyFill="1" applyBorder="1" applyAlignment="1">
      <alignment horizontal="left" wrapText="1"/>
    </xf>
    <xf numFmtId="49" fontId="8" fillId="3" borderId="0" xfId="8" applyNumberFormat="1" applyFont="1" applyFill="1" applyBorder="1" applyAlignment="1">
      <alignment horizontal="center" vertical="center"/>
    </xf>
    <xf numFmtId="3" fontId="8" fillId="3" borderId="0" xfId="8" applyNumberFormat="1" applyFont="1" applyFill="1" applyBorder="1" applyAlignment="1">
      <alignment horizontal="right"/>
    </xf>
    <xf numFmtId="0" fontId="15" fillId="8" borderId="28" xfId="61" applyNumberFormat="1" applyFont="1" applyFill="1" applyBorder="1" applyAlignment="1">
      <alignment horizontal="center" vertical="center"/>
    </xf>
    <xf numFmtId="0" fontId="10" fillId="3" borderId="0" xfId="0" applyFont="1" applyFill="1" applyAlignment="1">
      <alignment vertical="top"/>
    </xf>
    <xf numFmtId="174" fontId="12" fillId="8" borderId="28" xfId="53" applyNumberFormat="1" applyFont="1" applyFill="1" applyBorder="1" applyAlignment="1">
      <alignment horizontal="center" vertical="top"/>
    </xf>
    <xf numFmtId="174" fontId="12" fillId="8" borderId="28" xfId="54" applyNumberFormat="1" applyFont="1" applyFill="1" applyBorder="1" applyAlignment="1">
      <alignment horizontal="center" vertical="top"/>
    </xf>
    <xf numFmtId="169" fontId="12" fillId="3" borderId="28" xfId="52" applyNumberFormat="1" applyFont="1" applyFill="1" applyBorder="1" applyAlignment="1">
      <alignment horizontal="left" vertical="top" wrapText="1"/>
    </xf>
    <xf numFmtId="3" fontId="12" fillId="3" borderId="28" xfId="66" applyNumberFormat="1" applyFont="1" applyFill="1" applyBorder="1" applyAlignment="1">
      <alignment horizontal="right" vertical="top" wrapText="1"/>
    </xf>
    <xf numFmtId="0" fontId="15" fillId="3" borderId="0" xfId="0" applyFont="1" applyFill="1" applyAlignment="1">
      <alignment vertical="top"/>
    </xf>
    <xf numFmtId="169" fontId="12" fillId="7" borderId="28" xfId="52" applyNumberFormat="1" applyFont="1" applyFill="1" applyBorder="1" applyAlignment="1">
      <alignment horizontal="left" vertical="top" wrapText="1"/>
    </xf>
    <xf numFmtId="3" fontId="10" fillId="3" borderId="28" xfId="0" applyNumberFormat="1" applyFont="1" applyFill="1" applyBorder="1" applyAlignment="1">
      <alignment vertical="top"/>
    </xf>
    <xf numFmtId="0" fontId="10" fillId="3" borderId="0" xfId="0" applyFont="1" applyFill="1" applyAlignment="1">
      <alignment horizontal="center"/>
    </xf>
    <xf numFmtId="0" fontId="15" fillId="8" borderId="28" xfId="55" applyNumberFormat="1" applyFont="1" applyFill="1" applyBorder="1" applyAlignment="1">
      <alignment horizontal="center" vertical="center" wrapText="1"/>
    </xf>
    <xf numFmtId="0" fontId="15" fillId="8" borderId="6" xfId="55" applyNumberFormat="1" applyFont="1" applyFill="1" applyBorder="1" applyAlignment="1">
      <alignment horizontal="center" vertical="center" wrapText="1"/>
    </xf>
    <xf numFmtId="49" fontId="12" fillId="3" borderId="28" xfId="55" applyNumberFormat="1" applyFont="1" applyFill="1" applyBorder="1" applyAlignment="1">
      <alignment horizontal="left" vertical="top" wrapText="1"/>
    </xf>
    <xf numFmtId="3" fontId="12" fillId="3" borderId="28" xfId="23" applyNumberFormat="1" applyFont="1" applyFill="1" applyBorder="1" applyAlignment="1">
      <alignment horizontal="right" vertical="top"/>
    </xf>
    <xf numFmtId="43" fontId="12" fillId="3" borderId="28" xfId="1" applyFont="1" applyFill="1" applyBorder="1" applyAlignment="1">
      <alignment horizontal="right" vertical="top"/>
    </xf>
    <xf numFmtId="168" fontId="12" fillId="3" borderId="28" xfId="1" applyNumberFormat="1" applyFont="1" applyFill="1" applyBorder="1" applyAlignment="1">
      <alignment horizontal="right" vertical="top"/>
    </xf>
    <xf numFmtId="43" fontId="12" fillId="3" borderId="28" xfId="1" applyNumberFormat="1" applyFont="1" applyFill="1" applyBorder="1" applyAlignment="1">
      <alignment horizontal="right" vertical="top"/>
    </xf>
    <xf numFmtId="0" fontId="15" fillId="3" borderId="0" xfId="0" applyFont="1" applyFill="1"/>
    <xf numFmtId="43" fontId="12" fillId="7" borderId="28" xfId="1" applyFont="1" applyFill="1" applyBorder="1" applyAlignment="1">
      <alignment horizontal="right" vertical="top"/>
    </xf>
    <xf numFmtId="168" fontId="12" fillId="7" borderId="28" xfId="1" applyNumberFormat="1" applyFont="1" applyFill="1" applyBorder="1" applyAlignment="1">
      <alignment horizontal="right" vertical="top"/>
    </xf>
    <xf numFmtId="43" fontId="12" fillId="7" borderId="28" xfId="1" applyNumberFormat="1" applyFont="1" applyFill="1" applyBorder="1" applyAlignment="1">
      <alignment horizontal="right" vertical="top"/>
    </xf>
    <xf numFmtId="3" fontId="11" fillId="3" borderId="28" xfId="23" applyNumberFormat="1" applyFont="1" applyFill="1" applyBorder="1" applyAlignment="1">
      <alignment horizontal="right" vertical="top"/>
    </xf>
    <xf numFmtId="43" fontId="11" fillId="3" borderId="28" xfId="1" applyFont="1" applyFill="1" applyBorder="1" applyAlignment="1">
      <alignment horizontal="right" vertical="top"/>
    </xf>
    <xf numFmtId="168" fontId="11" fillId="3" borderId="28" xfId="1" applyNumberFormat="1" applyFont="1" applyFill="1" applyBorder="1" applyAlignment="1">
      <alignment horizontal="right" vertical="top"/>
    </xf>
    <xf numFmtId="43" fontId="11" fillId="3" borderId="28" xfId="1" applyNumberFormat="1" applyFont="1" applyFill="1" applyBorder="1" applyAlignment="1">
      <alignment horizontal="right" vertical="top"/>
    </xf>
    <xf numFmtId="169" fontId="11" fillId="3" borderId="0" xfId="0" applyNumberFormat="1" applyFont="1" applyFill="1" applyAlignment="1">
      <alignment horizontal="left"/>
    </xf>
    <xf numFmtId="197" fontId="12" fillId="3" borderId="0" xfId="23" applyNumberFormat="1" applyFont="1" applyFill="1" applyAlignment="1">
      <alignment horizontal="right" vertical="top"/>
    </xf>
    <xf numFmtId="0" fontId="15" fillId="3" borderId="0" xfId="0" applyFont="1" applyFill="1" applyAlignment="1">
      <alignment horizontal="center"/>
    </xf>
    <xf numFmtId="49" fontId="7" fillId="3" borderId="157" xfId="0" applyNumberFormat="1" applyFont="1" applyFill="1" applyBorder="1" applyAlignment="1">
      <alignment horizontal="left"/>
    </xf>
    <xf numFmtId="49" fontId="7" fillId="7" borderId="158" xfId="0" applyNumberFormat="1" applyFont="1" applyFill="1" applyBorder="1" applyAlignment="1">
      <alignment horizontal="left"/>
    </xf>
    <xf numFmtId="168" fontId="11" fillId="3" borderId="28" xfId="23" applyNumberFormat="1" applyFont="1" applyFill="1" applyBorder="1" applyAlignment="1">
      <alignment horizontal="right" vertical="top"/>
    </xf>
    <xf numFmtId="0" fontId="50" fillId="3" borderId="0" xfId="0" applyFont="1" applyFill="1"/>
    <xf numFmtId="0" fontId="15" fillId="8" borderId="28" xfId="51" applyNumberFormat="1" applyFont="1" applyFill="1" applyBorder="1" applyAlignment="1">
      <alignment horizontal="center" vertical="center" wrapText="1"/>
    </xf>
    <xf numFmtId="0" fontId="15" fillId="8" borderId="6" xfId="51" applyNumberFormat="1" applyFont="1" applyFill="1" applyBorder="1" applyAlignment="1">
      <alignment horizontal="center" vertical="center" wrapText="1"/>
    </xf>
    <xf numFmtId="0" fontId="12" fillId="8" borderId="6" xfId="24" applyFont="1" applyFill="1" applyBorder="1" applyAlignment="1">
      <alignment horizontal="center" vertical="center" wrapText="1"/>
    </xf>
    <xf numFmtId="0" fontId="22" fillId="3" borderId="0" xfId="0" applyFont="1" applyFill="1" applyAlignment="1">
      <alignment horizontal="center"/>
    </xf>
    <xf numFmtId="3" fontId="12" fillId="3" borderId="28" xfId="1" applyNumberFormat="1" applyFont="1" applyFill="1" applyBorder="1" applyAlignment="1">
      <alignment horizontal="right" vertical="top"/>
    </xf>
    <xf numFmtId="3" fontId="11" fillId="3" borderId="28" xfId="1" applyNumberFormat="1" applyFont="1" applyFill="1" applyBorder="1" applyAlignment="1">
      <alignment horizontal="right" vertical="top"/>
    </xf>
    <xf numFmtId="3" fontId="11" fillId="3" borderId="0" xfId="29" applyNumberFormat="1" applyFont="1" applyFill="1" applyBorder="1" applyAlignment="1">
      <alignment horizontal="right" vertical="top"/>
    </xf>
    <xf numFmtId="0" fontId="15" fillId="8" borderId="28" xfId="56" applyNumberFormat="1" applyFont="1" applyFill="1" applyBorder="1" applyAlignment="1">
      <alignment horizontal="center" vertical="center" wrapText="1"/>
    </xf>
    <xf numFmtId="0" fontId="15" fillId="8" borderId="6" xfId="56" applyNumberFormat="1" applyFont="1" applyFill="1" applyBorder="1" applyAlignment="1">
      <alignment horizontal="center" vertical="center" wrapText="1"/>
    </xf>
    <xf numFmtId="49" fontId="12" fillId="3" borderId="28" xfId="56" applyNumberFormat="1" applyFont="1" applyFill="1" applyBorder="1" applyAlignment="1">
      <alignment horizontal="left" vertical="top"/>
    </xf>
    <xf numFmtId="4" fontId="12" fillId="3" borderId="28" xfId="23" applyNumberFormat="1" applyFont="1" applyFill="1" applyBorder="1" applyAlignment="1">
      <alignment horizontal="right" vertical="top"/>
    </xf>
    <xf numFmtId="17" fontId="11" fillId="3" borderId="28" xfId="55" applyNumberFormat="1" applyFont="1" applyFill="1" applyBorder="1" applyAlignment="1">
      <alignment horizontal="left" vertical="top" wrapText="1"/>
    </xf>
    <xf numFmtId="4" fontId="11" fillId="3" borderId="28" xfId="23" applyNumberFormat="1" applyFont="1" applyFill="1" applyBorder="1" applyAlignment="1">
      <alignment horizontal="right" vertical="top"/>
    </xf>
    <xf numFmtId="2" fontId="11" fillId="3" borderId="28" xfId="43" applyNumberFormat="1" applyFont="1" applyFill="1" applyBorder="1" applyAlignment="1">
      <alignment horizontal="right" vertical="top"/>
    </xf>
    <xf numFmtId="2" fontId="11" fillId="3" borderId="28" xfId="23" applyNumberFormat="1" applyFont="1" applyFill="1" applyBorder="1" applyAlignment="1">
      <alignment horizontal="right" vertical="top"/>
    </xf>
    <xf numFmtId="17" fontId="11" fillId="3" borderId="0" xfId="56" applyNumberFormat="1" applyFont="1" applyFill="1" applyAlignment="1">
      <alignment horizontal="left" vertical="top"/>
    </xf>
    <xf numFmtId="3" fontId="11" fillId="3" borderId="0" xfId="23" applyNumberFormat="1" applyFont="1" applyFill="1" applyAlignment="1">
      <alignment horizontal="right" vertical="top"/>
    </xf>
    <xf numFmtId="198" fontId="10" fillId="3" borderId="0" xfId="0" applyNumberFormat="1" applyFont="1" applyFill="1"/>
    <xf numFmtId="197" fontId="10" fillId="3" borderId="0" xfId="0" applyNumberFormat="1" applyFont="1" applyFill="1"/>
    <xf numFmtId="49" fontId="12" fillId="3" borderId="28" xfId="56" applyNumberFormat="1" applyFont="1" applyFill="1" applyBorder="1" applyAlignment="1">
      <alignment horizontal="left" vertical="top" wrapText="1"/>
    </xf>
    <xf numFmtId="3" fontId="15" fillId="3" borderId="103" xfId="0" applyNumberFormat="1" applyFont="1" applyFill="1" applyBorder="1"/>
    <xf numFmtId="4" fontId="15" fillId="3" borderId="103" xfId="0" applyNumberFormat="1" applyFont="1" applyFill="1" applyBorder="1"/>
    <xf numFmtId="3" fontId="15" fillId="3" borderId="103" xfId="0" applyNumberFormat="1" applyFont="1" applyFill="1" applyBorder="1" applyAlignment="1">
      <alignment horizontal="right"/>
    </xf>
    <xf numFmtId="4" fontId="15" fillId="3" borderId="103" xfId="0" applyNumberFormat="1" applyFont="1" applyFill="1" applyBorder="1" applyAlignment="1">
      <alignment horizontal="right"/>
    </xf>
    <xf numFmtId="3" fontId="11" fillId="3" borderId="28" xfId="23" applyNumberFormat="1" applyFont="1" applyFill="1" applyBorder="1" applyAlignment="1">
      <alignment vertical="top"/>
    </xf>
    <xf numFmtId="4" fontId="11" fillId="3" borderId="28" xfId="23" applyNumberFormat="1" applyFont="1" applyFill="1" applyBorder="1" applyAlignment="1">
      <alignment vertical="top"/>
    </xf>
    <xf numFmtId="3" fontId="10" fillId="3" borderId="28" xfId="1" applyNumberFormat="1" applyFont="1" applyFill="1" applyBorder="1" applyAlignment="1"/>
    <xf numFmtId="4" fontId="10" fillId="3" borderId="28" xfId="1" applyNumberFormat="1" applyFont="1" applyFill="1" applyBorder="1" applyAlignment="1"/>
    <xf numFmtId="3" fontId="10" fillId="3" borderId="28" xfId="43" applyNumberFormat="1" applyFont="1" applyFill="1" applyBorder="1" applyAlignment="1"/>
    <xf numFmtId="4" fontId="10" fillId="3" borderId="28" xfId="7" applyNumberFormat="1" applyFont="1" applyFill="1" applyBorder="1" applyAlignment="1"/>
    <xf numFmtId="4" fontId="0" fillId="3" borderId="0" xfId="0" applyNumberFormat="1" applyFill="1"/>
    <xf numFmtId="3" fontId="10" fillId="3" borderId="28" xfId="29" applyNumberFormat="1" applyFont="1" applyFill="1" applyBorder="1" applyAlignment="1"/>
    <xf numFmtId="43" fontId="10" fillId="3" borderId="28" xfId="7" applyFont="1" applyFill="1" applyBorder="1" applyAlignment="1"/>
    <xf numFmtId="43" fontId="11" fillId="3" borderId="28" xfId="23" applyNumberFormat="1" applyFont="1" applyFill="1" applyBorder="1" applyAlignment="1">
      <alignment horizontal="right" vertical="top"/>
    </xf>
    <xf numFmtId="2" fontId="0" fillId="3" borderId="0" xfId="0" applyNumberFormat="1" applyFill="1"/>
    <xf numFmtId="3" fontId="11" fillId="3" borderId="0" xfId="23" applyNumberFormat="1" applyFont="1" applyFill="1" applyAlignment="1">
      <alignment vertical="top"/>
    </xf>
    <xf numFmtId="3" fontId="10" fillId="3" borderId="0" xfId="29" applyNumberFormat="1" applyFont="1" applyFill="1" applyBorder="1" applyAlignment="1"/>
    <xf numFmtId="43" fontId="10" fillId="3" borderId="0" xfId="7" applyFont="1" applyFill="1" applyBorder="1" applyAlignment="1"/>
    <xf numFmtId="0" fontId="13" fillId="3" borderId="0" xfId="57" applyNumberFormat="1" applyFont="1" applyFill="1" applyBorder="1" applyAlignment="1">
      <alignment vertical="top"/>
    </xf>
    <xf numFmtId="0" fontId="15" fillId="8" borderId="28" xfId="57" applyNumberFormat="1" applyFont="1" applyFill="1" applyBorder="1" applyAlignment="1">
      <alignment horizontal="center" vertical="center" wrapText="1"/>
    </xf>
    <xf numFmtId="0" fontId="43" fillId="3" borderId="0" xfId="0" applyFont="1" applyFill="1"/>
    <xf numFmtId="0" fontId="12" fillId="3" borderId="0" xfId="0" applyFont="1" applyFill="1"/>
    <xf numFmtId="197" fontId="11" fillId="3" borderId="28" xfId="23" applyNumberFormat="1" applyFont="1" applyFill="1" applyBorder="1" applyAlignment="1">
      <alignment horizontal="right" vertical="top"/>
    </xf>
    <xf numFmtId="164" fontId="11" fillId="3" borderId="28" xfId="23" applyNumberFormat="1" applyFont="1" applyFill="1" applyBorder="1" applyAlignment="1">
      <alignment horizontal="right" vertical="top"/>
    </xf>
    <xf numFmtId="3" fontId="12" fillId="3" borderId="28" xfId="23" applyNumberFormat="1" applyFont="1" applyFill="1" applyBorder="1" applyAlignment="1">
      <alignment vertical="top"/>
    </xf>
    <xf numFmtId="43" fontId="12" fillId="3" borderId="28" xfId="1" applyFont="1" applyFill="1" applyBorder="1" applyAlignment="1">
      <alignment vertical="top"/>
    </xf>
    <xf numFmtId="43" fontId="11" fillId="3" borderId="28" xfId="1" applyFont="1" applyFill="1" applyBorder="1" applyAlignment="1">
      <alignment vertical="top"/>
    </xf>
    <xf numFmtId="197" fontId="11" fillId="3" borderId="28" xfId="23" applyNumberFormat="1" applyFont="1" applyFill="1" applyBorder="1" applyAlignment="1">
      <alignment vertical="top"/>
    </xf>
    <xf numFmtId="193" fontId="11" fillId="3" borderId="28" xfId="23" applyNumberFormat="1" applyFont="1" applyFill="1" applyBorder="1" applyAlignment="1">
      <alignment vertical="top"/>
    </xf>
    <xf numFmtId="197" fontId="51" fillId="3" borderId="28" xfId="23" applyNumberFormat="1" applyFont="1" applyFill="1" applyBorder="1" applyAlignment="1">
      <alignment horizontal="right" vertical="top"/>
    </xf>
    <xf numFmtId="193" fontId="11" fillId="3" borderId="28" xfId="29" applyNumberFormat="1" applyFont="1" applyFill="1" applyBorder="1" applyAlignment="1">
      <alignment horizontal="right" vertical="top"/>
    </xf>
    <xf numFmtId="43" fontId="51" fillId="3" borderId="28" xfId="1" applyFont="1" applyFill="1" applyBorder="1"/>
    <xf numFmtId="43" fontId="10" fillId="3" borderId="0" xfId="0" applyNumberFormat="1" applyFont="1" applyFill="1"/>
    <xf numFmtId="191" fontId="15" fillId="3" borderId="75" xfId="58" applyFont="1" applyFill="1" applyBorder="1" applyAlignment="1">
      <alignment horizontal="left" vertical="top"/>
    </xf>
    <xf numFmtId="191" fontId="15" fillId="3" borderId="0" xfId="58" applyFont="1" applyFill="1" applyBorder="1" applyAlignment="1">
      <alignment horizontal="left" vertical="top"/>
    </xf>
    <xf numFmtId="191" fontId="52" fillId="3" borderId="0" xfId="58" applyFont="1" applyFill="1" applyAlignment="1">
      <alignment horizontal="centerContinuous" vertical="top"/>
    </xf>
    <xf numFmtId="191" fontId="13" fillId="8" borderId="28" xfId="58" applyFont="1" applyFill="1" applyBorder="1" applyAlignment="1">
      <alignment horizontal="center" vertical="center"/>
    </xf>
    <xf numFmtId="191" fontId="15" fillId="8" borderId="28" xfId="58" applyFont="1" applyFill="1" applyBorder="1" applyAlignment="1">
      <alignment horizontal="center" vertical="center" wrapText="1"/>
    </xf>
    <xf numFmtId="191" fontId="10" fillId="3" borderId="0" xfId="58" applyFont="1" applyFill="1"/>
    <xf numFmtId="49" fontId="7" fillId="3" borderId="28" xfId="0" applyNumberFormat="1" applyFont="1" applyFill="1" applyBorder="1" applyAlignment="1">
      <alignment horizontal="left"/>
    </xf>
    <xf numFmtId="168" fontId="13" fillId="3" borderId="28" xfId="26" applyNumberFormat="1" applyFont="1" applyFill="1" applyBorder="1"/>
    <xf numFmtId="1" fontId="13" fillId="3" borderId="28" xfId="26" applyNumberFormat="1" applyFont="1" applyFill="1" applyBorder="1"/>
    <xf numFmtId="1" fontId="9" fillId="3" borderId="28" xfId="26" applyNumberFormat="1" applyFont="1" applyFill="1" applyBorder="1"/>
    <xf numFmtId="17" fontId="9" fillId="3" borderId="0" xfId="8" applyNumberFormat="1" applyFont="1" applyFill="1" applyBorder="1" applyAlignment="1">
      <alignment horizontal="left" vertical="center"/>
    </xf>
    <xf numFmtId="168" fontId="9" fillId="3" borderId="0" xfId="26" applyNumberFormat="1" applyFont="1" applyFill="1" applyBorder="1"/>
    <xf numFmtId="0" fontId="44" fillId="3" borderId="0" xfId="0" applyFont="1" applyFill="1"/>
    <xf numFmtId="49" fontId="7" fillId="3" borderId="68" xfId="0" applyNumberFormat="1" applyFont="1" applyFill="1" applyBorder="1" applyAlignment="1">
      <alignment horizontal="left"/>
    </xf>
    <xf numFmtId="1" fontId="13" fillId="3" borderId="8" xfId="26" applyNumberFormat="1" applyFont="1" applyFill="1" applyBorder="1" applyAlignment="1">
      <alignment horizontal="right"/>
    </xf>
    <xf numFmtId="191" fontId="15" fillId="3" borderId="0" xfId="58" applyFont="1" applyFill="1"/>
    <xf numFmtId="1" fontId="13" fillId="3" borderId="28" xfId="26" applyNumberFormat="1" applyFont="1" applyFill="1" applyBorder="1" applyAlignment="1">
      <alignment horizontal="right"/>
    </xf>
    <xf numFmtId="1" fontId="9" fillId="3" borderId="28" xfId="26" applyNumberFormat="1" applyFont="1" applyFill="1" applyBorder="1" applyAlignment="1">
      <alignment horizontal="right"/>
    </xf>
    <xf numFmtId="1" fontId="9" fillId="3" borderId="28" xfId="26" quotePrefix="1" applyNumberFormat="1" applyFont="1" applyFill="1" applyBorder="1" applyAlignment="1">
      <alignment horizontal="right"/>
    </xf>
    <xf numFmtId="1" fontId="9" fillId="3" borderId="0" xfId="26" applyNumberFormat="1" applyFont="1" applyFill="1" applyBorder="1"/>
    <xf numFmtId="1" fontId="9" fillId="3" borderId="0" xfId="26" applyNumberFormat="1" applyFont="1" applyFill="1" applyBorder="1" applyAlignment="1">
      <alignment horizontal="right"/>
    </xf>
    <xf numFmtId="1" fontId="9" fillId="3" borderId="0" xfId="26" quotePrefix="1" applyNumberFormat="1" applyFont="1" applyFill="1" applyBorder="1" applyAlignment="1">
      <alignment horizontal="right"/>
    </xf>
    <xf numFmtId="168" fontId="9" fillId="3" borderId="28" xfId="26" applyNumberFormat="1" applyFont="1" applyFill="1" applyBorder="1" applyAlignment="1">
      <alignment horizontal="right"/>
    </xf>
    <xf numFmtId="49" fontId="7" fillId="3" borderId="25" xfId="0" applyNumberFormat="1" applyFont="1" applyFill="1" applyBorder="1" applyAlignment="1">
      <alignment horizontal="left"/>
    </xf>
    <xf numFmtId="1" fontId="13" fillId="3" borderId="103" xfId="26" quotePrefix="1" applyNumberFormat="1" applyFont="1" applyFill="1" applyBorder="1" applyAlignment="1">
      <alignment horizontal="right"/>
    </xf>
    <xf numFmtId="49" fontId="7" fillId="3" borderId="146" xfId="0" applyNumberFormat="1" applyFont="1" applyFill="1" applyBorder="1" applyAlignment="1">
      <alignment horizontal="left"/>
    </xf>
    <xf numFmtId="1" fontId="9" fillId="3" borderId="153" xfId="26" applyNumberFormat="1" applyFont="1" applyFill="1" applyBorder="1" applyAlignment="1">
      <alignment horizontal="right"/>
    </xf>
    <xf numFmtId="168" fontId="9" fillId="3" borderId="153" xfId="26" applyNumberFormat="1" applyFont="1" applyFill="1" applyBorder="1" applyAlignment="1">
      <alignment horizontal="right"/>
    </xf>
    <xf numFmtId="1" fontId="9" fillId="3" borderId="153" xfId="26" quotePrefix="1" applyNumberFormat="1" applyFont="1" applyFill="1" applyBorder="1" applyAlignment="1">
      <alignment horizontal="right"/>
    </xf>
    <xf numFmtId="169" fontId="8" fillId="3" borderId="0" xfId="58" applyNumberFormat="1" applyFont="1" applyFill="1" applyBorder="1" applyAlignment="1">
      <alignment horizontal="left" vertical="center"/>
    </xf>
    <xf numFmtId="169" fontId="8" fillId="3" borderId="0" xfId="58" applyNumberFormat="1" applyFont="1" applyFill="1" applyBorder="1" applyAlignment="1">
      <alignment horizontal="left" vertical="center" wrapText="1"/>
    </xf>
    <xf numFmtId="191" fontId="10" fillId="3" borderId="0" xfId="58" applyFont="1" applyFill="1" applyBorder="1"/>
    <xf numFmtId="0" fontId="13" fillId="3" borderId="24" xfId="0" applyNumberFormat="1" applyFont="1" applyFill="1" applyBorder="1" applyAlignment="1">
      <alignment vertical="center"/>
    </xf>
    <xf numFmtId="0" fontId="53" fillId="3" borderId="24" xfId="0" applyNumberFormat="1" applyFont="1" applyFill="1" applyBorder="1" applyAlignment="1">
      <alignment horizontal="center" vertical="center"/>
    </xf>
    <xf numFmtId="0" fontId="0" fillId="3" borderId="0" xfId="0" applyFont="1" applyFill="1"/>
    <xf numFmtId="0" fontId="54" fillId="3" borderId="0" xfId="0" applyFont="1" applyFill="1"/>
    <xf numFmtId="0" fontId="15" fillId="8" borderId="28" xfId="0" applyNumberFormat="1" applyFont="1" applyFill="1" applyBorder="1" applyAlignment="1">
      <alignment horizontal="center" vertical="center" wrapText="1"/>
    </xf>
    <xf numFmtId="17" fontId="12" fillId="8" borderId="28" xfId="27" applyNumberFormat="1" applyFont="1" applyFill="1" applyBorder="1" applyAlignment="1">
      <alignment horizontal="center" vertical="center" wrapText="1"/>
    </xf>
    <xf numFmtId="3" fontId="56" fillId="7" borderId="28" xfId="1" applyNumberFormat="1" applyFont="1" applyFill="1" applyBorder="1" applyAlignment="1">
      <alignment horizontal="left" vertical="top"/>
    </xf>
    <xf numFmtId="3" fontId="56" fillId="7" borderId="28" xfId="1" applyNumberFormat="1" applyFont="1" applyFill="1" applyBorder="1" applyAlignment="1">
      <alignment horizontal="right" vertical="top"/>
    </xf>
    <xf numFmtId="168" fontId="50" fillId="7" borderId="28" xfId="1" applyNumberFormat="1" applyFont="1" applyFill="1" applyBorder="1" applyAlignment="1">
      <alignment horizontal="right" vertical="top"/>
    </xf>
    <xf numFmtId="3" fontId="50" fillId="3" borderId="28" xfId="1" applyNumberFormat="1" applyFont="1" applyFill="1" applyBorder="1" applyAlignment="1">
      <alignment horizontal="left" vertical="top"/>
    </xf>
    <xf numFmtId="3" fontId="57" fillId="3" borderId="28" xfId="1" applyNumberFormat="1" applyFont="1" applyFill="1" applyBorder="1" applyAlignment="1">
      <alignment horizontal="left" vertical="top"/>
    </xf>
    <xf numFmtId="179" fontId="10" fillId="3" borderId="0" xfId="0" applyNumberFormat="1" applyFont="1" applyFill="1"/>
    <xf numFmtId="9" fontId="10" fillId="3" borderId="0" xfId="0" applyNumberFormat="1" applyFont="1" applyFill="1"/>
    <xf numFmtId="3" fontId="56" fillId="7" borderId="28" xfId="1" applyNumberFormat="1" applyFont="1" applyFill="1" applyBorder="1" applyAlignment="1">
      <alignment horizontal="center" vertical="top"/>
    </xf>
    <xf numFmtId="3" fontId="50" fillId="3" borderId="28" xfId="1" applyNumberFormat="1" applyFont="1" applyFill="1" applyBorder="1" applyAlignment="1">
      <alignment horizontal="right" vertical="top"/>
    </xf>
    <xf numFmtId="2" fontId="10" fillId="3" borderId="0" xfId="0" applyNumberFormat="1" applyFont="1" applyFill="1"/>
    <xf numFmtId="193" fontId="11" fillId="7" borderId="28" xfId="0" applyNumberFormat="1" applyFont="1" applyFill="1" applyBorder="1" applyAlignment="1">
      <alignment horizontal="center" vertical="center" wrapText="1"/>
    </xf>
    <xf numFmtId="193" fontId="57" fillId="7" borderId="28" xfId="0" applyNumberFormat="1" applyFont="1" applyFill="1" applyBorder="1" applyAlignment="1">
      <alignment horizontal="center" vertical="center" wrapText="1"/>
    </xf>
    <xf numFmtId="168" fontId="55" fillId="7" borderId="28" xfId="1" applyNumberFormat="1" applyFont="1" applyFill="1" applyBorder="1" applyAlignment="1">
      <alignment horizontal="right" vertical="center"/>
    </xf>
    <xf numFmtId="3" fontId="55" fillId="3" borderId="28" xfId="1" applyNumberFormat="1" applyFont="1" applyFill="1" applyBorder="1" applyAlignment="1">
      <alignment horizontal="right" vertical="top"/>
    </xf>
    <xf numFmtId="199" fontId="11" fillId="3" borderId="28" xfId="0" applyNumberFormat="1" applyFont="1" applyFill="1" applyBorder="1" applyAlignment="1">
      <alignment horizontal="left" vertical="top" wrapText="1"/>
    </xf>
    <xf numFmtId="199" fontId="10" fillId="3" borderId="28" xfId="0" applyNumberFormat="1" applyFont="1" applyFill="1" applyBorder="1" applyAlignment="1">
      <alignment horizontal="left" vertical="top" wrapText="1"/>
    </xf>
    <xf numFmtId="168" fontId="55" fillId="7" borderId="28" xfId="1" applyNumberFormat="1" applyFont="1" applyFill="1" applyBorder="1" applyAlignment="1">
      <alignment horizontal="right" vertical="top"/>
    </xf>
    <xf numFmtId="193" fontId="15" fillId="3" borderId="28" xfId="0" applyNumberFormat="1" applyFont="1" applyFill="1" applyBorder="1" applyAlignment="1">
      <alignment horizontal="center" vertical="center" wrapText="1"/>
    </xf>
    <xf numFmtId="0" fontId="12" fillId="3" borderId="0" xfId="0" applyFont="1" applyFill="1" applyAlignment="1">
      <alignment horizontal="center" vertical="top" wrapText="1"/>
    </xf>
    <xf numFmtId="0" fontId="58" fillId="3" borderId="0" xfId="0" applyFont="1" applyFill="1" applyAlignment="1">
      <alignment horizontal="center" vertical="top" wrapText="1"/>
    </xf>
    <xf numFmtId="0" fontId="15" fillId="3" borderId="0" xfId="0" applyFont="1" applyFill="1" applyAlignment="1">
      <alignment horizontal="left"/>
    </xf>
    <xf numFmtId="0" fontId="50" fillId="3" borderId="0" xfId="0" applyFont="1" applyFill="1" applyAlignment="1">
      <alignment horizontal="center"/>
    </xf>
    <xf numFmtId="0" fontId="59" fillId="3" borderId="0" xfId="0" applyFont="1" applyFill="1" applyAlignment="1">
      <alignment horizontal="center"/>
    </xf>
    <xf numFmtId="2" fontId="0" fillId="3" borderId="0" xfId="0" applyNumberFormat="1" applyFont="1" applyFill="1"/>
    <xf numFmtId="0" fontId="60" fillId="3" borderId="0" xfId="0" applyFont="1" applyFill="1" applyAlignment="1">
      <alignment horizontal="center"/>
    </xf>
    <xf numFmtId="0" fontId="61" fillId="3" borderId="0" xfId="0" applyFont="1" applyFill="1" applyAlignment="1">
      <alignment vertical="center"/>
    </xf>
    <xf numFmtId="17" fontId="62" fillId="8" borderId="28" xfId="27" applyNumberFormat="1" applyFont="1" applyFill="1" applyBorder="1" applyAlignment="1">
      <alignment horizontal="center" vertical="center" wrapText="1"/>
    </xf>
    <xf numFmtId="2" fontId="12" fillId="8" borderId="28" xfId="1" applyNumberFormat="1" applyFont="1" applyFill="1" applyBorder="1" applyAlignment="1">
      <alignment horizontal="center" vertical="center" wrapText="1"/>
    </xf>
    <xf numFmtId="17" fontId="63" fillId="8" borderId="28" xfId="27" applyNumberFormat="1" applyFont="1" applyFill="1" applyBorder="1" applyAlignment="1">
      <alignment horizontal="center" vertical="center" wrapText="1"/>
    </xf>
    <xf numFmtId="17" fontId="61" fillId="3" borderId="0" xfId="0" applyNumberFormat="1" applyFont="1" applyFill="1" applyAlignment="1">
      <alignment vertical="center"/>
    </xf>
    <xf numFmtId="43" fontId="9" fillId="3" borderId="28" xfId="1" applyFont="1" applyFill="1" applyBorder="1" applyAlignment="1">
      <alignment horizontal="right" vertical="center"/>
    </xf>
    <xf numFmtId="3" fontId="61" fillId="3" borderId="0" xfId="0" applyNumberFormat="1" applyFont="1" applyFill="1" applyAlignment="1">
      <alignment vertical="center"/>
    </xf>
    <xf numFmtId="0" fontId="64" fillId="3" borderId="0" xfId="0" applyFont="1" applyFill="1"/>
    <xf numFmtId="3" fontId="13" fillId="7" borderId="28" xfId="7" applyNumberFormat="1" applyFont="1" applyFill="1" applyBorder="1" applyAlignment="1">
      <alignment vertical="center"/>
    </xf>
    <xf numFmtId="3" fontId="13" fillId="7" borderId="28" xfId="7" applyNumberFormat="1" applyFont="1" applyFill="1" applyBorder="1" applyAlignment="1">
      <alignment horizontal="right" vertical="center"/>
    </xf>
    <xf numFmtId="43" fontId="13" fillId="7" borderId="28" xfId="1" applyFont="1" applyFill="1" applyBorder="1" applyAlignment="1">
      <alignment horizontal="right" vertical="center"/>
    </xf>
    <xf numFmtId="0" fontId="63" fillId="3" borderId="0" xfId="0" applyFont="1" applyFill="1" applyAlignment="1">
      <alignment vertical="center"/>
    </xf>
    <xf numFmtId="4" fontId="13" fillId="7" borderId="28" xfId="7" applyNumberFormat="1" applyFont="1" applyFill="1" applyBorder="1" applyAlignment="1">
      <alignment horizontal="right" vertical="center"/>
    </xf>
    <xf numFmtId="185" fontId="13" fillId="3" borderId="28" xfId="7" applyNumberFormat="1" applyFont="1" applyFill="1" applyBorder="1" applyAlignment="1">
      <alignment horizontal="right" vertical="center"/>
    </xf>
    <xf numFmtId="43" fontId="13" fillId="3" borderId="28" xfId="1" applyFont="1" applyFill="1" applyBorder="1" applyAlignment="1">
      <alignment horizontal="right" vertical="center"/>
    </xf>
    <xf numFmtId="3" fontId="13" fillId="7" borderId="28" xfId="7" applyNumberFormat="1" applyFont="1" applyFill="1" applyBorder="1" applyAlignment="1">
      <alignment horizontal="center" vertical="center" wrapText="1"/>
    </xf>
    <xf numFmtId="3" fontId="13" fillId="7" borderId="28" xfId="7" applyNumberFormat="1" applyFont="1" applyFill="1" applyBorder="1" applyAlignment="1">
      <alignment horizontal="center" vertical="center"/>
    </xf>
    <xf numFmtId="43" fontId="13" fillId="7" borderId="28" xfId="1" applyFont="1" applyFill="1" applyBorder="1" applyAlignment="1">
      <alignment horizontal="center" vertical="center"/>
    </xf>
    <xf numFmtId="14" fontId="10" fillId="3" borderId="0" xfId="0" applyNumberFormat="1" applyFont="1" applyFill="1" applyAlignment="1">
      <alignment vertical="top"/>
    </xf>
    <xf numFmtId="2" fontId="15" fillId="3" borderId="0" xfId="1" applyNumberFormat="1" applyFont="1" applyFill="1" applyAlignment="1">
      <alignment vertical="center"/>
    </xf>
    <xf numFmtId="2" fontId="10" fillId="3" borderId="0" xfId="1" applyNumberFormat="1" applyFont="1" applyFill="1" applyAlignment="1">
      <alignment vertical="center"/>
    </xf>
    <xf numFmtId="179" fontId="61" fillId="3" borderId="0" xfId="0" applyNumberFormat="1" applyFont="1" applyFill="1" applyAlignment="1">
      <alignment vertical="center"/>
    </xf>
    <xf numFmtId="2" fontId="61" fillId="3" borderId="0" xfId="1" applyNumberFormat="1" applyFont="1" applyFill="1" applyAlignment="1">
      <alignment vertical="center"/>
    </xf>
    <xf numFmtId="17" fontId="65" fillId="8" borderId="131" xfId="27" applyNumberFormat="1" applyFont="1" applyFill="1" applyBorder="1" applyAlignment="1">
      <alignment horizontal="center" vertical="center" wrapText="1"/>
    </xf>
    <xf numFmtId="17" fontId="65" fillId="8" borderId="120" xfId="27" applyNumberFormat="1" applyFont="1" applyFill="1" applyBorder="1" applyAlignment="1">
      <alignment horizontal="center" vertical="center" wrapText="1"/>
    </xf>
    <xf numFmtId="199" fontId="66" fillId="3" borderId="103" xfId="0" applyNumberFormat="1" applyFont="1" applyFill="1" applyBorder="1" applyAlignment="1">
      <alignment horizontal="left" vertical="top"/>
    </xf>
    <xf numFmtId="3" fontId="66" fillId="3" borderId="103" xfId="1" applyNumberFormat="1" applyFont="1" applyFill="1" applyBorder="1" applyAlignment="1">
      <alignment horizontal="right" vertical="top"/>
    </xf>
    <xf numFmtId="3" fontId="66" fillId="3" borderId="103" xfId="0" applyNumberFormat="1" applyFont="1" applyFill="1" applyBorder="1" applyAlignment="1">
      <alignment horizontal="center" vertical="top"/>
    </xf>
    <xf numFmtId="43" fontId="67" fillId="3" borderId="103" xfId="1" applyFont="1" applyFill="1" applyBorder="1" applyAlignment="1">
      <alignment horizontal="right" vertical="center"/>
    </xf>
    <xf numFmtId="3" fontId="66" fillId="3" borderId="103" xfId="0" applyNumberFormat="1" applyFont="1" applyFill="1" applyBorder="1" applyAlignment="1">
      <alignment horizontal="right" vertical="top"/>
    </xf>
    <xf numFmtId="43" fontId="66" fillId="3" borderId="103" xfId="0" applyNumberFormat="1" applyFont="1" applyFill="1" applyBorder="1" applyAlignment="1">
      <alignment horizontal="right" vertical="top"/>
    </xf>
    <xf numFmtId="199" fontId="68" fillId="7" borderId="28" xfId="0" applyNumberFormat="1" applyFont="1" applyFill="1" applyBorder="1" applyAlignment="1">
      <alignment horizontal="left" vertical="top"/>
    </xf>
    <xf numFmtId="3" fontId="68" fillId="7" borderId="28" xfId="1" applyNumberFormat="1" applyFont="1" applyFill="1" applyBorder="1" applyAlignment="1">
      <alignment horizontal="right" vertical="top"/>
    </xf>
    <xf numFmtId="3" fontId="68" fillId="7" borderId="28" xfId="0" applyNumberFormat="1" applyFont="1" applyFill="1" applyBorder="1" applyAlignment="1">
      <alignment horizontal="center" vertical="top"/>
    </xf>
    <xf numFmtId="43" fontId="68" fillId="7" borderId="28" xfId="1" applyFont="1" applyFill="1" applyBorder="1" applyAlignment="1">
      <alignment horizontal="right" vertical="top"/>
    </xf>
    <xf numFmtId="3" fontId="68" fillId="7" borderId="28" xfId="0" applyNumberFormat="1" applyFont="1" applyFill="1" applyBorder="1" applyAlignment="1">
      <alignment horizontal="right" vertical="top"/>
    </xf>
    <xf numFmtId="4" fontId="68" fillId="7" borderId="28" xfId="1" applyNumberFormat="1" applyFont="1" applyFill="1" applyBorder="1" applyAlignment="1">
      <alignment horizontal="right" vertical="top"/>
    </xf>
    <xf numFmtId="3" fontId="66" fillId="3" borderId="28" xfId="1" applyNumberFormat="1" applyFont="1" applyFill="1" applyBorder="1" applyAlignment="1">
      <alignment horizontal="center" vertical="top"/>
    </xf>
    <xf numFmtId="199" fontId="66" fillId="3" borderId="28" xfId="61" applyNumberFormat="1" applyFont="1" applyFill="1" applyBorder="1" applyAlignment="1">
      <alignment horizontal="left" vertical="top" wrapText="1"/>
    </xf>
    <xf numFmtId="4" fontId="66" fillId="7" borderId="28" xfId="0" applyNumberFormat="1" applyFont="1" applyFill="1" applyBorder="1" applyAlignment="1">
      <alignment horizontal="right" vertical="top"/>
    </xf>
    <xf numFmtId="191" fontId="66" fillId="3" borderId="28" xfId="61" applyFont="1" applyFill="1" applyBorder="1" applyAlignment="1">
      <alignment horizontal="left" vertical="top" wrapText="1"/>
    </xf>
    <xf numFmtId="179" fontId="54" fillId="3" borderId="0" xfId="0" applyNumberFormat="1" applyFont="1" applyFill="1"/>
    <xf numFmtId="199" fontId="68" fillId="3" borderId="28" xfId="0" applyNumberFormat="1" applyFont="1" applyFill="1" applyBorder="1" applyAlignment="1">
      <alignment horizontal="left" vertical="top"/>
    </xf>
    <xf numFmtId="3" fontId="68" fillId="3" borderId="28" xfId="0" applyNumberFormat="1" applyFont="1" applyFill="1" applyBorder="1" applyAlignment="1">
      <alignment horizontal="center" vertical="top"/>
    </xf>
    <xf numFmtId="199" fontId="66" fillId="7" borderId="28" xfId="0" applyNumberFormat="1" applyFont="1" applyFill="1" applyBorder="1" applyAlignment="1">
      <alignment horizontal="left" vertical="top"/>
    </xf>
    <xf numFmtId="3" fontId="67" fillId="7" borderId="28" xfId="1" applyNumberFormat="1" applyFont="1" applyFill="1" applyBorder="1" applyAlignment="1">
      <alignment horizontal="right" vertical="center"/>
    </xf>
    <xf numFmtId="3" fontId="66" fillId="7" borderId="28" xfId="0" applyNumberFormat="1" applyFont="1" applyFill="1" applyBorder="1" applyAlignment="1">
      <alignment horizontal="center" vertical="top"/>
    </xf>
    <xf numFmtId="43" fontId="67" fillId="7" borderId="28" xfId="1" applyFont="1" applyFill="1" applyBorder="1" applyAlignment="1">
      <alignment horizontal="right" vertical="center"/>
    </xf>
    <xf numFmtId="3" fontId="66" fillId="7" borderId="28" xfId="43" applyNumberFormat="1" applyFont="1" applyFill="1" applyBorder="1" applyAlignment="1">
      <alignment horizontal="right" vertical="top"/>
    </xf>
    <xf numFmtId="3" fontId="66" fillId="7" borderId="28" xfId="1" applyNumberFormat="1" applyFont="1" applyFill="1" applyBorder="1" applyAlignment="1">
      <alignment horizontal="right" vertical="top"/>
    </xf>
    <xf numFmtId="168" fontId="66" fillId="7" borderId="28" xfId="1" applyNumberFormat="1" applyFont="1" applyFill="1" applyBorder="1" applyAlignment="1">
      <alignment horizontal="right" vertical="top"/>
    </xf>
    <xf numFmtId="43" fontId="66" fillId="7" borderId="28" xfId="1" applyFont="1" applyFill="1" applyBorder="1" applyAlignment="1">
      <alignment horizontal="right" vertical="top"/>
    </xf>
    <xf numFmtId="3" fontId="66" fillId="7" borderId="28" xfId="0" applyNumberFormat="1" applyFont="1" applyFill="1" applyBorder="1" applyAlignment="1">
      <alignment horizontal="right" vertical="top"/>
    </xf>
    <xf numFmtId="4" fontId="66" fillId="7" borderId="28" xfId="1" applyNumberFormat="1" applyFont="1" applyFill="1" applyBorder="1" applyAlignment="1">
      <alignment horizontal="right" vertical="top"/>
    </xf>
    <xf numFmtId="191" fontId="66" fillId="7" borderId="28" xfId="61" applyFont="1" applyFill="1" applyBorder="1" applyAlignment="1">
      <alignment horizontal="left" vertical="top"/>
    </xf>
    <xf numFmtId="4" fontId="66" fillId="7" borderId="28" xfId="1" applyNumberFormat="1" applyFont="1" applyFill="1" applyBorder="1" applyAlignment="1">
      <alignment vertical="top"/>
    </xf>
    <xf numFmtId="191" fontId="66" fillId="7" borderId="28" xfId="61" applyFont="1" applyFill="1" applyBorder="1" applyAlignment="1">
      <alignment horizontal="left" vertical="center" wrapText="1"/>
    </xf>
    <xf numFmtId="0" fontId="66" fillId="7" borderId="28" xfId="0" applyFont="1" applyFill="1" applyBorder="1" applyAlignment="1">
      <alignment horizontal="left" vertical="center"/>
    </xf>
    <xf numFmtId="199" fontId="66" fillId="7" borderId="28" xfId="0" applyNumberFormat="1" applyFont="1" applyFill="1" applyBorder="1" applyAlignment="1">
      <alignment horizontal="left" vertical="center"/>
    </xf>
    <xf numFmtId="3" fontId="66" fillId="7" borderId="28" xfId="1" applyNumberFormat="1" applyFont="1" applyFill="1" applyBorder="1" applyAlignment="1">
      <alignment horizontal="right" vertical="center"/>
    </xf>
    <xf numFmtId="4" fontId="66" fillId="7" borderId="28" xfId="1" applyNumberFormat="1" applyFont="1" applyFill="1" applyBorder="1" applyAlignment="1">
      <alignment horizontal="right" vertical="center"/>
    </xf>
    <xf numFmtId="3" fontId="66" fillId="7" borderId="28" xfId="0" applyNumberFormat="1" applyFont="1" applyFill="1" applyBorder="1" applyAlignment="1">
      <alignment horizontal="right" vertical="center"/>
    </xf>
    <xf numFmtId="191" fontId="66" fillId="7" borderId="28" xfId="61" applyFont="1" applyFill="1" applyBorder="1" applyAlignment="1">
      <alignment horizontal="left" vertical="top" wrapText="1"/>
    </xf>
    <xf numFmtId="0" fontId="66" fillId="7" borderId="28" xfId="0" applyFont="1" applyFill="1" applyBorder="1" applyAlignment="1">
      <alignment horizontal="left" vertical="top"/>
    </xf>
    <xf numFmtId="0" fontId="54" fillId="3" borderId="0" xfId="0" applyFont="1" applyFill="1" applyAlignment="1">
      <alignment horizontal="left"/>
    </xf>
    <xf numFmtId="0" fontId="54" fillId="3" borderId="0" xfId="0" applyFont="1" applyFill="1" applyAlignment="1">
      <alignment horizontal="right"/>
    </xf>
    <xf numFmtId="0" fontId="54" fillId="3" borderId="0" xfId="0" applyFont="1" applyFill="1" applyAlignment="1">
      <alignment wrapText="1"/>
    </xf>
    <xf numFmtId="43" fontId="15" fillId="3" borderId="28" xfId="1" applyFont="1" applyFill="1" applyBorder="1" applyAlignment="1">
      <alignment vertical="top" wrapText="1"/>
    </xf>
    <xf numFmtId="0" fontId="0" fillId="3" borderId="28" xfId="0" applyFill="1" applyBorder="1"/>
    <xf numFmtId="168" fontId="15" fillId="3" borderId="28" xfId="1" applyNumberFormat="1" applyFont="1" applyFill="1" applyBorder="1" applyAlignment="1">
      <alignment horizontal="right" vertical="top" wrapText="1"/>
    </xf>
    <xf numFmtId="194" fontId="15" fillId="3" borderId="28" xfId="1" applyNumberFormat="1" applyFont="1" applyFill="1" applyBorder="1" applyAlignment="1">
      <alignment vertical="top" wrapText="1"/>
    </xf>
    <xf numFmtId="43" fontId="15" fillId="8" borderId="28" xfId="1" applyFont="1" applyFill="1" applyBorder="1" applyAlignment="1">
      <alignment vertical="top" wrapText="1"/>
    </xf>
    <xf numFmtId="17" fontId="15" fillId="8" borderId="28" xfId="1" applyNumberFormat="1" applyFont="1" applyFill="1" applyBorder="1" applyAlignment="1">
      <alignment horizontal="center"/>
    </xf>
    <xf numFmtId="43" fontId="10" fillId="3" borderId="28" xfId="1" applyFont="1" applyFill="1" applyBorder="1" applyAlignment="1">
      <alignment vertical="top" wrapText="1"/>
    </xf>
    <xf numFmtId="168" fontId="10" fillId="3" borderId="28" xfId="1" applyNumberFormat="1" applyFont="1" applyFill="1" applyBorder="1" applyAlignment="1">
      <alignment horizontal="right" vertical="top" wrapText="1"/>
    </xf>
    <xf numFmtId="43" fontId="15" fillId="3" borderId="28" xfId="1" applyFont="1" applyFill="1" applyBorder="1" applyAlignment="1">
      <alignment horizontal="left" vertical="top" wrapText="1"/>
    </xf>
    <xf numFmtId="43" fontId="10" fillId="3" borderId="28" xfId="1" applyFont="1" applyFill="1" applyBorder="1" applyAlignment="1">
      <alignment horizontal="right" vertical="center" wrapText="1"/>
    </xf>
    <xf numFmtId="43" fontId="10" fillId="3" borderId="28" xfId="1" applyFont="1" applyFill="1" applyBorder="1" applyAlignment="1">
      <alignment horizontal="right" vertical="center"/>
    </xf>
    <xf numFmtId="165" fontId="10" fillId="3" borderId="28" xfId="1" applyNumberFormat="1" applyFont="1" applyFill="1" applyBorder="1" applyAlignment="1">
      <alignment horizontal="right" vertical="center" wrapText="1"/>
    </xf>
    <xf numFmtId="168" fontId="10" fillId="3" borderId="28" xfId="1" applyNumberFormat="1" applyFont="1" applyFill="1" applyBorder="1" applyAlignment="1">
      <alignment horizontal="right" vertical="center" wrapText="1"/>
    </xf>
    <xf numFmtId="43" fontId="10" fillId="3" borderId="28" xfId="1" applyFont="1" applyFill="1" applyBorder="1" applyAlignment="1">
      <alignment horizontal="right" vertical="top" wrapText="1"/>
    </xf>
    <xf numFmtId="43" fontId="10" fillId="3" borderId="28" xfId="1" applyNumberFormat="1" applyFont="1" applyFill="1" applyBorder="1" applyAlignment="1">
      <alignment horizontal="right" vertical="center" wrapText="1"/>
    </xf>
    <xf numFmtId="2" fontId="10" fillId="3" borderId="28" xfId="1" applyNumberFormat="1" applyFont="1" applyFill="1" applyBorder="1" applyAlignment="1">
      <alignment horizontal="right" vertical="center" wrapText="1"/>
    </xf>
    <xf numFmtId="2" fontId="10" fillId="3" borderId="28" xfId="1" applyNumberFormat="1" applyFont="1" applyFill="1" applyBorder="1" applyAlignment="1">
      <alignment horizontal="right" vertical="top" wrapText="1"/>
    </xf>
    <xf numFmtId="2" fontId="10" fillId="3" borderId="28" xfId="1" applyNumberFormat="1" applyFont="1" applyFill="1" applyBorder="1" applyAlignment="1">
      <alignment vertical="top" wrapText="1"/>
    </xf>
    <xf numFmtId="43" fontId="15" fillId="3" borderId="0" xfId="1" applyFont="1" applyFill="1" applyBorder="1" applyAlignment="1">
      <alignment vertical="top" wrapText="1"/>
    </xf>
    <xf numFmtId="43" fontId="10" fillId="3" borderId="0" xfId="1" applyFont="1" applyFill="1" applyBorder="1" applyAlignment="1">
      <alignment vertical="top"/>
    </xf>
    <xf numFmtId="207" fontId="0" fillId="0" borderId="0" xfId="0" applyNumberFormat="1"/>
    <xf numFmtId="1" fontId="43" fillId="0" borderId="0" xfId="0" applyNumberFormat="1" applyFont="1" applyBorder="1"/>
    <xf numFmtId="3" fontId="43" fillId="0" borderId="0" xfId="0" applyNumberFormat="1" applyFont="1" applyBorder="1"/>
    <xf numFmtId="0" fontId="81" fillId="0" borderId="0" xfId="0" applyFont="1"/>
    <xf numFmtId="3" fontId="7" fillId="2" borderId="0" xfId="8" applyNumberFormat="1" applyFont="1" applyFill="1" applyAlignment="1">
      <alignment vertical="center"/>
    </xf>
    <xf numFmtId="3" fontId="8" fillId="2" borderId="0" xfId="8" applyNumberFormat="1" applyFont="1" applyFill="1" applyAlignment="1">
      <alignment vertical="center"/>
    </xf>
    <xf numFmtId="43" fontId="10" fillId="3" borderId="0" xfId="0" applyNumberFormat="1" applyFont="1" applyFill="1" applyBorder="1"/>
    <xf numFmtId="3" fontId="22" fillId="3" borderId="0" xfId="0" applyNumberFormat="1" applyFont="1" applyFill="1"/>
    <xf numFmtId="3" fontId="10" fillId="0" borderId="164" xfId="0" applyNumberFormat="1" applyFont="1" applyBorder="1"/>
    <xf numFmtId="4" fontId="10" fillId="0" borderId="164" xfId="0" applyNumberFormat="1" applyFont="1" applyBorder="1"/>
    <xf numFmtId="0" fontId="81" fillId="3" borderId="0" xfId="0" applyFont="1" applyFill="1"/>
    <xf numFmtId="1" fontId="0" fillId="3" borderId="0" xfId="0" applyNumberFormat="1" applyFill="1"/>
    <xf numFmtId="3" fontId="7" fillId="41" borderId="28" xfId="0" applyNumberFormat="1" applyFont="1" applyFill="1" applyBorder="1" applyAlignment="1">
      <alignment horizontal="right" vertical="top"/>
    </xf>
    <xf numFmtId="4" fontId="7" fillId="41" borderId="28" xfId="0" applyNumberFormat="1" applyFont="1" applyFill="1" applyBorder="1" applyAlignment="1">
      <alignment horizontal="right" vertical="top"/>
    </xf>
    <xf numFmtId="3" fontId="8" fillId="3" borderId="0" xfId="0" applyNumberFormat="1" applyFont="1" applyFill="1" applyBorder="1" applyAlignment="1">
      <alignment horizontal="right" vertical="center"/>
    </xf>
    <xf numFmtId="169" fontId="8" fillId="3" borderId="0" xfId="0" applyNumberFormat="1" applyFont="1" applyFill="1" applyBorder="1" applyAlignment="1">
      <alignment horizontal="left" vertical="center"/>
    </xf>
    <xf numFmtId="1" fontId="43" fillId="3" borderId="0" xfId="0" applyNumberFormat="1" applyFont="1" applyFill="1" applyBorder="1" applyAlignment="1">
      <alignment horizontal="right" wrapText="1"/>
    </xf>
    <xf numFmtId="1" fontId="11" fillId="3" borderId="0" xfId="0" applyNumberFormat="1" applyFont="1" applyFill="1" applyBorder="1" applyAlignment="1">
      <alignment horizontal="right" wrapText="1"/>
    </xf>
    <xf numFmtId="169" fontId="8" fillId="3" borderId="0" xfId="5" applyNumberFormat="1" applyFont="1" applyFill="1" applyBorder="1" applyAlignment="1">
      <alignment horizontal="left" vertical="top"/>
    </xf>
    <xf numFmtId="1" fontId="11" fillId="3" borderId="0" xfId="5" applyNumberFormat="1" applyFont="1" applyFill="1" applyBorder="1" applyAlignment="1">
      <alignment horizontal="right" vertical="center" wrapText="1"/>
    </xf>
    <xf numFmtId="169" fontId="5" fillId="3" borderId="0" xfId="5" applyNumberFormat="1" applyFont="1" applyFill="1" applyBorder="1" applyAlignment="1">
      <alignment horizontal="left" vertical="top" wrapText="1"/>
    </xf>
    <xf numFmtId="1" fontId="6" fillId="3" borderId="0" xfId="5" applyNumberFormat="1" applyFont="1" applyFill="1" applyBorder="1" applyAlignment="1">
      <alignment horizontal="right" vertical="center" wrapText="1"/>
    </xf>
    <xf numFmtId="3" fontId="7" fillId="41" borderId="4" xfId="0" applyNumberFormat="1" applyFont="1" applyFill="1" applyBorder="1" applyAlignment="1">
      <alignment horizontal="right" vertical="center"/>
    </xf>
    <xf numFmtId="4" fontId="7" fillId="41" borderId="4" xfId="0" applyNumberFormat="1" applyFont="1" applyFill="1" applyBorder="1" applyAlignment="1">
      <alignment horizontal="right" vertical="center"/>
    </xf>
    <xf numFmtId="3" fontId="8" fillId="3" borderId="4" xfId="0" applyNumberFormat="1" applyFont="1" applyFill="1" applyBorder="1" applyAlignment="1">
      <alignment horizontal="right" vertical="center"/>
    </xf>
    <xf numFmtId="4" fontId="8" fillId="3" borderId="4" xfId="0" applyNumberFormat="1" applyFont="1" applyFill="1" applyBorder="1" applyAlignment="1">
      <alignment horizontal="right" vertical="center"/>
    </xf>
    <xf numFmtId="49" fontId="7" fillId="8" borderId="28" xfId="0" applyNumberFormat="1" applyFont="1" applyFill="1" applyBorder="1" applyAlignment="1">
      <alignment horizontal="left"/>
    </xf>
    <xf numFmtId="49" fontId="7" fillId="0" borderId="53" xfId="0" applyNumberFormat="1" applyFont="1" applyFill="1" applyBorder="1" applyAlignment="1">
      <alignment horizontal="center"/>
    </xf>
    <xf numFmtId="49" fontId="7" fillId="0" borderId="55" xfId="0" applyNumberFormat="1" applyFont="1" applyFill="1" applyBorder="1" applyAlignment="1">
      <alignment horizontal="center"/>
    </xf>
    <xf numFmtId="49" fontId="7" fillId="0" borderId="56" xfId="0" applyNumberFormat="1" applyFont="1" applyFill="1" applyBorder="1" applyAlignment="1">
      <alignment horizontal="center"/>
    </xf>
    <xf numFmtId="0" fontId="12" fillId="8" borderId="97" xfId="0" applyFont="1" applyFill="1" applyBorder="1" applyAlignment="1">
      <alignment horizontal="center" vertical="center" wrapText="1"/>
    </xf>
    <xf numFmtId="0" fontId="12" fillId="8" borderId="8" xfId="0" applyFont="1" applyFill="1" applyBorder="1" applyAlignment="1">
      <alignment horizontal="center" vertical="center" wrapText="1"/>
    </xf>
    <xf numFmtId="0" fontId="12" fillId="8" borderId="32" xfId="0" applyFont="1" applyFill="1" applyBorder="1" applyAlignment="1">
      <alignment horizontal="center" vertical="center" wrapText="1"/>
    </xf>
    <xf numFmtId="0" fontId="12" fillId="8" borderId="76" xfId="0" applyFont="1" applyFill="1" applyBorder="1" applyAlignment="1">
      <alignment horizontal="center" vertical="center" wrapText="1"/>
    </xf>
    <xf numFmtId="0" fontId="12" fillId="8" borderId="28" xfId="0" applyFont="1" applyFill="1" applyBorder="1" applyAlignment="1">
      <alignment horizontal="center" vertical="center" wrapText="1"/>
    </xf>
    <xf numFmtId="0" fontId="12" fillId="0" borderId="32" xfId="0" applyFont="1" applyFill="1" applyBorder="1" applyAlignment="1"/>
    <xf numFmtId="0" fontId="12" fillId="0" borderId="76" xfId="0" applyFont="1" applyFill="1" applyBorder="1" applyAlignment="1"/>
    <xf numFmtId="49" fontId="7" fillId="8" borderId="101" xfId="0" applyNumberFormat="1" applyFont="1" applyFill="1" applyBorder="1" applyAlignment="1">
      <alignment horizontal="center" vertical="center" wrapText="1"/>
    </xf>
    <xf numFmtId="49" fontId="7" fillId="8" borderId="7" xfId="0" applyNumberFormat="1" applyFont="1" applyFill="1" applyBorder="1" applyAlignment="1">
      <alignment horizontal="center" vertical="center" wrapText="1"/>
    </xf>
    <xf numFmtId="0" fontId="12" fillId="8" borderId="97" xfId="0" applyFont="1" applyFill="1" applyBorder="1" applyAlignment="1">
      <alignment horizontal="center" vertical="center"/>
    </xf>
    <xf numFmtId="0" fontId="12" fillId="8" borderId="8" xfId="0" applyFont="1" applyFill="1" applyBorder="1" applyAlignment="1">
      <alignment horizontal="center" vertical="center"/>
    </xf>
    <xf numFmtId="179" fontId="12" fillId="8" borderId="97" xfId="0" applyNumberFormat="1" applyFont="1" applyFill="1" applyBorder="1" applyAlignment="1">
      <alignment horizontal="center" vertical="center" wrapText="1"/>
    </xf>
    <xf numFmtId="179" fontId="12" fillId="8" borderId="8" xfId="0" applyNumberFormat="1" applyFont="1" applyFill="1" applyBorder="1" applyAlignment="1">
      <alignment horizontal="center" vertical="center" wrapText="1"/>
    </xf>
    <xf numFmtId="0" fontId="12" fillId="8" borderId="32" xfId="0" applyFont="1" applyFill="1" applyBorder="1" applyAlignment="1">
      <alignment horizontal="center" vertical="center"/>
    </xf>
    <xf numFmtId="0" fontId="12" fillId="8" borderId="76" xfId="0" applyFont="1" applyFill="1" applyBorder="1" applyAlignment="1">
      <alignment horizontal="center" vertical="center"/>
    </xf>
    <xf numFmtId="0" fontId="12" fillId="8" borderId="45" xfId="0" applyFont="1" applyFill="1" applyBorder="1" applyAlignment="1">
      <alignment horizontal="center" vertical="center"/>
    </xf>
    <xf numFmtId="49" fontId="7" fillId="0" borderId="0" xfId="0" applyNumberFormat="1" applyFont="1" applyFill="1" applyBorder="1" applyAlignment="1">
      <alignment horizontal="left" vertical="top" wrapText="1"/>
    </xf>
    <xf numFmtId="49" fontId="7" fillId="8" borderId="61" xfId="0" applyNumberFormat="1" applyFont="1" applyFill="1" applyBorder="1" applyAlignment="1">
      <alignment horizontal="center" vertical="center" wrapText="1"/>
    </xf>
    <xf numFmtId="49" fontId="7" fillId="8" borderId="67" xfId="0" applyNumberFormat="1" applyFont="1" applyFill="1" applyBorder="1" applyAlignment="1">
      <alignment horizontal="center" vertical="center" wrapText="1"/>
    </xf>
    <xf numFmtId="49" fontId="7" fillId="8" borderId="63" xfId="0" applyNumberFormat="1" applyFont="1" applyFill="1" applyBorder="1" applyAlignment="1">
      <alignment horizontal="center" vertical="center" wrapText="1"/>
    </xf>
    <xf numFmtId="49" fontId="7" fillId="8" borderId="68" xfId="0" applyNumberFormat="1" applyFont="1" applyFill="1" applyBorder="1" applyAlignment="1">
      <alignment horizontal="center" vertical="center" wrapText="1"/>
    </xf>
    <xf numFmtId="166" fontId="7" fillId="8" borderId="28" xfId="0" applyNumberFormat="1" applyFont="1" applyFill="1" applyBorder="1" applyAlignment="1">
      <alignment horizontal="center" vertical="center" wrapText="1"/>
    </xf>
    <xf numFmtId="166" fontId="7" fillId="8" borderId="58" xfId="0" applyNumberFormat="1" applyFont="1" applyFill="1" applyBorder="1" applyAlignment="1">
      <alignment horizontal="center" vertical="center" wrapText="1"/>
    </xf>
    <xf numFmtId="166" fontId="7" fillId="8" borderId="69" xfId="0" applyNumberFormat="1" applyFont="1" applyFill="1" applyBorder="1" applyAlignment="1">
      <alignment horizontal="center" vertical="center" wrapText="1"/>
    </xf>
    <xf numFmtId="166" fontId="7" fillId="8" borderId="16" xfId="0" applyNumberFormat="1" applyFont="1" applyFill="1" applyBorder="1" applyAlignment="1">
      <alignment horizontal="center" vertical="center" wrapText="1"/>
    </xf>
    <xf numFmtId="166" fontId="7" fillId="8" borderId="61" xfId="0" applyNumberFormat="1" applyFont="1" applyFill="1" applyBorder="1" applyAlignment="1">
      <alignment horizontal="center" vertical="center" wrapText="1"/>
    </xf>
    <xf numFmtId="166" fontId="7" fillId="8" borderId="67" xfId="0" applyNumberFormat="1" applyFont="1" applyFill="1" applyBorder="1" applyAlignment="1">
      <alignment horizontal="center" vertical="center" wrapText="1"/>
    </xf>
    <xf numFmtId="49" fontId="7" fillId="8" borderId="60" xfId="0" applyNumberFormat="1" applyFont="1" applyFill="1" applyBorder="1" applyAlignment="1">
      <alignment horizontal="center" vertical="center" wrapText="1"/>
    </xf>
    <xf numFmtId="49" fontId="7" fillId="8" borderId="65" xfId="0" applyNumberFormat="1" applyFont="1" applyFill="1" applyBorder="1" applyAlignment="1">
      <alignment horizontal="center" vertical="center" wrapText="1"/>
    </xf>
    <xf numFmtId="0" fontId="7" fillId="8" borderId="61" xfId="0" applyFont="1" applyFill="1" applyBorder="1" applyAlignment="1">
      <alignment horizontal="center" vertical="center" wrapText="1"/>
    </xf>
    <xf numFmtId="0" fontId="7" fillId="8" borderId="67" xfId="0" applyFont="1" applyFill="1" applyBorder="1" applyAlignment="1">
      <alignment horizontal="center" vertical="center" wrapText="1"/>
    </xf>
    <xf numFmtId="49" fontId="8" fillId="0" borderId="0" xfId="0" applyNumberFormat="1" applyFont="1" applyFill="1" applyBorder="1" applyAlignment="1">
      <alignment horizontal="left"/>
    </xf>
    <xf numFmtId="49" fontId="7" fillId="0" borderId="50" xfId="0" applyNumberFormat="1" applyFont="1" applyFill="1" applyBorder="1" applyAlignment="1">
      <alignment horizontal="left" vertical="center"/>
    </xf>
    <xf numFmtId="49" fontId="7" fillId="8" borderId="61" xfId="0" applyNumberFormat="1" applyFont="1" applyFill="1" applyBorder="1" applyAlignment="1">
      <alignment horizontal="center" vertical="center"/>
    </xf>
    <xf numFmtId="49" fontId="7" fillId="8" borderId="67" xfId="0" applyNumberFormat="1" applyFont="1" applyFill="1" applyBorder="1" applyAlignment="1">
      <alignment horizontal="center" vertical="center"/>
    </xf>
    <xf numFmtId="49" fontId="7" fillId="8" borderId="19" xfId="0" applyNumberFormat="1" applyFont="1" applyFill="1" applyBorder="1" applyAlignment="1">
      <alignment horizontal="center" vertical="center"/>
    </xf>
    <xf numFmtId="49" fontId="7" fillId="8" borderId="60" xfId="0" applyNumberFormat="1" applyFont="1" applyFill="1" applyBorder="1" applyAlignment="1">
      <alignment horizontal="center" wrapText="1"/>
    </xf>
    <xf numFmtId="49" fontId="7" fillId="8" borderId="64" xfId="0" applyNumberFormat="1" applyFont="1" applyFill="1" applyBorder="1" applyAlignment="1">
      <alignment horizontal="center" wrapText="1"/>
    </xf>
    <xf numFmtId="49" fontId="7" fillId="8" borderId="65" xfId="0" applyNumberFormat="1" applyFont="1" applyFill="1" applyBorder="1" applyAlignment="1">
      <alignment horizontal="center" wrapText="1"/>
    </xf>
    <xf numFmtId="49" fontId="7" fillId="8" borderId="60" xfId="0" applyNumberFormat="1" applyFont="1" applyFill="1" applyBorder="1" applyAlignment="1">
      <alignment horizontal="center"/>
    </xf>
    <xf numFmtId="49" fontId="7" fillId="8" borderId="65" xfId="0" applyNumberFormat="1" applyFont="1" applyFill="1" applyBorder="1" applyAlignment="1">
      <alignment horizontal="center"/>
    </xf>
    <xf numFmtId="0" fontId="7" fillId="8" borderId="60" xfId="0" applyFont="1" applyFill="1" applyBorder="1" applyAlignment="1">
      <alignment horizontal="center" vertical="center" wrapText="1"/>
    </xf>
    <xf numFmtId="0" fontId="7" fillId="8" borderId="65" xfId="0" applyFont="1" applyFill="1" applyBorder="1" applyAlignment="1">
      <alignment horizontal="center" vertical="center" wrapText="1"/>
    </xf>
    <xf numFmtId="0" fontId="11" fillId="0" borderId="0" xfId="0" applyFont="1" applyAlignment="1">
      <alignment horizontal="left" vertical="top"/>
    </xf>
    <xf numFmtId="0" fontId="15" fillId="8" borderId="47" xfId="0" applyFont="1" applyFill="1" applyBorder="1" applyAlignment="1">
      <alignment horizontal="center" vertical="top"/>
    </xf>
    <xf numFmtId="0" fontId="15" fillId="8" borderId="52" xfId="0" applyFont="1" applyFill="1" applyBorder="1" applyAlignment="1">
      <alignment horizontal="center" vertical="top"/>
    </xf>
    <xf numFmtId="169" fontId="7" fillId="8" borderId="47" xfId="5" applyNumberFormat="1" applyFont="1" applyFill="1" applyBorder="1" applyAlignment="1">
      <alignment horizontal="center" vertical="top" wrapText="1"/>
    </xf>
    <xf numFmtId="169" fontId="7" fillId="8" borderId="51" xfId="5" applyNumberFormat="1" applyFont="1" applyFill="1" applyBorder="1" applyAlignment="1">
      <alignment horizontal="center" vertical="top" wrapText="1"/>
    </xf>
    <xf numFmtId="169" fontId="7" fillId="8" borderId="52" xfId="5" applyNumberFormat="1" applyFont="1" applyFill="1" applyBorder="1" applyAlignment="1">
      <alignment horizontal="center" vertical="top" wrapText="1"/>
    </xf>
    <xf numFmtId="0" fontId="12" fillId="0" borderId="31" xfId="0" applyFont="1" applyBorder="1" applyAlignment="1">
      <alignment horizontal="left" vertical="top" wrapText="1"/>
    </xf>
    <xf numFmtId="0" fontId="15" fillId="8" borderId="30" xfId="0" applyFont="1" applyFill="1" applyBorder="1" applyAlignment="1">
      <alignment horizontal="center" vertical="center"/>
    </xf>
    <xf numFmtId="0" fontId="15" fillId="8" borderId="8" xfId="0" applyFont="1" applyFill="1" applyBorder="1" applyAlignment="1">
      <alignment horizontal="center" vertical="center"/>
    </xf>
    <xf numFmtId="0" fontId="15" fillId="8" borderId="43" xfId="0" applyFont="1" applyFill="1" applyBorder="1" applyAlignment="1">
      <alignment horizontal="center" vertical="center"/>
    </xf>
    <xf numFmtId="0" fontId="15" fillId="8" borderId="28" xfId="0" applyFont="1" applyFill="1" applyBorder="1" applyAlignment="1">
      <alignment horizontal="center" vertical="top"/>
    </xf>
    <xf numFmtId="49" fontId="7" fillId="8" borderId="39" xfId="0" applyNumberFormat="1" applyFont="1" applyFill="1" applyBorder="1" applyAlignment="1">
      <alignment horizontal="center" vertical="top"/>
    </xf>
    <xf numFmtId="49" fontId="7" fillId="8" borderId="40" xfId="0" applyNumberFormat="1" applyFont="1" applyFill="1" applyBorder="1" applyAlignment="1">
      <alignment horizontal="center" vertical="top"/>
    </xf>
    <xf numFmtId="49" fontId="7" fillId="0" borderId="17" xfId="0" applyNumberFormat="1" applyFont="1" applyFill="1" applyBorder="1" applyAlignment="1">
      <alignment horizontal="left" vertical="top"/>
    </xf>
    <xf numFmtId="0" fontId="8" fillId="0" borderId="0" xfId="0" applyFont="1" applyFill="1" applyBorder="1" applyAlignment="1">
      <alignment horizontal="left" vertical="top" wrapText="1"/>
    </xf>
    <xf numFmtId="0" fontId="8" fillId="0" borderId="0" xfId="0" applyFont="1" applyFill="1" applyBorder="1" applyAlignment="1">
      <alignment horizontal="left" vertical="top"/>
    </xf>
    <xf numFmtId="49" fontId="7" fillId="8" borderId="34" xfId="0" applyNumberFormat="1" applyFont="1" applyFill="1" applyBorder="1" applyAlignment="1">
      <alignment horizontal="center" vertical="top"/>
    </xf>
    <xf numFmtId="49" fontId="7" fillId="8" borderId="35" xfId="0" applyNumberFormat="1" applyFont="1" applyFill="1" applyBorder="1" applyAlignment="1">
      <alignment horizontal="center" vertical="top"/>
    </xf>
    <xf numFmtId="49" fontId="7" fillId="8" borderId="34" xfId="0" applyNumberFormat="1" applyFont="1" applyFill="1" applyBorder="1" applyAlignment="1">
      <alignment horizontal="center" vertical="top" wrapText="1"/>
    </xf>
    <xf numFmtId="49" fontId="7" fillId="8" borderId="35" xfId="0" applyNumberFormat="1" applyFont="1" applyFill="1" applyBorder="1" applyAlignment="1">
      <alignment horizontal="center" vertical="top" wrapText="1"/>
    </xf>
    <xf numFmtId="49" fontId="7" fillId="8" borderId="22" xfId="0" applyNumberFormat="1" applyFont="1" applyFill="1" applyBorder="1" applyAlignment="1">
      <alignment horizontal="center" vertical="top" wrapText="1"/>
    </xf>
    <xf numFmtId="49" fontId="7" fillId="8" borderId="23" xfId="0" applyNumberFormat="1" applyFont="1" applyFill="1" applyBorder="1" applyAlignment="1">
      <alignment horizontal="center" vertical="top" wrapText="1"/>
    </xf>
    <xf numFmtId="49" fontId="7" fillId="8" borderId="10" xfId="0" applyNumberFormat="1" applyFont="1" applyFill="1" applyBorder="1" applyAlignment="1">
      <alignment horizontal="center" vertical="top" wrapText="1"/>
    </xf>
    <xf numFmtId="49" fontId="7" fillId="8" borderId="15" xfId="0" applyNumberFormat="1" applyFont="1" applyFill="1" applyBorder="1" applyAlignment="1">
      <alignment horizontal="center" vertical="top" wrapText="1"/>
    </xf>
    <xf numFmtId="49" fontId="7" fillId="8" borderId="36" xfId="0" applyNumberFormat="1" applyFont="1" applyFill="1" applyBorder="1" applyAlignment="1">
      <alignment horizontal="center" vertical="top"/>
    </xf>
    <xf numFmtId="49" fontId="7" fillId="8" borderId="37" xfId="0" applyNumberFormat="1" applyFont="1" applyFill="1" applyBorder="1" applyAlignment="1">
      <alignment horizontal="center" vertical="top"/>
    </xf>
    <xf numFmtId="49" fontId="7" fillId="8" borderId="38" xfId="0" applyNumberFormat="1" applyFont="1" applyFill="1" applyBorder="1" applyAlignment="1">
      <alignment horizontal="center" vertical="top"/>
    </xf>
    <xf numFmtId="49" fontId="7" fillId="8" borderId="21" xfId="0" applyNumberFormat="1" applyFont="1" applyFill="1" applyBorder="1" applyAlignment="1">
      <alignment horizontal="center" vertical="top"/>
    </xf>
    <xf numFmtId="49" fontId="7" fillId="8" borderId="11" xfId="0" applyNumberFormat="1" applyFont="1" applyFill="1" applyBorder="1" applyAlignment="1">
      <alignment horizontal="center" vertical="top"/>
    </xf>
    <xf numFmtId="0" fontId="18" fillId="41" borderId="54" xfId="0" applyFont="1" applyFill="1" applyBorder="1" applyAlignment="1">
      <alignment horizontal="center" vertical="top"/>
    </xf>
    <xf numFmtId="0" fontId="18" fillId="41" borderId="55" xfId="0" applyFont="1" applyFill="1" applyBorder="1" applyAlignment="1">
      <alignment horizontal="center" vertical="top"/>
    </xf>
    <xf numFmtId="0" fontId="18" fillId="41" borderId="56" xfId="0" applyFont="1" applyFill="1" applyBorder="1" applyAlignment="1">
      <alignment horizontal="center" vertical="top"/>
    </xf>
    <xf numFmtId="169" fontId="41" fillId="8" borderId="42" xfId="0" applyNumberFormat="1" applyFont="1" applyFill="1" applyBorder="1" applyAlignment="1">
      <alignment horizontal="center" vertical="top" wrapText="1"/>
    </xf>
    <xf numFmtId="169" fontId="41" fillId="8" borderId="49" xfId="0" applyNumberFormat="1" applyFont="1" applyFill="1" applyBorder="1" applyAlignment="1">
      <alignment horizontal="center" vertical="top" wrapText="1"/>
    </xf>
    <xf numFmtId="0" fontId="10" fillId="0" borderId="48" xfId="0" applyFont="1" applyBorder="1" applyAlignment="1">
      <alignment vertical="center" wrapText="1"/>
    </xf>
    <xf numFmtId="0" fontId="10" fillId="0" borderId="43" xfId="0" applyFont="1" applyBorder="1" applyAlignment="1">
      <alignment vertical="center" wrapText="1"/>
    </xf>
    <xf numFmtId="0" fontId="10" fillId="0" borderId="8" xfId="0" applyFont="1" applyBorder="1" applyAlignment="1">
      <alignment vertical="center" wrapText="1"/>
    </xf>
    <xf numFmtId="0" fontId="10" fillId="0" borderId="48" xfId="0" applyFont="1" applyBorder="1" applyAlignment="1">
      <alignment vertical="top" wrapText="1"/>
    </xf>
    <xf numFmtId="0" fontId="10" fillId="0" borderId="8" xfId="0" applyFont="1" applyBorder="1" applyAlignment="1">
      <alignment vertical="top" wrapText="1"/>
    </xf>
    <xf numFmtId="0" fontId="10" fillId="0" borderId="43" xfId="0" applyFont="1" applyBorder="1" applyAlignment="1">
      <alignment vertical="top" wrapText="1"/>
    </xf>
    <xf numFmtId="169" fontId="41" fillId="8" borderId="28" xfId="0" applyNumberFormat="1" applyFont="1" applyFill="1" applyBorder="1" applyAlignment="1">
      <alignment horizontal="center" vertical="top" wrapText="1"/>
    </xf>
    <xf numFmtId="0" fontId="15" fillId="8" borderId="28" xfId="0" applyFont="1" applyFill="1" applyBorder="1" applyAlignment="1">
      <alignment horizontal="center" vertical="center" wrapText="1"/>
    </xf>
    <xf numFmtId="49" fontId="41" fillId="8" borderId="28" xfId="0" applyNumberFormat="1" applyFont="1" applyFill="1" applyBorder="1" applyAlignment="1">
      <alignment horizontal="center" vertical="top" wrapText="1"/>
    </xf>
    <xf numFmtId="0" fontId="15" fillId="8" borderId="28" xfId="0" applyFont="1" applyFill="1" applyBorder="1" applyAlignment="1">
      <alignment horizontal="center" vertical="center"/>
    </xf>
    <xf numFmtId="49" fontId="7" fillId="0" borderId="0" xfId="0" applyNumberFormat="1" applyFont="1" applyFill="1" applyAlignment="1">
      <alignment horizontal="left"/>
    </xf>
    <xf numFmtId="49" fontId="8" fillId="0" borderId="0" xfId="0" applyNumberFormat="1" applyFont="1" applyFill="1" applyBorder="1" applyAlignment="1">
      <alignment horizontal="left" vertical="center" wrapText="1"/>
    </xf>
    <xf numFmtId="49" fontId="7" fillId="2" borderId="2" xfId="0" applyNumberFormat="1" applyFont="1" applyFill="1" applyBorder="1" applyAlignment="1">
      <alignment horizontal="left" vertical="top"/>
    </xf>
    <xf numFmtId="49" fontId="7" fillId="2" borderId="5" xfId="0" applyNumberFormat="1" applyFont="1" applyFill="1" applyBorder="1" applyAlignment="1">
      <alignment horizontal="left" vertical="top"/>
    </xf>
    <xf numFmtId="49" fontId="7" fillId="2" borderId="3" xfId="0" applyNumberFormat="1" applyFont="1" applyFill="1" applyBorder="1" applyAlignment="1">
      <alignment horizontal="left" vertical="top"/>
    </xf>
    <xf numFmtId="49" fontId="7" fillId="8" borderId="20" xfId="0" applyNumberFormat="1" applyFont="1" applyFill="1" applyBorder="1" applyAlignment="1">
      <alignment horizontal="center" vertical="center" wrapText="1"/>
    </xf>
    <xf numFmtId="49" fontId="7" fillId="8" borderId="4" xfId="0" applyNumberFormat="1" applyFont="1" applyFill="1" applyBorder="1" applyAlignment="1">
      <alignment horizontal="center" vertical="center" wrapText="1"/>
    </xf>
    <xf numFmtId="49" fontId="7" fillId="8" borderId="20" xfId="0" applyNumberFormat="1" applyFont="1" applyFill="1" applyBorder="1" applyAlignment="1">
      <alignment horizontal="center" vertical="center"/>
    </xf>
    <xf numFmtId="49" fontId="7" fillId="8" borderId="4" xfId="0" applyNumberFormat="1" applyFont="1" applyFill="1" applyBorder="1" applyAlignment="1">
      <alignment horizontal="center" vertical="center"/>
    </xf>
    <xf numFmtId="0" fontId="8" fillId="0" borderId="0" xfId="0" applyFont="1" applyFill="1" applyBorder="1" applyAlignment="1">
      <alignment horizontal="left" vertical="center"/>
    </xf>
    <xf numFmtId="49" fontId="7" fillId="2" borderId="0" xfId="0" applyNumberFormat="1" applyFont="1" applyFill="1" applyAlignment="1">
      <alignment horizontal="left" vertical="top"/>
    </xf>
    <xf numFmtId="49" fontId="7" fillId="8" borderId="9" xfId="0" applyNumberFormat="1" applyFont="1" applyFill="1" applyBorder="1" applyAlignment="1">
      <alignment horizontal="center" vertical="center" wrapText="1"/>
    </xf>
    <xf numFmtId="49" fontId="7" fillId="8" borderId="19" xfId="0" applyNumberFormat="1" applyFont="1" applyFill="1" applyBorder="1" applyAlignment="1">
      <alignment horizontal="center" vertical="center" wrapText="1"/>
    </xf>
    <xf numFmtId="49" fontId="7" fillId="8" borderId="12" xfId="0" applyNumberFormat="1" applyFont="1" applyFill="1" applyBorder="1" applyAlignment="1">
      <alignment horizontal="center" vertical="center" wrapText="1"/>
    </xf>
    <xf numFmtId="49" fontId="7" fillId="8" borderId="13" xfId="0" applyNumberFormat="1" applyFont="1" applyFill="1" applyBorder="1" applyAlignment="1">
      <alignment horizontal="center" vertical="center" wrapText="1"/>
    </xf>
    <xf numFmtId="49" fontId="7" fillId="8" borderId="12" xfId="0" applyNumberFormat="1" applyFont="1" applyFill="1" applyBorder="1" applyAlignment="1">
      <alignment horizontal="center" vertical="center"/>
    </xf>
    <xf numFmtId="49" fontId="7" fillId="8" borderId="13" xfId="0" applyNumberFormat="1" applyFont="1" applyFill="1" applyBorder="1" applyAlignment="1">
      <alignment horizontal="center" vertical="center"/>
    </xf>
    <xf numFmtId="0" fontId="7" fillId="0" borderId="0" xfId="0" applyFont="1" applyFill="1" applyBorder="1" applyAlignment="1">
      <alignment horizontal="left" vertical="top" wrapText="1"/>
    </xf>
    <xf numFmtId="49" fontId="7" fillId="8" borderId="9" xfId="0" applyNumberFormat="1" applyFont="1" applyFill="1" applyBorder="1" applyAlignment="1">
      <alignment horizontal="center" vertical="center"/>
    </xf>
    <xf numFmtId="49" fontId="7" fillId="8" borderId="14" xfId="0" applyNumberFormat="1" applyFont="1" applyFill="1" applyBorder="1" applyAlignment="1">
      <alignment horizontal="center" vertical="center"/>
    </xf>
    <xf numFmtId="49" fontId="7" fillId="2" borderId="0" xfId="8" applyNumberFormat="1" applyFont="1" applyFill="1" applyAlignment="1">
      <alignment horizontal="left"/>
    </xf>
    <xf numFmtId="49" fontId="7" fillId="2" borderId="0" xfId="8" applyNumberFormat="1" applyFont="1" applyFill="1" applyAlignment="1">
      <alignment horizontal="left" vertical="top" wrapText="1"/>
    </xf>
    <xf numFmtId="49" fontId="7" fillId="8" borderId="9" xfId="8" applyNumberFormat="1" applyFont="1" applyFill="1" applyBorder="1" applyAlignment="1">
      <alignment horizontal="center"/>
    </xf>
    <xf numFmtId="49" fontId="7" fillId="8" borderId="19" xfId="8" applyNumberFormat="1" applyFont="1" applyFill="1" applyBorder="1" applyAlignment="1">
      <alignment horizontal="center"/>
    </xf>
    <xf numFmtId="49" fontId="7" fillId="8" borderId="12" xfId="8" applyNumberFormat="1" applyFont="1" applyFill="1" applyBorder="1" applyAlignment="1">
      <alignment horizontal="center"/>
    </xf>
    <xf numFmtId="49" fontId="7" fillId="8" borderId="13" xfId="8" applyNumberFormat="1" applyFont="1" applyFill="1" applyBorder="1" applyAlignment="1">
      <alignment horizontal="center"/>
    </xf>
    <xf numFmtId="49" fontId="7" fillId="8" borderId="28" xfId="8" applyNumberFormat="1" applyFont="1" applyFill="1" applyBorder="1" applyAlignment="1">
      <alignment horizontal="center" vertical="center" wrapText="1"/>
    </xf>
    <xf numFmtId="49" fontId="7" fillId="8" borderId="28" xfId="8" applyNumberFormat="1" applyFont="1" applyFill="1" applyBorder="1" applyAlignment="1">
      <alignment horizontal="center" vertical="center"/>
    </xf>
    <xf numFmtId="0" fontId="15" fillId="8" borderId="28" xfId="0" applyFont="1" applyFill="1" applyBorder="1" applyAlignment="1">
      <alignment horizontal="center" wrapText="1"/>
    </xf>
    <xf numFmtId="49" fontId="7" fillId="2" borderId="0" xfId="8" applyNumberFormat="1" applyFont="1" applyFill="1" applyAlignment="1">
      <alignment horizontal="left" vertical="top"/>
    </xf>
    <xf numFmtId="49" fontId="7" fillId="8" borderId="18" xfId="8" applyNumberFormat="1" applyFont="1" applyFill="1" applyBorder="1" applyAlignment="1">
      <alignment horizontal="center"/>
    </xf>
    <xf numFmtId="49" fontId="7" fillId="8" borderId="10" xfId="8" applyNumberFormat="1" applyFont="1" applyFill="1" applyBorder="1" applyAlignment="1">
      <alignment horizontal="center" vertical="center"/>
    </xf>
    <xf numFmtId="49" fontId="7" fillId="8" borderId="11" xfId="8" applyNumberFormat="1" applyFont="1" applyFill="1" applyBorder="1" applyAlignment="1">
      <alignment horizontal="center" vertical="center"/>
    </xf>
    <xf numFmtId="49" fontId="7" fillId="8" borderId="25" xfId="8" applyNumberFormat="1" applyFont="1" applyFill="1" applyBorder="1" applyAlignment="1">
      <alignment horizontal="center" vertical="center"/>
    </xf>
    <xf numFmtId="49" fontId="7" fillId="8" borderId="26" xfId="8" applyNumberFormat="1" applyFont="1" applyFill="1" applyBorder="1" applyAlignment="1">
      <alignment horizontal="center" vertical="center"/>
    </xf>
    <xf numFmtId="49" fontId="7" fillId="2" borderId="0" xfId="8" applyNumberFormat="1" applyFont="1" applyFill="1" applyAlignment="1">
      <alignment horizontal="left" vertical="center"/>
    </xf>
    <xf numFmtId="49" fontId="7" fillId="8" borderId="12" xfId="8" applyNumberFormat="1" applyFont="1" applyFill="1" applyBorder="1" applyAlignment="1">
      <alignment horizontal="center" vertical="center"/>
    </xf>
    <xf numFmtId="49" fontId="7" fillId="8" borderId="13" xfId="8" applyNumberFormat="1" applyFont="1" applyFill="1" applyBorder="1" applyAlignment="1">
      <alignment horizontal="center" vertical="center"/>
    </xf>
    <xf numFmtId="0" fontId="12" fillId="0" borderId="0" xfId="8" applyNumberFormat="1" applyFont="1" applyFill="1" applyBorder="1" applyAlignment="1">
      <alignment horizontal="left" vertical="center" wrapText="1"/>
    </xf>
    <xf numFmtId="49" fontId="7" fillId="2" borderId="50" xfId="8" applyNumberFormat="1" applyFont="1" applyFill="1" applyBorder="1" applyAlignment="1">
      <alignment horizontal="center" vertical="top" wrapText="1"/>
    </xf>
    <xf numFmtId="49" fontId="7" fillId="8" borderId="61" xfId="8" applyNumberFormat="1" applyFont="1" applyFill="1" applyBorder="1" applyAlignment="1">
      <alignment horizontal="center" vertical="center" wrapText="1"/>
    </xf>
    <xf numFmtId="49" fontId="7" fillId="8" borderId="19" xfId="8" applyNumberFormat="1" applyFont="1" applyFill="1" applyBorder="1" applyAlignment="1">
      <alignment horizontal="center" vertical="center" wrapText="1"/>
    </xf>
    <xf numFmtId="49" fontId="7" fillId="8" borderId="60" xfId="8" applyNumberFormat="1" applyFont="1" applyFill="1" applyBorder="1" applyAlignment="1">
      <alignment horizontal="center" vertical="center" wrapText="1"/>
    </xf>
    <xf numFmtId="49" fontId="7" fillId="8" borderId="64" xfId="8" applyNumberFormat="1" applyFont="1" applyFill="1" applyBorder="1" applyAlignment="1">
      <alignment horizontal="center" vertical="center" wrapText="1"/>
    </xf>
    <xf numFmtId="49" fontId="7" fillId="8" borderId="65" xfId="8" applyNumberFormat="1" applyFont="1" applyFill="1" applyBorder="1" applyAlignment="1">
      <alignment horizontal="center" vertical="center" wrapText="1"/>
    </xf>
    <xf numFmtId="49" fontId="8" fillId="2" borderId="0" xfId="8" applyNumberFormat="1" applyFont="1" applyFill="1" applyAlignment="1">
      <alignment horizontal="left" vertical="top" wrapText="1"/>
    </xf>
    <xf numFmtId="0" fontId="2" fillId="0" borderId="0" xfId="8" applyNumberFormat="1" applyFont="1" applyFill="1" applyBorder="1" applyAlignment="1">
      <alignment vertical="top" wrapText="1"/>
    </xf>
    <xf numFmtId="49" fontId="7" fillId="2" borderId="0" xfId="8" applyNumberFormat="1" applyFont="1" applyFill="1" applyAlignment="1">
      <alignment horizontal="left" wrapText="1"/>
    </xf>
    <xf numFmtId="49" fontId="7" fillId="2" borderId="0" xfId="8" applyNumberFormat="1" applyFont="1" applyFill="1" applyBorder="1" applyAlignment="1">
      <alignment horizontal="left" wrapText="1"/>
    </xf>
    <xf numFmtId="49" fontId="8" fillId="2" borderId="0" xfId="8" applyNumberFormat="1" applyFont="1" applyFill="1" applyBorder="1" applyAlignment="1">
      <alignment horizontal="left" vertical="top" wrapText="1"/>
    </xf>
    <xf numFmtId="49" fontId="7" fillId="2" borderId="60" xfId="8" applyNumberFormat="1" applyFont="1" applyFill="1" applyBorder="1" applyAlignment="1">
      <alignment horizontal="right" vertical="center"/>
    </xf>
    <xf numFmtId="49" fontId="7" fillId="2" borderId="64" xfId="8" applyNumberFormat="1" applyFont="1" applyFill="1" applyBorder="1" applyAlignment="1">
      <alignment horizontal="right" vertical="center"/>
    </xf>
    <xf numFmtId="49" fontId="7" fillId="2" borderId="65" xfId="8" applyNumberFormat="1" applyFont="1" applyFill="1" applyBorder="1" applyAlignment="1">
      <alignment horizontal="right" vertical="center"/>
    </xf>
    <xf numFmtId="49" fontId="7" fillId="8" borderId="61" xfId="8" applyNumberFormat="1" applyFont="1" applyFill="1" applyBorder="1" applyAlignment="1">
      <alignment horizontal="center" vertical="center"/>
    </xf>
    <xf numFmtId="49" fontId="7" fillId="8" borderId="19" xfId="8" applyNumberFormat="1" applyFont="1" applyFill="1" applyBorder="1" applyAlignment="1">
      <alignment horizontal="center" vertical="center"/>
    </xf>
    <xf numFmtId="49" fontId="7" fillId="8" borderId="60" xfId="8" applyNumberFormat="1" applyFont="1" applyFill="1" applyBorder="1" applyAlignment="1">
      <alignment horizontal="center"/>
    </xf>
    <xf numFmtId="49" fontId="7" fillId="8" borderId="65" xfId="8" applyNumberFormat="1" applyFont="1" applyFill="1" applyBorder="1" applyAlignment="1">
      <alignment horizontal="center"/>
    </xf>
    <xf numFmtId="49" fontId="7" fillId="8" borderId="60" xfId="8" applyNumberFormat="1" applyFont="1" applyFill="1" applyBorder="1" applyAlignment="1">
      <alignment horizontal="center" vertical="center"/>
    </xf>
    <xf numFmtId="49" fontId="7" fillId="8" borderId="65" xfId="8" applyNumberFormat="1" applyFont="1" applyFill="1" applyBorder="1" applyAlignment="1">
      <alignment horizontal="center" vertical="center"/>
    </xf>
    <xf numFmtId="49" fontId="7" fillId="8" borderId="64" xfId="8" applyNumberFormat="1" applyFont="1" applyFill="1" applyBorder="1" applyAlignment="1">
      <alignment horizontal="center" vertical="center"/>
    </xf>
    <xf numFmtId="0" fontId="2" fillId="8" borderId="64" xfId="8" applyNumberFormat="1" applyFont="1" applyFill="1" applyBorder="1" applyAlignment="1">
      <alignment horizontal="center"/>
    </xf>
    <xf numFmtId="0" fontId="2" fillId="8" borderId="65" xfId="8" applyNumberFormat="1" applyFont="1" applyFill="1" applyBorder="1" applyAlignment="1">
      <alignment horizontal="center"/>
    </xf>
    <xf numFmtId="49" fontId="7" fillId="8" borderId="61" xfId="8" applyNumberFormat="1" applyFont="1" applyFill="1" applyBorder="1" applyAlignment="1">
      <alignment horizontal="center" vertical="top"/>
    </xf>
    <xf numFmtId="49" fontId="7" fillId="8" borderId="19" xfId="8" applyNumberFormat="1" applyFont="1" applyFill="1" applyBorder="1" applyAlignment="1">
      <alignment horizontal="center" vertical="top"/>
    </xf>
    <xf numFmtId="49" fontId="7" fillId="8" borderId="64" xfId="8" applyNumberFormat="1" applyFont="1" applyFill="1" applyBorder="1" applyAlignment="1">
      <alignment horizontal="center"/>
    </xf>
    <xf numFmtId="49" fontId="7" fillId="2" borderId="0" xfId="8" applyNumberFormat="1" applyFont="1" applyFill="1" applyBorder="1" applyAlignment="1">
      <alignment horizontal="left"/>
    </xf>
    <xf numFmtId="49" fontId="25" fillId="2" borderId="0" xfId="8" applyNumberFormat="1" applyFont="1" applyFill="1" applyAlignment="1">
      <alignment horizontal="left" vertical="top" wrapText="1"/>
    </xf>
    <xf numFmtId="49" fontId="27" fillId="2" borderId="0" xfId="8" applyNumberFormat="1" applyFont="1" applyFill="1" applyAlignment="1">
      <alignment horizontal="left" vertical="top" wrapText="1"/>
    </xf>
    <xf numFmtId="49" fontId="8" fillId="2" borderId="0" xfId="8" applyNumberFormat="1" applyFont="1" applyFill="1" applyAlignment="1">
      <alignment horizontal="left" vertical="center"/>
    </xf>
    <xf numFmtId="49" fontId="8" fillId="2" borderId="0" xfId="8" applyNumberFormat="1" applyFont="1" applyFill="1" applyAlignment="1">
      <alignment horizontal="left"/>
    </xf>
    <xf numFmtId="49" fontId="7" fillId="8" borderId="28" xfId="8" applyNumberFormat="1" applyFont="1" applyFill="1" applyBorder="1" applyAlignment="1">
      <alignment horizontal="center"/>
    </xf>
    <xf numFmtId="49" fontId="7" fillId="8" borderId="92" xfId="8" applyNumberFormat="1" applyFont="1" applyFill="1" applyBorder="1" applyAlignment="1">
      <alignment horizontal="center" vertical="center"/>
    </xf>
    <xf numFmtId="49" fontId="7" fillId="8" borderId="57" xfId="8" applyNumberFormat="1" applyFont="1" applyFill="1" applyBorder="1" applyAlignment="1">
      <alignment horizontal="center" vertical="center"/>
    </xf>
    <xf numFmtId="49" fontId="7" fillId="3" borderId="60" xfId="8" applyNumberFormat="1" applyFont="1" applyFill="1" applyBorder="1" applyAlignment="1">
      <alignment horizontal="center"/>
    </xf>
    <xf numFmtId="49" fontId="7" fillId="3" borderId="0" xfId="8" applyNumberFormat="1" applyFont="1" applyFill="1" applyBorder="1" applyAlignment="1">
      <alignment horizontal="center"/>
    </xf>
    <xf numFmtId="49" fontId="7" fillId="3" borderId="64" xfId="8" applyNumberFormat="1" applyFont="1" applyFill="1" applyBorder="1" applyAlignment="1">
      <alignment horizontal="center"/>
    </xf>
    <xf numFmtId="49" fontId="7" fillId="3" borderId="98" xfId="8" applyNumberFormat="1" applyFont="1" applyFill="1" applyBorder="1" applyAlignment="1">
      <alignment horizontal="center"/>
    </xf>
    <xf numFmtId="49" fontId="7" fillId="3" borderId="65" xfId="8" applyNumberFormat="1" applyFont="1" applyFill="1" applyBorder="1" applyAlignment="1">
      <alignment horizontal="center"/>
    </xf>
    <xf numFmtId="49" fontId="7" fillId="0" borderId="28" xfId="8" applyNumberFormat="1" applyFont="1" applyFill="1" applyBorder="1" applyAlignment="1">
      <alignment horizontal="center"/>
    </xf>
    <xf numFmtId="49" fontId="7" fillId="0" borderId="8" xfId="8" applyNumberFormat="1" applyFont="1" applyFill="1" applyBorder="1" applyAlignment="1">
      <alignment horizontal="center"/>
    </xf>
    <xf numFmtId="49" fontId="7" fillId="0" borderId="97" xfId="8" applyNumberFormat="1" applyFont="1" applyFill="1" applyBorder="1" applyAlignment="1">
      <alignment horizontal="center"/>
    </xf>
    <xf numFmtId="49" fontId="8" fillId="2" borderId="0" xfId="8" applyNumberFormat="1" applyFont="1" applyFill="1" applyAlignment="1">
      <alignment horizontal="left" wrapText="1"/>
    </xf>
    <xf numFmtId="49" fontId="7" fillId="2" borderId="0" xfId="8" applyNumberFormat="1" applyFont="1" applyFill="1" applyAlignment="1">
      <alignment horizontal="left" vertical="center" wrapText="1"/>
    </xf>
    <xf numFmtId="0" fontId="12" fillId="8" borderId="71" xfId="64" applyFont="1" applyFill="1" applyBorder="1" applyAlignment="1">
      <alignment horizontal="center" vertical="center"/>
    </xf>
    <xf numFmtId="0" fontId="12" fillId="8" borderId="102" xfId="64" applyFont="1" applyFill="1" applyBorder="1" applyAlignment="1">
      <alignment horizontal="center" vertical="center"/>
    </xf>
    <xf numFmtId="0" fontId="12" fillId="8" borderId="100" xfId="64" applyFont="1" applyFill="1" applyBorder="1" applyAlignment="1">
      <alignment horizontal="center" vertical="center" wrapText="1"/>
    </xf>
    <xf numFmtId="0" fontId="12" fillId="8" borderId="101" xfId="64" applyFont="1" applyFill="1" applyBorder="1" applyAlignment="1">
      <alignment horizontal="center" vertical="center"/>
    </xf>
    <xf numFmtId="0" fontId="12" fillId="8" borderId="73" xfId="64" applyFont="1" applyFill="1" applyBorder="1" applyAlignment="1">
      <alignment horizontal="center" vertical="center"/>
    </xf>
    <xf numFmtId="0" fontId="12" fillId="8" borderId="27" xfId="64" applyFont="1" applyFill="1" applyBorder="1" applyAlignment="1">
      <alignment horizontal="center" vertical="center"/>
    </xf>
    <xf numFmtId="0" fontId="12" fillId="8" borderId="28" xfId="64" applyFont="1" applyFill="1" applyBorder="1" applyAlignment="1">
      <alignment horizontal="center" vertical="center"/>
    </xf>
    <xf numFmtId="186" fontId="12" fillId="8" borderId="97" xfId="13" applyNumberFormat="1" applyFont="1" applyFill="1" applyBorder="1" applyAlignment="1">
      <alignment horizontal="center" vertical="center" wrapText="1"/>
    </xf>
    <xf numFmtId="186" fontId="12" fillId="8" borderId="8" xfId="13" applyNumberFormat="1" applyFont="1" applyFill="1" applyBorder="1" applyAlignment="1">
      <alignment horizontal="center" vertical="center" wrapText="1"/>
    </xf>
    <xf numFmtId="186" fontId="12" fillId="8" borderId="103" xfId="13" applyNumberFormat="1" applyFont="1" applyFill="1" applyBorder="1" applyAlignment="1">
      <alignment horizontal="center" vertical="center" wrapText="1"/>
    </xf>
    <xf numFmtId="0" fontId="12" fillId="8" borderId="101" xfId="64" applyFont="1" applyFill="1" applyBorder="1" applyAlignment="1">
      <alignment horizontal="center" vertical="center" wrapText="1"/>
    </xf>
    <xf numFmtId="0" fontId="12" fillId="8" borderId="75" xfId="64" applyFont="1" applyFill="1" applyBorder="1" applyAlignment="1">
      <alignment horizontal="center" vertical="center" wrapText="1"/>
    </xf>
    <xf numFmtId="0" fontId="12" fillId="8" borderId="7" xfId="64" applyFont="1" applyFill="1" applyBorder="1" applyAlignment="1">
      <alignment horizontal="center" vertical="center" wrapText="1"/>
    </xf>
    <xf numFmtId="0" fontId="12" fillId="8" borderId="28" xfId="64" applyFont="1" applyFill="1" applyBorder="1" applyAlignment="1">
      <alignment horizontal="center" vertical="center" wrapText="1"/>
    </xf>
    <xf numFmtId="0" fontId="12" fillId="8" borderId="71" xfId="64" applyFont="1" applyFill="1" applyBorder="1" applyAlignment="1">
      <alignment horizontal="center" vertical="center" wrapText="1"/>
    </xf>
    <xf numFmtId="0" fontId="12" fillId="8" borderId="96" xfId="64" applyFont="1" applyFill="1" applyBorder="1" applyAlignment="1">
      <alignment horizontal="center" vertical="center" wrapText="1"/>
    </xf>
    <xf numFmtId="0" fontId="12" fillId="8" borderId="96" xfId="64" applyFont="1" applyFill="1" applyBorder="1" applyAlignment="1">
      <alignment horizontal="center" vertical="center"/>
    </xf>
    <xf numFmtId="49" fontId="7" fillId="3" borderId="0" xfId="8" applyNumberFormat="1" applyFont="1" applyFill="1" applyAlignment="1">
      <alignment horizontal="left"/>
    </xf>
    <xf numFmtId="0" fontId="12" fillId="8" borderId="97" xfId="64" applyFont="1" applyFill="1" applyBorder="1" applyAlignment="1">
      <alignment horizontal="center" vertical="center" wrapText="1"/>
    </xf>
    <xf numFmtId="0" fontId="12" fillId="8" borderId="103" xfId="64" applyFont="1" applyFill="1" applyBorder="1" applyAlignment="1">
      <alignment horizontal="center" vertical="center" wrapText="1"/>
    </xf>
    <xf numFmtId="0" fontId="12" fillId="8" borderId="8" xfId="64" applyFont="1" applyFill="1" applyBorder="1" applyAlignment="1">
      <alignment horizontal="center" vertical="center" wrapText="1"/>
    </xf>
    <xf numFmtId="0" fontId="12" fillId="8" borderId="72" xfId="64" applyFont="1" applyFill="1" applyBorder="1" applyAlignment="1">
      <alignment horizontal="center" vertical="center" wrapText="1"/>
    </xf>
    <xf numFmtId="0" fontId="12" fillId="8" borderId="73" xfId="64" applyFont="1" applyFill="1" applyBorder="1" applyAlignment="1">
      <alignment horizontal="center" vertical="center" wrapText="1"/>
    </xf>
    <xf numFmtId="0" fontId="12" fillId="8" borderId="24" xfId="64" applyFont="1" applyFill="1" applyBorder="1" applyAlignment="1">
      <alignment horizontal="center" vertical="center" wrapText="1"/>
    </xf>
    <xf numFmtId="0" fontId="12" fillId="8" borderId="27" xfId="64" applyFont="1" applyFill="1" applyBorder="1" applyAlignment="1">
      <alignment horizontal="center" vertical="center" wrapText="1"/>
    </xf>
    <xf numFmtId="0" fontId="12" fillId="8" borderId="32" xfId="12" applyFont="1" applyFill="1" applyBorder="1" applyAlignment="1">
      <alignment horizontal="center" vertical="center"/>
    </xf>
    <xf numFmtId="0" fontId="12" fillId="8" borderId="29" xfId="12" applyFont="1" applyFill="1" applyBorder="1" applyAlignment="1">
      <alignment horizontal="center" vertical="center"/>
    </xf>
    <xf numFmtId="0" fontId="12" fillId="8" borderId="104" xfId="12" applyFont="1" applyFill="1" applyBorder="1" applyAlignment="1">
      <alignment horizontal="center" vertical="center" wrapText="1"/>
    </xf>
    <xf numFmtId="0" fontId="12" fillId="8" borderId="106" xfId="12" applyFont="1" applyFill="1" applyBorder="1" applyAlignment="1">
      <alignment horizontal="center" vertical="center"/>
    </xf>
    <xf numFmtId="0" fontId="12" fillId="8" borderId="73" xfId="12" applyFont="1" applyFill="1" applyBorder="1" applyAlignment="1">
      <alignment horizontal="center" vertical="center"/>
    </xf>
    <xf numFmtId="0" fontId="12" fillId="8" borderId="27" xfId="12" applyFont="1" applyFill="1" applyBorder="1" applyAlignment="1">
      <alignment horizontal="center" vertical="center"/>
    </xf>
    <xf numFmtId="0" fontId="12" fillId="8" borderId="28" xfId="12" applyFont="1" applyFill="1" applyBorder="1" applyAlignment="1">
      <alignment horizontal="center" vertical="center"/>
    </xf>
    <xf numFmtId="186" fontId="12" fillId="8" borderId="6" xfId="13" applyNumberFormat="1" applyFont="1" applyFill="1" applyBorder="1" applyAlignment="1">
      <alignment horizontal="center" vertical="center" wrapText="1"/>
    </xf>
    <xf numFmtId="0" fontId="12" fillId="8" borderId="106" xfId="12" applyFont="1" applyFill="1" applyBorder="1" applyAlignment="1">
      <alignment horizontal="center" vertical="center" wrapText="1"/>
    </xf>
    <xf numFmtId="0" fontId="12" fillId="8" borderId="75" xfId="12" applyFont="1" applyFill="1" applyBorder="1" applyAlignment="1">
      <alignment horizontal="center" vertical="center" wrapText="1"/>
    </xf>
    <xf numFmtId="0" fontId="12" fillId="8" borderId="7" xfId="12" applyFont="1" applyFill="1" applyBorder="1" applyAlignment="1">
      <alignment horizontal="center" vertical="center" wrapText="1"/>
    </xf>
    <xf numFmtId="0" fontId="12" fillId="8" borderId="28" xfId="12" applyFont="1" applyFill="1" applyBorder="1" applyAlignment="1">
      <alignment horizontal="center" vertical="center" wrapText="1"/>
    </xf>
    <xf numFmtId="0" fontId="12" fillId="8" borderId="32" xfId="12" applyFont="1" applyFill="1" applyBorder="1" applyAlignment="1">
      <alignment horizontal="center" vertical="center" wrapText="1"/>
    </xf>
    <xf numFmtId="0" fontId="12" fillId="8" borderId="45" xfId="12" applyFont="1" applyFill="1" applyBorder="1" applyAlignment="1">
      <alignment horizontal="center" vertical="center" wrapText="1"/>
    </xf>
    <xf numFmtId="0" fontId="12" fillId="8" borderId="45" xfId="12" applyFont="1" applyFill="1" applyBorder="1" applyAlignment="1">
      <alignment horizontal="center" vertical="center"/>
    </xf>
    <xf numFmtId="0" fontId="12" fillId="8" borderId="6" xfId="12" applyFont="1" applyFill="1" applyBorder="1" applyAlignment="1">
      <alignment horizontal="center" vertical="center" wrapText="1"/>
    </xf>
    <xf numFmtId="0" fontId="12" fillId="8" borderId="8" xfId="12" applyFont="1" applyFill="1" applyBorder="1" applyAlignment="1">
      <alignment horizontal="center" vertical="center" wrapText="1"/>
    </xf>
    <xf numFmtId="0" fontId="12" fillId="8" borderId="103" xfId="12" applyFont="1" applyFill="1" applyBorder="1" applyAlignment="1">
      <alignment horizontal="center" vertical="center" wrapText="1"/>
    </xf>
    <xf numFmtId="0" fontId="12" fillId="8" borderId="105" xfId="12" applyFont="1" applyFill="1" applyBorder="1" applyAlignment="1">
      <alignment horizontal="center" vertical="center" wrapText="1"/>
    </xf>
    <xf numFmtId="0" fontId="12" fillId="8" borderId="73" xfId="12" applyFont="1" applyFill="1" applyBorder="1" applyAlignment="1">
      <alignment horizontal="center" vertical="center" wrapText="1"/>
    </xf>
    <xf numFmtId="0" fontId="12" fillId="8" borderId="24" xfId="12" applyFont="1" applyFill="1" applyBorder="1" applyAlignment="1">
      <alignment horizontal="center" vertical="center" wrapText="1"/>
    </xf>
    <xf numFmtId="0" fontId="12" fillId="8" borderId="27" xfId="12" applyFont="1" applyFill="1" applyBorder="1" applyAlignment="1">
      <alignment horizontal="center" vertical="center" wrapText="1"/>
    </xf>
    <xf numFmtId="0" fontId="7" fillId="8" borderId="79" xfId="8" applyFont="1" applyFill="1" applyBorder="1" applyAlignment="1">
      <alignment horizontal="center" vertical="center" wrapText="1"/>
    </xf>
    <xf numFmtId="0" fontId="7" fillId="8" borderId="19" xfId="8" applyFont="1" applyFill="1" applyBorder="1" applyAlignment="1">
      <alignment horizontal="center" vertical="center" wrapText="1"/>
    </xf>
    <xf numFmtId="49" fontId="7" fillId="8" borderId="79" xfId="8" applyNumberFormat="1" applyFont="1" applyFill="1" applyBorder="1" applyAlignment="1">
      <alignment horizontal="center" vertical="center" wrapText="1"/>
    </xf>
    <xf numFmtId="49" fontId="7" fillId="8" borderId="67" xfId="8" applyNumberFormat="1" applyFont="1" applyFill="1" applyBorder="1" applyAlignment="1">
      <alignment horizontal="center" vertical="center" wrapText="1"/>
    </xf>
    <xf numFmtId="49" fontId="7" fillId="8" borderId="46" xfId="8" applyNumberFormat="1" applyFont="1" applyFill="1" applyBorder="1" applyAlignment="1">
      <alignment horizontal="center" vertical="center"/>
    </xf>
    <xf numFmtId="49" fontId="7" fillId="8" borderId="107" xfId="8" applyNumberFormat="1" applyFont="1" applyFill="1" applyBorder="1" applyAlignment="1">
      <alignment horizontal="center" vertical="center"/>
    </xf>
    <xf numFmtId="49" fontId="7" fillId="8" borderId="108" xfId="8" applyNumberFormat="1" applyFont="1" applyFill="1" applyBorder="1" applyAlignment="1">
      <alignment horizontal="center" vertical="center"/>
    </xf>
    <xf numFmtId="49" fontId="7" fillId="8" borderId="74" xfId="8" applyNumberFormat="1" applyFont="1" applyFill="1" applyBorder="1" applyAlignment="1">
      <alignment horizontal="center" vertical="center"/>
    </xf>
    <xf numFmtId="0" fontId="7" fillId="8" borderId="74" xfId="8" applyFont="1" applyFill="1" applyBorder="1" applyAlignment="1">
      <alignment horizontal="center" vertical="center" wrapText="1"/>
    </xf>
    <xf numFmtId="0" fontId="7" fillId="8" borderId="107" xfId="8" applyFont="1" applyFill="1" applyBorder="1" applyAlignment="1">
      <alignment horizontal="center" vertical="center" wrapText="1"/>
    </xf>
    <xf numFmtId="0" fontId="2" fillId="8" borderId="108" xfId="8" applyNumberFormat="1" applyFont="1" applyFill="1" applyBorder="1" applyAlignment="1">
      <alignment horizontal="center" vertical="center" wrapText="1"/>
    </xf>
    <xf numFmtId="0" fontId="7" fillId="8" borderId="108" xfId="8" applyFont="1" applyFill="1" applyBorder="1" applyAlignment="1">
      <alignment horizontal="center" vertical="center" wrapText="1"/>
    </xf>
    <xf numFmtId="49" fontId="7" fillId="8" borderId="79" xfId="8" applyNumberFormat="1" applyFont="1" applyFill="1" applyBorder="1" applyAlignment="1">
      <alignment horizontal="center" vertical="center"/>
    </xf>
    <xf numFmtId="49" fontId="7" fillId="8" borderId="74" xfId="8" applyNumberFormat="1" applyFont="1" applyFill="1" applyBorder="1" applyAlignment="1">
      <alignment horizontal="center"/>
    </xf>
    <xf numFmtId="49" fontId="7" fillId="8" borderId="107" xfId="8" applyNumberFormat="1" applyFont="1" applyFill="1" applyBorder="1" applyAlignment="1">
      <alignment horizontal="center"/>
    </xf>
    <xf numFmtId="49" fontId="7" fillId="8" borderId="108" xfId="8" applyNumberFormat="1" applyFont="1" applyFill="1" applyBorder="1" applyAlignment="1">
      <alignment horizontal="center"/>
    </xf>
    <xf numFmtId="49" fontId="7" fillId="3" borderId="0" xfId="8" applyNumberFormat="1" applyFont="1" applyFill="1" applyAlignment="1">
      <alignment horizontal="left" wrapText="1"/>
    </xf>
    <xf numFmtId="49" fontId="7" fillId="8" borderId="29" xfId="8" applyNumberFormat="1" applyFont="1" applyFill="1" applyBorder="1" applyAlignment="1">
      <alignment horizontal="center" vertical="center"/>
    </xf>
    <xf numFmtId="49" fontId="7" fillId="8" borderId="45" xfId="8" applyNumberFormat="1" applyFont="1" applyFill="1" applyBorder="1" applyAlignment="1">
      <alignment horizontal="center" vertical="center"/>
    </xf>
    <xf numFmtId="49" fontId="7" fillId="8" borderId="99" xfId="8" applyNumberFormat="1" applyFont="1" applyFill="1" applyBorder="1" applyAlignment="1">
      <alignment horizontal="center" vertical="center" wrapText="1"/>
    </xf>
    <xf numFmtId="49" fontId="7" fillId="8" borderId="95" xfId="8" applyNumberFormat="1" applyFont="1" applyFill="1" applyBorder="1" applyAlignment="1">
      <alignment horizontal="center" vertical="center" wrapText="1"/>
    </xf>
    <xf numFmtId="49" fontId="7" fillId="8" borderId="25" xfId="8" applyNumberFormat="1" applyFont="1" applyFill="1" applyBorder="1" applyAlignment="1">
      <alignment horizontal="center" vertical="center" wrapText="1"/>
    </xf>
    <xf numFmtId="49" fontId="7" fillId="8" borderId="26" xfId="8" applyNumberFormat="1" applyFont="1" applyFill="1" applyBorder="1" applyAlignment="1">
      <alignment horizontal="center" vertical="center" wrapText="1"/>
    </xf>
    <xf numFmtId="49" fontId="7" fillId="3" borderId="0" xfId="8" applyNumberFormat="1" applyFont="1" applyFill="1" applyAlignment="1">
      <alignment horizontal="left" vertical="top"/>
    </xf>
    <xf numFmtId="49" fontId="7" fillId="8" borderId="67" xfId="8" applyNumberFormat="1" applyFont="1" applyFill="1" applyBorder="1" applyAlignment="1">
      <alignment horizontal="center" vertical="center"/>
    </xf>
    <xf numFmtId="49" fontId="7" fillId="8" borderId="99" xfId="8" applyNumberFormat="1" applyFont="1" applyFill="1" applyBorder="1" applyAlignment="1">
      <alignment horizontal="center" vertical="center"/>
    </xf>
    <xf numFmtId="49" fontId="7" fillId="8" borderId="95" xfId="8" applyNumberFormat="1" applyFont="1" applyFill="1" applyBorder="1" applyAlignment="1">
      <alignment horizontal="center" vertical="center"/>
    </xf>
    <xf numFmtId="49" fontId="86" fillId="3" borderId="0" xfId="8" applyNumberFormat="1" applyFont="1" applyFill="1" applyAlignment="1">
      <alignment horizontal="left" wrapText="1"/>
    </xf>
    <xf numFmtId="0" fontId="2" fillId="8" borderId="19" xfId="8" applyNumberFormat="1" applyFont="1" applyFill="1" applyBorder="1" applyAlignment="1">
      <alignment horizontal="center" vertical="center" wrapText="1"/>
    </xf>
    <xf numFmtId="49" fontId="7" fillId="8" borderId="0" xfId="8" applyNumberFormat="1" applyFont="1" applyFill="1" applyAlignment="1">
      <alignment horizontal="center" vertical="center" wrapText="1"/>
    </xf>
    <xf numFmtId="49" fontId="7" fillId="8" borderId="98" xfId="8" applyNumberFormat="1" applyFont="1" applyFill="1" applyBorder="1" applyAlignment="1">
      <alignment horizontal="center" vertical="center"/>
    </xf>
    <xf numFmtId="0" fontId="7" fillId="8" borderId="98" xfId="8" applyFont="1" applyFill="1" applyBorder="1" applyAlignment="1">
      <alignment horizontal="center" vertical="center" wrapText="1"/>
    </xf>
    <xf numFmtId="0" fontId="7" fillId="8" borderId="95" xfId="8" applyFont="1" applyFill="1" applyBorder="1" applyAlignment="1">
      <alignment horizontal="center" vertical="center" wrapText="1"/>
    </xf>
    <xf numFmtId="0" fontId="7" fillId="8" borderId="74" xfId="8" applyFont="1" applyFill="1" applyBorder="1" applyAlignment="1">
      <alignment horizontal="center" wrapText="1"/>
    </xf>
    <xf numFmtId="0" fontId="7" fillId="8" borderId="107" xfId="8" applyFont="1" applyFill="1" applyBorder="1" applyAlignment="1">
      <alignment horizontal="center" wrapText="1"/>
    </xf>
    <xf numFmtId="0" fontId="7" fillId="8" borderId="108" xfId="8" applyFont="1" applyFill="1" applyBorder="1" applyAlignment="1">
      <alignment horizontal="center" wrapText="1"/>
    </xf>
    <xf numFmtId="49" fontId="7" fillId="8" borderId="99" xfId="8" applyNumberFormat="1" applyFont="1" applyFill="1" applyBorder="1" applyAlignment="1">
      <alignment horizontal="center"/>
    </xf>
    <xf numFmtId="49" fontId="7" fillId="8" borderId="98" xfId="8" applyNumberFormat="1" applyFont="1" applyFill="1" applyBorder="1" applyAlignment="1">
      <alignment horizontal="center"/>
    </xf>
    <xf numFmtId="49" fontId="7" fillId="8" borderId="95" xfId="8" applyNumberFormat="1" applyFont="1" applyFill="1" applyBorder="1" applyAlignment="1">
      <alignment horizontal="center"/>
    </xf>
    <xf numFmtId="0" fontId="2" fillId="8" borderId="98" xfId="8" applyNumberFormat="1" applyFont="1" applyFill="1" applyBorder="1" applyAlignment="1">
      <alignment horizontal="center" vertical="center"/>
    </xf>
    <xf numFmtId="0" fontId="2" fillId="8" borderId="95" xfId="8" applyNumberFormat="1" applyFont="1" applyFill="1" applyBorder="1" applyAlignment="1">
      <alignment horizontal="center" vertical="center"/>
    </xf>
    <xf numFmtId="0" fontId="2" fillId="8" borderId="107" xfId="8" applyNumberFormat="1" applyFont="1" applyFill="1" applyBorder="1" applyAlignment="1">
      <alignment horizontal="center" vertical="center"/>
    </xf>
    <xf numFmtId="0" fontId="2" fillId="8" borderId="108" xfId="8" applyNumberFormat="1" applyFont="1" applyFill="1" applyBorder="1" applyAlignment="1">
      <alignment horizontal="center" vertical="center"/>
    </xf>
    <xf numFmtId="49" fontId="8" fillId="3" borderId="0" xfId="8" applyNumberFormat="1" applyFont="1" applyFill="1" applyBorder="1" applyAlignment="1">
      <alignment horizontal="left" wrapText="1"/>
    </xf>
    <xf numFmtId="49" fontId="7" fillId="3" borderId="50" xfId="0" applyNumberFormat="1" applyFont="1" applyFill="1" applyBorder="1" applyAlignment="1">
      <alignment horizontal="left" vertical="top" wrapText="1"/>
    </xf>
    <xf numFmtId="49" fontId="23" fillId="0" borderId="0" xfId="0" applyNumberFormat="1" applyFont="1" applyFill="1" applyAlignment="1">
      <alignment horizontal="left" wrapText="1"/>
    </xf>
    <xf numFmtId="0" fontId="23" fillId="3" borderId="0" xfId="0" applyFont="1" applyFill="1" applyAlignment="1">
      <alignment horizontal="left" wrapText="1"/>
    </xf>
    <xf numFmtId="49" fontId="23" fillId="3" borderId="0" xfId="0" applyNumberFormat="1" applyFont="1" applyFill="1" applyAlignment="1">
      <alignment horizontal="left" wrapText="1"/>
    </xf>
    <xf numFmtId="49" fontId="65" fillId="3" borderId="0" xfId="0" applyNumberFormat="1" applyFont="1" applyFill="1" applyAlignment="1">
      <alignment horizontal="left" wrapText="1"/>
    </xf>
    <xf numFmtId="49" fontId="7" fillId="8" borderId="74" xfId="0" applyNumberFormat="1" applyFont="1" applyFill="1" applyBorder="1" applyAlignment="1">
      <alignment horizontal="center" vertical="center" wrapText="1"/>
    </xf>
    <xf numFmtId="49" fontId="7" fillId="8" borderId="108" xfId="0" applyNumberFormat="1" applyFont="1" applyFill="1" applyBorder="1" applyAlignment="1">
      <alignment horizontal="center" vertical="center"/>
    </xf>
    <xf numFmtId="49" fontId="7" fillId="3" borderId="0" xfId="0" applyNumberFormat="1" applyFont="1" applyFill="1" applyAlignment="1">
      <alignment horizontal="left" vertical="top" wrapText="1"/>
    </xf>
    <xf numFmtId="49" fontId="7" fillId="3" borderId="0" xfId="0" applyNumberFormat="1" applyFont="1" applyFill="1" applyAlignment="1">
      <alignment horizontal="left" vertical="top"/>
    </xf>
    <xf numFmtId="49" fontId="7" fillId="8" borderId="28" xfId="0" applyNumberFormat="1" applyFont="1" applyFill="1" applyBorder="1" applyAlignment="1">
      <alignment horizontal="center" vertical="center" wrapText="1"/>
    </xf>
    <xf numFmtId="49" fontId="7" fillId="8" borderId="28" xfId="0" applyNumberFormat="1" applyFont="1" applyFill="1" applyBorder="1" applyAlignment="1">
      <alignment horizontal="center" vertical="center"/>
    </xf>
    <xf numFmtId="0" fontId="7" fillId="8" borderId="28" xfId="0" applyFont="1" applyFill="1" applyBorder="1" applyAlignment="1">
      <alignment horizontal="center" vertical="center" wrapText="1"/>
    </xf>
    <xf numFmtId="0" fontId="7" fillId="8" borderId="107" xfId="0" applyFont="1" applyFill="1" applyBorder="1" applyAlignment="1">
      <alignment horizontal="center" vertical="center" wrapText="1"/>
    </xf>
    <xf numFmtId="0" fontId="7" fillId="8" borderId="108" xfId="0" applyFont="1" applyFill="1" applyBorder="1" applyAlignment="1">
      <alignment horizontal="center" vertical="center" wrapText="1"/>
    </xf>
    <xf numFmtId="0" fontId="7" fillId="8" borderId="74" xfId="0" applyFont="1" applyFill="1" applyBorder="1" applyAlignment="1">
      <alignment horizontal="center" vertical="center" wrapText="1"/>
    </xf>
    <xf numFmtId="49" fontId="23" fillId="3" borderId="0" xfId="0" applyNumberFormat="1" applyFont="1" applyFill="1" applyBorder="1" applyAlignment="1">
      <alignment horizontal="left" wrapText="1"/>
    </xf>
    <xf numFmtId="0" fontId="12" fillId="3" borderId="73" xfId="0" applyFont="1" applyFill="1" applyBorder="1" applyAlignment="1">
      <alignment horizontal="left" vertical="center" wrapText="1"/>
    </xf>
    <xf numFmtId="0" fontId="12" fillId="3" borderId="24" xfId="0" applyFont="1" applyFill="1" applyBorder="1" applyAlignment="1">
      <alignment horizontal="left" vertical="center" wrapText="1"/>
    </xf>
    <xf numFmtId="0" fontId="12" fillId="8" borderId="110" xfId="0" applyFont="1" applyFill="1" applyBorder="1" applyAlignment="1">
      <alignment horizontal="center" vertical="center" wrapText="1"/>
    </xf>
    <xf numFmtId="0" fontId="11" fillId="8" borderId="110" xfId="0" applyNumberFormat="1" applyFont="1" applyFill="1" applyBorder="1" applyAlignment="1"/>
    <xf numFmtId="0" fontId="12" fillId="8" borderId="110" xfId="0" applyNumberFormat="1" applyFont="1" applyFill="1" applyBorder="1" applyAlignment="1">
      <alignment horizontal="center"/>
    </xf>
    <xf numFmtId="49" fontId="8" fillId="3" borderId="0" xfId="0" applyNumberFormat="1" applyFont="1" applyFill="1" applyBorder="1" applyAlignment="1">
      <alignment horizontal="left" wrapText="1"/>
    </xf>
    <xf numFmtId="49" fontId="7" fillId="3" borderId="0" xfId="0" applyNumberFormat="1" applyFont="1" applyFill="1" applyAlignment="1">
      <alignment horizontal="left" wrapText="1"/>
    </xf>
    <xf numFmtId="49" fontId="7" fillId="3" borderId="110" xfId="0" applyNumberFormat="1" applyFont="1" applyFill="1" applyBorder="1" applyAlignment="1">
      <alignment horizontal="left" wrapText="1"/>
    </xf>
    <xf numFmtId="49" fontId="7" fillId="8" borderId="110" xfId="0" applyNumberFormat="1" applyFont="1" applyFill="1" applyBorder="1" applyAlignment="1">
      <alignment horizontal="left" vertical="center" wrapText="1"/>
    </xf>
    <xf numFmtId="49" fontId="7" fillId="8" borderId="110" xfId="0" applyNumberFormat="1" applyFont="1" applyFill="1" applyBorder="1" applyAlignment="1">
      <alignment horizontal="left" vertical="center"/>
    </xf>
    <xf numFmtId="49" fontId="7" fillId="8" borderId="110" xfId="0" applyNumberFormat="1" applyFont="1" applyFill="1" applyBorder="1" applyAlignment="1">
      <alignment horizontal="center" vertical="center" wrapText="1"/>
    </xf>
    <xf numFmtId="49" fontId="7" fillId="8" borderId="110" xfId="0" applyNumberFormat="1" applyFont="1" applyFill="1" applyBorder="1" applyAlignment="1">
      <alignment horizontal="center" vertical="center"/>
    </xf>
    <xf numFmtId="0" fontId="7" fillId="8" borderId="110" xfId="0" applyFont="1" applyFill="1" applyBorder="1" applyAlignment="1">
      <alignment horizontal="center" vertical="center" wrapText="1"/>
    </xf>
    <xf numFmtId="0" fontId="21" fillId="3" borderId="0" xfId="31" applyFont="1" applyFill="1" applyBorder="1" applyAlignment="1">
      <alignment vertical="center" wrapText="1"/>
    </xf>
    <xf numFmtId="0" fontId="21" fillId="0" borderId="0" xfId="8" applyFont="1" applyFill="1" applyAlignment="1">
      <alignment vertical="center" wrapText="1"/>
    </xf>
    <xf numFmtId="0" fontId="21" fillId="3" borderId="0" xfId="8" applyFont="1" applyFill="1" applyAlignment="1">
      <alignment vertical="center" wrapText="1"/>
    </xf>
    <xf numFmtId="0" fontId="21" fillId="3" borderId="0" xfId="8" applyFont="1" applyFill="1" applyAlignment="1">
      <alignment vertical="center"/>
    </xf>
    <xf numFmtId="49" fontId="12" fillId="3" borderId="0" xfId="8" applyNumberFormat="1" applyFont="1" applyFill="1" applyBorder="1" applyAlignment="1">
      <alignment vertical="center" wrapText="1"/>
    </xf>
    <xf numFmtId="0" fontId="12" fillId="8" borderId="112" xfId="31" applyFont="1" applyFill="1" applyBorder="1" applyAlignment="1">
      <alignment horizontal="center" vertical="center" wrapText="1"/>
    </xf>
    <xf numFmtId="0" fontId="12" fillId="8" borderId="119" xfId="31" applyFont="1" applyFill="1" applyBorder="1" applyAlignment="1">
      <alignment horizontal="center" vertical="center"/>
    </xf>
    <xf numFmtId="0" fontId="12" fillId="8" borderId="113" xfId="31" applyFont="1" applyFill="1" applyBorder="1" applyAlignment="1">
      <alignment horizontal="center" vertical="center" wrapText="1"/>
    </xf>
    <xf numFmtId="0" fontId="12" fillId="8" borderId="120" xfId="31" applyFont="1" applyFill="1" applyBorder="1" applyAlignment="1">
      <alignment horizontal="center" vertical="center" wrapText="1"/>
    </xf>
    <xf numFmtId="168" fontId="12" fillId="8" borderId="114" xfId="1" applyNumberFormat="1" applyFont="1" applyFill="1" applyBorder="1" applyAlignment="1">
      <alignment horizontal="center" vertical="center"/>
    </xf>
    <xf numFmtId="168" fontId="12" fillId="8" borderId="115" xfId="1" applyNumberFormat="1" applyFont="1" applyFill="1" applyBorder="1" applyAlignment="1">
      <alignment horizontal="center" vertical="center"/>
    </xf>
    <xf numFmtId="168" fontId="12" fillId="8" borderId="116" xfId="1" applyNumberFormat="1" applyFont="1" applyFill="1" applyBorder="1" applyAlignment="1">
      <alignment horizontal="center" vertical="center"/>
    </xf>
    <xf numFmtId="168" fontId="12" fillId="8" borderId="117" xfId="1" applyNumberFormat="1" applyFont="1" applyFill="1" applyBorder="1" applyAlignment="1">
      <alignment horizontal="center" vertical="center"/>
    </xf>
    <xf numFmtId="168" fontId="12" fillId="8" borderId="118" xfId="1" applyNumberFormat="1" applyFont="1" applyFill="1" applyBorder="1" applyAlignment="1">
      <alignment horizontal="center" vertical="center"/>
    </xf>
    <xf numFmtId="0" fontId="22" fillId="3" borderId="0" xfId="0" applyNumberFormat="1" applyFont="1" applyFill="1" applyBorder="1" applyAlignment="1">
      <alignment horizontal="left" wrapText="1"/>
    </xf>
    <xf numFmtId="49" fontId="15" fillId="3" borderId="129" xfId="0" applyNumberFormat="1" applyFont="1" applyFill="1" applyBorder="1" applyAlignment="1">
      <alignment horizontal="left" vertical="center" wrapText="1"/>
    </xf>
    <xf numFmtId="49" fontId="15" fillId="3" borderId="133" xfId="0" applyNumberFormat="1" applyFont="1" applyFill="1" applyBorder="1" applyAlignment="1">
      <alignment horizontal="left" vertical="center" wrapText="1"/>
    </xf>
    <xf numFmtId="49" fontId="15" fillId="3" borderId="134" xfId="0" applyNumberFormat="1" applyFont="1" applyFill="1" applyBorder="1" applyAlignment="1">
      <alignment horizontal="left" vertical="center" wrapText="1"/>
    </xf>
    <xf numFmtId="49" fontId="15" fillId="8" borderId="110" xfId="0" applyNumberFormat="1" applyFont="1" applyFill="1" applyBorder="1" applyAlignment="1">
      <alignment horizontal="center" vertical="center" wrapText="1"/>
    </xf>
    <xf numFmtId="49" fontId="15" fillId="8" borderId="110" xfId="0" applyNumberFormat="1" applyFont="1" applyFill="1" applyBorder="1" applyAlignment="1">
      <alignment horizontal="center" vertical="center"/>
    </xf>
    <xf numFmtId="0" fontId="17" fillId="8" borderId="136" xfId="0" applyFont="1" applyFill="1" applyBorder="1" applyAlignment="1">
      <alignment horizontal="center" vertical="center"/>
    </xf>
    <xf numFmtId="0" fontId="87" fillId="8" borderId="137" xfId="0" applyFont="1" applyFill="1" applyBorder="1" applyAlignment="1">
      <alignment horizontal="center" vertical="center"/>
    </xf>
    <xf numFmtId="0" fontId="87" fillId="8" borderId="138" xfId="0" applyFont="1" applyFill="1" applyBorder="1" applyAlignment="1">
      <alignment horizontal="center" vertical="center"/>
    </xf>
    <xf numFmtId="49" fontId="17" fillId="8" borderId="136" xfId="0" applyNumberFormat="1" applyFont="1" applyFill="1" applyBorder="1" applyAlignment="1">
      <alignment horizontal="center" vertical="center"/>
    </xf>
    <xf numFmtId="0" fontId="87" fillId="8" borderId="139" xfId="0" applyFont="1" applyFill="1" applyBorder="1" applyAlignment="1">
      <alignment horizontal="center" vertical="center"/>
    </xf>
    <xf numFmtId="43" fontId="7" fillId="3" borderId="66" xfId="1" applyFont="1" applyFill="1" applyBorder="1" applyAlignment="1">
      <alignment horizontal="center"/>
    </xf>
    <xf numFmtId="43" fontId="7" fillId="3" borderId="0" xfId="1" applyFont="1" applyFill="1" applyBorder="1" applyAlignment="1">
      <alignment horizontal="center"/>
    </xf>
    <xf numFmtId="43" fontId="7" fillId="3" borderId="16" xfId="1" applyFont="1" applyFill="1" applyBorder="1" applyAlignment="1">
      <alignment horizontal="center"/>
    </xf>
    <xf numFmtId="49" fontId="8" fillId="3" borderId="0" xfId="8" applyNumberFormat="1" applyFont="1" applyFill="1" applyAlignment="1">
      <alignment horizontal="left" wrapText="1"/>
    </xf>
    <xf numFmtId="49" fontId="7" fillId="8" borderId="146" xfId="8" applyNumberFormat="1" applyFont="1" applyFill="1" applyBorder="1" applyAlignment="1">
      <alignment horizontal="center" vertical="center"/>
    </xf>
    <xf numFmtId="49" fontId="7" fillId="8" borderId="147" xfId="8" applyNumberFormat="1" applyFont="1" applyFill="1" applyBorder="1" applyAlignment="1">
      <alignment horizontal="center" vertical="center"/>
    </xf>
    <xf numFmtId="49" fontId="7" fillId="8" borderId="148" xfId="8" applyNumberFormat="1" applyFont="1" applyFill="1" applyBorder="1" applyAlignment="1">
      <alignment horizontal="center" vertical="center"/>
    </xf>
    <xf numFmtId="49" fontId="7" fillId="8" borderId="149" xfId="8" applyNumberFormat="1" applyFont="1" applyFill="1" applyBorder="1" applyAlignment="1">
      <alignment horizontal="center" vertical="center"/>
    </xf>
    <xf numFmtId="0" fontId="8" fillId="3" borderId="0" xfId="8" applyFont="1" applyFill="1" applyBorder="1" applyAlignment="1">
      <alignment horizontal="left" vertical="top" wrapText="1"/>
    </xf>
    <xf numFmtId="49" fontId="7" fillId="8" borderId="151" xfId="8" applyNumberFormat="1" applyFont="1" applyFill="1" applyBorder="1" applyAlignment="1">
      <alignment horizontal="center" vertical="center"/>
    </xf>
    <xf numFmtId="0" fontId="8" fillId="3" borderId="0" xfId="8" applyFont="1" applyFill="1" applyBorder="1" applyAlignment="1">
      <alignment horizontal="left" wrapText="1"/>
    </xf>
    <xf numFmtId="0" fontId="2" fillId="3" borderId="0" xfId="8" applyNumberFormat="1" applyFont="1" applyFill="1" applyBorder="1" applyAlignment="1"/>
    <xf numFmtId="49" fontId="8" fillId="3" borderId="0" xfId="8" applyNumberFormat="1" applyFont="1" applyFill="1" applyAlignment="1">
      <alignment horizontal="left" vertical="center" wrapText="1"/>
    </xf>
    <xf numFmtId="191" fontId="22" fillId="3" borderId="0" xfId="61" applyFont="1" applyFill="1" applyAlignment="1">
      <alignment horizontal="left" vertical="top"/>
    </xf>
    <xf numFmtId="0" fontId="30" fillId="3" borderId="66" xfId="61" applyNumberFormat="1" applyFont="1" applyFill="1" applyBorder="1" applyAlignment="1">
      <alignment horizontal="left"/>
    </xf>
    <xf numFmtId="0" fontId="30" fillId="3" borderId="0" xfId="61" applyNumberFormat="1" applyFont="1" applyFill="1" applyAlignment="1">
      <alignment horizontal="left"/>
    </xf>
    <xf numFmtId="0" fontId="13" fillId="0" borderId="24" xfId="61" applyNumberFormat="1" applyFont="1" applyFill="1" applyBorder="1" applyAlignment="1">
      <alignment horizontal="left" vertical="top" wrapText="1"/>
    </xf>
    <xf numFmtId="0" fontId="13" fillId="0" borderId="24" xfId="61" applyNumberFormat="1" applyFont="1" applyFill="1" applyBorder="1" applyAlignment="1">
      <alignment horizontal="left" vertical="top"/>
    </xf>
    <xf numFmtId="0" fontId="15" fillId="8" borderId="28" xfId="61" applyNumberFormat="1" applyFont="1" applyFill="1" applyBorder="1" applyAlignment="1">
      <alignment horizontal="center" vertical="center"/>
    </xf>
    <xf numFmtId="0" fontId="13" fillId="8" borderId="28" xfId="61" applyNumberFormat="1" applyFont="1" applyFill="1" applyBorder="1" applyAlignment="1">
      <alignment horizontal="center" vertical="center"/>
    </xf>
    <xf numFmtId="191" fontId="22" fillId="3" borderId="153" xfId="61" applyFont="1" applyFill="1" applyBorder="1" applyAlignment="1">
      <alignment horizontal="left"/>
    </xf>
    <xf numFmtId="0" fontId="15" fillId="0" borderId="152" xfId="61" applyNumberFormat="1" applyFont="1" applyFill="1" applyBorder="1" applyAlignment="1">
      <alignment horizontal="center" vertical="center"/>
    </xf>
    <xf numFmtId="0" fontId="15" fillId="0" borderId="8" xfId="61" applyNumberFormat="1" applyFont="1" applyFill="1" applyBorder="1" applyAlignment="1">
      <alignment horizontal="center" vertical="center"/>
    </xf>
    <xf numFmtId="0" fontId="15" fillId="0" borderId="103" xfId="61" applyNumberFormat="1" applyFont="1" applyFill="1" applyBorder="1" applyAlignment="1">
      <alignment horizontal="center" vertical="center"/>
    </xf>
    <xf numFmtId="0" fontId="13" fillId="3" borderId="0" xfId="52" applyNumberFormat="1" applyFont="1" applyFill="1" applyAlignment="1">
      <alignment horizontal="left" vertical="top"/>
    </xf>
    <xf numFmtId="49" fontId="7" fillId="8" borderId="146" xfId="20" applyNumberFormat="1" applyFont="1" applyFill="1" applyBorder="1" applyAlignment="1">
      <alignment horizontal="center" vertical="center" wrapText="1"/>
    </xf>
    <xf numFmtId="49" fontId="7" fillId="8" borderId="19" xfId="20" applyNumberFormat="1" applyFont="1" applyFill="1" applyBorder="1" applyAlignment="1">
      <alignment horizontal="center" vertical="center" wrapText="1"/>
    </xf>
    <xf numFmtId="0" fontId="15" fillId="8" borderId="154" xfId="52" applyNumberFormat="1" applyFont="1" applyFill="1" applyBorder="1" applyAlignment="1">
      <alignment horizontal="center" vertical="top"/>
    </xf>
    <xf numFmtId="0" fontId="15" fillId="8" borderId="155" xfId="52" applyNumberFormat="1" applyFont="1" applyFill="1" applyBorder="1" applyAlignment="1">
      <alignment horizontal="center" vertical="top"/>
    </xf>
    <xf numFmtId="0" fontId="15" fillId="8" borderId="156" xfId="52" applyNumberFormat="1" applyFont="1" applyFill="1" applyBorder="1" applyAlignment="1">
      <alignment horizontal="center" vertical="top"/>
    </xf>
    <xf numFmtId="0" fontId="15" fillId="3" borderId="24" xfId="55" applyNumberFormat="1" applyFont="1" applyFill="1" applyBorder="1" applyAlignment="1">
      <alignment horizontal="center"/>
    </xf>
    <xf numFmtId="0" fontId="12" fillId="8" borderId="6" xfId="24" applyFont="1" applyFill="1" applyBorder="1" applyAlignment="1">
      <alignment horizontal="center" vertical="center" wrapText="1"/>
    </xf>
    <xf numFmtId="0" fontId="12" fillId="8" borderId="8" xfId="24" applyFont="1" applyFill="1" applyBorder="1" applyAlignment="1">
      <alignment horizontal="center" vertical="center" wrapText="1"/>
    </xf>
    <xf numFmtId="0" fontId="12" fillId="8" borderId="103" xfId="24" applyFont="1" applyFill="1" applyBorder="1" applyAlignment="1">
      <alignment horizontal="center" vertical="center" wrapText="1"/>
    </xf>
    <xf numFmtId="0" fontId="13" fillId="3" borderId="24" xfId="51" applyNumberFormat="1" applyFont="1" applyFill="1" applyBorder="1" applyAlignment="1">
      <alignment horizontal="left" vertical="top" wrapText="1"/>
    </xf>
    <xf numFmtId="0" fontId="13" fillId="3" borderId="24" xfId="51" applyNumberFormat="1" applyFont="1" applyFill="1" applyBorder="1" applyAlignment="1">
      <alignment horizontal="left" vertical="top"/>
    </xf>
    <xf numFmtId="0" fontId="13" fillId="3" borderId="28" xfId="55" applyNumberFormat="1" applyFont="1" applyFill="1" applyBorder="1" applyAlignment="1">
      <alignment horizontal="center" vertical="center"/>
    </xf>
    <xf numFmtId="49" fontId="7" fillId="8" borderId="67" xfId="20" applyNumberFormat="1" applyFont="1" applyFill="1" applyBorder="1" applyAlignment="1">
      <alignment horizontal="center" vertical="center" wrapText="1"/>
    </xf>
    <xf numFmtId="49" fontId="7" fillId="8" borderId="19" xfId="20" applyNumberFormat="1" applyFont="1" applyFill="1" applyBorder="1" applyAlignment="1">
      <alignment horizontal="center" vertical="center"/>
    </xf>
    <xf numFmtId="0" fontId="15" fillId="8" borderId="8" xfId="55" applyNumberFormat="1" applyFont="1" applyFill="1" applyBorder="1" applyAlignment="1">
      <alignment horizontal="center" vertical="center" wrapText="1"/>
    </xf>
    <xf numFmtId="0" fontId="15" fillId="8" borderId="103" xfId="55" applyNumberFormat="1" applyFont="1" applyFill="1" applyBorder="1" applyAlignment="1">
      <alignment horizontal="center" vertical="center" wrapText="1"/>
    </xf>
    <xf numFmtId="0" fontId="15" fillId="8" borderId="73" xfId="55" applyNumberFormat="1" applyFont="1" applyFill="1" applyBorder="1" applyAlignment="1">
      <alignment horizontal="center" vertical="center" wrapText="1"/>
    </xf>
    <xf numFmtId="0" fontId="15" fillId="8" borderId="27" xfId="55" applyNumberFormat="1" applyFont="1" applyFill="1" applyBorder="1" applyAlignment="1">
      <alignment horizontal="center" vertical="center" wrapText="1"/>
    </xf>
    <xf numFmtId="191" fontId="12" fillId="8" borderId="154" xfId="55" applyFont="1" applyFill="1" applyBorder="1" applyAlignment="1">
      <alignment horizontal="center" vertical="center" wrapText="1"/>
    </xf>
    <xf numFmtId="191" fontId="12" fillId="8" borderId="155" xfId="55" applyFont="1" applyFill="1" applyBorder="1" applyAlignment="1">
      <alignment horizontal="center" vertical="center" wrapText="1"/>
    </xf>
    <xf numFmtId="191" fontId="12" fillId="8" borderId="156" xfId="55" applyFont="1" applyFill="1" applyBorder="1" applyAlignment="1">
      <alignment horizontal="center" vertical="center" wrapText="1"/>
    </xf>
    <xf numFmtId="191" fontId="12" fillId="8" borderId="28" xfId="55" applyFont="1" applyFill="1" applyBorder="1" applyAlignment="1">
      <alignment horizontal="center" vertical="center" wrapText="1"/>
    </xf>
    <xf numFmtId="0" fontId="15" fillId="8" borderId="28" xfId="55" applyNumberFormat="1" applyFont="1" applyFill="1" applyBorder="1" applyAlignment="1">
      <alignment horizontal="center" vertical="center" wrapText="1"/>
    </xf>
    <xf numFmtId="0" fontId="12" fillId="8" borderId="154" xfId="24" applyFont="1" applyFill="1" applyBorder="1" applyAlignment="1">
      <alignment horizontal="center" vertical="center"/>
    </xf>
    <xf numFmtId="0" fontId="12" fillId="8" borderId="156" xfId="24" applyFont="1" applyFill="1" applyBorder="1" applyAlignment="1">
      <alignment horizontal="center" vertical="center"/>
    </xf>
    <xf numFmtId="0" fontId="15" fillId="8" borderId="6" xfId="55" applyNumberFormat="1" applyFont="1" applyFill="1" applyBorder="1" applyAlignment="1">
      <alignment horizontal="center" vertical="center" wrapText="1"/>
    </xf>
    <xf numFmtId="0" fontId="12" fillId="8" borderId="154" xfId="24" applyFont="1" applyFill="1" applyBorder="1" applyAlignment="1">
      <alignment horizontal="center" vertical="center" wrapText="1"/>
    </xf>
    <xf numFmtId="0" fontId="12" fillId="8" borderId="156" xfId="24" applyFont="1" applyFill="1" applyBorder="1" applyAlignment="1">
      <alignment horizontal="center" vertical="center" wrapText="1"/>
    </xf>
    <xf numFmtId="0" fontId="15" fillId="8" borderId="154" xfId="51" applyNumberFormat="1" applyFont="1" applyFill="1" applyBorder="1" applyAlignment="1">
      <alignment horizontal="center" vertical="center" wrapText="1"/>
    </xf>
    <xf numFmtId="0" fontId="15" fillId="8" borderId="156" xfId="51" applyNumberFormat="1" applyFont="1" applyFill="1" applyBorder="1" applyAlignment="1">
      <alignment horizontal="center" vertical="center" wrapText="1"/>
    </xf>
    <xf numFmtId="0" fontId="15" fillId="8" borderId="154" xfId="51" applyNumberFormat="1" applyFont="1" applyFill="1" applyBorder="1" applyAlignment="1">
      <alignment horizontal="center"/>
    </xf>
    <xf numFmtId="0" fontId="15" fillId="8" borderId="155" xfId="51" applyNumberFormat="1" applyFont="1" applyFill="1" applyBorder="1" applyAlignment="1">
      <alignment horizontal="center"/>
    </xf>
    <xf numFmtId="0" fontId="15" fillId="8" borderId="156" xfId="51" applyNumberFormat="1" applyFont="1" applyFill="1" applyBorder="1" applyAlignment="1">
      <alignment horizontal="center"/>
    </xf>
    <xf numFmtId="0" fontId="13" fillId="8" borderId="28" xfId="56" applyNumberFormat="1" applyFont="1" applyFill="1" applyBorder="1" applyAlignment="1">
      <alignment horizontal="center" vertical="center"/>
    </xf>
    <xf numFmtId="3" fontId="12" fillId="8" borderId="6" xfId="23" applyNumberFormat="1" applyFont="1" applyFill="1" applyBorder="1" applyAlignment="1">
      <alignment horizontal="center" vertical="center" wrapText="1"/>
    </xf>
    <xf numFmtId="3" fontId="12" fillId="8" borderId="103" xfId="23" applyNumberFormat="1" applyFont="1" applyFill="1" applyBorder="1" applyAlignment="1">
      <alignment horizontal="center" vertical="center" wrapText="1"/>
    </xf>
    <xf numFmtId="0" fontId="15" fillId="8" borderId="6" xfId="56" applyNumberFormat="1" applyFont="1" applyFill="1" applyBorder="1" applyAlignment="1">
      <alignment horizontal="center" vertical="center" wrapText="1"/>
    </xf>
    <xf numFmtId="0" fontId="15" fillId="8" borderId="103" xfId="56" applyNumberFormat="1" applyFont="1" applyFill="1" applyBorder="1" applyAlignment="1">
      <alignment horizontal="center" vertical="center" wrapText="1"/>
    </xf>
    <xf numFmtId="0" fontId="15" fillId="8" borderId="154" xfId="56" applyNumberFormat="1" applyFont="1" applyFill="1" applyBorder="1" applyAlignment="1">
      <alignment horizontal="center" vertical="center"/>
    </xf>
    <xf numFmtId="0" fontId="15" fillId="8" borderId="156" xfId="56" applyNumberFormat="1" applyFont="1" applyFill="1" applyBorder="1" applyAlignment="1">
      <alignment horizontal="center" vertical="center"/>
    </xf>
    <xf numFmtId="0" fontId="15" fillId="8" borderId="28" xfId="56" applyNumberFormat="1" applyFont="1" applyFill="1" applyBorder="1" applyAlignment="1">
      <alignment horizontal="center" vertical="center" wrapText="1"/>
    </xf>
    <xf numFmtId="0" fontId="15" fillId="8" borderId="154" xfId="56" applyNumberFormat="1" applyFont="1" applyFill="1" applyBorder="1" applyAlignment="1">
      <alignment horizontal="center"/>
    </xf>
    <xf numFmtId="0" fontId="15" fillId="8" borderId="155" xfId="56" applyNumberFormat="1" applyFont="1" applyFill="1" applyBorder="1" applyAlignment="1">
      <alignment horizontal="center"/>
    </xf>
    <xf numFmtId="0" fontId="15" fillId="8" borderId="156" xfId="56" applyNumberFormat="1" applyFont="1" applyFill="1" applyBorder="1" applyAlignment="1">
      <alignment horizontal="center"/>
    </xf>
    <xf numFmtId="191" fontId="12" fillId="8" borderId="28" xfId="56" applyFont="1" applyFill="1" applyBorder="1" applyAlignment="1">
      <alignment horizontal="center" vertical="center" wrapText="1"/>
    </xf>
    <xf numFmtId="191" fontId="12" fillId="8" borderId="154" xfId="56" applyFont="1" applyFill="1" applyBorder="1" applyAlignment="1">
      <alignment horizontal="center" vertical="center" wrapText="1"/>
    </xf>
    <xf numFmtId="0" fontId="12" fillId="8" borderId="28" xfId="24" applyFont="1" applyFill="1" applyBorder="1" applyAlignment="1">
      <alignment horizontal="center" vertical="center"/>
    </xf>
    <xf numFmtId="0" fontId="13" fillId="3" borderId="28" xfId="57" applyNumberFormat="1" applyFont="1" applyFill="1" applyBorder="1" applyAlignment="1">
      <alignment horizontal="center" vertical="center"/>
    </xf>
    <xf numFmtId="0" fontId="15" fillId="8" borderId="28" xfId="57" applyNumberFormat="1" applyFont="1" applyFill="1" applyBorder="1" applyAlignment="1">
      <alignment horizontal="center" vertical="center" wrapText="1"/>
    </xf>
    <xf numFmtId="0" fontId="15" fillId="8" borderId="6" xfId="57" applyNumberFormat="1" applyFont="1" applyFill="1" applyBorder="1" applyAlignment="1">
      <alignment horizontal="center" vertical="center" wrapText="1"/>
    </xf>
    <xf numFmtId="0" fontId="15" fillId="8" borderId="103" xfId="57" applyNumberFormat="1" applyFont="1" applyFill="1" applyBorder="1" applyAlignment="1">
      <alignment horizontal="center" vertical="center" wrapText="1"/>
    </xf>
    <xf numFmtId="0" fontId="15" fillId="8" borderId="154" xfId="57" applyNumberFormat="1" applyFont="1" applyFill="1" applyBorder="1" applyAlignment="1">
      <alignment horizontal="center" vertical="center" wrapText="1"/>
    </xf>
    <xf numFmtId="0" fontId="15" fillId="8" borderId="156" xfId="57" applyNumberFormat="1" applyFont="1" applyFill="1" applyBorder="1" applyAlignment="1">
      <alignment horizontal="center" vertical="center" wrapText="1"/>
    </xf>
    <xf numFmtId="0" fontId="15" fillId="8" borderId="32" xfId="57" applyNumberFormat="1" applyFont="1" applyFill="1" applyBorder="1" applyAlignment="1">
      <alignment horizontal="center"/>
    </xf>
    <xf numFmtId="0" fontId="15" fillId="8" borderId="29" xfId="57" applyNumberFormat="1" applyFont="1" applyFill="1" applyBorder="1" applyAlignment="1">
      <alignment horizontal="center"/>
    </xf>
    <xf numFmtId="0" fontId="15" fillId="8" borderId="45" xfId="57" applyNumberFormat="1" applyFont="1" applyFill="1" applyBorder="1" applyAlignment="1">
      <alignment horizontal="center"/>
    </xf>
    <xf numFmtId="0" fontId="12" fillId="8" borderId="152" xfId="24" applyFont="1" applyFill="1" applyBorder="1" applyAlignment="1">
      <alignment horizontal="center" vertical="center" wrapText="1"/>
    </xf>
    <xf numFmtId="191" fontId="12" fillId="8" borderId="32" xfId="57" applyFont="1" applyFill="1" applyBorder="1" applyAlignment="1">
      <alignment horizontal="center" vertical="center" wrapText="1"/>
    </xf>
    <xf numFmtId="191" fontId="12" fillId="8" borderId="29" xfId="57" applyFont="1" applyFill="1" applyBorder="1" applyAlignment="1">
      <alignment horizontal="center" vertical="center" wrapText="1"/>
    </xf>
    <xf numFmtId="191" fontId="12" fillId="8" borderId="45" xfId="57" applyFont="1" applyFill="1" applyBorder="1" applyAlignment="1">
      <alignment horizontal="center" vertical="center" wrapText="1"/>
    </xf>
    <xf numFmtId="0" fontId="12" fillId="8" borderId="32" xfId="24" applyFont="1" applyFill="1" applyBorder="1" applyAlignment="1">
      <alignment horizontal="center" vertical="center"/>
    </xf>
    <xf numFmtId="0" fontId="12" fillId="8" borderId="45" xfId="24" applyFont="1" applyFill="1" applyBorder="1" applyAlignment="1">
      <alignment horizontal="center" vertical="center"/>
    </xf>
    <xf numFmtId="0" fontId="15" fillId="8" borderId="152" xfId="57" applyNumberFormat="1" applyFont="1" applyFill="1" applyBorder="1" applyAlignment="1">
      <alignment horizontal="center" vertical="center" wrapText="1"/>
    </xf>
    <xf numFmtId="169" fontId="8" fillId="3" borderId="0" xfId="58" applyNumberFormat="1" applyFont="1" applyFill="1" applyBorder="1" applyAlignment="1">
      <alignment horizontal="left" vertical="top"/>
    </xf>
    <xf numFmtId="191" fontId="15" fillId="3" borderId="28" xfId="58" applyFont="1" applyFill="1" applyBorder="1" applyAlignment="1">
      <alignment horizontal="center"/>
    </xf>
    <xf numFmtId="169" fontId="8" fillId="3" borderId="0" xfId="58" applyNumberFormat="1" applyFont="1" applyFill="1" applyBorder="1" applyAlignment="1">
      <alignment horizontal="left" vertical="top" wrapText="1"/>
    </xf>
    <xf numFmtId="193" fontId="11" fillId="3" borderId="152" xfId="0" applyNumberFormat="1" applyFont="1" applyFill="1" applyBorder="1" applyAlignment="1">
      <alignment horizontal="center" vertical="center" wrapText="1"/>
    </xf>
    <xf numFmtId="193" fontId="11" fillId="3" borderId="8" xfId="0" applyNumberFormat="1" applyFont="1" applyFill="1" applyBorder="1" applyAlignment="1">
      <alignment horizontal="center" vertical="center" wrapText="1"/>
    </xf>
    <xf numFmtId="193" fontId="11" fillId="3" borderId="103" xfId="0" applyNumberFormat="1" applyFont="1" applyFill="1" applyBorder="1" applyAlignment="1">
      <alignment horizontal="center" vertical="center" wrapText="1"/>
    </xf>
    <xf numFmtId="0" fontId="11" fillId="3" borderId="152" xfId="0" applyFont="1" applyFill="1" applyBorder="1" applyAlignment="1">
      <alignment horizontal="center" vertical="center" wrapText="1"/>
    </xf>
    <xf numFmtId="0" fontId="11" fillId="3" borderId="8" xfId="0" applyFont="1" applyFill="1" applyBorder="1" applyAlignment="1">
      <alignment horizontal="center" vertical="center" wrapText="1"/>
    </xf>
    <xf numFmtId="0" fontId="11" fillId="3" borderId="103" xfId="0" applyFont="1" applyFill="1" applyBorder="1" applyAlignment="1">
      <alignment horizontal="center" vertical="center" wrapText="1"/>
    </xf>
    <xf numFmtId="0" fontId="15" fillId="8" borderId="152" xfId="0" applyNumberFormat="1" applyFont="1" applyFill="1" applyBorder="1" applyAlignment="1">
      <alignment horizontal="center" vertical="center" wrapText="1"/>
    </xf>
    <xf numFmtId="0" fontId="15" fillId="8" borderId="103" xfId="0" applyNumberFormat="1" applyFont="1" applyFill="1" applyBorder="1" applyAlignment="1">
      <alignment horizontal="center" vertical="center" wrapText="1"/>
    </xf>
    <xf numFmtId="0" fontId="15" fillId="8" borderId="28" xfId="0" applyNumberFormat="1" applyFont="1" applyFill="1" applyBorder="1" applyAlignment="1">
      <alignment horizontal="center" vertical="center" wrapText="1"/>
    </xf>
    <xf numFmtId="0" fontId="12" fillId="8" borderId="28" xfId="0" applyNumberFormat="1" applyFont="1" applyFill="1" applyBorder="1" applyAlignment="1">
      <alignment horizontal="center" vertical="center" wrapText="1"/>
    </xf>
    <xf numFmtId="0" fontId="55" fillId="8" borderId="152" xfId="0" applyNumberFormat="1" applyFont="1" applyFill="1" applyBorder="1" applyAlignment="1">
      <alignment horizontal="center" vertical="center" wrapText="1"/>
    </xf>
    <xf numFmtId="0" fontId="55" fillId="8" borderId="103" xfId="0" applyNumberFormat="1" applyFont="1" applyFill="1" applyBorder="1" applyAlignment="1">
      <alignment horizontal="center" vertical="center" wrapText="1"/>
    </xf>
    <xf numFmtId="0" fontId="15" fillId="8" borderId="32" xfId="0" applyNumberFormat="1" applyFont="1" applyFill="1" applyBorder="1" applyAlignment="1">
      <alignment horizontal="center" vertical="center" wrapText="1"/>
    </xf>
    <xf numFmtId="0" fontId="15" fillId="8" borderId="29" xfId="0" applyNumberFormat="1" applyFont="1" applyFill="1" applyBorder="1" applyAlignment="1">
      <alignment horizontal="center" vertical="center" wrapText="1"/>
    </xf>
    <xf numFmtId="0" fontId="15" fillId="8" borderId="45" xfId="0" applyNumberFormat="1" applyFont="1" applyFill="1" applyBorder="1" applyAlignment="1">
      <alignment horizontal="center" vertical="center" wrapText="1"/>
    </xf>
    <xf numFmtId="191" fontId="11" fillId="3" borderId="8" xfId="60" applyFont="1" applyFill="1" applyBorder="1" applyAlignment="1">
      <alignment horizontal="center" vertical="center" wrapText="1"/>
    </xf>
    <xf numFmtId="191" fontId="11" fillId="3" borderId="103" xfId="60" applyFont="1" applyFill="1" applyBorder="1" applyAlignment="1">
      <alignment horizontal="center" vertical="center" wrapText="1"/>
    </xf>
    <xf numFmtId="193" fontId="11" fillId="3" borderId="152" xfId="60" applyNumberFormat="1" applyFont="1" applyFill="1" applyBorder="1" applyAlignment="1">
      <alignment horizontal="center" vertical="center" wrapText="1"/>
    </xf>
    <xf numFmtId="193" fontId="11" fillId="3" borderId="103" xfId="60" applyNumberFormat="1" applyFont="1" applyFill="1" applyBorder="1" applyAlignment="1">
      <alignment horizontal="center" vertical="center" wrapText="1"/>
    </xf>
    <xf numFmtId="193" fontId="11" fillId="3" borderId="8" xfId="60" applyNumberFormat="1" applyFont="1" applyFill="1" applyBorder="1" applyAlignment="1">
      <alignment horizontal="center" vertical="center" wrapText="1"/>
    </xf>
    <xf numFmtId="191" fontId="11" fillId="3" borderId="152" xfId="60" applyFont="1" applyFill="1" applyBorder="1" applyAlignment="1">
      <alignment horizontal="center" vertical="center" wrapText="1"/>
    </xf>
    <xf numFmtId="191" fontId="15" fillId="3" borderId="24" xfId="60" applyFont="1" applyFill="1" applyBorder="1" applyAlignment="1">
      <alignment horizontal="left" vertical="center"/>
    </xf>
    <xf numFmtId="0" fontId="15" fillId="8" borderId="28" xfId="60" applyNumberFormat="1" applyFont="1" applyFill="1" applyBorder="1" applyAlignment="1">
      <alignment horizontal="center" vertical="center" wrapText="1"/>
    </xf>
    <xf numFmtId="0" fontId="15" fillId="8" borderId="152" xfId="60" applyNumberFormat="1" applyFont="1" applyFill="1" applyBorder="1" applyAlignment="1">
      <alignment horizontal="center" vertical="center" wrapText="1"/>
    </xf>
    <xf numFmtId="0" fontId="15" fillId="8" borderId="103" xfId="60" applyNumberFormat="1" applyFont="1" applyFill="1" applyBorder="1" applyAlignment="1">
      <alignment horizontal="center" vertical="center" wrapText="1"/>
    </xf>
    <xf numFmtId="0" fontId="15" fillId="8" borderId="32" xfId="60" applyNumberFormat="1" applyFont="1" applyFill="1" applyBorder="1" applyAlignment="1">
      <alignment horizontal="center" vertical="center" wrapText="1"/>
    </xf>
    <xf numFmtId="0" fontId="15" fillId="8" borderId="29" xfId="60" applyNumberFormat="1" applyFont="1" applyFill="1" applyBorder="1" applyAlignment="1">
      <alignment horizontal="center" vertical="center" wrapText="1"/>
    </xf>
    <xf numFmtId="0" fontId="15" fillId="8" borderId="45" xfId="60" applyNumberFormat="1" applyFont="1" applyFill="1" applyBorder="1" applyAlignment="1">
      <alignment horizontal="center" vertical="center" wrapText="1"/>
    </xf>
    <xf numFmtId="2" fontId="15" fillId="8" borderId="28" xfId="1" applyNumberFormat="1" applyFont="1" applyFill="1" applyBorder="1" applyAlignment="1">
      <alignment horizontal="center" vertical="center" wrapText="1"/>
    </xf>
    <xf numFmtId="191" fontId="66" fillId="3" borderId="6" xfId="61" applyFont="1" applyFill="1" applyBorder="1" applyAlignment="1">
      <alignment horizontal="center" vertical="center" wrapText="1"/>
    </xf>
    <xf numFmtId="191" fontId="66" fillId="3" borderId="103" xfId="61" applyFont="1" applyFill="1" applyBorder="1" applyAlignment="1">
      <alignment horizontal="center" vertical="center"/>
    </xf>
    <xf numFmtId="191" fontId="66" fillId="3" borderId="8" xfId="61" applyFont="1" applyFill="1" applyBorder="1" applyAlignment="1">
      <alignment horizontal="center" vertical="center" wrapText="1"/>
    </xf>
    <xf numFmtId="191" fontId="66" fillId="3" borderId="103" xfId="61" applyFont="1" applyFill="1" applyBorder="1" applyAlignment="1">
      <alignment horizontal="center" vertical="center" wrapText="1"/>
    </xf>
    <xf numFmtId="191" fontId="66" fillId="3" borderId="6" xfId="61" applyFont="1" applyFill="1" applyBorder="1" applyAlignment="1">
      <alignment horizontal="center" vertical="center"/>
    </xf>
    <xf numFmtId="191" fontId="66" fillId="3" borderId="8" xfId="61" applyFont="1" applyFill="1" applyBorder="1" applyAlignment="1">
      <alignment horizontal="center" vertical="center"/>
    </xf>
    <xf numFmtId="191" fontId="66" fillId="7" borderId="6" xfId="61" applyFont="1" applyFill="1" applyBorder="1" applyAlignment="1">
      <alignment horizontal="center" vertical="center" wrapText="1"/>
    </xf>
    <xf numFmtId="191" fontId="66" fillId="7" borderId="103" xfId="61" applyFont="1" applyFill="1" applyBorder="1" applyAlignment="1">
      <alignment horizontal="center" vertical="center"/>
    </xf>
    <xf numFmtId="0" fontId="13" fillId="3" borderId="0" xfId="0" applyFont="1" applyFill="1" applyBorder="1" applyAlignment="1">
      <alignment horizontal="left" vertical="top" wrapText="1"/>
    </xf>
    <xf numFmtId="0" fontId="13" fillId="3" borderId="0" xfId="0" applyFont="1" applyFill="1" applyBorder="1" applyAlignment="1">
      <alignment horizontal="left" vertical="top"/>
    </xf>
    <xf numFmtId="0" fontId="30" fillId="8" borderId="112" xfId="61" applyNumberFormat="1" applyFont="1" applyFill="1" applyBorder="1" applyAlignment="1">
      <alignment horizontal="center" vertical="center" wrapText="1"/>
    </xf>
    <xf numFmtId="0" fontId="30" fillId="8" borderId="119" xfId="61" applyNumberFormat="1" applyFont="1" applyFill="1" applyBorder="1" applyAlignment="1">
      <alignment horizontal="center" vertical="center" wrapText="1"/>
    </xf>
    <xf numFmtId="0" fontId="30" fillId="8" borderId="126" xfId="61" applyNumberFormat="1" applyFont="1" applyFill="1" applyBorder="1" applyAlignment="1">
      <alignment horizontal="center" vertical="center" wrapText="1"/>
    </xf>
    <xf numFmtId="0" fontId="30" fillId="8" borderId="131" xfId="61" applyNumberFormat="1" applyFont="1" applyFill="1" applyBorder="1" applyAlignment="1">
      <alignment horizontal="center" vertical="center" wrapText="1"/>
    </xf>
    <xf numFmtId="0" fontId="30" fillId="8" borderId="159" xfId="61" applyNumberFormat="1" applyFont="1" applyFill="1" applyBorder="1" applyAlignment="1">
      <alignment horizontal="center" vertical="center" wrapText="1"/>
    </xf>
    <xf numFmtId="0" fontId="30" fillId="8" borderId="163" xfId="61" applyNumberFormat="1" applyFont="1" applyFill="1" applyBorder="1" applyAlignment="1">
      <alignment horizontal="center" vertical="center" wrapText="1"/>
    </xf>
    <xf numFmtId="0" fontId="30" fillId="8" borderId="160" xfId="61" applyNumberFormat="1" applyFont="1" applyFill="1" applyBorder="1" applyAlignment="1">
      <alignment horizontal="center" vertical="center" wrapText="1"/>
    </xf>
    <xf numFmtId="0" fontId="30" fillId="8" borderId="161" xfId="61" applyNumberFormat="1" applyFont="1" applyFill="1" applyBorder="1" applyAlignment="1">
      <alignment horizontal="center" vertical="center" wrapText="1"/>
    </xf>
    <xf numFmtId="0" fontId="30" fillId="8" borderId="162" xfId="61" applyNumberFormat="1" applyFont="1" applyFill="1" applyBorder="1" applyAlignment="1">
      <alignment horizontal="center" vertical="center" wrapText="1"/>
    </xf>
    <xf numFmtId="0" fontId="30" fillId="8" borderId="113" xfId="61" applyNumberFormat="1" applyFont="1" applyFill="1" applyBorder="1" applyAlignment="1">
      <alignment horizontal="center" vertical="center" wrapText="1"/>
    </xf>
    <xf numFmtId="49" fontId="7" fillId="6" borderId="147" xfId="8" applyNumberFormat="1" applyFont="1" applyFill="1" applyBorder="1" applyAlignment="1">
      <alignment horizontal="center" vertical="center"/>
    </xf>
    <xf numFmtId="49" fontId="7" fillId="6" borderId="148" xfId="8" applyNumberFormat="1" applyFont="1" applyFill="1" applyBorder="1" applyAlignment="1">
      <alignment horizontal="center" vertical="center"/>
    </xf>
    <xf numFmtId="49" fontId="7" fillId="6" borderId="151" xfId="8" applyNumberFormat="1" applyFont="1" applyFill="1" applyBorder="1" applyAlignment="1">
      <alignment horizontal="center" vertical="center"/>
    </xf>
    <xf numFmtId="49" fontId="7" fillId="8" borderId="62" xfId="8" applyNumberFormat="1" applyFont="1" applyFill="1" applyBorder="1" applyAlignment="1">
      <alignment horizontal="center" vertical="top"/>
    </xf>
    <xf numFmtId="49" fontId="8" fillId="0" borderId="62" xfId="8" applyNumberFormat="1" applyFont="1" applyFill="1" applyBorder="1" applyAlignment="1">
      <alignment horizontal="left" vertical="center"/>
    </xf>
  </cellXfs>
  <cellStyles count="116">
    <cellStyle name="20% - Accent1" xfId="83" builtinId="30" customBuiltin="1"/>
    <cellStyle name="20% - Accent2" xfId="87" builtinId="34" customBuiltin="1"/>
    <cellStyle name="20% - Accent3" xfId="91" builtinId="38" customBuiltin="1"/>
    <cellStyle name="20% - Accent4" xfId="95" builtinId="42" customBuiltin="1"/>
    <cellStyle name="20% - Accent5" xfId="99" builtinId="46" customBuiltin="1"/>
    <cellStyle name="20% - Accent6" xfId="103" builtinId="50" customBuiltin="1"/>
    <cellStyle name="40% - Accent1" xfId="84" builtinId="31" customBuiltin="1"/>
    <cellStyle name="40% - Accent2" xfId="88" builtinId="35" customBuiltin="1"/>
    <cellStyle name="40% - Accent3" xfId="92" builtinId="39" customBuiltin="1"/>
    <cellStyle name="40% - Accent4" xfId="96" builtinId="43" customBuiltin="1"/>
    <cellStyle name="40% - Accent5" xfId="100" builtinId="47" customBuiltin="1"/>
    <cellStyle name="40% - Accent6" xfId="104" builtinId="51" customBuiltin="1"/>
    <cellStyle name="60% - Accent1" xfId="85" builtinId="32" customBuiltin="1"/>
    <cellStyle name="60% - Accent2" xfId="89" builtinId="36" customBuiltin="1"/>
    <cellStyle name="60% - Accent3" xfId="93" builtinId="40" customBuiltin="1"/>
    <cellStyle name="60% - Accent4" xfId="97" builtinId="44" customBuiltin="1"/>
    <cellStyle name="60% - Accent5" xfId="101" builtinId="48" customBuiltin="1"/>
    <cellStyle name="60% - Accent6" xfId="105" builtinId="52" customBuiltin="1"/>
    <cellStyle name="Accent1" xfId="82" builtinId="29" customBuiltin="1"/>
    <cellStyle name="Accent2" xfId="86" builtinId="33" customBuiltin="1"/>
    <cellStyle name="Accent3" xfId="90" builtinId="37" customBuiltin="1"/>
    <cellStyle name="Accent4" xfId="94" builtinId="41" customBuiltin="1"/>
    <cellStyle name="Accent5" xfId="98" builtinId="45" customBuiltin="1"/>
    <cellStyle name="Accent6" xfId="102" builtinId="49" customBuiltin="1"/>
    <cellStyle name="Bad" xfId="72" builtinId="27" customBuiltin="1"/>
    <cellStyle name="Calculation" xfId="76" builtinId="22" customBuiltin="1"/>
    <cellStyle name="Check Cell" xfId="78" builtinId="23" customBuiltin="1"/>
    <cellStyle name="Comma" xfId="1" builtinId="3"/>
    <cellStyle name="Comma 10 5" xfId="13"/>
    <cellStyle name="Comma 11" xfId="50"/>
    <cellStyle name="Comma 11 2" xfId="36"/>
    <cellStyle name="Comma 11 2 2" xfId="47"/>
    <cellStyle name="Comma 16" xfId="32"/>
    <cellStyle name="Comma 16 2" xfId="33"/>
    <cellStyle name="Comma 16 2 2" xfId="45"/>
    <cellStyle name="Comma 18" xfId="29"/>
    <cellStyle name="Comma 18 2" xfId="43"/>
    <cellStyle name="Comma 2" xfId="11"/>
    <cellStyle name="Comma 2 124" xfId="7"/>
    <cellStyle name="Comma 2 124 2" xfId="28"/>
    <cellStyle name="Comma 2 124 2 2" xfId="42"/>
    <cellStyle name="Comma 2 124 3" xfId="38"/>
    <cellStyle name="Comma 2 2" xfId="39"/>
    <cellStyle name="Comma 2 2 2" xfId="108"/>
    <cellStyle name="Comma 2 2 3" xfId="107"/>
    <cellStyle name="Comma 2 23" xfId="65"/>
    <cellStyle name="Comma 2 3" xfId="106"/>
    <cellStyle name="Comma 2 3 86" xfId="26"/>
    <cellStyle name="Comma 2 3 86 2" xfId="41"/>
    <cellStyle name="Comma 2 4" xfId="30"/>
    <cellStyle name="Comma 2 4 2" xfId="44"/>
    <cellStyle name="Comma 3" xfId="25"/>
    <cellStyle name="Comma 3 101" xfId="27"/>
    <cellStyle name="Comma 3 2" xfId="34"/>
    <cellStyle name="Comma 3 2 2" xfId="46"/>
    <cellStyle name="Comma 3 3" xfId="109"/>
    <cellStyle name="Comma 4" xfId="37"/>
    <cellStyle name="Comma 7" xfId="17"/>
    <cellStyle name="Comma 7 2" xfId="40"/>
    <cellStyle name="Explanatory Text" xfId="80" builtinId="53" customBuiltin="1"/>
    <cellStyle name="Good" xfId="71" builtinId="26" customBuiltin="1"/>
    <cellStyle name="Heading 1" xfId="67" builtinId="16" customBuiltin="1"/>
    <cellStyle name="Heading 2" xfId="68" builtinId="17" customBuiltin="1"/>
    <cellStyle name="Heading 3" xfId="69" builtinId="18" customBuiltin="1"/>
    <cellStyle name="Heading 4" xfId="70" builtinId="19" customBuiltin="1"/>
    <cellStyle name="Hyperlink" xfId="35" builtinId="8"/>
    <cellStyle name="Hyperlink 2" xfId="110"/>
    <cellStyle name="Indian Comma" xfId="23"/>
    <cellStyle name="Indian Comma 2" xfId="111"/>
    <cellStyle name="Input" xfId="74" builtinId="20" customBuiltin="1"/>
    <cellStyle name="Linked Cell" xfId="77" builtinId="24" customBuiltin="1"/>
    <cellStyle name="Neutral" xfId="73" builtinId="28" customBuiltin="1"/>
    <cellStyle name="Normal" xfId="0" builtinId="0"/>
    <cellStyle name="Normal 11" xfId="4"/>
    <cellStyle name="Normal 11 2" xfId="16"/>
    <cellStyle name="Normal 12 3 3" xfId="8"/>
    <cellStyle name="Normal 12 3 3 2" xfId="20"/>
    <cellStyle name="Normal 2" xfId="12"/>
    <cellStyle name="Normal 2 10" xfId="49"/>
    <cellStyle name="Normal 2 134" xfId="19"/>
    <cellStyle name="Normal 2 134 10" xfId="61"/>
    <cellStyle name="Normal 2 134 2" xfId="52"/>
    <cellStyle name="Normal 2 134 3" xfId="55"/>
    <cellStyle name="Normal 2 134 4" xfId="51"/>
    <cellStyle name="Normal 2 134 5" xfId="56"/>
    <cellStyle name="Normal 2 134 6" xfId="57"/>
    <cellStyle name="Normal 2 134 7" xfId="58"/>
    <cellStyle name="Normal 2 134 8" xfId="59"/>
    <cellStyle name="Normal 2 134 9" xfId="60"/>
    <cellStyle name="Normal 2 16 2" xfId="64"/>
    <cellStyle name="Normal 2 17" xfId="63"/>
    <cellStyle name="Normal 2 18 2" xfId="9"/>
    <cellStyle name="Normal 2 2" xfId="6"/>
    <cellStyle name="Normal 2 3" xfId="112"/>
    <cellStyle name="Normal 23 2" xfId="18"/>
    <cellStyle name="Normal 3" xfId="14"/>
    <cellStyle name="Normal 3 144" xfId="24"/>
    <cellStyle name="Normal 30" xfId="48"/>
    <cellStyle name="Normal 34 2" xfId="15"/>
    <cellStyle name="Normal 4" xfId="5"/>
    <cellStyle name="Normal 41" xfId="3"/>
    <cellStyle name="Normal 5 10" xfId="22"/>
    <cellStyle name="Normal 5 10 2" xfId="54"/>
    <cellStyle name="Normal 7" xfId="31"/>
    <cellStyle name="Normal 7 2" xfId="113"/>
    <cellStyle name="Normal 8" xfId="21"/>
    <cellStyle name="Normal 8 2" xfId="53"/>
    <cellStyle name="Normal_tables-oct 4" xfId="66"/>
    <cellStyle name="Note 2" xfId="114"/>
    <cellStyle name="Output" xfId="75" builtinId="21" customBuiltin="1"/>
    <cellStyle name="Percent" xfId="2" builtinId="5"/>
    <cellStyle name="Percent 2" xfId="10"/>
    <cellStyle name="Percent 3" xfId="62"/>
    <cellStyle name="Title 2" xfId="115"/>
    <cellStyle name="Total" xfId="81" builtinId="25" customBuiltin="1"/>
    <cellStyle name="Warning Text" xfId="79" builtinId="11" customBuiltin="1"/>
  </cellStyles>
  <dxfs count="3">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calcChain" Target="calcChain.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externalLink" Target="externalLinks/externalLink4.xml"/><Relationship Id="rId5" Type="http://schemas.openxmlformats.org/officeDocument/2006/relationships/worksheet" Target="worksheets/sheet5.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externalLink" Target="externalLinks/externalLink2.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externalLink" Target="externalLinks/externalLink5.xml"/><Relationship Id="rId85" Type="http://schemas.openxmlformats.org/officeDocument/2006/relationships/customXml" Target="../customXml/item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externalLink" Target="externalLinks/externalLink3.xml"/><Relationship Id="rId8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externalLink" Target="externalLinks/externalLink1.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61" Type="http://schemas.openxmlformats.org/officeDocument/2006/relationships/worksheet" Target="worksheets/sheet61.xml"/><Relationship Id="rId82"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E:\Documents\Monthly%20bulltein\02%20Secondary%20market\Workbook%20of%20CMR%20Sep%202024_Kavita.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d.docs.live.net/vimal%20backup/SEBI%20WORK%203-%20DEPA1/2021-22%20DEPA1/Bulletin%20-GMR/2021%2009%20GMR/2021%2009%20GMR.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E:\vimal%20backup\SEBI%20WORK%203-%20DEPA1\2021-22%20DEPA1\Bulletin%20-GMR\2021%2009%20GMR\2021%2009%20GMR.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d.docs.live.net/Users/Administrator/Desktop/Kshitij/Global%20Review%20Bloomberg%20-%20K%201711.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E:\Users\Administrator\Desktop\Kshitij\Global%20Review%20Bloomberg%20-%20K%20171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35"/>
      <sheetName val="34"/>
      <sheetName val="Snapshot"/>
      <sheetName val="EquiDer"/>
      <sheetName val="Indices"/>
      <sheetName val="ADT"/>
      <sheetName val="ADNT"/>
      <sheetName val="CD"/>
      <sheetName val="IRD"/>
      <sheetName val="Demat"/>
      <sheetName val="CorpDebt"/>
      <sheetName val="Rtn, Volt"/>
    </sheetNames>
    <sheetDataSet>
      <sheetData sheetId="0"/>
      <sheetData sheetId="1"/>
      <sheetData sheetId="2">
        <row r="21">
          <cell r="BW21">
            <v>151317.94</v>
          </cell>
        </row>
      </sheetData>
      <sheetData sheetId="3"/>
      <sheetData sheetId="4">
        <row r="1">
          <cell r="F1" t="str">
            <v xml:space="preserve"> NSE  </v>
          </cell>
        </row>
        <row r="2">
          <cell r="E2">
            <v>44985</v>
          </cell>
          <cell r="F2">
            <v>100</v>
          </cell>
          <cell r="G2">
            <v>100</v>
          </cell>
        </row>
        <row r="3">
          <cell r="E3">
            <v>44986</v>
          </cell>
          <cell r="F3">
            <v>100.84922806642413</v>
          </cell>
          <cell r="G3">
            <v>100.76143802156368</v>
          </cell>
        </row>
        <row r="4">
          <cell r="E4">
            <v>44987</v>
          </cell>
          <cell r="F4">
            <v>100.10373354060778</v>
          </cell>
          <cell r="G4">
            <v>99.910501861194945</v>
          </cell>
        </row>
        <row r="5">
          <cell r="E5">
            <v>44988</v>
          </cell>
          <cell r="F5">
            <v>101.67822953718657</v>
          </cell>
          <cell r="G5">
            <v>101.43626111137117</v>
          </cell>
        </row>
        <row r="6">
          <cell r="E6">
            <v>44991</v>
          </cell>
          <cell r="F6">
            <v>102.35495363775323</v>
          </cell>
          <cell r="G6">
            <v>102.14093387415512</v>
          </cell>
        </row>
        <row r="7">
          <cell r="E7">
            <v>44993</v>
          </cell>
          <cell r="F7">
            <v>102.60316286165876</v>
          </cell>
          <cell r="G7">
            <v>102.35061086677342</v>
          </cell>
        </row>
        <row r="8">
          <cell r="E8">
            <v>44994</v>
          </cell>
          <cell r="F8">
            <v>101.65077915736001</v>
          </cell>
          <cell r="G8">
            <v>101.43169886021735</v>
          </cell>
        </row>
        <row r="9">
          <cell r="E9">
            <v>44995</v>
          </cell>
          <cell r="F9">
            <v>100.62962502781157</v>
          </cell>
          <cell r="G9">
            <v>100.29342567736708</v>
          </cell>
        </row>
        <row r="10">
          <cell r="E10">
            <v>44998</v>
          </cell>
          <cell r="F10">
            <v>99.135168559779686</v>
          </cell>
          <cell r="G10">
            <v>98.771635076893432</v>
          </cell>
        </row>
        <row r="11">
          <cell r="E11">
            <v>44999</v>
          </cell>
          <cell r="F11">
            <v>98.493696525937708</v>
          </cell>
          <cell r="G11">
            <v>98.198962316823071</v>
          </cell>
        </row>
        <row r="12">
          <cell r="E12">
            <v>45000</v>
          </cell>
          <cell r="F12">
            <v>98.082518731272344</v>
          </cell>
          <cell r="G12">
            <v>97.615045049262136</v>
          </cell>
        </row>
        <row r="13">
          <cell r="E13">
            <v>45001</v>
          </cell>
          <cell r="F13">
            <v>98.160246648886513</v>
          </cell>
          <cell r="G13">
            <v>97.748927616578229</v>
          </cell>
        </row>
        <row r="14">
          <cell r="E14">
            <v>45002</v>
          </cell>
          <cell r="F14">
            <v>98.821656327023589</v>
          </cell>
          <cell r="G14">
            <v>98.351110848795798</v>
          </cell>
        </row>
        <row r="15">
          <cell r="E15">
            <v>45005</v>
          </cell>
          <cell r="F15">
            <v>98.176427925415879</v>
          </cell>
          <cell r="G15">
            <v>97.738938152155981</v>
          </cell>
        </row>
        <row r="16">
          <cell r="E16">
            <v>45006</v>
          </cell>
          <cell r="F16">
            <v>98.864710080646333</v>
          </cell>
          <cell r="G16">
            <v>98.49489808032682</v>
          </cell>
        </row>
        <row r="17">
          <cell r="E17">
            <v>45007</v>
          </cell>
          <cell r="F17">
            <v>99.121298894183141</v>
          </cell>
          <cell r="G17">
            <v>98.732186020448367</v>
          </cell>
        </row>
        <row r="18">
          <cell r="E18">
            <v>45008</v>
          </cell>
          <cell r="F18">
            <v>98.687871844289901</v>
          </cell>
          <cell r="G18">
            <v>98.241515060856003</v>
          </cell>
        </row>
        <row r="19">
          <cell r="E19">
            <v>45009</v>
          </cell>
          <cell r="F19">
            <v>97.925907090577581</v>
          </cell>
          <cell r="G19">
            <v>97.566200129846067</v>
          </cell>
        </row>
        <row r="20">
          <cell r="E20">
            <v>45012</v>
          </cell>
          <cell r="F20">
            <v>98.160824551619726</v>
          </cell>
          <cell r="G20">
            <v>97.781185615442581</v>
          </cell>
        </row>
        <row r="21">
          <cell r="E21">
            <v>45013</v>
          </cell>
          <cell r="F21">
            <v>97.964337622334796</v>
          </cell>
          <cell r="G21">
            <v>97.713108009006447</v>
          </cell>
        </row>
        <row r="22">
          <cell r="E22">
            <v>45014</v>
          </cell>
          <cell r="F22">
            <v>98.70983214815115</v>
          </cell>
          <cell r="G22">
            <v>98.300552965191869</v>
          </cell>
        </row>
        <row r="23">
          <cell r="E23">
            <v>45016</v>
          </cell>
          <cell r="F23">
            <v>100</v>
          </cell>
          <cell r="G23">
            <v>100</v>
          </cell>
        </row>
        <row r="24">
          <cell r="E24">
            <v>45019</v>
          </cell>
          <cell r="F24">
            <v>100</v>
          </cell>
          <cell r="G24">
            <v>100</v>
          </cell>
        </row>
        <row r="25">
          <cell r="E25">
            <v>45021</v>
          </cell>
          <cell r="F25">
            <v>100.9138955227741</v>
          </cell>
          <cell r="G25">
            <v>100.98613619767998</v>
          </cell>
        </row>
        <row r="26">
          <cell r="E26">
            <v>45022</v>
          </cell>
          <cell r="F26">
            <v>101.15587666433882</v>
          </cell>
          <cell r="G26">
            <v>101.2291892389391</v>
          </cell>
        </row>
        <row r="27">
          <cell r="E27">
            <v>45026</v>
          </cell>
          <cell r="F27">
            <v>101.29899615186758</v>
          </cell>
          <cell r="G27">
            <v>101.2520970642116</v>
          </cell>
        </row>
        <row r="28">
          <cell r="E28">
            <v>45027</v>
          </cell>
          <cell r="F28">
            <v>101.86371461169497</v>
          </cell>
          <cell r="G28">
            <v>101.77862175424538</v>
          </cell>
        </row>
        <row r="29">
          <cell r="E29">
            <v>45028</v>
          </cell>
          <cell r="F29">
            <v>102.38158874126698</v>
          </cell>
          <cell r="G29">
            <v>102.17629415677884</v>
          </cell>
        </row>
        <row r="30">
          <cell r="E30">
            <v>45029</v>
          </cell>
          <cell r="F30">
            <v>102.47125396236933</v>
          </cell>
          <cell r="G30">
            <v>102.2409740799818</v>
          </cell>
        </row>
        <row r="31">
          <cell r="E31">
            <v>45033</v>
          </cell>
          <cell r="F31">
            <v>101.77491155618013</v>
          </cell>
          <cell r="G31">
            <v>101.36078234452961</v>
          </cell>
        </row>
        <row r="32">
          <cell r="E32">
            <v>45034</v>
          </cell>
          <cell r="F32">
            <v>101.5064906699314</v>
          </cell>
          <cell r="G32">
            <v>101.04991943348303</v>
          </cell>
        </row>
        <row r="33">
          <cell r="E33">
            <v>45035</v>
          </cell>
          <cell r="F33">
            <v>101.26853296777512</v>
          </cell>
          <cell r="G33">
            <v>100.7805579222839</v>
          </cell>
        </row>
        <row r="34">
          <cell r="E34">
            <v>45036</v>
          </cell>
          <cell r="F34">
            <v>101.30129526010099</v>
          </cell>
          <cell r="G34">
            <v>100.88976768013771</v>
          </cell>
        </row>
        <row r="35">
          <cell r="E35">
            <v>45037</v>
          </cell>
          <cell r="F35">
            <v>101.29899615186758</v>
          </cell>
          <cell r="G35">
            <v>100.92818988929122</v>
          </cell>
        </row>
        <row r="36">
          <cell r="E36">
            <v>45040</v>
          </cell>
          <cell r="F36">
            <v>101.98499257100653</v>
          </cell>
          <cell r="G36">
            <v>101.60669463429025</v>
          </cell>
        </row>
        <row r="37">
          <cell r="E37">
            <v>45041</v>
          </cell>
          <cell r="F37">
            <v>102.13357244058962</v>
          </cell>
          <cell r="G37">
            <v>101.73292453411166</v>
          </cell>
        </row>
        <row r="38">
          <cell r="E38">
            <v>45042</v>
          </cell>
          <cell r="F38">
            <v>102.38848606596717</v>
          </cell>
          <cell r="G38">
            <v>102.02032130508957</v>
          </cell>
        </row>
        <row r="39">
          <cell r="E39">
            <v>45043</v>
          </cell>
          <cell r="F39">
            <v>102.97159739166173</v>
          </cell>
          <cell r="G39">
            <v>102.61044312599437</v>
          </cell>
        </row>
        <row r="40">
          <cell r="E40">
            <v>45044</v>
          </cell>
          <cell r="F40">
            <v>103.83347559065531</v>
          </cell>
          <cell r="G40">
            <v>103.39387721541</v>
          </cell>
        </row>
        <row r="41">
          <cell r="E41">
            <v>45048</v>
          </cell>
          <cell r="F41">
            <v>104.30852882938034</v>
          </cell>
          <cell r="G41">
            <v>103.8037648689381</v>
          </cell>
        </row>
        <row r="42">
          <cell r="E42">
            <v>45049</v>
          </cell>
          <cell r="F42">
            <v>103.97630768965489</v>
          </cell>
          <cell r="G42">
            <v>103.53068125909796</v>
          </cell>
        </row>
        <row r="43">
          <cell r="E43">
            <v>45050</v>
          </cell>
          <cell r="F43">
            <v>104.93015021798421</v>
          </cell>
          <cell r="G43">
            <v>104.47127250431591</v>
          </cell>
        </row>
        <row r="44">
          <cell r="E44">
            <v>45051</v>
          </cell>
          <cell r="F44">
            <v>103.85646667298923</v>
          </cell>
          <cell r="G44">
            <v>103.29549538087555</v>
          </cell>
        </row>
        <row r="45">
          <cell r="E45">
            <v>45054</v>
          </cell>
          <cell r="F45">
            <v>104.97958104500219</v>
          </cell>
          <cell r="G45">
            <v>104.49665044959565</v>
          </cell>
        </row>
        <row r="46">
          <cell r="E46">
            <v>45055</v>
          </cell>
          <cell r="F46">
            <v>104.9884900894066</v>
          </cell>
          <cell r="G46">
            <v>104.4917102095812</v>
          </cell>
        </row>
        <row r="47">
          <cell r="E47">
            <v>45056</v>
          </cell>
          <cell r="F47">
            <v>105.27099301358486</v>
          </cell>
          <cell r="G47">
            <v>104.79433374772694</v>
          </cell>
        </row>
        <row r="48">
          <cell r="E48">
            <v>45057</v>
          </cell>
          <cell r="F48">
            <v>105.16695836602378</v>
          </cell>
          <cell r="G48">
            <v>104.73396807522154</v>
          </cell>
        </row>
        <row r="49">
          <cell r="E49">
            <v>45058</v>
          </cell>
          <cell r="F49">
            <v>105.26926868240982</v>
          </cell>
          <cell r="G49">
            <v>104.94271013446247</v>
          </cell>
        </row>
        <row r="50">
          <cell r="E50">
            <v>45061</v>
          </cell>
          <cell r="F50">
            <v>105.75236879995173</v>
          </cell>
          <cell r="G50">
            <v>105.48040112041933</v>
          </cell>
        </row>
        <row r="51">
          <cell r="E51">
            <v>45062</v>
          </cell>
          <cell r="F51">
            <v>105.1066067748972</v>
          </cell>
          <cell r="G51">
            <v>104.78125564659278</v>
          </cell>
        </row>
        <row r="52">
          <cell r="E52">
            <v>45063</v>
          </cell>
          <cell r="F52">
            <v>104.50452780627715</v>
          </cell>
          <cell r="G52">
            <v>104.1521702203685</v>
          </cell>
        </row>
        <row r="53">
          <cell r="E53">
            <v>45064</v>
          </cell>
          <cell r="F53">
            <v>104.20679329005263</v>
          </cell>
          <cell r="G53">
            <v>103.93408907726463</v>
          </cell>
        </row>
        <row r="54">
          <cell r="E54">
            <v>45065</v>
          </cell>
          <cell r="F54">
            <v>104.62896703940962</v>
          </cell>
          <cell r="G54">
            <v>104.43816274504093</v>
          </cell>
        </row>
        <row r="55">
          <cell r="E55">
            <v>45068</v>
          </cell>
          <cell r="F55">
            <v>105.26696957417646</v>
          </cell>
          <cell r="G55">
            <v>104.83405869140482</v>
          </cell>
        </row>
        <row r="56">
          <cell r="E56">
            <v>45069</v>
          </cell>
          <cell r="F56">
            <v>105.46009466578155</v>
          </cell>
          <cell r="G56">
            <v>104.86469833067255</v>
          </cell>
        </row>
        <row r="57">
          <cell r="E57">
            <v>45070</v>
          </cell>
          <cell r="F57">
            <v>105.1002842272554</v>
          </cell>
          <cell r="G57">
            <v>104.51277390416335</v>
          </cell>
        </row>
        <row r="58">
          <cell r="E58">
            <v>45071</v>
          </cell>
          <cell r="F58">
            <v>105.30576702561498</v>
          </cell>
          <cell r="G58">
            <v>104.67999764492662</v>
          </cell>
        </row>
        <row r="59">
          <cell r="E59">
            <v>45072</v>
          </cell>
          <cell r="F59">
            <v>106.33001974359199</v>
          </cell>
          <cell r="G59">
            <v>105.7442979140682</v>
          </cell>
        </row>
        <row r="60">
          <cell r="E60">
            <v>45075</v>
          </cell>
          <cell r="F60">
            <v>106.90077336253205</v>
          </cell>
          <cell r="G60">
            <v>106.32746617796633</v>
          </cell>
        </row>
        <row r="61">
          <cell r="E61">
            <v>45076</v>
          </cell>
          <cell r="F61">
            <v>107.10309488707071</v>
          </cell>
          <cell r="G61">
            <v>106.5351423635055</v>
          </cell>
        </row>
        <row r="62">
          <cell r="E62">
            <v>45077</v>
          </cell>
          <cell r="F62">
            <v>100</v>
          </cell>
          <cell r="G62">
            <v>100</v>
          </cell>
        </row>
        <row r="63">
          <cell r="E63">
            <v>45078</v>
          </cell>
          <cell r="F63">
            <v>99.748305852900543</v>
          </cell>
          <cell r="G63">
            <v>99.690684970706897</v>
          </cell>
        </row>
        <row r="64">
          <cell r="E64">
            <v>45079</v>
          </cell>
          <cell r="F64">
            <v>99.99838138812153</v>
          </cell>
          <cell r="G64">
            <v>99.880026648679461</v>
          </cell>
        </row>
        <row r="65">
          <cell r="E65">
            <v>45082</v>
          </cell>
          <cell r="F65">
            <v>100.32075492058009</v>
          </cell>
          <cell r="G65">
            <v>100.26385194780643</v>
          </cell>
        </row>
        <row r="66">
          <cell r="E66">
            <v>45083</v>
          </cell>
          <cell r="F66">
            <v>100.34854109116021</v>
          </cell>
          <cell r="G66">
            <v>100.27249105110263</v>
          </cell>
        </row>
        <row r="67">
          <cell r="E67">
            <v>45084</v>
          </cell>
          <cell r="F67">
            <v>101.03591160220995</v>
          </cell>
          <cell r="G67">
            <v>100.83152566883589</v>
          </cell>
        </row>
        <row r="68">
          <cell r="E68">
            <v>45085</v>
          </cell>
          <cell r="F68">
            <v>100.5403465987569</v>
          </cell>
          <cell r="G68">
            <v>100.36153289949388</v>
          </cell>
        </row>
        <row r="69">
          <cell r="E69">
            <v>45086</v>
          </cell>
          <cell r="F69">
            <v>100.15646581491713</v>
          </cell>
          <cell r="G69">
            <v>100.00541341223185</v>
          </cell>
        </row>
        <row r="70">
          <cell r="E70">
            <v>45089</v>
          </cell>
          <cell r="F70">
            <v>100.36202952348066</v>
          </cell>
          <cell r="G70">
            <v>100.16363196206335</v>
          </cell>
        </row>
        <row r="71">
          <cell r="E71">
            <v>45090</v>
          </cell>
          <cell r="F71">
            <v>100.98060902969614</v>
          </cell>
          <cell r="G71">
            <v>100.83184504418881</v>
          </cell>
        </row>
        <row r="72">
          <cell r="E72">
            <v>45091</v>
          </cell>
          <cell r="F72">
            <v>101.19507510359117</v>
          </cell>
          <cell r="G72">
            <v>100.96813847604305</v>
          </cell>
        </row>
        <row r="73">
          <cell r="E73">
            <v>45092</v>
          </cell>
          <cell r="F73">
            <v>100.82926881906076</v>
          </cell>
          <cell r="G73">
            <v>100.4717014274801</v>
          </cell>
        </row>
        <row r="74">
          <cell r="E74">
            <v>45093</v>
          </cell>
          <cell r="F74">
            <v>101.57329074585635</v>
          </cell>
          <cell r="G74">
            <v>101.21736303268618</v>
          </cell>
        </row>
        <row r="75">
          <cell r="E75">
            <v>45096</v>
          </cell>
          <cell r="F75">
            <v>101.1926471857735</v>
          </cell>
          <cell r="G75">
            <v>100.87199052604956</v>
          </cell>
        </row>
        <row r="76">
          <cell r="E76">
            <v>45097</v>
          </cell>
          <cell r="F76">
            <v>101.52311377762432</v>
          </cell>
          <cell r="G76">
            <v>101.12653268231863</v>
          </cell>
        </row>
        <row r="77">
          <cell r="E77">
            <v>45098</v>
          </cell>
          <cell r="F77">
            <v>101.73973800069061</v>
          </cell>
          <cell r="G77">
            <v>101.43864224594969</v>
          </cell>
        </row>
        <row r="78">
          <cell r="E78">
            <v>45099</v>
          </cell>
          <cell r="F78">
            <v>101.27789407803868</v>
          </cell>
          <cell r="G78">
            <v>100.98471405685905</v>
          </cell>
        </row>
        <row r="79">
          <cell r="E79">
            <v>45100</v>
          </cell>
          <cell r="F79">
            <v>100.70733339088399</v>
          </cell>
          <cell r="G79">
            <v>100.57029259892334</v>
          </cell>
        </row>
        <row r="80">
          <cell r="E80">
            <v>45103</v>
          </cell>
          <cell r="F80">
            <v>100.84599447513813</v>
          </cell>
          <cell r="G80">
            <v>100.55532986363953</v>
          </cell>
        </row>
        <row r="81">
          <cell r="E81">
            <v>45104</v>
          </cell>
          <cell r="F81">
            <v>101.52689053867404</v>
          </cell>
          <cell r="G81">
            <v>101.26758480693123</v>
          </cell>
        </row>
        <row r="82">
          <cell r="E82">
            <v>45105</v>
          </cell>
          <cell r="F82">
            <v>102.36155473066296</v>
          </cell>
          <cell r="G82">
            <v>102.06504909437926</v>
          </cell>
        </row>
        <row r="83">
          <cell r="E83">
            <v>45107</v>
          </cell>
          <cell r="F83">
            <v>103.53208088743092</v>
          </cell>
          <cell r="G83">
            <v>103.34756469905901</v>
          </cell>
        </row>
        <row r="84">
          <cell r="E84">
            <v>45110</v>
          </cell>
          <cell r="F84">
            <v>104.25236317334253</v>
          </cell>
          <cell r="G84">
            <v>104.12442927624437</v>
          </cell>
        </row>
        <row r="85">
          <cell r="E85">
            <v>45111</v>
          </cell>
          <cell r="F85">
            <v>104.6108857044199</v>
          </cell>
          <cell r="G85">
            <v>104.56197350973075</v>
          </cell>
        </row>
        <row r="86">
          <cell r="E86">
            <v>45112</v>
          </cell>
          <cell r="F86">
            <v>104.66214174723757</v>
          </cell>
          <cell r="G86">
            <v>104.509260607733</v>
          </cell>
        </row>
        <row r="87">
          <cell r="E87">
            <v>45113</v>
          </cell>
          <cell r="F87">
            <v>105.19520459254144</v>
          </cell>
          <cell r="G87">
            <v>105.05155995697378</v>
          </cell>
        </row>
        <row r="88">
          <cell r="E88">
            <v>45114</v>
          </cell>
          <cell r="F88">
            <v>104.30227037292818</v>
          </cell>
          <cell r="G88">
            <v>104.24483378429136</v>
          </cell>
        </row>
        <row r="89">
          <cell r="E89">
            <v>45117</v>
          </cell>
          <cell r="F89">
            <v>104.43229886049726</v>
          </cell>
          <cell r="G89">
            <v>104.3465867717284</v>
          </cell>
        </row>
        <row r="90">
          <cell r="E90">
            <v>45118</v>
          </cell>
          <cell r="F90">
            <v>104.88281250000003</v>
          </cell>
          <cell r="G90">
            <v>104.78360403588248</v>
          </cell>
        </row>
        <row r="91">
          <cell r="E91">
            <v>45119</v>
          </cell>
          <cell r="F91">
            <v>104.58552745165747</v>
          </cell>
          <cell r="G91">
            <v>104.42599945322941</v>
          </cell>
        </row>
        <row r="92">
          <cell r="E92">
            <v>45120</v>
          </cell>
          <cell r="F92">
            <v>104.74442118439228</v>
          </cell>
          <cell r="G92">
            <v>104.68946815061231</v>
          </cell>
        </row>
        <row r="93">
          <cell r="E93">
            <v>45121</v>
          </cell>
          <cell r="F93">
            <v>105.55777365331494</v>
          </cell>
          <cell r="G93">
            <v>105.49111625518346</v>
          </cell>
        </row>
        <row r="94">
          <cell r="E94">
            <v>45124</v>
          </cell>
          <cell r="F94">
            <v>106.35062370511052</v>
          </cell>
          <cell r="G94">
            <v>106.33591196993272</v>
          </cell>
        </row>
        <row r="95">
          <cell r="E95">
            <v>45125</v>
          </cell>
          <cell r="F95">
            <v>106.5545688017956</v>
          </cell>
          <cell r="G95">
            <v>106.6636070507858</v>
          </cell>
        </row>
        <row r="96">
          <cell r="E96">
            <v>45126</v>
          </cell>
          <cell r="F96">
            <v>107.00724059046964</v>
          </cell>
          <cell r="G96">
            <v>107.1463428967089</v>
          </cell>
        </row>
        <row r="97">
          <cell r="E97">
            <v>45127</v>
          </cell>
          <cell r="F97">
            <v>107.79496503798345</v>
          </cell>
          <cell r="G97">
            <v>107.90399704641672</v>
          </cell>
        </row>
        <row r="98">
          <cell r="E98">
            <v>45128</v>
          </cell>
          <cell r="F98">
            <v>106.53163846685085</v>
          </cell>
          <cell r="G98">
            <v>106.48654535513261</v>
          </cell>
        </row>
        <row r="99">
          <cell r="E99">
            <v>45131</v>
          </cell>
          <cell r="F99">
            <v>106.1396646236188</v>
          </cell>
          <cell r="G99">
            <v>106.00831270168553</v>
          </cell>
        </row>
        <row r="100">
          <cell r="E100">
            <v>45132</v>
          </cell>
          <cell r="F100">
            <v>106.18417645027625</v>
          </cell>
          <cell r="G100">
            <v>105.9618914941401</v>
          </cell>
        </row>
        <row r="101">
          <cell r="E101">
            <v>45133</v>
          </cell>
          <cell r="F101">
            <v>106.71130438535911</v>
          </cell>
          <cell r="G101">
            <v>106.52317770811136</v>
          </cell>
        </row>
        <row r="102">
          <cell r="E102">
            <v>45134</v>
          </cell>
          <cell r="F102">
            <v>106.072492230663</v>
          </cell>
          <cell r="G102">
            <v>105.81994511853937</v>
          </cell>
        </row>
        <row r="103">
          <cell r="E103">
            <v>45135</v>
          </cell>
          <cell r="F103">
            <v>105.99776631560773</v>
          </cell>
          <cell r="G103">
            <v>105.64968611790316</v>
          </cell>
        </row>
        <row r="104">
          <cell r="E104">
            <v>45138</v>
          </cell>
          <cell r="F104">
            <v>106.57911774861878</v>
          </cell>
          <cell r="G104">
            <v>106.2364904225719</v>
          </cell>
        </row>
        <row r="105">
          <cell r="E105">
            <v>45139</v>
          </cell>
          <cell r="F105">
            <v>106.4698614468232</v>
          </cell>
          <cell r="G105">
            <v>106.12732792694734</v>
          </cell>
        </row>
        <row r="106">
          <cell r="E106">
            <v>45140</v>
          </cell>
          <cell r="F106">
            <v>105.35301925069061</v>
          </cell>
          <cell r="G106">
            <v>105.04699288942713</v>
          </cell>
        </row>
        <row r="107">
          <cell r="E107">
            <v>45141</v>
          </cell>
          <cell r="F107">
            <v>104.5712297133978</v>
          </cell>
          <cell r="G107">
            <v>104.18132599536521</v>
          </cell>
        </row>
        <row r="108">
          <cell r="E108">
            <v>45142</v>
          </cell>
          <cell r="F108">
            <v>105.30149343922652</v>
          </cell>
          <cell r="G108">
            <v>104.94873706210443</v>
          </cell>
        </row>
        <row r="109">
          <cell r="E109">
            <v>45145</v>
          </cell>
          <cell r="F109">
            <v>105.7347418853591</v>
          </cell>
          <cell r="G109">
            <v>105.3195797531356</v>
          </cell>
        </row>
        <row r="110">
          <cell r="E110">
            <v>45146</v>
          </cell>
          <cell r="F110">
            <v>105.59203427140882</v>
          </cell>
          <cell r="G110">
            <v>105.14874587686417</v>
          </cell>
        </row>
        <row r="111">
          <cell r="E111">
            <v>45147</v>
          </cell>
          <cell r="F111">
            <v>105.92492878107734</v>
          </cell>
          <cell r="G111">
            <v>105.38717554657894</v>
          </cell>
        </row>
        <row r="112">
          <cell r="E112">
            <v>45148</v>
          </cell>
          <cell r="F112">
            <v>105.44231267265192</v>
          </cell>
          <cell r="G112">
            <v>104.89592834750079</v>
          </cell>
        </row>
        <row r="113">
          <cell r="E113">
            <v>45149</v>
          </cell>
          <cell r="F113">
            <v>104.82292386049723</v>
          </cell>
          <cell r="G113">
            <v>104.31222198375526</v>
          </cell>
        </row>
        <row r="114">
          <cell r="E114">
            <v>45152</v>
          </cell>
          <cell r="F114">
            <v>104.85664494129833</v>
          </cell>
          <cell r="G114">
            <v>104.43880640488103</v>
          </cell>
        </row>
        <row r="115">
          <cell r="E115">
            <v>45154</v>
          </cell>
          <cell r="F115">
            <v>105.02093404696133</v>
          </cell>
          <cell r="G115">
            <v>104.65837696000649</v>
          </cell>
        </row>
        <row r="116">
          <cell r="E116">
            <v>45155</v>
          </cell>
          <cell r="F116">
            <v>104.48274559737568</v>
          </cell>
          <cell r="G116">
            <v>104.03815002465572</v>
          </cell>
        </row>
        <row r="117">
          <cell r="E117">
            <v>45156</v>
          </cell>
          <cell r="F117">
            <v>104.18546054903315</v>
          </cell>
          <cell r="G117">
            <v>103.71500604258163</v>
          </cell>
        </row>
        <row r="118">
          <cell r="E118">
            <v>45159</v>
          </cell>
          <cell r="F118">
            <v>104.63570441988949</v>
          </cell>
          <cell r="G118">
            <v>104.14205879572492</v>
          </cell>
        </row>
        <row r="119">
          <cell r="E119">
            <v>45160</v>
          </cell>
          <cell r="F119">
            <v>104.65108123273481</v>
          </cell>
          <cell r="G119">
            <v>104.14835049017725</v>
          </cell>
        </row>
        <row r="120">
          <cell r="E120">
            <v>45161</v>
          </cell>
          <cell r="F120">
            <v>104.90763121546962</v>
          </cell>
          <cell r="G120">
            <v>104.48891639775259</v>
          </cell>
        </row>
        <row r="121">
          <cell r="E121">
            <v>45162</v>
          </cell>
          <cell r="F121">
            <v>104.59847634668509</v>
          </cell>
          <cell r="G121">
            <v>104.19994557843982</v>
          </cell>
        </row>
        <row r="122">
          <cell r="E122">
            <v>45163</v>
          </cell>
          <cell r="F122">
            <v>103.94617575966851</v>
          </cell>
          <cell r="G122">
            <v>103.61576015166493</v>
          </cell>
        </row>
        <row r="123">
          <cell r="E123">
            <v>45166</v>
          </cell>
          <cell r="F123">
            <v>104.16333952002762</v>
          </cell>
          <cell r="G123">
            <v>103.7915603146741</v>
          </cell>
        </row>
        <row r="124">
          <cell r="E124">
            <v>45167</v>
          </cell>
          <cell r="F124">
            <v>104.3608101691989</v>
          </cell>
          <cell r="G124">
            <v>103.91806489196165</v>
          </cell>
        </row>
        <row r="125">
          <cell r="E125">
            <v>45168</v>
          </cell>
          <cell r="F125">
            <v>104.38670795925414</v>
          </cell>
          <cell r="G125">
            <v>103.93631719338043</v>
          </cell>
        </row>
        <row r="126">
          <cell r="E126">
            <v>45169</v>
          </cell>
          <cell r="F126">
            <v>103.88143128453038</v>
          </cell>
          <cell r="G126">
            <v>103.52777224193827</v>
          </cell>
        </row>
        <row r="127">
          <cell r="E127">
            <v>45170</v>
          </cell>
          <cell r="F127">
            <v>104.86069147099447</v>
          </cell>
          <cell r="G127">
            <v>104.41523650383628</v>
          </cell>
        </row>
        <row r="128">
          <cell r="E128">
            <v>45173</v>
          </cell>
          <cell r="F128">
            <v>105.365158839779</v>
          </cell>
          <cell r="G128">
            <v>104.80005186655725</v>
          </cell>
        </row>
        <row r="129">
          <cell r="E129">
            <v>45174</v>
          </cell>
          <cell r="F129">
            <v>105.61388553176796</v>
          </cell>
          <cell r="G129">
            <v>105.04296875998041</v>
          </cell>
        </row>
        <row r="130">
          <cell r="E130">
            <v>45175</v>
          </cell>
          <cell r="F130">
            <v>105.80892826312154</v>
          </cell>
          <cell r="G130">
            <v>105.2030716243941</v>
          </cell>
        </row>
        <row r="131">
          <cell r="E131">
            <v>45176</v>
          </cell>
          <cell r="F131">
            <v>106.43479152279005</v>
          </cell>
          <cell r="G131">
            <v>105.81793305381598</v>
          </cell>
        </row>
        <row r="132">
          <cell r="E132">
            <v>45177</v>
          </cell>
          <cell r="F132">
            <v>106.93602166781768</v>
          </cell>
          <cell r="G132">
            <v>106.35025192327834</v>
          </cell>
        </row>
        <row r="133">
          <cell r="E133">
            <v>45180</v>
          </cell>
          <cell r="F133">
            <v>107.88776545234805</v>
          </cell>
          <cell r="G133">
            <v>107.19367432401008</v>
          </cell>
        </row>
        <row r="134">
          <cell r="E134">
            <v>45181</v>
          </cell>
          <cell r="F134">
            <v>107.8707700276243</v>
          </cell>
          <cell r="G134">
            <v>107.34386058371589</v>
          </cell>
        </row>
        <row r="135">
          <cell r="E135">
            <v>45182</v>
          </cell>
          <cell r="F135">
            <v>108.28513466850828</v>
          </cell>
          <cell r="G135">
            <v>107.73646870504787</v>
          </cell>
        </row>
        <row r="136">
          <cell r="E136">
            <v>45183</v>
          </cell>
          <cell r="F136">
            <v>108.46372151243092</v>
          </cell>
          <cell r="G136">
            <v>107.81952226557205</v>
          </cell>
        </row>
        <row r="137">
          <cell r="E137">
            <v>45184</v>
          </cell>
          <cell r="F137">
            <v>108.94525854627071</v>
          </cell>
          <cell r="G137">
            <v>108.32993198582479</v>
          </cell>
        </row>
        <row r="138">
          <cell r="E138">
            <v>45187</v>
          </cell>
          <cell r="F138">
            <v>108.62666177486187</v>
          </cell>
          <cell r="G138">
            <v>107.94382315292451</v>
          </cell>
        </row>
        <row r="139">
          <cell r="E139">
            <v>45189</v>
          </cell>
          <cell r="F139">
            <v>107.37547479281768</v>
          </cell>
          <cell r="G139">
            <v>106.67270924834364</v>
          </cell>
        </row>
        <row r="140">
          <cell r="E140">
            <v>45190</v>
          </cell>
          <cell r="F140">
            <v>106.51734072859115</v>
          </cell>
          <cell r="G140">
            <v>105.76153136649209</v>
          </cell>
        </row>
        <row r="141">
          <cell r="E141">
            <v>45191</v>
          </cell>
          <cell r="F141">
            <v>106.14991583218233</v>
          </cell>
          <cell r="G141">
            <v>105.40847788261797</v>
          </cell>
        </row>
        <row r="142">
          <cell r="E142">
            <v>45194</v>
          </cell>
          <cell r="F142">
            <v>106.15153444406079</v>
          </cell>
          <cell r="G142">
            <v>105.43169647077453</v>
          </cell>
        </row>
        <row r="143">
          <cell r="E143">
            <v>45195</v>
          </cell>
          <cell r="F143">
            <v>106.09839002071826</v>
          </cell>
          <cell r="G143">
            <v>105.30678877025152</v>
          </cell>
        </row>
        <row r="144">
          <cell r="E144">
            <v>45196</v>
          </cell>
          <cell r="F144">
            <v>106.37760056975139</v>
          </cell>
          <cell r="G144">
            <v>105.58339976340667</v>
          </cell>
        </row>
        <row r="145">
          <cell r="E145">
            <v>45197</v>
          </cell>
          <cell r="F145">
            <v>105.33683313190608</v>
          </cell>
          <cell r="G145">
            <v>104.608714092629</v>
          </cell>
        </row>
        <row r="146">
          <cell r="E146">
            <v>45198</v>
          </cell>
          <cell r="F146">
            <v>105.95595217541437</v>
          </cell>
          <cell r="G146">
            <v>105.11985837619345</v>
          </cell>
        </row>
        <row r="147">
          <cell r="E147">
            <v>45202</v>
          </cell>
          <cell r="F147">
            <v>105.36488907113261</v>
          </cell>
          <cell r="G147">
            <v>104.61475028679899</v>
          </cell>
        </row>
        <row r="148">
          <cell r="E148">
            <v>45203</v>
          </cell>
          <cell r="F148">
            <v>104.86500776933701</v>
          </cell>
          <cell r="G148">
            <v>104.15794771953216</v>
          </cell>
        </row>
        <row r="149">
          <cell r="E149">
            <v>45204</v>
          </cell>
          <cell r="F149">
            <v>105.45661041091159</v>
          </cell>
          <cell r="G149">
            <v>104.80552915385967</v>
          </cell>
        </row>
        <row r="150">
          <cell r="E150">
            <v>45205</v>
          </cell>
          <cell r="F150">
            <v>106.03796184392264</v>
          </cell>
          <cell r="G150">
            <v>105.38688810876131</v>
          </cell>
        </row>
        <row r="151">
          <cell r="E151">
            <v>45208</v>
          </cell>
          <cell r="F151">
            <v>105.27640495511048</v>
          </cell>
          <cell r="G151">
            <v>104.61521338106073</v>
          </cell>
        </row>
        <row r="152">
          <cell r="E152">
            <v>45209</v>
          </cell>
          <cell r="F152">
            <v>106.23408364986186</v>
          </cell>
          <cell r="G152">
            <v>105.52059460025698</v>
          </cell>
        </row>
        <row r="153">
          <cell r="E153">
            <v>45210</v>
          </cell>
          <cell r="F153">
            <v>106.88962146063535</v>
          </cell>
          <cell r="G153">
            <v>106.14926901369221</v>
          </cell>
        </row>
        <row r="154">
          <cell r="E154">
            <v>45211</v>
          </cell>
          <cell r="F154">
            <v>106.79601174033149</v>
          </cell>
          <cell r="G154">
            <v>106.04601496209646</v>
          </cell>
        </row>
        <row r="155">
          <cell r="E155">
            <v>45212</v>
          </cell>
          <cell r="F155">
            <v>106.5642804730663</v>
          </cell>
          <cell r="G155">
            <v>105.84536739663091</v>
          </cell>
        </row>
        <row r="156">
          <cell r="E156">
            <v>45215</v>
          </cell>
          <cell r="F156">
            <v>106.46014977555249</v>
          </cell>
          <cell r="G156">
            <v>105.66043309852849</v>
          </cell>
        </row>
        <row r="157">
          <cell r="E157">
            <v>45216</v>
          </cell>
          <cell r="F157">
            <v>106.8904307665746</v>
          </cell>
          <cell r="G157">
            <v>106.07747343435805</v>
          </cell>
        </row>
        <row r="158">
          <cell r="E158">
            <v>45217</v>
          </cell>
          <cell r="F158">
            <v>106.13292040745857</v>
          </cell>
          <cell r="G158">
            <v>105.19748255571814</v>
          </cell>
        </row>
        <row r="159">
          <cell r="E159">
            <v>45218</v>
          </cell>
          <cell r="F159">
            <v>105.88257510359118</v>
          </cell>
          <cell r="G159">
            <v>104.80180843099824</v>
          </cell>
        </row>
        <row r="160">
          <cell r="E160">
            <v>45219</v>
          </cell>
          <cell r="F160">
            <v>105.43988475483427</v>
          </cell>
          <cell r="G160">
            <v>104.43193983479344</v>
          </cell>
        </row>
        <row r="161">
          <cell r="E161">
            <v>45222</v>
          </cell>
          <cell r="F161">
            <v>104.03223195787294</v>
          </cell>
          <cell r="G161">
            <v>103.11333481523488</v>
          </cell>
        </row>
        <row r="162">
          <cell r="E162">
            <v>45224</v>
          </cell>
          <cell r="F162">
            <v>103.17113043853593</v>
          </cell>
          <cell r="G162">
            <v>102.27845570519347</v>
          </cell>
        </row>
        <row r="163">
          <cell r="E163">
            <v>45225</v>
          </cell>
          <cell r="F163">
            <v>101.74189614986189</v>
          </cell>
          <cell r="G163">
            <v>100.8398134592438</v>
          </cell>
        </row>
        <row r="164">
          <cell r="E164">
            <v>45226</v>
          </cell>
          <cell r="F164">
            <v>102.76701700621548</v>
          </cell>
          <cell r="G164">
            <v>101.85327129786471</v>
          </cell>
        </row>
        <row r="165">
          <cell r="E165">
            <v>45229</v>
          </cell>
          <cell r="F165">
            <v>103.27229368093924</v>
          </cell>
          <cell r="G165">
            <v>102.38000109865115</v>
          </cell>
        </row>
        <row r="166">
          <cell r="E166">
            <v>45230</v>
          </cell>
          <cell r="F166">
            <v>102.94155732044199</v>
          </cell>
          <cell r="G166">
            <v>102.0003915541826</v>
          </cell>
        </row>
      </sheetData>
      <sheetData sheetId="5">
        <row r="2">
          <cell r="B2" t="str">
            <v>ADT at BSE (LHS)</v>
          </cell>
        </row>
      </sheetData>
      <sheetData sheetId="6"/>
      <sheetData sheetId="7"/>
      <sheetData sheetId="8"/>
      <sheetData sheetId="9"/>
      <sheetData sheetId="10"/>
      <sheetData sheetId="1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w"/>
      <sheetName val="Raw - WFE"/>
      <sheetName val="WFE Pivot"/>
      <sheetName val="WFE Background"/>
      <sheetName val="Checking Pivot"/>
      <sheetName val="WFE Tables"/>
    </sheetNames>
    <sheetDataSet>
      <sheetData sheetId="0">
        <row r="2">
          <cell r="C2">
            <v>44409</v>
          </cell>
        </row>
      </sheetData>
      <sheetData sheetId="1" refreshError="1"/>
      <sheetData sheetId="2" refreshError="1"/>
      <sheetData sheetId="3" refreshError="1"/>
      <sheetData sheetId="4" refreshError="1"/>
      <sheetData sheetId="5"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w"/>
      <sheetName val="Raw - WFE"/>
      <sheetName val="WFE Pivot"/>
      <sheetName val="WFE Background"/>
      <sheetName val="Checking Pivot"/>
      <sheetName val="WFE Tables"/>
    </sheetNames>
    <sheetDataSet>
      <sheetData sheetId="0">
        <row r="2">
          <cell r="C2">
            <v>44409</v>
          </cell>
        </row>
      </sheetData>
      <sheetData sheetId="1" refreshError="1"/>
      <sheetData sheetId="2" refreshError="1"/>
      <sheetData sheetId="3" refreshError="1"/>
      <sheetData sheetId="4" refreshError="1"/>
      <sheetData sheetId="5"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2"/>
      <sheetName val="PE &amp;VOL"/>
      <sheetName val="bond"/>
      <sheetName val="currency"/>
      <sheetName val="Chart 1-GDP YoY"/>
      <sheetName val="GDP QoQ"/>
      <sheetName val="Annual CPI Inflation"/>
      <sheetName val="Unemployment Rate"/>
      <sheetName val="Benchmark Int Rate"/>
      <sheetName val="Chart 2"/>
      <sheetName val="Mcap"/>
      <sheetName val="Sheet1"/>
    </sheetNames>
    <sheetDataSet>
      <sheetData sheetId="0"/>
      <sheetData sheetId="1">
        <row r="1">
          <cell r="A1" t="str">
            <v xml:space="preserve">          Country</v>
          </cell>
          <cell r="B1" t="str">
            <v>Index</v>
          </cell>
          <cell r="C1">
            <v>0</v>
          </cell>
          <cell r="D1" t="str">
            <v>Volatility (Percent)</v>
          </cell>
          <cell r="E1">
            <v>0</v>
          </cell>
          <cell r="F1" t="str">
            <v>PE Ratio</v>
          </cell>
          <cell r="I1" t="str">
            <v>Return</v>
          </cell>
          <cell r="J1" t="str">
            <v>Volatility</v>
          </cell>
          <cell r="K1" t="str">
            <v>PE Ratio</v>
          </cell>
          <cell r="M1">
            <v>0</v>
          </cell>
          <cell r="N1">
            <v>0</v>
          </cell>
          <cell r="O1">
            <v>0</v>
          </cell>
          <cell r="Q1" t="str">
            <v>BEST_PE_RATIO</v>
          </cell>
        </row>
        <row r="2">
          <cell r="A2">
            <v>0</v>
          </cell>
          <cell r="B2">
            <v>0</v>
          </cell>
          <cell r="C2">
            <v>0</v>
          </cell>
          <cell r="D2">
            <v>43039</v>
          </cell>
          <cell r="E2">
            <v>0</v>
          </cell>
          <cell r="F2">
            <v>43039</v>
          </cell>
          <cell r="G2">
            <v>0</v>
          </cell>
          <cell r="H2">
            <v>0</v>
          </cell>
          <cell r="I2">
            <v>3</v>
          </cell>
          <cell r="J2">
            <v>4</v>
          </cell>
          <cell r="K2">
            <v>5</v>
          </cell>
          <cell r="M2" t="str">
            <v>Previous month last date</v>
          </cell>
          <cell r="N2">
            <v>0</v>
          </cell>
          <cell r="O2">
            <v>43007</v>
          </cell>
        </row>
        <row r="3">
          <cell r="A3" t="str">
            <v>Developed Markets</v>
          </cell>
          <cell r="B3">
            <v>0</v>
          </cell>
          <cell r="C3">
            <v>0</v>
          </cell>
          <cell r="D3">
            <v>0</v>
          </cell>
          <cell r="E3">
            <v>0</v>
          </cell>
          <cell r="F3">
            <v>0</v>
          </cell>
          <cell r="I3">
            <v>0</v>
          </cell>
          <cell r="J3">
            <v>0</v>
          </cell>
          <cell r="K3">
            <v>0</v>
          </cell>
          <cell r="M3" t="str">
            <v>Last Month</v>
          </cell>
          <cell r="N3">
            <v>43009</v>
          </cell>
          <cell r="O3">
            <v>43039</v>
          </cell>
        </row>
        <row r="4">
          <cell r="A4" t="str">
            <v>Australia</v>
          </cell>
          <cell r="B4" t="str">
            <v>All  Ordinaries</v>
          </cell>
          <cell r="C4">
            <v>0</v>
          </cell>
          <cell r="D4">
            <v>0.41643323677708621</v>
          </cell>
          <cell r="E4">
            <v>0</v>
          </cell>
          <cell r="F4">
            <v>16.396699999999999</v>
          </cell>
          <cell r="I4">
            <v>4.0302433617227527</v>
          </cell>
          <cell r="J4">
            <v>0.41643323677708621</v>
          </cell>
          <cell r="K4">
            <v>16.396699999999999</v>
          </cell>
          <cell r="L4" t="str">
            <v>AS30 Index</v>
          </cell>
          <cell r="Q4">
            <v>16.396699999999999</v>
          </cell>
        </row>
        <row r="5">
          <cell r="A5" t="str">
            <v xml:space="preserve">France </v>
          </cell>
          <cell r="B5" t="str">
            <v xml:space="preserve">CAC 40 </v>
          </cell>
          <cell r="C5">
            <v>0</v>
          </cell>
          <cell r="D5">
            <v>0.40107215617501352</v>
          </cell>
          <cell r="E5">
            <v>0</v>
          </cell>
          <cell r="F5">
            <v>16.1205</v>
          </cell>
          <cell r="I5">
            <v>3.2549002684898625</v>
          </cell>
          <cell r="J5">
            <v>0.40107215617501352</v>
          </cell>
          <cell r="K5">
            <v>16.1205</v>
          </cell>
          <cell r="L5" t="str">
            <v>CAC Index</v>
          </cell>
          <cell r="N5">
            <v>0</v>
          </cell>
          <cell r="Q5">
            <v>16.1205</v>
          </cell>
        </row>
        <row r="6">
          <cell r="A6" t="str">
            <v xml:space="preserve">Germany </v>
          </cell>
          <cell r="B6" t="str">
            <v>Dax</v>
          </cell>
          <cell r="C6">
            <v>0</v>
          </cell>
          <cell r="D6">
            <v>0.40723069887382413</v>
          </cell>
          <cell r="E6">
            <v>0</v>
          </cell>
          <cell r="F6">
            <v>14.925699999999999</v>
          </cell>
          <cell r="I6">
            <v>3.1235043487885839</v>
          </cell>
          <cell r="J6">
            <v>0.40723069887382413</v>
          </cell>
          <cell r="K6">
            <v>14.925699999999999</v>
          </cell>
          <cell r="L6" t="str">
            <v>DAX Index</v>
          </cell>
          <cell r="M6" t="str">
            <v>Daily Return</v>
          </cell>
          <cell r="N6" t="str">
            <v>CHG_PCT_1D</v>
          </cell>
          <cell r="Q6">
            <v>14.925699999999999</v>
          </cell>
        </row>
        <row r="7">
          <cell r="A7" t="str">
            <v xml:space="preserve">Hong Kong </v>
          </cell>
          <cell r="B7" t="str">
            <v xml:space="preserve">Hang Seng </v>
          </cell>
          <cell r="C7">
            <v>0</v>
          </cell>
          <cell r="D7">
            <v>0.85098456909752784</v>
          </cell>
          <cell r="E7">
            <v>0</v>
          </cell>
          <cell r="F7">
            <v>12.827999999999999</v>
          </cell>
          <cell r="I7">
            <v>2.5086465633313191</v>
          </cell>
          <cell r="J7">
            <v>0.85098456909752784</v>
          </cell>
          <cell r="K7">
            <v>12.827999999999999</v>
          </cell>
          <cell r="L7" t="str">
            <v>HSI Index</v>
          </cell>
          <cell r="N7">
            <v>0</v>
          </cell>
          <cell r="Q7">
            <v>12.827999999999999</v>
          </cell>
        </row>
      </sheetData>
      <sheetData sheetId="2"/>
      <sheetData sheetId="3"/>
      <sheetData sheetId="4"/>
      <sheetData sheetId="5"/>
      <sheetData sheetId="6"/>
      <sheetData sheetId="7"/>
      <sheetData sheetId="8"/>
      <sheetData sheetId="9"/>
      <sheetData sheetId="10"/>
      <sheetData sheetId="1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2"/>
      <sheetName val="PE &amp;VOL"/>
      <sheetName val="bond"/>
      <sheetName val="currency"/>
      <sheetName val="Chart 1-GDP YoY"/>
      <sheetName val="GDP QoQ"/>
      <sheetName val="Annual CPI Inflation"/>
      <sheetName val="Unemployment Rate"/>
      <sheetName val="Benchmark Int Rate"/>
      <sheetName val="Chart 2"/>
      <sheetName val="Mcap"/>
      <sheetName val="Sheet1"/>
    </sheetNames>
    <sheetDataSet>
      <sheetData sheetId="0"/>
      <sheetData sheetId="1">
        <row r="1">
          <cell r="A1" t="str">
            <v xml:space="preserve">          Country</v>
          </cell>
          <cell r="B1" t="str">
            <v>Index</v>
          </cell>
          <cell r="C1">
            <v>0</v>
          </cell>
          <cell r="D1" t="str">
            <v>Volatility (Percent)</v>
          </cell>
          <cell r="E1">
            <v>0</v>
          </cell>
          <cell r="F1" t="str">
            <v>PE Ratio</v>
          </cell>
          <cell r="I1" t="str">
            <v>Return</v>
          </cell>
          <cell r="J1" t="str">
            <v>Volatility</v>
          </cell>
          <cell r="K1" t="str">
            <v>PE Ratio</v>
          </cell>
          <cell r="M1">
            <v>0</v>
          </cell>
          <cell r="N1">
            <v>0</v>
          </cell>
          <cell r="O1">
            <v>0</v>
          </cell>
          <cell r="Q1" t="str">
            <v>BEST_PE_RATIO</v>
          </cell>
        </row>
        <row r="2">
          <cell r="A2">
            <v>0</v>
          </cell>
          <cell r="B2">
            <v>0</v>
          </cell>
          <cell r="C2">
            <v>0</v>
          </cell>
          <cell r="D2">
            <v>43039</v>
          </cell>
          <cell r="E2">
            <v>0</v>
          </cell>
          <cell r="F2">
            <v>43039</v>
          </cell>
          <cell r="G2">
            <v>0</v>
          </cell>
          <cell r="H2">
            <v>0</v>
          </cell>
          <cell r="I2">
            <v>3</v>
          </cell>
          <cell r="J2">
            <v>4</v>
          </cell>
          <cell r="K2">
            <v>5</v>
          </cell>
          <cell r="M2" t="str">
            <v>Previous month last date</v>
          </cell>
          <cell r="N2">
            <v>0</v>
          </cell>
          <cell r="O2">
            <v>43007</v>
          </cell>
        </row>
        <row r="3">
          <cell r="A3" t="str">
            <v>Developed Markets</v>
          </cell>
          <cell r="B3">
            <v>0</v>
          </cell>
          <cell r="C3">
            <v>0</v>
          </cell>
          <cell r="D3">
            <v>0</v>
          </cell>
          <cell r="E3">
            <v>0</v>
          </cell>
          <cell r="F3">
            <v>0</v>
          </cell>
          <cell r="I3">
            <v>0</v>
          </cell>
          <cell r="J3">
            <v>0</v>
          </cell>
          <cell r="K3">
            <v>0</v>
          </cell>
          <cell r="M3" t="str">
            <v>Last Month</v>
          </cell>
          <cell r="N3">
            <v>43009</v>
          </cell>
          <cell r="O3">
            <v>43039</v>
          </cell>
        </row>
        <row r="4">
          <cell r="A4" t="str">
            <v>Australia</v>
          </cell>
          <cell r="B4" t="str">
            <v>All  Ordinaries</v>
          </cell>
          <cell r="C4">
            <v>0</v>
          </cell>
          <cell r="D4">
            <v>0.41643323677708621</v>
          </cell>
          <cell r="E4">
            <v>0</v>
          </cell>
          <cell r="F4">
            <v>16.396699999999999</v>
          </cell>
          <cell r="I4">
            <v>4.0302433617227527</v>
          </cell>
          <cell r="J4">
            <v>0.41643323677708621</v>
          </cell>
          <cell r="K4">
            <v>16.396699999999999</v>
          </cell>
          <cell r="L4" t="str">
            <v>AS30 Index</v>
          </cell>
          <cell r="Q4">
            <v>16.396699999999999</v>
          </cell>
        </row>
        <row r="5">
          <cell r="A5" t="str">
            <v xml:space="preserve">France </v>
          </cell>
          <cell r="B5" t="str">
            <v xml:space="preserve">CAC 40 </v>
          </cell>
          <cell r="C5">
            <v>0</v>
          </cell>
          <cell r="D5">
            <v>0.40107215617501352</v>
          </cell>
          <cell r="E5">
            <v>0</v>
          </cell>
          <cell r="F5">
            <v>16.1205</v>
          </cell>
          <cell r="I5">
            <v>3.2549002684898625</v>
          </cell>
          <cell r="J5">
            <v>0.40107215617501352</v>
          </cell>
          <cell r="K5">
            <v>16.1205</v>
          </cell>
          <cell r="L5" t="str">
            <v>CAC Index</v>
          </cell>
          <cell r="N5">
            <v>0</v>
          </cell>
          <cell r="Q5">
            <v>16.1205</v>
          </cell>
        </row>
        <row r="6">
          <cell r="A6" t="str">
            <v xml:space="preserve">Germany </v>
          </cell>
          <cell r="B6" t="str">
            <v>Dax</v>
          </cell>
          <cell r="C6">
            <v>0</v>
          </cell>
          <cell r="D6">
            <v>0.40723069887382413</v>
          </cell>
          <cell r="E6">
            <v>0</v>
          </cell>
          <cell r="F6">
            <v>14.925699999999999</v>
          </cell>
          <cell r="I6">
            <v>3.1235043487885839</v>
          </cell>
          <cell r="J6">
            <v>0.40723069887382413</v>
          </cell>
          <cell r="K6">
            <v>14.925699999999999</v>
          </cell>
          <cell r="L6" t="str">
            <v>DAX Index</v>
          </cell>
          <cell r="M6" t="str">
            <v>Daily Return</v>
          </cell>
          <cell r="N6" t="str">
            <v>CHG_PCT_1D</v>
          </cell>
          <cell r="Q6">
            <v>14.925699999999999</v>
          </cell>
        </row>
        <row r="7">
          <cell r="A7" t="str">
            <v xml:space="preserve">Hong Kong </v>
          </cell>
          <cell r="B7" t="str">
            <v xml:space="preserve">Hang Seng </v>
          </cell>
          <cell r="C7">
            <v>0</v>
          </cell>
          <cell r="D7">
            <v>0.85098456909752784</v>
          </cell>
          <cell r="E7">
            <v>0</v>
          </cell>
          <cell r="F7">
            <v>12.827999999999999</v>
          </cell>
          <cell r="I7">
            <v>2.5086465633313191</v>
          </cell>
          <cell r="J7">
            <v>0.85098456909752784</v>
          </cell>
          <cell r="K7">
            <v>12.827999999999999</v>
          </cell>
          <cell r="L7" t="str">
            <v>HSI Index</v>
          </cell>
          <cell r="N7">
            <v>0</v>
          </cell>
          <cell r="Q7">
            <v>12.827999999999999</v>
          </cell>
        </row>
      </sheetData>
      <sheetData sheetId="2"/>
      <sheetData sheetId="3"/>
      <sheetData sheetId="4"/>
      <sheetData sheetId="5"/>
      <sheetData sheetId="6"/>
      <sheetData sheetId="7"/>
      <sheetData sheetId="8"/>
      <sheetData sheetId="9"/>
      <sheetData sheetId="10"/>
      <sheetData sheetId="1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56.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58.bin"/></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59.bin"/></Relationships>
</file>

<file path=xl/worksheets/_rels/sheet61.xml.rels><?xml version="1.0" encoding="UTF-8" standalone="yes"?>
<Relationships xmlns="http://schemas.openxmlformats.org/package/2006/relationships"><Relationship Id="rId1" Type="http://schemas.openxmlformats.org/officeDocument/2006/relationships/printerSettings" Target="../printerSettings/printerSettings60.bin"/></Relationships>
</file>

<file path=xl/worksheets/_rels/sheet62.xml.rels><?xml version="1.0" encoding="UTF-8" standalone="yes"?>
<Relationships xmlns="http://schemas.openxmlformats.org/package/2006/relationships"><Relationship Id="rId1" Type="http://schemas.openxmlformats.org/officeDocument/2006/relationships/printerSettings" Target="../printerSettings/printerSettings61.bin"/></Relationships>
</file>

<file path=xl/worksheets/_rels/sheet63.xml.rels><?xml version="1.0" encoding="UTF-8" standalone="yes"?>
<Relationships xmlns="http://schemas.openxmlformats.org/package/2006/relationships"><Relationship Id="rId1" Type="http://schemas.openxmlformats.org/officeDocument/2006/relationships/printerSettings" Target="../printerSettings/printerSettings62.bin"/></Relationships>
</file>

<file path=xl/worksheets/_rels/sheet64.xml.rels><?xml version="1.0" encoding="UTF-8" standalone="yes"?>
<Relationships xmlns="http://schemas.openxmlformats.org/package/2006/relationships"><Relationship Id="rId1" Type="http://schemas.openxmlformats.org/officeDocument/2006/relationships/printerSettings" Target="../printerSettings/printerSettings63.bin"/></Relationships>
</file>

<file path=xl/worksheets/_rels/sheet65.xml.rels><?xml version="1.0" encoding="UTF-8" standalone="yes"?>
<Relationships xmlns="http://schemas.openxmlformats.org/package/2006/relationships"><Relationship Id="rId1" Type="http://schemas.openxmlformats.org/officeDocument/2006/relationships/printerSettings" Target="../printerSettings/printerSettings64.bin"/></Relationships>
</file>

<file path=xl/worksheets/_rels/sheet66.xml.rels><?xml version="1.0" encoding="UTF-8" standalone="yes"?>
<Relationships xmlns="http://schemas.openxmlformats.org/package/2006/relationships"><Relationship Id="rId1" Type="http://schemas.openxmlformats.org/officeDocument/2006/relationships/printerSettings" Target="../printerSettings/printerSettings65.bin"/></Relationships>
</file>

<file path=xl/worksheets/_rels/sheet67.xml.rels><?xml version="1.0" encoding="UTF-8" standalone="yes"?>
<Relationships xmlns="http://schemas.openxmlformats.org/package/2006/relationships"><Relationship Id="rId1" Type="http://schemas.openxmlformats.org/officeDocument/2006/relationships/printerSettings" Target="../printerSettings/printerSettings66.bin"/></Relationships>
</file>

<file path=xl/worksheets/_rels/sheet68.xml.rels><?xml version="1.0" encoding="UTF-8" standalone="yes"?>
<Relationships xmlns="http://schemas.openxmlformats.org/package/2006/relationships"><Relationship Id="rId1" Type="http://schemas.openxmlformats.org/officeDocument/2006/relationships/printerSettings" Target="../printerSettings/printerSettings67.bin"/></Relationships>
</file>

<file path=xl/worksheets/_rels/sheet69.xml.rels><?xml version="1.0" encoding="UTF-8" standalone="yes"?>
<Relationships xmlns="http://schemas.openxmlformats.org/package/2006/relationships"><Relationship Id="rId1" Type="http://schemas.openxmlformats.org/officeDocument/2006/relationships/printerSettings" Target="../printerSettings/printerSettings68.bin"/></Relationships>
</file>

<file path=xl/worksheets/_rels/sheet70.xml.rels><?xml version="1.0" encoding="UTF-8" standalone="yes"?>
<Relationships xmlns="http://schemas.openxmlformats.org/package/2006/relationships"><Relationship Id="rId1" Type="http://schemas.openxmlformats.org/officeDocument/2006/relationships/printerSettings" Target="../printerSettings/printerSettings69.bin"/></Relationships>
</file>

<file path=xl/worksheets/_rels/sheet71.xml.rels><?xml version="1.0" encoding="UTF-8" standalone="yes"?>
<Relationships xmlns="http://schemas.openxmlformats.org/package/2006/relationships"><Relationship Id="rId1" Type="http://schemas.openxmlformats.org/officeDocument/2006/relationships/printerSettings" Target="../printerSettings/printerSettings70.bin"/></Relationships>
</file>

<file path=xl/worksheets/_rels/sheet72.xml.rels><?xml version="1.0" encoding="UTF-8" standalone="yes"?>
<Relationships xmlns="http://schemas.openxmlformats.org/package/2006/relationships"><Relationship Id="rId1" Type="http://schemas.openxmlformats.org/officeDocument/2006/relationships/printerSettings" Target="../printerSettings/printerSettings71.bin"/></Relationships>
</file>

<file path=xl/worksheets/_rels/sheet73.xml.rels><?xml version="1.0" encoding="UTF-8" standalone="yes"?>
<Relationships xmlns="http://schemas.openxmlformats.org/package/2006/relationships"><Relationship Id="rId1" Type="http://schemas.openxmlformats.org/officeDocument/2006/relationships/printerSettings" Target="../printerSettings/printerSettings72.bin"/></Relationships>
</file>

<file path=xl/worksheets/_rels/sheet74.xml.rels><?xml version="1.0" encoding="UTF-8" standalone="yes"?>
<Relationships xmlns="http://schemas.openxmlformats.org/package/2006/relationships"><Relationship Id="rId1" Type="http://schemas.openxmlformats.org/officeDocument/2006/relationships/printerSettings" Target="../printerSettings/printerSettings73.bin"/></Relationships>
</file>

<file path=xl/worksheets/_rels/sheet75.xml.rels><?xml version="1.0" encoding="UTF-8" standalone="yes"?>
<Relationships xmlns="http://schemas.openxmlformats.org/package/2006/relationships"><Relationship Id="rId1" Type="http://schemas.openxmlformats.org/officeDocument/2006/relationships/printerSettings" Target="../printerSettings/printerSettings7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A75"/>
  <sheetViews>
    <sheetView showGridLines="0" tabSelected="1" workbookViewId="0"/>
  </sheetViews>
  <sheetFormatPr defaultRowHeight="15.75"/>
  <cols>
    <col min="1" max="1" width="109.85546875" style="3" customWidth="1"/>
    <col min="2" max="16384" width="9.140625" style="1"/>
  </cols>
  <sheetData>
    <row r="1" spans="1:1" s="2" customFormat="1" ht="18.75" customHeight="1">
      <c r="A1" s="195" t="s">
        <v>0</v>
      </c>
    </row>
    <row r="2" spans="1:1" s="2" customFormat="1" ht="18" customHeight="1">
      <c r="A2" s="127" t="s">
        <v>1</v>
      </c>
    </row>
    <row r="3" spans="1:1" s="2" customFormat="1" ht="18" customHeight="1">
      <c r="A3" s="127" t="s">
        <v>2</v>
      </c>
    </row>
    <row r="4" spans="1:1" s="2" customFormat="1" ht="18" customHeight="1">
      <c r="A4" s="127" t="s">
        <v>3</v>
      </c>
    </row>
    <row r="5" spans="1:1" s="197" customFormat="1" ht="18" customHeight="1">
      <c r="A5" s="127" t="s">
        <v>695</v>
      </c>
    </row>
    <row r="6" spans="1:1" s="2" customFormat="1" ht="18" customHeight="1">
      <c r="A6" s="127" t="s">
        <v>686</v>
      </c>
    </row>
    <row r="7" spans="1:1" s="2" customFormat="1" ht="18" customHeight="1">
      <c r="A7" s="162" t="s">
        <v>687</v>
      </c>
    </row>
    <row r="8" spans="1:1" s="2" customFormat="1" ht="18" customHeight="1">
      <c r="A8" s="127" t="s">
        <v>4</v>
      </c>
    </row>
    <row r="9" spans="1:1" s="2" customFormat="1" ht="18" customHeight="1">
      <c r="A9" s="127" t="s">
        <v>5</v>
      </c>
    </row>
    <row r="10" spans="1:1" s="2" customFormat="1" ht="18" customHeight="1">
      <c r="A10" s="127" t="s">
        <v>6</v>
      </c>
    </row>
    <row r="11" spans="1:1" s="2" customFormat="1" ht="18" customHeight="1">
      <c r="A11" s="127" t="s">
        <v>7</v>
      </c>
    </row>
    <row r="12" spans="1:1" s="2" customFormat="1" ht="18" customHeight="1">
      <c r="A12" s="127" t="s">
        <v>8</v>
      </c>
    </row>
    <row r="13" spans="1:1" s="2" customFormat="1" ht="18" customHeight="1">
      <c r="A13" s="127" t="s">
        <v>702</v>
      </c>
    </row>
    <row r="14" spans="1:1" s="2" customFormat="1" ht="18" customHeight="1">
      <c r="A14" s="127" t="s">
        <v>9</v>
      </c>
    </row>
    <row r="15" spans="1:1" s="2" customFormat="1" ht="18" customHeight="1">
      <c r="A15" s="127" t="s">
        <v>10</v>
      </c>
    </row>
    <row r="16" spans="1:1" s="2" customFormat="1" ht="18" customHeight="1">
      <c r="A16" s="127" t="s">
        <v>11</v>
      </c>
    </row>
    <row r="17" spans="1:1" s="2" customFormat="1" ht="18" customHeight="1">
      <c r="A17" s="127" t="s">
        <v>12</v>
      </c>
    </row>
    <row r="18" spans="1:1" s="2" customFormat="1" ht="18" customHeight="1">
      <c r="A18" s="127" t="s">
        <v>13</v>
      </c>
    </row>
    <row r="19" spans="1:1" s="2" customFormat="1" ht="18" customHeight="1">
      <c r="A19" s="127" t="s">
        <v>14</v>
      </c>
    </row>
    <row r="20" spans="1:1" s="2" customFormat="1" ht="18" customHeight="1">
      <c r="A20" s="127" t="s">
        <v>15</v>
      </c>
    </row>
    <row r="21" spans="1:1" s="2" customFormat="1" ht="18" customHeight="1">
      <c r="A21" s="127" t="s">
        <v>16</v>
      </c>
    </row>
    <row r="22" spans="1:1" s="2" customFormat="1" ht="18" customHeight="1">
      <c r="A22" s="127" t="s">
        <v>17</v>
      </c>
    </row>
    <row r="23" spans="1:1" s="2" customFormat="1" ht="18" customHeight="1">
      <c r="A23" s="127" t="s">
        <v>18</v>
      </c>
    </row>
    <row r="24" spans="1:1" s="2" customFormat="1" ht="18" customHeight="1">
      <c r="A24" s="127" t="s">
        <v>19</v>
      </c>
    </row>
    <row r="25" spans="1:1" s="2" customFormat="1" ht="18" customHeight="1">
      <c r="A25" s="127" t="s">
        <v>20</v>
      </c>
    </row>
    <row r="26" spans="1:1" s="2" customFormat="1" ht="18" customHeight="1">
      <c r="A26" s="127" t="s">
        <v>21</v>
      </c>
    </row>
    <row r="27" spans="1:1" s="2" customFormat="1" ht="18" customHeight="1">
      <c r="A27" s="127" t="s">
        <v>22</v>
      </c>
    </row>
    <row r="28" spans="1:1" s="2" customFormat="1" ht="18" customHeight="1">
      <c r="A28" s="127" t="s">
        <v>23</v>
      </c>
    </row>
    <row r="29" spans="1:1" s="2" customFormat="1" ht="18" customHeight="1">
      <c r="A29" s="127" t="s">
        <v>24</v>
      </c>
    </row>
    <row r="30" spans="1:1" s="2" customFormat="1" ht="18" customHeight="1">
      <c r="A30" s="127" t="s">
        <v>25</v>
      </c>
    </row>
    <row r="31" spans="1:1" s="2" customFormat="1" ht="18" customHeight="1">
      <c r="A31" s="127" t="s">
        <v>26</v>
      </c>
    </row>
    <row r="32" spans="1:1" s="2" customFormat="1" ht="18" customHeight="1">
      <c r="A32" s="127" t="s">
        <v>27</v>
      </c>
    </row>
    <row r="33" spans="1:1" s="2" customFormat="1" ht="18" customHeight="1">
      <c r="A33" s="127" t="s">
        <v>28</v>
      </c>
    </row>
    <row r="34" spans="1:1" s="2" customFormat="1" ht="18" customHeight="1">
      <c r="A34" s="127" t="s">
        <v>29</v>
      </c>
    </row>
    <row r="35" spans="1:1" s="2" customFormat="1" ht="18" customHeight="1">
      <c r="A35" s="127" t="s">
        <v>30</v>
      </c>
    </row>
    <row r="36" spans="1:1" s="2" customFormat="1" ht="18" customHeight="1">
      <c r="A36" s="127" t="s">
        <v>31</v>
      </c>
    </row>
    <row r="37" spans="1:1" s="2" customFormat="1" ht="18" customHeight="1">
      <c r="A37" s="127" t="s">
        <v>32</v>
      </c>
    </row>
    <row r="38" spans="1:1" s="2" customFormat="1" ht="18" customHeight="1">
      <c r="A38" s="127" t="s">
        <v>33</v>
      </c>
    </row>
    <row r="39" spans="1:1" s="2" customFormat="1" ht="18" customHeight="1">
      <c r="A39" s="127" t="s">
        <v>34</v>
      </c>
    </row>
    <row r="40" spans="1:1" s="2" customFormat="1" ht="18" customHeight="1">
      <c r="A40" s="127" t="s">
        <v>35</v>
      </c>
    </row>
    <row r="41" spans="1:1" s="2" customFormat="1" ht="18" customHeight="1">
      <c r="A41" s="127" t="s">
        <v>36</v>
      </c>
    </row>
    <row r="42" spans="1:1" s="2" customFormat="1" ht="18" customHeight="1">
      <c r="A42" s="127" t="s">
        <v>37</v>
      </c>
    </row>
    <row r="43" spans="1:1" s="2" customFormat="1" ht="18" customHeight="1">
      <c r="A43" s="127" t="s">
        <v>38</v>
      </c>
    </row>
    <row r="44" spans="1:1" s="2" customFormat="1" ht="18" customHeight="1">
      <c r="A44" s="127" t="s">
        <v>39</v>
      </c>
    </row>
    <row r="45" spans="1:1" s="2" customFormat="1" ht="18" customHeight="1">
      <c r="A45" s="127" t="s">
        <v>40</v>
      </c>
    </row>
    <row r="46" spans="1:1" s="2" customFormat="1" ht="18" customHeight="1">
      <c r="A46" s="127" t="s">
        <v>41</v>
      </c>
    </row>
    <row r="47" spans="1:1" s="2" customFormat="1" ht="18" customHeight="1">
      <c r="A47" s="127" t="s">
        <v>42</v>
      </c>
    </row>
    <row r="48" spans="1:1" s="2" customFormat="1" ht="18" customHeight="1">
      <c r="A48" s="127" t="s">
        <v>43</v>
      </c>
    </row>
    <row r="49" spans="1:1" s="2" customFormat="1" ht="18" customHeight="1">
      <c r="A49" s="127" t="s">
        <v>44</v>
      </c>
    </row>
    <row r="50" spans="1:1" s="2" customFormat="1" ht="18" customHeight="1">
      <c r="A50" s="127" t="s">
        <v>45</v>
      </c>
    </row>
    <row r="51" spans="1:1" s="2" customFormat="1" ht="18" customHeight="1">
      <c r="A51" s="127" t="s">
        <v>46</v>
      </c>
    </row>
    <row r="52" spans="1:1" s="2" customFormat="1" ht="18" customHeight="1">
      <c r="A52" s="127" t="s">
        <v>47</v>
      </c>
    </row>
    <row r="53" spans="1:1" s="2" customFormat="1" ht="18" customHeight="1">
      <c r="A53" s="127" t="s">
        <v>48</v>
      </c>
    </row>
    <row r="54" spans="1:1" s="2" customFormat="1" ht="18" customHeight="1">
      <c r="A54" s="127" t="s">
        <v>49</v>
      </c>
    </row>
    <row r="55" spans="1:1" s="2" customFormat="1" ht="18" customHeight="1">
      <c r="A55" s="127" t="s">
        <v>50</v>
      </c>
    </row>
    <row r="56" spans="1:1" s="2" customFormat="1" ht="18" customHeight="1">
      <c r="A56" s="127" t="s">
        <v>51</v>
      </c>
    </row>
    <row r="57" spans="1:1" s="2" customFormat="1" ht="18" customHeight="1">
      <c r="A57" s="127" t="s">
        <v>52</v>
      </c>
    </row>
    <row r="58" spans="1:1" s="2" customFormat="1" ht="18" customHeight="1">
      <c r="A58" s="127" t="s">
        <v>53</v>
      </c>
    </row>
    <row r="59" spans="1:1" s="2" customFormat="1" ht="18" customHeight="1">
      <c r="A59" s="127" t="s">
        <v>54</v>
      </c>
    </row>
    <row r="60" spans="1:1" s="2" customFormat="1" ht="18" customHeight="1">
      <c r="A60" s="127" t="s">
        <v>55</v>
      </c>
    </row>
    <row r="61" spans="1:1" s="2" customFormat="1" ht="18" customHeight="1">
      <c r="A61" s="127" t="s">
        <v>56</v>
      </c>
    </row>
    <row r="62" spans="1:1" s="2" customFormat="1" ht="18" customHeight="1">
      <c r="A62" s="127" t="s">
        <v>57</v>
      </c>
    </row>
    <row r="63" spans="1:1" s="2" customFormat="1" ht="18" customHeight="1">
      <c r="A63" s="127" t="s">
        <v>58</v>
      </c>
    </row>
    <row r="64" spans="1:1" s="2" customFormat="1" ht="18" customHeight="1">
      <c r="A64" s="127" t="s">
        <v>59</v>
      </c>
    </row>
    <row r="65" spans="1:1" s="2" customFormat="1" ht="18" customHeight="1">
      <c r="A65" s="127" t="s">
        <v>60</v>
      </c>
    </row>
    <row r="66" spans="1:1" s="2" customFormat="1" ht="18" customHeight="1">
      <c r="A66" s="127" t="s">
        <v>61</v>
      </c>
    </row>
    <row r="67" spans="1:1" s="2" customFormat="1" ht="18" customHeight="1">
      <c r="A67" s="127" t="s">
        <v>62</v>
      </c>
    </row>
    <row r="68" spans="1:1" s="2" customFormat="1" ht="18" customHeight="1">
      <c r="A68" s="127" t="s">
        <v>63</v>
      </c>
    </row>
    <row r="69" spans="1:1" s="2" customFormat="1" ht="18" customHeight="1">
      <c r="A69" s="127" t="s">
        <v>64</v>
      </c>
    </row>
    <row r="70" spans="1:1" s="2" customFormat="1" ht="18" customHeight="1">
      <c r="A70" s="127" t="s">
        <v>65</v>
      </c>
    </row>
    <row r="71" spans="1:1" s="2" customFormat="1" ht="18" customHeight="1">
      <c r="A71" s="127" t="s">
        <v>66</v>
      </c>
    </row>
    <row r="72" spans="1:1" s="2" customFormat="1" ht="18" customHeight="1">
      <c r="A72" s="127" t="s">
        <v>67</v>
      </c>
    </row>
    <row r="73" spans="1:1" s="2" customFormat="1" ht="18" customHeight="1">
      <c r="A73" s="127" t="s">
        <v>68</v>
      </c>
    </row>
    <row r="74" spans="1:1" s="2" customFormat="1" ht="18" customHeight="1">
      <c r="A74" s="680" t="s">
        <v>69</v>
      </c>
    </row>
    <row r="75" spans="1:1" s="2" customFormat="1" ht="15">
      <c r="A75" s="681" t="s">
        <v>70</v>
      </c>
    </row>
  </sheetData>
  <hyperlinks>
    <hyperlink ref="A2" location="'1'!A1" display="Table 1: SEBI Registered Market Intermediaries/Institutions"/>
    <hyperlink ref="A3" location="'2'!A1" display="Table 2: Company-Wise Capital Raised through Public and Rights Issues (Equity)"/>
    <hyperlink ref="A4" location="'3'!A1" display="Table 3: Offers closed during the month under SEBI (SAST), 2011"/>
    <hyperlink ref="A5" location="'4'!A1" display="Table 4: Trends in Open Offers"/>
    <hyperlink ref="A6" location="'5'!A1" display="Table 5A: Consolidated Resource Mobilisation through Primary Market"/>
    <hyperlink ref="A8" location="'7'!A1" display="Table 7: Industry-wise Classification of Capital Raised through Public and Rights Issues (Equity)"/>
    <hyperlink ref="A9" location="'8'!A1" display="Table 8: Sector-wise and Region-wise Distribution of Capital Mobilised through Public and Rights Issues (Equity)"/>
    <hyperlink ref="A10" location="'9'!A1" display="Table 9: Size-wise Classification of Capital Raised through Public and Rights Issues (Equity)"/>
    <hyperlink ref="A11" location="'10'!A1" display="Table 10: Capital Raised by Listed Companies from the Primary Market through QIPs"/>
    <hyperlink ref="A12" location="'11'!A1" display="Table 11: Preferential Allotments Listed at BSE and NSE"/>
    <hyperlink ref="A13" location="'12'!A1" display="Table 12: Private Placement of Corporate Debt Reported to BSE and NSE"/>
    <hyperlink ref="A14" location="'13'!A1" display="Table 13: Trends in Settled Trades in the Corporate Debt Market"/>
    <hyperlink ref="A15" location="'14'!A1" display="Table 14: Ratings Assigned for Long-term Corporate Debt Securities (Maturity &gt;= 1 year)"/>
    <hyperlink ref="A16" location="'15'!A1" display="Table 15: Review of Accepted Ratings of Corporate Debt Securities (Maturity &gt;= 1 year)"/>
    <hyperlink ref="A17" location="'16'!A1" display="Table 16: Distribution of Turnover on Cash Segments of Exchanges"/>
    <hyperlink ref="A18" location="'17'!A1" display="Table 17: Trends in Cash Segment of BSE"/>
    <hyperlink ref="A19" location="'18'!A1" display="Table 18: Trends in Cash Segment of NSE"/>
    <hyperlink ref="A20" location="'19'!A1" display="Table 19: Trends in Cash Segment of MSEI"/>
    <hyperlink ref="A21" location="'20'!A1" display="Table 20: City-wise Distribution of Turnover on Cash Segments"/>
    <hyperlink ref="A22" location="'21'!A1" display="Table 21: Category-wise Share of Turnover in Cash Segment of BSE"/>
    <hyperlink ref="A23" location="'22'!A1" display="Table 22: Category-wise Share of Turnover in Cash Segment of NSE"/>
    <hyperlink ref="A24" location="'23'!A1" display="Table 23: Category-wise Share of Turnover in Cash Segment of MSEI"/>
    <hyperlink ref="A25" location="'24'!A1" display="Table 24: Component Stocks: S&amp;P BSE Sensex"/>
    <hyperlink ref="A26" location="'25'!A1" display="Table 25: Component Stocks: Nifty 50 Index"/>
    <hyperlink ref="A27" location="'26'!A1" display="Table 26: Component Stock: SX 40 Index"/>
    <hyperlink ref="A28" location="'27'!A1" display="Table 27: Advances/Declines in Cash Segment"/>
    <hyperlink ref="A29" location="'28'!A1" display="Table 28: Trading Frequency in Cash Segment"/>
    <hyperlink ref="A30" location="'29'!A1" display="Table 29: Daily Volatility of Major Indices"/>
    <hyperlink ref="A31" location="'30'!A1" display="Table 30: Percentage Share of Top ‘N’ Securities/Members in Turnover of Cash Segment"/>
    <hyperlink ref="A32" location="'31'!A1" display="Table 31: Settlement Statistics for Cash Segment of BSE"/>
    <hyperlink ref="A33" location="'32'!A1" display="Table 32: Settlement Statistics for Cash Segment of NSE "/>
    <hyperlink ref="A34" location="'33'!A1" display="Table 33: Settlement Statistics for Cash Segment of MSEI "/>
    <hyperlink ref="A35" location="'34'!A1" display="Table 34: Trends in Equity Derivatives Segment at BSE (Turnover in Notional Value) "/>
    <hyperlink ref="A36" location="'35'!A1" display="Table 35: Trends in Equity Derivatives Segment at NSE (Turnover in Notional Value) "/>
    <hyperlink ref="A37" location="'36'!A1" display="Table 36: Settlement Statistics in Equity Derivatives Segment at BSE and NSE"/>
    <hyperlink ref="A38" location="'37'!A1" display="Table 37: Category-wise Share of Turnover &amp; Open Interest in Equity Derivative Segment of BSE"/>
    <hyperlink ref="A39" location="'38'!A1" display="Table 38: Category-wise Share of Turnover &amp; Open Interest in Equity Derivative Segment of NSE"/>
    <hyperlink ref="A40" location="'39'!A1" display="Table 39: Instrument-wise Turnover in Index Derivatives at BSE"/>
    <hyperlink ref="A41" location="'40'!A1" display="Table 40: Instrument-wise Turnover in Index Derivatives at NSE"/>
    <hyperlink ref="A42" location="'41'!A1" display="Table 41: Trends in Currency Derivatives Segment at BSE"/>
    <hyperlink ref="A43" location="'42'!A1" display="Table 42: Trends in Currency Derivatives Segment at NSE"/>
    <hyperlink ref="A44" location="'43'!A1" display="Table 43: Trends in Currency Derivatives Segment at MSEI"/>
    <hyperlink ref="A45" location="'44'!A1" display="Table 44: Settlement Statistics of Currency Derivatives Segment "/>
    <hyperlink ref="A46" location="'45'!A1" display="Table 45: Instrument-wise Turnover in Currency Futures Segment of BSE"/>
    <hyperlink ref="A47" location="'46'!A1" display="Table 46: Instrument-wise Turnover in Currency Derivatives Segment  of NSE"/>
    <hyperlink ref="A48" location="'47'!A1" display="Table 47: Instrument-wise Turnover in Currency Derivative Segment of MSEI"/>
    <hyperlink ref="A49" location="'48'!A1" display="Table 48: Maturity-wise Turnover in Currency Derivative Segment of BSE"/>
    <hyperlink ref="A50" location="'49'!A1" display="Table 49: Maturity-wise Turnover in Currency Derivative Segment of NSE"/>
    <hyperlink ref="A51" location="'50'!A1" display="Table 50: Maturity-wise Turnover in Currency Derivative Segment of MSEI "/>
    <hyperlink ref="A52" location="'51'!A1" display="Table 51: Trading Statistics of Interest Rate Futures at BSE, NSE and MSEI"/>
    <hyperlink ref="A53" location="'52'!A1" display="Table 52: Settlement Statistics in Interest Rate Futures at BSE, NSE and MSEI"/>
    <hyperlink ref="A54" location="'53'!A1" display="Table 53: Trends in Foreign Portfolio Investment"/>
    <hyperlink ref="A55" location="'54'!A1" display="Table 54: Notional Value of Offshore Derivative Instruments (ODIs) Vs Assets Under Custody (AUC) of FPIs"/>
    <hyperlink ref="A56" location="'55'!A1" display="Table 55: Assets under the Custody of Custodians"/>
    <hyperlink ref="A57" location="'56'!A1" display="Table 56: Cumulative Sectoral  Investment of Foreign Venture Capital Investors (FVCIs)"/>
    <hyperlink ref="A58" location="'57'!A1" display="Table 57: Trends in Resource Mobilization by Mutual Funds "/>
    <hyperlink ref="A59" location="'58'!A1" display="Table 58: Scheme-wise Statistics of Mutual Funds"/>
    <hyperlink ref="A60" location="'59'!A1" display="Table 59: Trends in Transactions on Stock Exchanges by Mutual Funds"/>
    <hyperlink ref="A61" location="'60'!A1" display="Table 60: Assets Managed by Portfolio Managers"/>
    <hyperlink ref="A62" location="'61'!A1" display="Table 61: Progress Report of NSDL &amp; CDSl as on end of Month (Listed Companies)"/>
    <hyperlink ref="A63" location="'62'!A1" display="Table 62: Progress of Dematerialisation at NSDL and CDSL (Listed and Unlisted Companies)"/>
    <hyperlink ref="A64" location="'63'!A1" display="Table 63: Depository Statistics"/>
    <hyperlink ref="A65" location="'64'!A1" display="Table 64: Number of Commodities Permitted and traded at Exchanges"/>
    <hyperlink ref="A66" location="'65'!A1" display="Table 65: Trends in Commodity Indices"/>
    <hyperlink ref="A67" location="'66'!A1" display="Table 66: Trends in Commodity Derivatives at MCX"/>
    <hyperlink ref="A68" location="'67'!A1" display="Table 67: Trends in Commodity Derivatives at NCDEX"/>
    <hyperlink ref="A69" location="'68'!A1" display="Table 68: Trends in  Commodity Derivatives at BSE"/>
    <hyperlink ref="A70" location="'69'!A1" display="Table 69: Trends in Commodity Derivatives at NSE"/>
    <hyperlink ref="A71" location="'70'!A1" display="Table 70: Participant-wise percentage share of turnover in Commodity Futures"/>
    <hyperlink ref="A72" location="'71'!A1" display="Table 71: Commodity-wise Trading Volume and Turnover at MCX"/>
    <hyperlink ref="A73" location="'72'!A1" display="Table 72: Commodity-wise Trading Volume and Turnover at NCDEX"/>
    <hyperlink ref="A74" location="'73'!A1" display="Table 73: Commodity-wise Trading Volume and Turnover at ICEX, NSE and BSE"/>
    <hyperlink ref="A75" location="'74'!A1" display="Table 74: Macro Economic Indicators"/>
    <hyperlink ref="A7" location="'6'!A1" display="Table 6: Capital Raised from the Primary Market through  Public and Rights Issues (Equity and Debt)"/>
  </hyperlinks>
  <printOptions horizontalCentered="1"/>
  <pageMargins left="0.23622047244094491" right="0.23622047244094491" top="0.31496062992125984" bottom="0.39370078740157483" header="0.31496062992125984" footer="0.31496062992125984"/>
  <pageSetup paperSize="9" scale="90" fitToHeight="0" orientation="portrait" useFirstPageNumber="1"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pageSetUpPr fitToPage="1"/>
  </sheetPr>
  <dimension ref="A1:J64"/>
  <sheetViews>
    <sheetView showGridLines="0" workbookViewId="0">
      <selection sqref="A1:C1"/>
    </sheetView>
  </sheetViews>
  <sheetFormatPr defaultRowHeight="15"/>
  <cols>
    <col min="1" max="1" width="48" customWidth="1"/>
    <col min="2" max="2" width="12.28515625" customWidth="1"/>
    <col min="3" max="3" width="11.28515625" style="15" bestFit="1" customWidth="1"/>
    <col min="10" max="10" width="20.42578125" customWidth="1"/>
  </cols>
  <sheetData>
    <row r="1" spans="1:10">
      <c r="A1" s="1320" t="s">
        <v>1</v>
      </c>
      <c r="B1" s="1321"/>
      <c r="C1" s="1322"/>
    </row>
    <row r="2" spans="1:10">
      <c r="A2" s="283" t="s">
        <v>1245</v>
      </c>
      <c r="B2" s="284" t="s">
        <v>505</v>
      </c>
      <c r="C2" s="285">
        <v>45565</v>
      </c>
    </row>
    <row r="3" spans="1:10">
      <c r="A3" s="145" t="s">
        <v>653</v>
      </c>
      <c r="B3" s="146">
        <v>3</v>
      </c>
      <c r="C3" s="146">
        <v>3</v>
      </c>
      <c r="D3" s="15"/>
      <c r="F3" s="4"/>
      <c r="G3" s="4"/>
      <c r="H3" s="4"/>
      <c r="I3" s="4"/>
      <c r="J3" s="4"/>
    </row>
    <row r="4" spans="1:10">
      <c r="A4" s="145" t="s">
        <v>654</v>
      </c>
      <c r="B4" s="146">
        <v>3</v>
      </c>
      <c r="C4" s="146">
        <v>3</v>
      </c>
      <c r="D4" s="15"/>
      <c r="F4" s="4"/>
      <c r="G4" s="4"/>
      <c r="H4" s="4"/>
      <c r="I4" s="4"/>
      <c r="J4" s="4"/>
    </row>
    <row r="5" spans="1:10">
      <c r="A5" s="145" t="s">
        <v>655</v>
      </c>
      <c r="B5" s="146">
        <v>3</v>
      </c>
      <c r="C5" s="146">
        <v>3</v>
      </c>
      <c r="D5" s="15"/>
      <c r="F5" s="4"/>
      <c r="G5" s="4"/>
      <c r="H5" s="4"/>
      <c r="I5" s="4"/>
      <c r="J5" s="4"/>
    </row>
    <row r="6" spans="1:10">
      <c r="A6" s="145" t="s">
        <v>656</v>
      </c>
      <c r="B6" s="146">
        <v>4</v>
      </c>
      <c r="C6" s="146">
        <v>4</v>
      </c>
      <c r="D6" s="15"/>
      <c r="F6" s="4"/>
      <c r="G6" s="4"/>
      <c r="H6" s="4"/>
      <c r="I6" s="4"/>
      <c r="J6" s="4"/>
    </row>
    <row r="7" spans="1:10">
      <c r="A7" s="1319" t="s">
        <v>1251</v>
      </c>
      <c r="B7" s="1319"/>
      <c r="C7" s="1319"/>
      <c r="D7" s="15"/>
      <c r="F7" s="4"/>
      <c r="G7" s="4"/>
      <c r="H7" s="4"/>
      <c r="I7" s="4"/>
      <c r="J7" s="4"/>
    </row>
    <row r="8" spans="1:10">
      <c r="A8" s="145" t="s">
        <v>1235</v>
      </c>
      <c r="B8" s="227">
        <v>1269</v>
      </c>
      <c r="C8" s="227">
        <v>1232</v>
      </c>
      <c r="D8" s="15"/>
      <c r="F8" s="4"/>
      <c r="G8" s="4"/>
      <c r="H8" s="4"/>
      <c r="I8" s="4"/>
      <c r="J8" s="4"/>
    </row>
    <row r="9" spans="1:10">
      <c r="A9" s="145" t="s">
        <v>1236</v>
      </c>
      <c r="B9" s="227">
        <v>1212</v>
      </c>
      <c r="C9" s="227">
        <v>1207</v>
      </c>
      <c r="D9" s="15"/>
      <c r="F9" s="4"/>
      <c r="G9" s="4"/>
      <c r="H9" s="4"/>
      <c r="I9" s="4"/>
      <c r="J9" s="4"/>
    </row>
    <row r="10" spans="1:10">
      <c r="A10" s="145" t="s">
        <v>1237</v>
      </c>
      <c r="B10" s="227">
        <v>295</v>
      </c>
      <c r="C10" s="227">
        <v>290</v>
      </c>
      <c r="D10" s="15"/>
      <c r="F10" s="4"/>
      <c r="G10" s="4"/>
      <c r="H10" s="4"/>
      <c r="I10" s="4"/>
      <c r="J10" s="4"/>
    </row>
    <row r="11" spans="1:10">
      <c r="A11" s="1319" t="s">
        <v>1252</v>
      </c>
      <c r="B11" s="1319"/>
      <c r="C11" s="1319"/>
      <c r="D11" s="15"/>
      <c r="F11" s="4"/>
      <c r="G11" s="4"/>
      <c r="H11" s="4"/>
      <c r="I11" s="4"/>
      <c r="J11" s="4"/>
    </row>
    <row r="12" spans="1:10">
      <c r="A12" s="145" t="s">
        <v>1235</v>
      </c>
      <c r="B12" s="225">
        <v>903</v>
      </c>
      <c r="C12" s="225">
        <v>885</v>
      </c>
      <c r="D12" s="15"/>
      <c r="F12" s="4"/>
      <c r="G12" s="4"/>
      <c r="H12" s="4"/>
      <c r="I12" s="4"/>
      <c r="J12" s="148"/>
    </row>
    <row r="13" spans="1:10">
      <c r="A13" s="145" t="s">
        <v>1236</v>
      </c>
      <c r="B13" s="227">
        <v>1138</v>
      </c>
      <c r="C13" s="227">
        <v>1142</v>
      </c>
      <c r="D13" s="15"/>
      <c r="J13" s="149"/>
    </row>
    <row r="14" spans="1:10">
      <c r="A14" s="145" t="s">
        <v>1237</v>
      </c>
      <c r="B14" s="225">
        <v>274</v>
      </c>
      <c r="C14" s="225">
        <v>269</v>
      </c>
      <c r="D14" s="15"/>
      <c r="J14" s="149"/>
    </row>
    <row r="15" spans="1:10">
      <c r="A15" s="1319" t="s">
        <v>1253</v>
      </c>
      <c r="B15" s="1319"/>
      <c r="C15" s="1319"/>
      <c r="D15" s="15"/>
      <c r="J15" s="149"/>
    </row>
    <row r="16" spans="1:10">
      <c r="A16" s="145" t="s">
        <v>1235</v>
      </c>
      <c r="B16" s="225">
        <v>560</v>
      </c>
      <c r="C16" s="225">
        <v>558</v>
      </c>
      <c r="D16" s="15"/>
      <c r="J16" s="149"/>
    </row>
    <row r="17" spans="1:10">
      <c r="A17" s="145" t="s">
        <v>1236</v>
      </c>
      <c r="B17" s="225">
        <v>754</v>
      </c>
      <c r="C17" s="225">
        <v>745</v>
      </c>
      <c r="D17" s="15"/>
      <c r="J17" s="149"/>
    </row>
    <row r="18" spans="1:10">
      <c r="A18" s="145" t="s">
        <v>1237</v>
      </c>
      <c r="B18" s="225">
        <v>470</v>
      </c>
      <c r="C18" s="225">
        <v>465</v>
      </c>
      <c r="D18" s="15"/>
      <c r="J18" s="149"/>
    </row>
    <row r="19" spans="1:10">
      <c r="A19" s="1319" t="s">
        <v>1254</v>
      </c>
      <c r="B19" s="1319"/>
      <c r="C19" s="1319"/>
      <c r="D19" s="15"/>
    </row>
    <row r="20" spans="1:10">
      <c r="A20" s="145" t="s">
        <v>1235</v>
      </c>
      <c r="B20" s="225">
        <v>280</v>
      </c>
      <c r="C20" s="225">
        <v>283</v>
      </c>
      <c r="D20" s="15"/>
    </row>
    <row r="21" spans="1:10">
      <c r="A21" s="145" t="s">
        <v>1236</v>
      </c>
      <c r="B21" s="225">
        <v>271</v>
      </c>
      <c r="C21" s="225">
        <v>281</v>
      </c>
      <c r="D21" s="15"/>
    </row>
    <row r="22" spans="1:10">
      <c r="A22" s="145" t="s">
        <v>1237</v>
      </c>
      <c r="B22" s="225">
        <v>14</v>
      </c>
      <c r="C22" s="225">
        <v>14</v>
      </c>
      <c r="D22" s="15"/>
    </row>
    <row r="23" spans="1:10">
      <c r="A23" s="1319" t="s">
        <v>1255</v>
      </c>
      <c r="B23" s="1319"/>
      <c r="C23" s="1319"/>
      <c r="D23" s="15"/>
    </row>
    <row r="24" spans="1:10">
      <c r="A24" s="145" t="s">
        <v>1238</v>
      </c>
      <c r="B24" s="225">
        <v>546</v>
      </c>
      <c r="C24" s="225">
        <v>544</v>
      </c>
      <c r="D24" s="15"/>
    </row>
    <row r="25" spans="1:10">
      <c r="A25" s="145" t="s">
        <v>1239</v>
      </c>
      <c r="B25" s="225">
        <v>250</v>
      </c>
      <c r="C25" s="225">
        <v>234</v>
      </c>
      <c r="D25" s="15"/>
    </row>
    <row r="26" spans="1:10">
      <c r="A26" s="145" t="s">
        <v>1240</v>
      </c>
      <c r="B26" s="225">
        <v>98</v>
      </c>
      <c r="C26" s="225">
        <v>98</v>
      </c>
      <c r="D26" s="15"/>
    </row>
    <row r="27" spans="1:10">
      <c r="A27" s="145" t="s">
        <v>1241</v>
      </c>
      <c r="B27" s="225">
        <v>288</v>
      </c>
      <c r="C27" s="225">
        <v>292</v>
      </c>
      <c r="D27" s="15"/>
    </row>
    <row r="28" spans="1:10">
      <c r="A28" s="145" t="s">
        <v>1242</v>
      </c>
      <c r="B28" s="225">
        <v>352</v>
      </c>
      <c r="C28" s="225">
        <v>365</v>
      </c>
      <c r="D28" s="15"/>
    </row>
    <row r="29" spans="1:10">
      <c r="A29" s="1319" t="s">
        <v>1256</v>
      </c>
      <c r="B29" s="1319"/>
      <c r="C29" s="1319"/>
      <c r="D29" s="15"/>
    </row>
    <row r="30" spans="1:10">
      <c r="A30" s="145" t="s">
        <v>1235</v>
      </c>
      <c r="B30" s="227">
        <v>1092</v>
      </c>
      <c r="C30" s="227">
        <v>1072</v>
      </c>
      <c r="D30" s="15"/>
    </row>
    <row r="31" spans="1:10">
      <c r="A31" s="145" t="s">
        <v>1236</v>
      </c>
      <c r="B31" s="227">
        <v>1093</v>
      </c>
      <c r="C31" s="227">
        <v>1091</v>
      </c>
      <c r="D31" s="15"/>
    </row>
    <row r="32" spans="1:10">
      <c r="A32" s="145" t="s">
        <v>1237</v>
      </c>
      <c r="B32" s="225">
        <v>270</v>
      </c>
      <c r="C32" s="225">
        <v>265</v>
      </c>
      <c r="D32" s="15"/>
    </row>
    <row r="33" spans="1:4">
      <c r="A33" s="1319" t="s">
        <v>1257</v>
      </c>
      <c r="B33" s="1319"/>
      <c r="C33" s="1319"/>
      <c r="D33" s="192"/>
    </row>
    <row r="34" spans="1:4">
      <c r="A34" s="150" t="s">
        <v>1243</v>
      </c>
      <c r="B34" s="225">
        <v>281</v>
      </c>
      <c r="C34" s="225">
        <v>289</v>
      </c>
      <c r="D34" s="192"/>
    </row>
    <row r="35" spans="1:4">
      <c r="A35" s="150" t="s">
        <v>1244</v>
      </c>
      <c r="B35" s="225">
        <v>580</v>
      </c>
      <c r="C35" s="225">
        <v>569</v>
      </c>
      <c r="D35" s="192"/>
    </row>
    <row r="36" spans="1:4" s="192" customFormat="1">
      <c r="A36" s="1319" t="s">
        <v>1246</v>
      </c>
      <c r="B36" s="1319"/>
      <c r="C36" s="1319"/>
    </row>
    <row r="37" spans="1:4">
      <c r="A37" s="228" t="s">
        <v>657</v>
      </c>
      <c r="B37" s="229">
        <v>11219</v>
      </c>
      <c r="C37" s="229">
        <v>11599</v>
      </c>
      <c r="D37" s="15"/>
    </row>
    <row r="38" spans="1:4">
      <c r="A38" s="228" t="s">
        <v>658</v>
      </c>
      <c r="B38" s="229">
        <v>17</v>
      </c>
      <c r="C38" s="229">
        <v>17</v>
      </c>
      <c r="D38" s="15"/>
    </row>
    <row r="39" spans="1:4">
      <c r="A39" s="228" t="s">
        <v>659</v>
      </c>
      <c r="B39" s="229">
        <v>17</v>
      </c>
      <c r="C39" s="229">
        <v>17</v>
      </c>
      <c r="D39" s="15"/>
    </row>
    <row r="40" spans="1:4">
      <c r="A40" s="423" t="s">
        <v>660</v>
      </c>
      <c r="B40" s="225">
        <v>2</v>
      </c>
      <c r="C40" s="225">
        <v>2</v>
      </c>
      <c r="D40" s="15"/>
    </row>
    <row r="41" spans="1:4">
      <c r="A41" s="150" t="s">
        <v>661</v>
      </c>
      <c r="B41" s="225">
        <v>220</v>
      </c>
      <c r="C41" s="225">
        <v>225</v>
      </c>
      <c r="D41" s="15"/>
    </row>
    <row r="42" spans="1:4">
      <c r="A42" s="150" t="s">
        <v>662</v>
      </c>
      <c r="B42" s="225">
        <v>57</v>
      </c>
      <c r="C42" s="225">
        <v>58</v>
      </c>
      <c r="D42" s="15"/>
    </row>
    <row r="43" spans="1:4">
      <c r="A43" s="150" t="s">
        <v>663</v>
      </c>
      <c r="B43" s="225">
        <v>25</v>
      </c>
      <c r="C43" s="225">
        <v>26</v>
      </c>
      <c r="D43" s="15"/>
    </row>
    <row r="44" spans="1:4">
      <c r="A44" s="150" t="s">
        <v>664</v>
      </c>
      <c r="B44" s="147">
        <v>7</v>
      </c>
      <c r="C44" s="225">
        <v>7</v>
      </c>
      <c r="D44" s="15"/>
    </row>
    <row r="45" spans="1:4">
      <c r="A45" s="150" t="s">
        <v>665</v>
      </c>
      <c r="B45" s="225">
        <v>5</v>
      </c>
      <c r="C45" s="225">
        <v>5</v>
      </c>
      <c r="D45" s="15"/>
    </row>
    <row r="46" spans="1:4">
      <c r="A46" s="150" t="s">
        <v>666</v>
      </c>
      <c r="B46" s="225">
        <v>75</v>
      </c>
      <c r="C46" s="225">
        <v>76</v>
      </c>
      <c r="D46" s="15"/>
    </row>
    <row r="47" spans="1:4">
      <c r="A47" s="226" t="s">
        <v>667</v>
      </c>
      <c r="B47" s="229">
        <v>167</v>
      </c>
      <c r="C47" s="225">
        <v>165</v>
      </c>
      <c r="D47" s="192"/>
    </row>
    <row r="48" spans="1:4">
      <c r="A48" s="226" t="s">
        <v>668</v>
      </c>
      <c r="B48" s="229">
        <v>279</v>
      </c>
      <c r="C48" s="229">
        <v>277</v>
      </c>
      <c r="D48" s="192"/>
    </row>
    <row r="49" spans="1:4">
      <c r="A49" s="226" t="s">
        <v>669</v>
      </c>
      <c r="B49" s="229">
        <v>1283</v>
      </c>
      <c r="C49" s="229">
        <v>1382</v>
      </c>
      <c r="D49" s="192"/>
    </row>
    <row r="50" spans="1:4" ht="18" customHeight="1">
      <c r="A50" s="150" t="s">
        <v>670</v>
      </c>
      <c r="B50" s="146">
        <v>420</v>
      </c>
      <c r="C50" s="146">
        <v>451</v>
      </c>
      <c r="D50" s="151"/>
    </row>
    <row r="51" spans="1:4" ht="14.25" customHeight="1">
      <c r="A51" s="226" t="s">
        <v>80</v>
      </c>
      <c r="B51" s="227">
        <v>49</v>
      </c>
      <c r="C51" s="225">
        <v>49</v>
      </c>
      <c r="D51" s="151"/>
    </row>
    <row r="52" spans="1:4">
      <c r="A52" s="150" t="s">
        <v>671</v>
      </c>
      <c r="B52" s="146">
        <v>1307</v>
      </c>
      <c r="C52" s="225">
        <v>950</v>
      </c>
      <c r="D52" s="15"/>
    </row>
    <row r="53" spans="1:4">
      <c r="A53" s="150" t="s">
        <v>672</v>
      </c>
      <c r="B53" s="146">
        <v>1191</v>
      </c>
      <c r="C53" s="225">
        <v>1385</v>
      </c>
      <c r="D53" s="15"/>
    </row>
    <row r="54" spans="1:4">
      <c r="A54" s="150" t="s">
        <v>673</v>
      </c>
      <c r="B54" s="147">
        <v>24</v>
      </c>
      <c r="C54" s="225">
        <v>26</v>
      </c>
      <c r="D54" s="15"/>
    </row>
    <row r="55" spans="1:4">
      <c r="A55" s="150" t="s">
        <v>674</v>
      </c>
      <c r="B55" s="147">
        <v>5</v>
      </c>
      <c r="C55" s="225">
        <v>5</v>
      </c>
      <c r="D55" s="15"/>
    </row>
    <row r="56" spans="1:4" s="192" customFormat="1">
      <c r="A56" s="150" t="s">
        <v>800</v>
      </c>
      <c r="B56" s="147">
        <v>0</v>
      </c>
      <c r="C56" s="225">
        <v>2</v>
      </c>
      <c r="D56" s="15"/>
    </row>
    <row r="57" spans="1:4" s="192" customFormat="1">
      <c r="A57" s="150" t="s">
        <v>701</v>
      </c>
      <c r="B57" s="147">
        <v>0</v>
      </c>
      <c r="C57" s="225">
        <v>14</v>
      </c>
      <c r="D57" s="15"/>
    </row>
    <row r="58" spans="1:4" ht="18.75">
      <c r="A58" s="150" t="s">
        <v>675</v>
      </c>
      <c r="B58" s="147">
        <v>0</v>
      </c>
      <c r="C58" s="147">
        <v>0</v>
      </c>
      <c r="D58" s="151"/>
    </row>
    <row r="59" spans="1:4">
      <c r="A59" s="150" t="s">
        <v>676</v>
      </c>
      <c r="B59" s="147">
        <v>2</v>
      </c>
      <c r="C59" s="147">
        <v>2</v>
      </c>
      <c r="D59" s="15"/>
    </row>
    <row r="60" spans="1:4">
      <c r="A60" s="150" t="s">
        <v>677</v>
      </c>
      <c r="B60" s="147">
        <v>1</v>
      </c>
      <c r="C60" s="147">
        <v>1</v>
      </c>
      <c r="D60" s="15"/>
    </row>
    <row r="61" spans="1:4">
      <c r="A61" s="150" t="s">
        <v>678</v>
      </c>
      <c r="B61" s="147">
        <v>3</v>
      </c>
      <c r="C61" s="147">
        <v>3</v>
      </c>
      <c r="D61" s="15"/>
    </row>
    <row r="62" spans="1:4">
      <c r="A62" s="144" t="s">
        <v>679</v>
      </c>
      <c r="B62" s="152"/>
      <c r="D62" s="15"/>
    </row>
    <row r="63" spans="1:4">
      <c r="A63" s="418"/>
      <c r="B63" s="152"/>
      <c r="D63" s="15"/>
    </row>
    <row r="64" spans="1:4">
      <c r="B64" s="152"/>
      <c r="D64" s="15"/>
    </row>
  </sheetData>
  <mergeCells count="9">
    <mergeCell ref="A36:C36"/>
    <mergeCell ref="A29:C29"/>
    <mergeCell ref="A15:C15"/>
    <mergeCell ref="A33:C33"/>
    <mergeCell ref="A1:C1"/>
    <mergeCell ref="A7:C7"/>
    <mergeCell ref="A11:C11"/>
    <mergeCell ref="A19:C19"/>
    <mergeCell ref="A23:C23"/>
  </mergeCells>
  <printOptions horizontalCentered="1"/>
  <pageMargins left="0.70866141732283472" right="0.70866141732283472" top="0.74803149606299213" bottom="0.74803149606299213" header="0.31496062992125984" footer="0.31496062992125984"/>
  <pageSetup paperSize="9" fitToHeight="0"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03"/>
  <sheetViews>
    <sheetView showGridLines="0" workbookViewId="0">
      <selection sqref="A1:Q1"/>
    </sheetView>
  </sheetViews>
  <sheetFormatPr defaultRowHeight="15"/>
  <cols>
    <col min="1" max="1" width="7.28515625" style="196" customWidth="1"/>
    <col min="2" max="2" width="36.5703125" style="196" customWidth="1"/>
    <col min="3" max="3" width="11.28515625" style="196" customWidth="1"/>
    <col min="4" max="4" width="14.28515625" style="196" customWidth="1"/>
    <col min="5" max="5" width="15.5703125" style="196" customWidth="1"/>
    <col min="6" max="7" width="10" style="365" customWidth="1"/>
    <col min="8" max="8" width="10.140625" style="365" customWidth="1"/>
    <col min="9" max="9" width="8.5703125" style="196" customWidth="1"/>
    <col min="10" max="10" width="10.85546875" style="196" customWidth="1"/>
    <col min="11" max="11" width="7.85546875" style="196" customWidth="1"/>
    <col min="12" max="12" width="10" style="196" customWidth="1"/>
    <col min="13" max="15" width="12.42578125" style="196" customWidth="1"/>
    <col min="16" max="16" width="16" style="196" customWidth="1"/>
    <col min="17" max="17" width="12.42578125" style="196" customWidth="1"/>
    <col min="18" max="18" width="8.42578125" style="196" customWidth="1"/>
    <col min="19" max="21" width="9" style="196" customWidth="1"/>
    <col min="22" max="22" width="8" style="196" customWidth="1"/>
    <col min="23" max="23" width="10" style="196" bestFit="1" customWidth="1"/>
    <col min="24" max="26" width="5.5703125" style="196" customWidth="1"/>
    <col min="27" max="27" width="4.5703125" style="196" customWidth="1"/>
    <col min="28" max="16384" width="9.140625" style="196"/>
  </cols>
  <sheetData>
    <row r="1" spans="1:17">
      <c r="A1" s="1328" t="s">
        <v>1318</v>
      </c>
      <c r="B1" s="1329"/>
      <c r="C1" s="1329"/>
      <c r="D1" s="1329"/>
      <c r="E1" s="1329"/>
      <c r="F1" s="1329"/>
      <c r="G1" s="1329"/>
      <c r="H1" s="1329"/>
      <c r="I1" s="1329"/>
      <c r="J1" s="1329"/>
      <c r="K1" s="1329"/>
      <c r="L1" s="1329"/>
      <c r="M1" s="1329"/>
      <c r="N1" s="1329"/>
      <c r="O1" s="1329"/>
      <c r="P1" s="1329"/>
      <c r="Q1" s="1329"/>
    </row>
    <row r="2" spans="1:17">
      <c r="A2" s="1330" t="s">
        <v>82</v>
      </c>
      <c r="B2" s="1332" t="s">
        <v>83</v>
      </c>
      <c r="C2" s="1323" t="s">
        <v>84</v>
      </c>
      <c r="D2" s="1323" t="s">
        <v>85</v>
      </c>
      <c r="E2" s="1323" t="s">
        <v>86</v>
      </c>
      <c r="F2" s="1334" t="s">
        <v>87</v>
      </c>
      <c r="G2" s="1334" t="s">
        <v>88</v>
      </c>
      <c r="H2" s="1334" t="s">
        <v>89</v>
      </c>
      <c r="I2" s="1336" t="s">
        <v>90</v>
      </c>
      <c r="J2" s="1337"/>
      <c r="K2" s="1338"/>
      <c r="L2" s="1323" t="s">
        <v>91</v>
      </c>
      <c r="M2" s="1325" t="s">
        <v>92</v>
      </c>
      <c r="N2" s="1326"/>
      <c r="O2" s="1326"/>
      <c r="P2" s="1326"/>
      <c r="Q2" s="1327" t="s">
        <v>93</v>
      </c>
    </row>
    <row r="3" spans="1:17" ht="45">
      <c r="A3" s="1331"/>
      <c r="B3" s="1333"/>
      <c r="C3" s="1324"/>
      <c r="D3" s="1324"/>
      <c r="E3" s="1324"/>
      <c r="F3" s="1335"/>
      <c r="G3" s="1335"/>
      <c r="H3" s="1335"/>
      <c r="I3" s="669" t="s">
        <v>94</v>
      </c>
      <c r="J3" s="669" t="s">
        <v>95</v>
      </c>
      <c r="K3" s="669" t="s">
        <v>96</v>
      </c>
      <c r="L3" s="1324"/>
      <c r="M3" s="669" t="s">
        <v>97</v>
      </c>
      <c r="N3" s="669" t="s">
        <v>98</v>
      </c>
      <c r="O3" s="669" t="s">
        <v>99</v>
      </c>
      <c r="P3" s="670" t="s">
        <v>100</v>
      </c>
      <c r="Q3" s="1323"/>
    </row>
    <row r="4" spans="1:17">
      <c r="A4" s="419">
        <v>1</v>
      </c>
      <c r="B4" s="247" t="s">
        <v>1300</v>
      </c>
      <c r="C4" s="280">
        <v>45537</v>
      </c>
      <c r="D4" s="244" t="s">
        <v>102</v>
      </c>
      <c r="E4" s="281">
        <v>59109227</v>
      </c>
      <c r="F4" s="668">
        <v>1</v>
      </c>
      <c r="G4" s="668">
        <v>0</v>
      </c>
      <c r="H4" s="668">
        <v>1</v>
      </c>
      <c r="I4" s="668">
        <v>5.9109227000000004</v>
      </c>
      <c r="J4" s="668">
        <v>0</v>
      </c>
      <c r="K4" s="668">
        <v>5.9109227000000004</v>
      </c>
      <c r="L4" s="668">
        <v>1.52</v>
      </c>
      <c r="M4" s="246">
        <v>0</v>
      </c>
      <c r="N4" s="246">
        <v>0</v>
      </c>
      <c r="O4" s="246">
        <v>0</v>
      </c>
      <c r="P4" s="246">
        <v>0</v>
      </c>
      <c r="Q4" s="246">
        <f t="shared" ref="Q4:Q35" si="0">SUM(M4:O4)</f>
        <v>0</v>
      </c>
    </row>
    <row r="5" spans="1:17">
      <c r="A5" s="419">
        <v>2</v>
      </c>
      <c r="B5" s="244" t="s">
        <v>1301</v>
      </c>
      <c r="C5" s="280">
        <v>45537</v>
      </c>
      <c r="D5" s="244" t="s">
        <v>102</v>
      </c>
      <c r="E5" s="281">
        <v>340287057</v>
      </c>
      <c r="F5" s="668">
        <v>1</v>
      </c>
      <c r="G5" s="668">
        <v>0</v>
      </c>
      <c r="H5" s="668">
        <v>1</v>
      </c>
      <c r="I5" s="668">
        <v>34.028705700000003</v>
      </c>
      <c r="J5" s="668">
        <v>0</v>
      </c>
      <c r="K5" s="668">
        <v>34.028705700000003</v>
      </c>
      <c r="L5" s="668">
        <v>1.1100000000000001</v>
      </c>
      <c r="M5" s="246">
        <v>0</v>
      </c>
      <c r="N5" s="246">
        <v>0</v>
      </c>
      <c r="O5" s="246">
        <v>0</v>
      </c>
      <c r="P5" s="246">
        <v>0</v>
      </c>
      <c r="Q5" s="246">
        <f t="shared" si="0"/>
        <v>0</v>
      </c>
    </row>
    <row r="6" spans="1:17">
      <c r="A6" s="419">
        <v>3</v>
      </c>
      <c r="B6" s="244" t="s">
        <v>1350</v>
      </c>
      <c r="C6" s="282">
        <v>45537</v>
      </c>
      <c r="D6" s="244" t="s">
        <v>102</v>
      </c>
      <c r="E6" s="281">
        <v>20008810</v>
      </c>
      <c r="F6" s="668">
        <v>10</v>
      </c>
      <c r="G6" s="668">
        <v>8</v>
      </c>
      <c r="H6" s="668">
        <v>18</v>
      </c>
      <c r="I6" s="668">
        <v>36.015858000000001</v>
      </c>
      <c r="J6" s="668">
        <v>0</v>
      </c>
      <c r="K6" s="668">
        <v>36.015858000000001</v>
      </c>
      <c r="L6" s="668">
        <v>0.96019999999999994</v>
      </c>
      <c r="M6" s="246">
        <v>0</v>
      </c>
      <c r="N6" s="246">
        <v>0</v>
      </c>
      <c r="O6" s="246">
        <v>0</v>
      </c>
      <c r="P6" s="246">
        <v>0</v>
      </c>
      <c r="Q6" s="246">
        <f t="shared" si="0"/>
        <v>0</v>
      </c>
    </row>
    <row r="7" spans="1:17">
      <c r="A7" s="419">
        <v>4</v>
      </c>
      <c r="B7" s="244" t="s">
        <v>1258</v>
      </c>
      <c r="C7" s="245">
        <v>45538</v>
      </c>
      <c r="D7" s="244" t="s">
        <v>1259</v>
      </c>
      <c r="E7" s="278">
        <v>1614000</v>
      </c>
      <c r="F7" s="668">
        <v>10</v>
      </c>
      <c r="G7" s="668">
        <v>102</v>
      </c>
      <c r="H7" s="668">
        <v>112</v>
      </c>
      <c r="I7" s="668">
        <v>18.076799999999999</v>
      </c>
      <c r="J7" s="668">
        <v>0</v>
      </c>
      <c r="K7" s="668">
        <v>18.076799999999999</v>
      </c>
      <c r="L7" s="668">
        <v>78.930000000000007</v>
      </c>
      <c r="M7" s="246">
        <v>0</v>
      </c>
      <c r="N7" s="246">
        <v>664800</v>
      </c>
      <c r="O7" s="246">
        <v>867600</v>
      </c>
      <c r="P7" s="246">
        <v>81600</v>
      </c>
      <c r="Q7" s="278">
        <f t="shared" si="0"/>
        <v>1532400</v>
      </c>
    </row>
    <row r="8" spans="1:17">
      <c r="A8" s="419">
        <v>5</v>
      </c>
      <c r="B8" s="244" t="s">
        <v>1269</v>
      </c>
      <c r="C8" s="245">
        <v>45538</v>
      </c>
      <c r="D8" s="244" t="s">
        <v>1259</v>
      </c>
      <c r="E8" s="278">
        <v>6804000</v>
      </c>
      <c r="F8" s="668">
        <v>10</v>
      </c>
      <c r="G8" s="668">
        <v>89</v>
      </c>
      <c r="H8" s="668">
        <v>99</v>
      </c>
      <c r="I8" s="668">
        <v>67.3596</v>
      </c>
      <c r="J8" s="668">
        <v>0</v>
      </c>
      <c r="K8" s="668">
        <v>67.3596</v>
      </c>
      <c r="L8" s="668">
        <v>282.2</v>
      </c>
      <c r="M8" s="246">
        <v>3214800</v>
      </c>
      <c r="N8" s="246">
        <v>964800</v>
      </c>
      <c r="O8" s="246">
        <v>2251200</v>
      </c>
      <c r="P8" s="246">
        <v>373200</v>
      </c>
      <c r="Q8" s="278">
        <f t="shared" si="0"/>
        <v>6430800</v>
      </c>
    </row>
    <row r="9" spans="1:17">
      <c r="A9" s="419">
        <v>6</v>
      </c>
      <c r="B9" s="244" t="s">
        <v>1270</v>
      </c>
      <c r="C9" s="245">
        <v>45538</v>
      </c>
      <c r="D9" s="244" t="s">
        <v>1259</v>
      </c>
      <c r="E9" s="278">
        <v>6093000</v>
      </c>
      <c r="F9" s="668">
        <v>10</v>
      </c>
      <c r="G9" s="668">
        <v>136</v>
      </c>
      <c r="H9" s="668">
        <v>146</v>
      </c>
      <c r="I9" s="668">
        <v>66.721999999999994</v>
      </c>
      <c r="J9" s="668">
        <v>22.235800000000001</v>
      </c>
      <c r="K9" s="668">
        <v>88.957799999999992</v>
      </c>
      <c r="L9" s="668">
        <v>123.91</v>
      </c>
      <c r="M9" s="246">
        <v>2850000</v>
      </c>
      <c r="N9" s="246">
        <v>872000</v>
      </c>
      <c r="O9" s="246">
        <v>2066000</v>
      </c>
      <c r="P9" s="246">
        <v>305000</v>
      </c>
      <c r="Q9" s="278">
        <f t="shared" si="0"/>
        <v>5788000</v>
      </c>
    </row>
    <row r="10" spans="1:17">
      <c r="A10" s="419">
        <v>7</v>
      </c>
      <c r="B10" s="244" t="s">
        <v>1287</v>
      </c>
      <c r="C10" s="245">
        <v>45538</v>
      </c>
      <c r="D10" s="244" t="s">
        <v>101</v>
      </c>
      <c r="E10" s="246">
        <v>62909200</v>
      </c>
      <c r="F10" s="668">
        <v>1</v>
      </c>
      <c r="G10" s="668">
        <v>449</v>
      </c>
      <c r="H10" s="668">
        <v>450</v>
      </c>
      <c r="I10" s="668">
        <v>1291.4000000000001</v>
      </c>
      <c r="J10" s="668">
        <v>1539</v>
      </c>
      <c r="K10" s="668">
        <v>2830.4</v>
      </c>
      <c r="L10" s="668">
        <v>75.31</v>
      </c>
      <c r="M10" s="246">
        <v>31337777</v>
      </c>
      <c r="N10" s="246">
        <v>9401334</v>
      </c>
      <c r="O10" s="246">
        <v>21936445</v>
      </c>
      <c r="P10" s="246">
        <v>233644</v>
      </c>
      <c r="Q10" s="278">
        <f t="shared" si="0"/>
        <v>62675556</v>
      </c>
    </row>
    <row r="11" spans="1:17">
      <c r="A11" s="419">
        <v>8</v>
      </c>
      <c r="B11" s="244" t="s">
        <v>1260</v>
      </c>
      <c r="C11" s="245">
        <v>45539</v>
      </c>
      <c r="D11" s="244" t="s">
        <v>1259</v>
      </c>
      <c r="E11" s="278">
        <v>4488000</v>
      </c>
      <c r="F11" s="668">
        <v>10</v>
      </c>
      <c r="G11" s="668">
        <v>115</v>
      </c>
      <c r="H11" s="668">
        <v>125</v>
      </c>
      <c r="I11" s="668">
        <v>56.1</v>
      </c>
      <c r="J11" s="668">
        <v>0</v>
      </c>
      <c r="K11" s="668">
        <v>56.1</v>
      </c>
      <c r="L11" s="668">
        <v>41.06</v>
      </c>
      <c r="M11" s="246">
        <v>2066000</v>
      </c>
      <c r="N11" s="246">
        <v>621000</v>
      </c>
      <c r="O11" s="246">
        <v>1448000</v>
      </c>
      <c r="P11" s="246">
        <v>353000</v>
      </c>
      <c r="Q11" s="278">
        <f t="shared" si="0"/>
        <v>4135000</v>
      </c>
    </row>
    <row r="12" spans="1:17">
      <c r="A12" s="419">
        <v>9</v>
      </c>
      <c r="B12" s="244" t="s">
        <v>1261</v>
      </c>
      <c r="C12" s="245">
        <v>45539</v>
      </c>
      <c r="D12" s="244" t="s">
        <v>1259</v>
      </c>
      <c r="E12" s="278">
        <v>3076800</v>
      </c>
      <c r="F12" s="668">
        <v>10</v>
      </c>
      <c r="G12" s="668">
        <v>100</v>
      </c>
      <c r="H12" s="668">
        <v>110</v>
      </c>
      <c r="I12" s="668">
        <v>30.346800000000002</v>
      </c>
      <c r="J12" s="668">
        <v>3.4980000000000002</v>
      </c>
      <c r="K12" s="668">
        <v>33.844799999999999</v>
      </c>
      <c r="L12" s="668">
        <v>15.48</v>
      </c>
      <c r="M12" s="246">
        <v>0</v>
      </c>
      <c r="N12" s="246">
        <v>910800</v>
      </c>
      <c r="O12" s="246">
        <v>2010000</v>
      </c>
      <c r="P12" s="246">
        <v>156000</v>
      </c>
      <c r="Q12" s="278">
        <f t="shared" si="0"/>
        <v>2920800</v>
      </c>
    </row>
    <row r="13" spans="1:17">
      <c r="A13" s="419">
        <v>10</v>
      </c>
      <c r="B13" s="244" t="s">
        <v>1288</v>
      </c>
      <c r="C13" s="245">
        <v>45539</v>
      </c>
      <c r="D13" s="244" t="s">
        <v>101</v>
      </c>
      <c r="E13" s="246">
        <v>18000000</v>
      </c>
      <c r="F13" s="668">
        <v>2</v>
      </c>
      <c r="G13" s="668">
        <v>332</v>
      </c>
      <c r="H13" s="668">
        <v>334</v>
      </c>
      <c r="I13" s="668">
        <v>0</v>
      </c>
      <c r="J13" s="668">
        <v>601.20000000000005</v>
      </c>
      <c r="K13" s="668">
        <v>601.20000000000005</v>
      </c>
      <c r="L13" s="668">
        <v>66.89</v>
      </c>
      <c r="M13" s="246">
        <v>9000000</v>
      </c>
      <c r="N13" s="246">
        <v>2700000</v>
      </c>
      <c r="O13" s="246">
        <v>6300000</v>
      </c>
      <c r="P13" s="246">
        <v>0</v>
      </c>
      <c r="Q13" s="278">
        <f t="shared" si="0"/>
        <v>18000000</v>
      </c>
    </row>
    <row r="14" spans="1:17">
      <c r="A14" s="419">
        <v>11</v>
      </c>
      <c r="B14" s="244" t="s">
        <v>1308</v>
      </c>
      <c r="C14" s="280">
        <v>45540</v>
      </c>
      <c r="D14" s="244" t="s">
        <v>799</v>
      </c>
      <c r="E14" s="281">
        <v>3060000</v>
      </c>
      <c r="F14" s="668">
        <v>10</v>
      </c>
      <c r="G14" s="668">
        <v>30</v>
      </c>
      <c r="H14" s="668">
        <v>40</v>
      </c>
      <c r="I14" s="668">
        <v>12.24</v>
      </c>
      <c r="J14" s="668">
        <v>0</v>
      </c>
      <c r="K14" s="668">
        <v>12.24</v>
      </c>
      <c r="L14" s="668" t="s">
        <v>1312</v>
      </c>
      <c r="M14" s="246">
        <v>0</v>
      </c>
      <c r="N14" s="246">
        <v>1452000</v>
      </c>
      <c r="O14" s="246">
        <v>1455000</v>
      </c>
      <c r="P14" s="246">
        <v>153000</v>
      </c>
      <c r="Q14" s="278">
        <f t="shared" si="0"/>
        <v>2907000</v>
      </c>
    </row>
    <row r="15" spans="1:17">
      <c r="A15" s="419">
        <v>12</v>
      </c>
      <c r="B15" s="244" t="s">
        <v>1271</v>
      </c>
      <c r="C15" s="245">
        <v>45541</v>
      </c>
      <c r="D15" s="244" t="s">
        <v>1259</v>
      </c>
      <c r="E15" s="278">
        <v>1274000</v>
      </c>
      <c r="F15" s="668">
        <v>10</v>
      </c>
      <c r="G15" s="668">
        <v>56</v>
      </c>
      <c r="H15" s="668">
        <v>66</v>
      </c>
      <c r="I15" s="668">
        <v>8.4084000000000003</v>
      </c>
      <c r="J15" s="668">
        <v>0</v>
      </c>
      <c r="K15" s="668">
        <v>8.4084000000000003</v>
      </c>
      <c r="L15" s="668">
        <v>128.2261</v>
      </c>
      <c r="M15" s="246">
        <v>0</v>
      </c>
      <c r="N15" s="246">
        <v>468000</v>
      </c>
      <c r="O15" s="246">
        <v>740000</v>
      </c>
      <c r="P15" s="246">
        <v>66000</v>
      </c>
      <c r="Q15" s="278">
        <f t="shared" si="0"/>
        <v>1208000</v>
      </c>
    </row>
    <row r="16" spans="1:17">
      <c r="A16" s="419">
        <v>13</v>
      </c>
      <c r="B16" s="244" t="s">
        <v>1289</v>
      </c>
      <c r="C16" s="245">
        <v>45541</v>
      </c>
      <c r="D16" s="244" t="s">
        <v>101</v>
      </c>
      <c r="E16" s="278">
        <v>21458707</v>
      </c>
      <c r="F16" s="668">
        <v>5</v>
      </c>
      <c r="G16" s="668">
        <v>384</v>
      </c>
      <c r="H16" s="668">
        <v>389</v>
      </c>
      <c r="I16" s="668">
        <v>148</v>
      </c>
      <c r="J16" s="668">
        <v>686.67524800000001</v>
      </c>
      <c r="K16" s="668">
        <v>834.68</v>
      </c>
      <c r="L16" s="668">
        <v>42.69</v>
      </c>
      <c r="M16" s="246">
        <v>10719568</v>
      </c>
      <c r="N16" s="246">
        <v>3215871</v>
      </c>
      <c r="O16" s="246">
        <v>7503698</v>
      </c>
      <c r="P16" s="246">
        <v>19570</v>
      </c>
      <c r="Q16" s="278">
        <f t="shared" si="0"/>
        <v>21439137</v>
      </c>
    </row>
    <row r="17" spans="1:17">
      <c r="A17" s="419">
        <v>14</v>
      </c>
      <c r="B17" s="244" t="s">
        <v>1302</v>
      </c>
      <c r="C17" s="280">
        <v>45541</v>
      </c>
      <c r="D17" s="244" t="s">
        <v>102</v>
      </c>
      <c r="E17" s="281">
        <v>2048876</v>
      </c>
      <c r="F17" s="668">
        <v>10</v>
      </c>
      <c r="G17" s="668">
        <v>229</v>
      </c>
      <c r="H17" s="668">
        <v>239</v>
      </c>
      <c r="I17" s="668">
        <v>48.968136399999999</v>
      </c>
      <c r="J17" s="668">
        <v>0</v>
      </c>
      <c r="K17" s="668">
        <v>48.968136399999999</v>
      </c>
      <c r="L17" s="668">
        <v>1.36</v>
      </c>
      <c r="M17" s="246">
        <v>0</v>
      </c>
      <c r="N17" s="246">
        <v>0</v>
      </c>
      <c r="O17" s="246">
        <v>0</v>
      </c>
      <c r="P17" s="246">
        <v>0</v>
      </c>
      <c r="Q17" s="246">
        <f t="shared" si="0"/>
        <v>0</v>
      </c>
    </row>
    <row r="18" spans="1:17">
      <c r="A18" s="419">
        <v>15</v>
      </c>
      <c r="B18" s="244" t="s">
        <v>1262</v>
      </c>
      <c r="C18" s="245">
        <v>45544</v>
      </c>
      <c r="D18" s="244" t="s">
        <v>1259</v>
      </c>
      <c r="E18" s="278">
        <v>13432000</v>
      </c>
      <c r="F18" s="668">
        <v>5</v>
      </c>
      <c r="G18" s="668">
        <v>56</v>
      </c>
      <c r="H18" s="668">
        <v>61</v>
      </c>
      <c r="I18" s="668">
        <v>73.741680000000002</v>
      </c>
      <c r="J18" s="668">
        <v>8.1935199999999995</v>
      </c>
      <c r="K18" s="668">
        <v>81.935200000000009</v>
      </c>
      <c r="L18" s="668">
        <v>12.86</v>
      </c>
      <c r="M18" s="246">
        <v>6380000</v>
      </c>
      <c r="N18" s="246">
        <v>1914000</v>
      </c>
      <c r="O18" s="246">
        <v>4466000</v>
      </c>
      <c r="P18" s="246">
        <v>672000</v>
      </c>
      <c r="Q18" s="278">
        <f t="shared" si="0"/>
        <v>12760000</v>
      </c>
    </row>
    <row r="19" spans="1:17">
      <c r="A19" s="419">
        <v>16</v>
      </c>
      <c r="B19" s="247" t="s">
        <v>1290</v>
      </c>
      <c r="C19" s="248">
        <v>45544</v>
      </c>
      <c r="D19" s="247" t="s">
        <v>101</v>
      </c>
      <c r="E19" s="279">
        <v>3174416</v>
      </c>
      <c r="F19" s="668">
        <v>10</v>
      </c>
      <c r="G19" s="668">
        <v>519</v>
      </c>
      <c r="H19" s="668">
        <v>529</v>
      </c>
      <c r="I19" s="668">
        <v>135.3402064</v>
      </c>
      <c r="J19" s="668">
        <v>32.586399999999998</v>
      </c>
      <c r="K19" s="668">
        <v>167.9266064</v>
      </c>
      <c r="L19" s="668">
        <v>218.8</v>
      </c>
      <c r="M19" s="246">
        <v>1584310</v>
      </c>
      <c r="N19" s="246">
        <v>475293</v>
      </c>
      <c r="O19" s="246">
        <v>1109017</v>
      </c>
      <c r="P19" s="246">
        <v>5796</v>
      </c>
      <c r="Q19" s="278">
        <f t="shared" si="0"/>
        <v>3168620</v>
      </c>
    </row>
    <row r="20" spans="1:17">
      <c r="A20" s="419">
        <v>17</v>
      </c>
      <c r="B20" s="247" t="s">
        <v>1303</v>
      </c>
      <c r="C20" s="282">
        <v>45544</v>
      </c>
      <c r="D20" s="244" t="s">
        <v>102</v>
      </c>
      <c r="E20" s="281">
        <v>93720000</v>
      </c>
      <c r="F20" s="668">
        <v>1</v>
      </c>
      <c r="G20" s="668">
        <v>2</v>
      </c>
      <c r="H20" s="668">
        <v>3</v>
      </c>
      <c r="I20" s="668">
        <v>28.116</v>
      </c>
      <c r="J20" s="668">
        <v>0</v>
      </c>
      <c r="K20" s="668">
        <v>28.116</v>
      </c>
      <c r="L20" s="668">
        <v>4.8000000000000001E-2</v>
      </c>
      <c r="M20" s="246">
        <v>0</v>
      </c>
      <c r="N20" s="246">
        <v>0</v>
      </c>
      <c r="O20" s="246">
        <v>0</v>
      </c>
      <c r="P20" s="246">
        <v>0</v>
      </c>
      <c r="Q20" s="246">
        <f t="shared" si="0"/>
        <v>0</v>
      </c>
    </row>
    <row r="21" spans="1:17">
      <c r="A21" s="419">
        <v>18</v>
      </c>
      <c r="B21" s="247" t="s">
        <v>1309</v>
      </c>
      <c r="C21" s="282">
        <v>45545</v>
      </c>
      <c r="D21" s="244" t="s">
        <v>799</v>
      </c>
      <c r="E21" s="281">
        <v>950400</v>
      </c>
      <c r="F21" s="668">
        <v>10</v>
      </c>
      <c r="G21" s="668">
        <v>64</v>
      </c>
      <c r="H21" s="668">
        <v>74</v>
      </c>
      <c r="I21" s="668">
        <v>7.0329600000000001</v>
      </c>
      <c r="J21" s="668">
        <v>0</v>
      </c>
      <c r="K21" s="668">
        <v>7.0329600000000001</v>
      </c>
      <c r="L21" s="668" t="s">
        <v>1313</v>
      </c>
      <c r="M21" s="246">
        <v>0</v>
      </c>
      <c r="N21" s="246">
        <v>326400</v>
      </c>
      <c r="O21" s="246">
        <v>576000</v>
      </c>
      <c r="P21" s="246">
        <v>48000</v>
      </c>
      <c r="Q21" s="278">
        <f t="shared" si="0"/>
        <v>902400</v>
      </c>
    </row>
    <row r="22" spans="1:17">
      <c r="A22" s="419">
        <v>19</v>
      </c>
      <c r="B22" s="244" t="s">
        <v>1272</v>
      </c>
      <c r="C22" s="245">
        <v>45546</v>
      </c>
      <c r="D22" s="244" t="s">
        <v>1259</v>
      </c>
      <c r="E22" s="278">
        <v>6024000</v>
      </c>
      <c r="F22" s="668">
        <v>10</v>
      </c>
      <c r="G22" s="668">
        <v>75</v>
      </c>
      <c r="H22" s="668">
        <v>85</v>
      </c>
      <c r="I22" s="668">
        <v>51.204000000000001</v>
      </c>
      <c r="J22" s="668">
        <v>0</v>
      </c>
      <c r="K22" s="668">
        <v>51.204000000000001</v>
      </c>
      <c r="L22" s="668">
        <v>242.31</v>
      </c>
      <c r="M22" s="246">
        <v>2859200</v>
      </c>
      <c r="N22" s="246">
        <v>859200</v>
      </c>
      <c r="O22" s="246">
        <v>2003200</v>
      </c>
      <c r="P22" s="246">
        <v>302400</v>
      </c>
      <c r="Q22" s="278">
        <f t="shared" si="0"/>
        <v>5721600</v>
      </c>
    </row>
    <row r="23" spans="1:17">
      <c r="A23" s="419">
        <v>20</v>
      </c>
      <c r="B23" s="244" t="s">
        <v>1353</v>
      </c>
      <c r="C23" s="280">
        <v>45546</v>
      </c>
      <c r="D23" s="244" t="s">
        <v>799</v>
      </c>
      <c r="E23" s="281">
        <v>5568000</v>
      </c>
      <c r="F23" s="668">
        <v>10</v>
      </c>
      <c r="G23" s="668">
        <v>215</v>
      </c>
      <c r="H23" s="668">
        <v>225</v>
      </c>
      <c r="I23" s="668">
        <v>50.152500000000003</v>
      </c>
      <c r="J23" s="668">
        <v>75.127499999999998</v>
      </c>
      <c r="K23" s="668">
        <v>125.28</v>
      </c>
      <c r="L23" s="668" t="s">
        <v>1314</v>
      </c>
      <c r="M23" s="246">
        <v>2631600</v>
      </c>
      <c r="N23" s="246">
        <v>791400</v>
      </c>
      <c r="O23" s="246">
        <v>1845000</v>
      </c>
      <c r="P23" s="246">
        <v>300000</v>
      </c>
      <c r="Q23" s="278">
        <f t="shared" si="0"/>
        <v>5268000</v>
      </c>
    </row>
    <row r="24" spans="1:17">
      <c r="A24" s="419">
        <v>21</v>
      </c>
      <c r="B24" s="244" t="s">
        <v>1273</v>
      </c>
      <c r="C24" s="245">
        <v>45547</v>
      </c>
      <c r="D24" s="244" t="s">
        <v>1259</v>
      </c>
      <c r="E24" s="278">
        <v>3024000</v>
      </c>
      <c r="F24" s="668">
        <v>10</v>
      </c>
      <c r="G24" s="668">
        <v>100</v>
      </c>
      <c r="H24" s="668">
        <v>110</v>
      </c>
      <c r="I24" s="668">
        <v>33.264000000000003</v>
      </c>
      <c r="J24" s="668">
        <v>0</v>
      </c>
      <c r="K24" s="668">
        <v>33.264000000000003</v>
      </c>
      <c r="L24" s="668">
        <v>116.39</v>
      </c>
      <c r="M24" s="246">
        <v>1434000</v>
      </c>
      <c r="N24" s="246">
        <v>430800</v>
      </c>
      <c r="O24" s="246">
        <v>1005600</v>
      </c>
      <c r="P24" s="246">
        <v>153600</v>
      </c>
      <c r="Q24" s="278">
        <f t="shared" si="0"/>
        <v>2870400</v>
      </c>
    </row>
    <row r="25" spans="1:17">
      <c r="A25" s="419">
        <v>22</v>
      </c>
      <c r="B25" s="244" t="s">
        <v>1291</v>
      </c>
      <c r="C25" s="245">
        <v>45547</v>
      </c>
      <c r="D25" s="244" t="s">
        <v>101</v>
      </c>
      <c r="E25" s="278">
        <v>20440000</v>
      </c>
      <c r="F25" s="668">
        <v>10</v>
      </c>
      <c r="G25" s="668">
        <v>73</v>
      </c>
      <c r="H25" s="668">
        <v>83</v>
      </c>
      <c r="I25" s="668">
        <v>122.425</v>
      </c>
      <c r="J25" s="668">
        <v>47.226999999999997</v>
      </c>
      <c r="K25" s="668">
        <v>169.65199999999999</v>
      </c>
      <c r="L25" s="668">
        <v>132.69999999999999</v>
      </c>
      <c r="M25" s="246">
        <v>10220000</v>
      </c>
      <c r="N25" s="246">
        <v>3066000</v>
      </c>
      <c r="O25" s="246">
        <v>7154000</v>
      </c>
      <c r="P25" s="246">
        <v>0</v>
      </c>
      <c r="Q25" s="278">
        <f t="shared" si="0"/>
        <v>20440000</v>
      </c>
    </row>
    <row r="26" spans="1:17">
      <c r="A26" s="419">
        <v>23</v>
      </c>
      <c r="B26" s="244" t="s">
        <v>1274</v>
      </c>
      <c r="C26" s="245">
        <v>45548</v>
      </c>
      <c r="D26" s="244" t="s">
        <v>1259</v>
      </c>
      <c r="E26" s="246">
        <v>6516000</v>
      </c>
      <c r="F26" s="668">
        <v>10</v>
      </c>
      <c r="G26" s="668">
        <v>153</v>
      </c>
      <c r="H26" s="668">
        <v>163</v>
      </c>
      <c r="I26" s="668">
        <v>106.21080000000001</v>
      </c>
      <c r="J26" s="668">
        <v>0</v>
      </c>
      <c r="K26" s="668">
        <v>106.21080000000001</v>
      </c>
      <c r="L26" s="668">
        <v>66.930000000000007</v>
      </c>
      <c r="M26" s="246">
        <v>3089600</v>
      </c>
      <c r="N26" s="246">
        <v>927200</v>
      </c>
      <c r="O26" s="246">
        <v>2163200</v>
      </c>
      <c r="P26" s="246">
        <v>336000</v>
      </c>
      <c r="Q26" s="278">
        <f t="shared" si="0"/>
        <v>6180000</v>
      </c>
    </row>
    <row r="27" spans="1:17">
      <c r="A27" s="419">
        <v>24</v>
      </c>
      <c r="B27" s="244" t="s">
        <v>1263</v>
      </c>
      <c r="C27" s="245">
        <v>45551</v>
      </c>
      <c r="D27" s="244" t="s">
        <v>1259</v>
      </c>
      <c r="E27" s="246">
        <v>5736000</v>
      </c>
      <c r="F27" s="668">
        <v>10</v>
      </c>
      <c r="G27" s="668">
        <v>26</v>
      </c>
      <c r="H27" s="668">
        <v>36</v>
      </c>
      <c r="I27" s="668">
        <v>20.6496</v>
      </c>
      <c r="J27" s="668">
        <v>0</v>
      </c>
      <c r="K27" s="668">
        <v>20.6496</v>
      </c>
      <c r="L27" s="668">
        <v>23.07</v>
      </c>
      <c r="M27" s="246">
        <v>0</v>
      </c>
      <c r="N27" s="246">
        <v>1050000</v>
      </c>
      <c r="O27" s="246">
        <v>4398000</v>
      </c>
      <c r="P27" s="246">
        <v>288000</v>
      </c>
      <c r="Q27" s="278">
        <f t="shared" si="0"/>
        <v>5448000</v>
      </c>
    </row>
    <row r="28" spans="1:17">
      <c r="A28" s="419">
        <v>25</v>
      </c>
      <c r="B28" s="244" t="s">
        <v>1275</v>
      </c>
      <c r="C28" s="245">
        <v>45551</v>
      </c>
      <c r="D28" s="244" t="s">
        <v>1259</v>
      </c>
      <c r="E28" s="246">
        <v>7400000</v>
      </c>
      <c r="F28" s="668">
        <v>10</v>
      </c>
      <c r="G28" s="668">
        <v>52</v>
      </c>
      <c r="H28" s="668">
        <v>62</v>
      </c>
      <c r="I28" s="668">
        <v>45.88</v>
      </c>
      <c r="J28" s="668">
        <v>0</v>
      </c>
      <c r="K28" s="668">
        <v>45.88</v>
      </c>
      <c r="L28" s="668">
        <v>14.4</v>
      </c>
      <c r="M28" s="246">
        <v>3512000</v>
      </c>
      <c r="N28" s="246">
        <v>1056000</v>
      </c>
      <c r="O28" s="246">
        <v>2462000</v>
      </c>
      <c r="P28" s="246">
        <v>370000</v>
      </c>
      <c r="Q28" s="278">
        <f t="shared" si="0"/>
        <v>7030000</v>
      </c>
    </row>
    <row r="29" spans="1:17">
      <c r="A29" s="419">
        <v>26</v>
      </c>
      <c r="B29" s="244" t="s">
        <v>1276</v>
      </c>
      <c r="C29" s="245">
        <v>45551</v>
      </c>
      <c r="D29" s="244" t="s">
        <v>1259</v>
      </c>
      <c r="E29" s="278">
        <v>1392000</v>
      </c>
      <c r="F29" s="668">
        <v>10</v>
      </c>
      <c r="G29" s="668">
        <v>109</v>
      </c>
      <c r="H29" s="668">
        <v>119</v>
      </c>
      <c r="I29" s="668">
        <v>16.564800000000002</v>
      </c>
      <c r="J29" s="668">
        <v>0</v>
      </c>
      <c r="K29" s="668">
        <v>16.564800000000002</v>
      </c>
      <c r="L29" s="668">
        <v>141.32</v>
      </c>
      <c r="M29" s="246">
        <v>657600</v>
      </c>
      <c r="N29" s="246">
        <v>199200</v>
      </c>
      <c r="O29" s="246">
        <v>463200</v>
      </c>
      <c r="P29" s="246">
        <v>72000</v>
      </c>
      <c r="Q29" s="278">
        <f t="shared" si="0"/>
        <v>1320000</v>
      </c>
    </row>
    <row r="30" spans="1:17">
      <c r="A30" s="419">
        <v>27</v>
      </c>
      <c r="B30" s="244" t="s">
        <v>1292</v>
      </c>
      <c r="C30" s="245">
        <v>45551</v>
      </c>
      <c r="D30" s="244" t="s">
        <v>101</v>
      </c>
      <c r="E30" s="278">
        <v>937142856</v>
      </c>
      <c r="F30" s="668">
        <v>10</v>
      </c>
      <c r="G30" s="668">
        <v>60</v>
      </c>
      <c r="H30" s="668">
        <v>70</v>
      </c>
      <c r="I30" s="668">
        <v>3559.999996</v>
      </c>
      <c r="J30" s="668">
        <v>2999.999996</v>
      </c>
      <c r="K30" s="668">
        <v>6559.999992</v>
      </c>
      <c r="L30" s="668">
        <v>67.88</v>
      </c>
      <c r="M30" s="246">
        <v>418571428</v>
      </c>
      <c r="N30" s="246">
        <v>125571429</v>
      </c>
      <c r="O30" s="246">
        <v>293000000</v>
      </c>
      <c r="P30" s="246">
        <v>99999999</v>
      </c>
      <c r="Q30" s="278">
        <f t="shared" si="0"/>
        <v>837142857</v>
      </c>
    </row>
    <row r="31" spans="1:17">
      <c r="A31" s="419">
        <v>28</v>
      </c>
      <c r="B31" s="244" t="s">
        <v>1293</v>
      </c>
      <c r="C31" s="245">
        <v>45551</v>
      </c>
      <c r="D31" s="244" t="s">
        <v>101</v>
      </c>
      <c r="E31" s="246">
        <v>20833332</v>
      </c>
      <c r="F31" s="668">
        <v>5</v>
      </c>
      <c r="G31" s="668">
        <v>235</v>
      </c>
      <c r="H31" s="668">
        <v>240</v>
      </c>
      <c r="I31" s="668">
        <v>249.99998400000001</v>
      </c>
      <c r="J31" s="668">
        <v>249.99998400000001</v>
      </c>
      <c r="K31" s="668">
        <v>499.99996800000002</v>
      </c>
      <c r="L31" s="668">
        <v>17.93</v>
      </c>
      <c r="M31" s="246">
        <v>10416665</v>
      </c>
      <c r="N31" s="246">
        <v>3125000</v>
      </c>
      <c r="O31" s="246">
        <v>7291667</v>
      </c>
      <c r="P31" s="246">
        <v>0</v>
      </c>
      <c r="Q31" s="278">
        <f t="shared" si="0"/>
        <v>20833332</v>
      </c>
    </row>
    <row r="32" spans="1:17">
      <c r="A32" s="419">
        <v>29</v>
      </c>
      <c r="B32" s="244" t="s">
        <v>1294</v>
      </c>
      <c r="C32" s="245">
        <v>45551</v>
      </c>
      <c r="D32" s="244" t="s">
        <v>101</v>
      </c>
      <c r="E32" s="278">
        <v>10176991</v>
      </c>
      <c r="F32" s="668">
        <v>5</v>
      </c>
      <c r="G32" s="668">
        <v>221</v>
      </c>
      <c r="H32" s="668">
        <v>226</v>
      </c>
      <c r="I32" s="668">
        <v>200.00003340000001</v>
      </c>
      <c r="J32" s="668">
        <v>29.9999632</v>
      </c>
      <c r="K32" s="668">
        <v>229.9999966</v>
      </c>
      <c r="L32" s="668">
        <v>28.74</v>
      </c>
      <c r="M32" s="246">
        <v>5088495</v>
      </c>
      <c r="N32" s="246">
        <v>1526549</v>
      </c>
      <c r="O32" s="246">
        <v>3561947</v>
      </c>
      <c r="P32" s="246">
        <v>0</v>
      </c>
      <c r="Q32" s="278">
        <f t="shared" si="0"/>
        <v>10176991</v>
      </c>
    </row>
    <row r="33" spans="1:17">
      <c r="A33" s="419">
        <v>30</v>
      </c>
      <c r="B33" s="244" t="s">
        <v>1310</v>
      </c>
      <c r="C33" s="282">
        <v>45551</v>
      </c>
      <c r="D33" s="244" t="s">
        <v>799</v>
      </c>
      <c r="E33" s="281">
        <v>3251200</v>
      </c>
      <c r="F33" s="668">
        <v>10</v>
      </c>
      <c r="G33" s="668">
        <v>64</v>
      </c>
      <c r="H33" s="668">
        <v>74</v>
      </c>
      <c r="I33" s="668">
        <v>24.058879999999998</v>
      </c>
      <c r="J33" s="668">
        <v>0</v>
      </c>
      <c r="K33" s="668">
        <v>24.058879999999998</v>
      </c>
      <c r="L33" s="668" t="s">
        <v>1315</v>
      </c>
      <c r="M33" s="246">
        <v>1542400</v>
      </c>
      <c r="N33" s="246">
        <v>464000</v>
      </c>
      <c r="O33" s="246">
        <v>1081600</v>
      </c>
      <c r="P33" s="246">
        <v>163200</v>
      </c>
      <c r="Q33" s="278">
        <f t="shared" si="0"/>
        <v>3088000</v>
      </c>
    </row>
    <row r="34" spans="1:17">
      <c r="A34" s="419">
        <v>31</v>
      </c>
      <c r="B34" s="244" t="s">
        <v>1277</v>
      </c>
      <c r="C34" s="245">
        <v>45552</v>
      </c>
      <c r="D34" s="244" t="s">
        <v>1259</v>
      </c>
      <c r="E34" s="246">
        <v>4150000</v>
      </c>
      <c r="F34" s="668">
        <v>10</v>
      </c>
      <c r="G34" s="668">
        <v>49</v>
      </c>
      <c r="H34" s="668">
        <v>59</v>
      </c>
      <c r="I34" s="668">
        <v>24.484999999999999</v>
      </c>
      <c r="J34" s="668">
        <v>0</v>
      </c>
      <c r="K34" s="668">
        <v>24.484999999999999</v>
      </c>
      <c r="L34" s="668">
        <v>39.470359999999999</v>
      </c>
      <c r="M34" s="246">
        <v>0</v>
      </c>
      <c r="N34" s="246">
        <v>1070000</v>
      </c>
      <c r="O34" s="246">
        <v>2870000</v>
      </c>
      <c r="P34" s="246">
        <v>210000</v>
      </c>
      <c r="Q34" s="278">
        <f t="shared" si="0"/>
        <v>3940000</v>
      </c>
    </row>
    <row r="35" spans="1:17" s="241" customFormat="1">
      <c r="A35" s="419">
        <v>32</v>
      </c>
      <c r="B35" s="244" t="s">
        <v>1295</v>
      </c>
      <c r="C35" s="245">
        <v>45552</v>
      </c>
      <c r="D35" s="244" t="s">
        <v>101</v>
      </c>
      <c r="E35" s="278">
        <v>22916666</v>
      </c>
      <c r="F35" s="668">
        <v>10</v>
      </c>
      <c r="G35" s="668">
        <v>470</v>
      </c>
      <c r="H35" s="668">
        <v>480</v>
      </c>
      <c r="I35" s="668">
        <v>849.99998400000004</v>
      </c>
      <c r="J35" s="668">
        <v>249.99998400000001</v>
      </c>
      <c r="K35" s="668">
        <v>1099.9999680000001</v>
      </c>
      <c r="L35" s="668">
        <v>64.77</v>
      </c>
      <c r="M35" s="246">
        <v>11458332</v>
      </c>
      <c r="N35" s="246">
        <v>3437500</v>
      </c>
      <c r="O35" s="246">
        <v>8020834</v>
      </c>
      <c r="P35" s="246">
        <v>0</v>
      </c>
      <c r="Q35" s="278">
        <f t="shared" si="0"/>
        <v>22916666</v>
      </c>
    </row>
    <row r="36" spans="1:17">
      <c r="A36" s="419">
        <v>33</v>
      </c>
      <c r="B36" s="244" t="s">
        <v>1351</v>
      </c>
      <c r="C36" s="280">
        <v>45552</v>
      </c>
      <c r="D36" s="244" t="s">
        <v>102</v>
      </c>
      <c r="E36" s="281">
        <v>1403182</v>
      </c>
      <c r="F36" s="668">
        <v>10</v>
      </c>
      <c r="G36" s="668">
        <v>22</v>
      </c>
      <c r="H36" s="668">
        <v>32</v>
      </c>
      <c r="I36" s="668">
        <v>4.4901824000000001</v>
      </c>
      <c r="J36" s="668">
        <v>0</v>
      </c>
      <c r="K36" s="668">
        <v>4.4901824000000001</v>
      </c>
      <c r="L36" s="668">
        <v>1.9699999999999999E-2</v>
      </c>
      <c r="M36" s="246">
        <v>0</v>
      </c>
      <c r="N36" s="246">
        <v>0</v>
      </c>
      <c r="O36" s="246">
        <v>0</v>
      </c>
      <c r="P36" s="246">
        <v>0</v>
      </c>
      <c r="Q36" s="246">
        <f t="shared" ref="Q36:Q61" si="1">SUM(M36:O36)</f>
        <v>0</v>
      </c>
    </row>
    <row r="37" spans="1:17">
      <c r="A37" s="419">
        <v>34</v>
      </c>
      <c r="B37" s="244" t="s">
        <v>1278</v>
      </c>
      <c r="C37" s="245">
        <v>45553</v>
      </c>
      <c r="D37" s="244" t="s">
        <v>1259</v>
      </c>
      <c r="E37" s="278">
        <v>3423600</v>
      </c>
      <c r="F37" s="668">
        <v>10</v>
      </c>
      <c r="G37" s="668">
        <v>90</v>
      </c>
      <c r="H37" s="668">
        <v>100</v>
      </c>
      <c r="I37" s="668">
        <v>34.235999999999997</v>
      </c>
      <c r="J37" s="668">
        <v>0</v>
      </c>
      <c r="K37" s="668">
        <v>34.235999999999997</v>
      </c>
      <c r="L37" s="668">
        <v>309.18</v>
      </c>
      <c r="M37" s="246">
        <v>0</v>
      </c>
      <c r="N37" s="246">
        <v>1626000</v>
      </c>
      <c r="O37" s="246">
        <v>1626000</v>
      </c>
      <c r="P37" s="246">
        <v>171600</v>
      </c>
      <c r="Q37" s="278">
        <f t="shared" si="1"/>
        <v>3252000</v>
      </c>
    </row>
    <row r="38" spans="1:17">
      <c r="A38" s="419">
        <v>35</v>
      </c>
      <c r="B38" s="244" t="s">
        <v>1264</v>
      </c>
      <c r="C38" s="245">
        <v>45554</v>
      </c>
      <c r="D38" s="244" t="s">
        <v>1259</v>
      </c>
      <c r="E38" s="278">
        <v>1400000</v>
      </c>
      <c r="F38" s="668">
        <v>10</v>
      </c>
      <c r="G38" s="668">
        <v>80</v>
      </c>
      <c r="H38" s="668">
        <v>90</v>
      </c>
      <c r="I38" s="668">
        <v>12.6</v>
      </c>
      <c r="J38" s="668">
        <v>0</v>
      </c>
      <c r="K38" s="668">
        <v>12.6</v>
      </c>
      <c r="L38" s="668">
        <v>34.81</v>
      </c>
      <c r="M38" s="246">
        <v>0</v>
      </c>
      <c r="N38" s="246">
        <v>267200</v>
      </c>
      <c r="O38" s="246">
        <v>1060800</v>
      </c>
      <c r="P38" s="246">
        <v>72000</v>
      </c>
      <c r="Q38" s="278">
        <f t="shared" si="1"/>
        <v>1328000</v>
      </c>
    </row>
    <row r="39" spans="1:17">
      <c r="A39" s="419">
        <v>36</v>
      </c>
      <c r="B39" s="244" t="s">
        <v>1304</v>
      </c>
      <c r="C39" s="282">
        <v>45554</v>
      </c>
      <c r="D39" s="244" t="s">
        <v>102</v>
      </c>
      <c r="E39" s="281">
        <v>21170454</v>
      </c>
      <c r="F39" s="668">
        <v>2.5</v>
      </c>
      <c r="G39" s="668">
        <v>0</v>
      </c>
      <c r="H39" s="668">
        <v>2.5</v>
      </c>
      <c r="I39" s="668">
        <v>21.17</v>
      </c>
      <c r="J39" s="668">
        <v>0</v>
      </c>
      <c r="K39" s="668">
        <v>21.17</v>
      </c>
      <c r="L39" s="668">
        <v>2.0480999999999998</v>
      </c>
      <c r="M39" s="246">
        <v>0</v>
      </c>
      <c r="N39" s="246">
        <v>0</v>
      </c>
      <c r="O39" s="246">
        <v>0</v>
      </c>
      <c r="P39" s="246">
        <v>0</v>
      </c>
      <c r="Q39" s="246">
        <f t="shared" si="1"/>
        <v>0</v>
      </c>
    </row>
    <row r="40" spans="1:17">
      <c r="A40" s="419">
        <v>37</v>
      </c>
      <c r="B40" s="244" t="s">
        <v>1305</v>
      </c>
      <c r="C40" s="280">
        <v>45555</v>
      </c>
      <c r="D40" s="244" t="s">
        <v>102</v>
      </c>
      <c r="E40" s="281">
        <v>58457688</v>
      </c>
      <c r="F40" s="668">
        <v>1</v>
      </c>
      <c r="G40" s="668">
        <v>24</v>
      </c>
      <c r="H40" s="668">
        <v>25</v>
      </c>
      <c r="I40" s="668">
        <v>146.14421999999999</v>
      </c>
      <c r="J40" s="668">
        <v>0</v>
      </c>
      <c r="K40" s="668">
        <v>146.14421999999999</v>
      </c>
      <c r="L40" s="668">
        <v>1.7808999999999999</v>
      </c>
      <c r="M40" s="246">
        <v>0</v>
      </c>
      <c r="N40" s="246">
        <v>0</v>
      </c>
      <c r="O40" s="246">
        <v>0</v>
      </c>
      <c r="P40" s="246">
        <v>0</v>
      </c>
      <c r="Q40" s="246">
        <f t="shared" si="1"/>
        <v>0</v>
      </c>
    </row>
    <row r="41" spans="1:17">
      <c r="A41" s="419">
        <v>38</v>
      </c>
      <c r="B41" s="244" t="s">
        <v>1311</v>
      </c>
      <c r="C41" s="280">
        <v>45558</v>
      </c>
      <c r="D41" s="244" t="s">
        <v>799</v>
      </c>
      <c r="E41" s="281">
        <v>1530000</v>
      </c>
      <c r="F41" s="668">
        <v>10</v>
      </c>
      <c r="G41" s="668">
        <v>30</v>
      </c>
      <c r="H41" s="668">
        <v>40</v>
      </c>
      <c r="I41" s="668">
        <v>3.88</v>
      </c>
      <c r="J41" s="668">
        <v>2.2400000000000002</v>
      </c>
      <c r="K41" s="668">
        <v>6.12</v>
      </c>
      <c r="L41" s="668" t="s">
        <v>1316</v>
      </c>
      <c r="M41" s="246">
        <v>0</v>
      </c>
      <c r="N41" s="246">
        <v>726000</v>
      </c>
      <c r="O41" s="246">
        <v>726000</v>
      </c>
      <c r="P41" s="246">
        <v>78000</v>
      </c>
      <c r="Q41" s="278">
        <f t="shared" si="1"/>
        <v>1452000</v>
      </c>
    </row>
    <row r="42" spans="1:17">
      <c r="A42" s="419">
        <v>39</v>
      </c>
      <c r="B42" s="244" t="s">
        <v>1265</v>
      </c>
      <c r="C42" s="245">
        <v>45559</v>
      </c>
      <c r="D42" s="244" t="s">
        <v>1259</v>
      </c>
      <c r="E42" s="278">
        <v>6024000</v>
      </c>
      <c r="F42" s="668">
        <v>10</v>
      </c>
      <c r="G42" s="668">
        <v>98</v>
      </c>
      <c r="H42" s="668">
        <v>108</v>
      </c>
      <c r="I42" s="668">
        <v>59.659199999999998</v>
      </c>
      <c r="J42" s="668">
        <v>5.4</v>
      </c>
      <c r="K42" s="668">
        <v>65.059200000000004</v>
      </c>
      <c r="L42" s="668">
        <v>116.31</v>
      </c>
      <c r="M42" s="246">
        <v>2846400</v>
      </c>
      <c r="N42" s="246">
        <v>854400</v>
      </c>
      <c r="O42" s="246">
        <v>1993200</v>
      </c>
      <c r="P42" s="246">
        <v>330000</v>
      </c>
      <c r="Q42" s="278">
        <f t="shared" si="1"/>
        <v>5694000</v>
      </c>
    </row>
    <row r="43" spans="1:17">
      <c r="A43" s="419">
        <v>40</v>
      </c>
      <c r="B43" s="244" t="s">
        <v>1266</v>
      </c>
      <c r="C43" s="245">
        <v>45559</v>
      </c>
      <c r="D43" s="244" t="s">
        <v>1259</v>
      </c>
      <c r="E43" s="278">
        <v>5400000</v>
      </c>
      <c r="F43" s="668">
        <v>10</v>
      </c>
      <c r="G43" s="668">
        <v>46</v>
      </c>
      <c r="H43" s="668">
        <v>56</v>
      </c>
      <c r="I43" s="668">
        <v>30.24</v>
      </c>
      <c r="J43" s="668">
        <v>0</v>
      </c>
      <c r="K43" s="668">
        <v>30.24</v>
      </c>
      <c r="L43" s="668">
        <v>85.07</v>
      </c>
      <c r="M43" s="246">
        <v>2346000</v>
      </c>
      <c r="N43" s="246">
        <v>706000</v>
      </c>
      <c r="O43" s="246">
        <v>1646000</v>
      </c>
      <c r="P43" s="246">
        <v>702000</v>
      </c>
      <c r="Q43" s="278">
        <f t="shared" si="1"/>
        <v>4698000</v>
      </c>
    </row>
    <row r="44" spans="1:17">
      <c r="A44" s="419">
        <v>41</v>
      </c>
      <c r="B44" s="244" t="s">
        <v>1279</v>
      </c>
      <c r="C44" s="245">
        <v>45559</v>
      </c>
      <c r="D44" s="244" t="s">
        <v>1259</v>
      </c>
      <c r="E44" s="278">
        <v>4416000</v>
      </c>
      <c r="F44" s="668">
        <v>10</v>
      </c>
      <c r="G44" s="668">
        <v>150</v>
      </c>
      <c r="H44" s="668">
        <v>160</v>
      </c>
      <c r="I44" s="668">
        <v>70.656000000000006</v>
      </c>
      <c r="J44" s="668">
        <v>0</v>
      </c>
      <c r="K44" s="668">
        <v>70.656000000000006</v>
      </c>
      <c r="L44" s="668">
        <v>181.79</v>
      </c>
      <c r="M44" s="246">
        <v>2096000</v>
      </c>
      <c r="N44" s="246">
        <v>629600</v>
      </c>
      <c r="O44" s="246">
        <v>1468800</v>
      </c>
      <c r="P44" s="246">
        <v>221600</v>
      </c>
      <c r="Q44" s="278">
        <f t="shared" si="1"/>
        <v>4194400</v>
      </c>
    </row>
    <row r="45" spans="1:17">
      <c r="A45" s="419">
        <v>42</v>
      </c>
      <c r="B45" s="244" t="s">
        <v>1280</v>
      </c>
      <c r="C45" s="245">
        <v>45559</v>
      </c>
      <c r="D45" s="244" t="s">
        <v>1259</v>
      </c>
      <c r="E45" s="278">
        <v>2799000</v>
      </c>
      <c r="F45" s="668">
        <v>10</v>
      </c>
      <c r="G45" s="668">
        <v>190</v>
      </c>
      <c r="H45" s="668">
        <v>200</v>
      </c>
      <c r="I45" s="668">
        <v>55.98</v>
      </c>
      <c r="J45" s="668">
        <v>0</v>
      </c>
      <c r="K45" s="668">
        <v>55.98</v>
      </c>
      <c r="L45" s="668">
        <v>20.93</v>
      </c>
      <c r="M45" s="246">
        <v>1303200</v>
      </c>
      <c r="N45" s="246">
        <v>392400</v>
      </c>
      <c r="O45" s="246">
        <v>913200</v>
      </c>
      <c r="P45" s="246">
        <v>190200</v>
      </c>
      <c r="Q45" s="278">
        <f t="shared" si="1"/>
        <v>2608800</v>
      </c>
    </row>
    <row r="46" spans="1:17">
      <c r="A46" s="419">
        <v>43</v>
      </c>
      <c r="B46" s="244" t="s">
        <v>1296</v>
      </c>
      <c r="C46" s="245">
        <v>45559</v>
      </c>
      <c r="D46" s="244" t="s">
        <v>101</v>
      </c>
      <c r="E46" s="278">
        <v>28655813</v>
      </c>
      <c r="F46" s="668">
        <v>5</v>
      </c>
      <c r="G46" s="668">
        <v>167</v>
      </c>
      <c r="H46" s="668">
        <v>172</v>
      </c>
      <c r="I46" s="668">
        <v>399.99998360000001</v>
      </c>
      <c r="J46" s="668">
        <v>92.88</v>
      </c>
      <c r="K46" s="668">
        <v>492.8799836</v>
      </c>
      <c r="L46" s="668">
        <v>36.01</v>
      </c>
      <c r="M46" s="246">
        <v>14327906</v>
      </c>
      <c r="N46" s="246">
        <v>4298372</v>
      </c>
      <c r="O46" s="246">
        <v>10029535</v>
      </c>
      <c r="P46" s="246">
        <v>0</v>
      </c>
      <c r="Q46" s="278">
        <f t="shared" si="1"/>
        <v>28655813</v>
      </c>
    </row>
    <row r="47" spans="1:17">
      <c r="A47" s="419">
        <v>44</v>
      </c>
      <c r="B47" s="244" t="s">
        <v>1297</v>
      </c>
      <c r="C47" s="245">
        <v>45559</v>
      </c>
      <c r="D47" s="244" t="s">
        <v>101</v>
      </c>
      <c r="E47" s="246">
        <v>29597646</v>
      </c>
      <c r="F47" s="668">
        <v>10</v>
      </c>
      <c r="G47" s="668">
        <v>253</v>
      </c>
      <c r="H47" s="668">
        <v>263</v>
      </c>
      <c r="I47" s="668">
        <v>500</v>
      </c>
      <c r="J47" s="668">
        <v>277.00001600000002</v>
      </c>
      <c r="K47" s="668">
        <v>777</v>
      </c>
      <c r="L47" s="668">
        <v>115.17</v>
      </c>
      <c r="M47" s="246">
        <v>14503385</v>
      </c>
      <c r="N47" s="246">
        <v>4351016</v>
      </c>
      <c r="O47" s="246">
        <v>10152371</v>
      </c>
      <c r="P47" s="246">
        <v>590874</v>
      </c>
      <c r="Q47" s="278">
        <f t="shared" si="1"/>
        <v>29006772</v>
      </c>
    </row>
    <row r="48" spans="1:17">
      <c r="A48" s="419">
        <v>45</v>
      </c>
      <c r="B48" s="244" t="s">
        <v>1298</v>
      </c>
      <c r="C48" s="280">
        <v>45559</v>
      </c>
      <c r="D48" s="244" t="s">
        <v>101</v>
      </c>
      <c r="E48" s="281">
        <v>32037601</v>
      </c>
      <c r="F48" s="668">
        <v>10</v>
      </c>
      <c r="G48" s="668">
        <v>118</v>
      </c>
      <c r="H48" s="668">
        <v>128</v>
      </c>
      <c r="I48" s="668">
        <v>410</v>
      </c>
      <c r="J48" s="668">
        <v>0</v>
      </c>
      <c r="K48" s="668">
        <v>410</v>
      </c>
      <c r="L48" s="668">
        <v>121.21</v>
      </c>
      <c r="M48" s="246">
        <v>15937500</v>
      </c>
      <c r="N48" s="246">
        <v>4781250</v>
      </c>
      <c r="O48" s="246">
        <v>11156250</v>
      </c>
      <c r="P48" s="246">
        <v>162601</v>
      </c>
      <c r="Q48" s="278">
        <f t="shared" si="1"/>
        <v>31875000</v>
      </c>
    </row>
    <row r="49" spans="1:17">
      <c r="A49" s="419">
        <v>46</v>
      </c>
      <c r="B49" s="247" t="s">
        <v>1352</v>
      </c>
      <c r="C49" s="282">
        <v>45559</v>
      </c>
      <c r="D49" s="244" t="s">
        <v>102</v>
      </c>
      <c r="E49" s="281">
        <v>39318798</v>
      </c>
      <c r="F49" s="668">
        <v>2</v>
      </c>
      <c r="G49" s="668">
        <v>10.5</v>
      </c>
      <c r="H49" s="668">
        <v>12.5</v>
      </c>
      <c r="I49" s="668">
        <v>49.148497499999998</v>
      </c>
      <c r="J49" s="668">
        <v>0</v>
      </c>
      <c r="K49" s="668">
        <v>49.148497499999998</v>
      </c>
      <c r="L49" s="668">
        <v>1.5034000000000001</v>
      </c>
      <c r="M49" s="246">
        <v>0</v>
      </c>
      <c r="N49" s="246">
        <v>0</v>
      </c>
      <c r="O49" s="246">
        <v>0</v>
      </c>
      <c r="P49" s="246">
        <v>0</v>
      </c>
      <c r="Q49" s="246">
        <f t="shared" si="1"/>
        <v>0</v>
      </c>
    </row>
    <row r="50" spans="1:17">
      <c r="A50" s="419">
        <v>47</v>
      </c>
      <c r="B50" s="247" t="s">
        <v>1354</v>
      </c>
      <c r="C50" s="282">
        <v>45559</v>
      </c>
      <c r="D50" s="244" t="s">
        <v>799</v>
      </c>
      <c r="E50" s="281">
        <v>5370000</v>
      </c>
      <c r="F50" s="668">
        <v>10</v>
      </c>
      <c r="G50" s="668">
        <v>27</v>
      </c>
      <c r="H50" s="668">
        <v>37</v>
      </c>
      <c r="I50" s="668">
        <v>19.869</v>
      </c>
      <c r="J50" s="668">
        <v>0</v>
      </c>
      <c r="K50" s="668">
        <v>19.86</v>
      </c>
      <c r="L50" s="668" t="s">
        <v>1317</v>
      </c>
      <c r="M50" s="246">
        <v>0</v>
      </c>
      <c r="N50" s="246">
        <v>999000</v>
      </c>
      <c r="O50" s="246">
        <v>4101000</v>
      </c>
      <c r="P50" s="246">
        <v>270000</v>
      </c>
      <c r="Q50" s="278">
        <f t="shared" si="1"/>
        <v>5100000</v>
      </c>
    </row>
    <row r="51" spans="1:17">
      <c r="A51" s="419">
        <v>48</v>
      </c>
      <c r="B51" s="244" t="s">
        <v>1281</v>
      </c>
      <c r="C51" s="245">
        <v>45560</v>
      </c>
      <c r="D51" s="244" t="s">
        <v>1259</v>
      </c>
      <c r="E51" s="278">
        <v>5482000</v>
      </c>
      <c r="F51" s="668">
        <v>10</v>
      </c>
      <c r="G51" s="668">
        <v>49</v>
      </c>
      <c r="H51" s="668">
        <v>59</v>
      </c>
      <c r="I51" s="668">
        <v>28.331800000000001</v>
      </c>
      <c r="J51" s="668">
        <v>4.0119999999999996</v>
      </c>
      <c r="K51" s="668">
        <v>32.343800000000002</v>
      </c>
      <c r="L51" s="668">
        <v>55.03</v>
      </c>
      <c r="M51" s="246">
        <v>2600000</v>
      </c>
      <c r="N51" s="246">
        <v>782000</v>
      </c>
      <c r="O51" s="246">
        <v>1824000</v>
      </c>
      <c r="P51" s="246">
        <v>276000</v>
      </c>
      <c r="Q51" s="278">
        <f t="shared" si="1"/>
        <v>5206000</v>
      </c>
    </row>
    <row r="52" spans="1:17">
      <c r="A52" s="419">
        <v>49</v>
      </c>
      <c r="B52" s="244" t="s">
        <v>1306</v>
      </c>
      <c r="C52" s="280">
        <v>45560</v>
      </c>
      <c r="D52" s="244" t="s">
        <v>102</v>
      </c>
      <c r="E52" s="281">
        <v>232623311</v>
      </c>
      <c r="F52" s="668">
        <v>1</v>
      </c>
      <c r="G52" s="668">
        <v>1</v>
      </c>
      <c r="H52" s="668">
        <v>2</v>
      </c>
      <c r="I52" s="668">
        <v>46.524662200000002</v>
      </c>
      <c r="J52" s="668">
        <v>0</v>
      </c>
      <c r="K52" s="668">
        <v>46.524662200000002</v>
      </c>
      <c r="L52" s="668">
        <v>1.46</v>
      </c>
      <c r="M52" s="246">
        <v>0</v>
      </c>
      <c r="N52" s="246">
        <v>0</v>
      </c>
      <c r="O52" s="246">
        <v>0</v>
      </c>
      <c r="P52" s="246">
        <v>0</v>
      </c>
      <c r="Q52" s="246">
        <f t="shared" si="1"/>
        <v>0</v>
      </c>
    </row>
    <row r="53" spans="1:17">
      <c r="A53" s="419">
        <v>50</v>
      </c>
      <c r="B53" s="244" t="s">
        <v>1282</v>
      </c>
      <c r="C53" s="245">
        <v>45561</v>
      </c>
      <c r="D53" s="244" t="s">
        <v>1259</v>
      </c>
      <c r="E53" s="278">
        <v>4938000</v>
      </c>
      <c r="F53" s="668">
        <v>10</v>
      </c>
      <c r="G53" s="668">
        <v>56</v>
      </c>
      <c r="H53" s="668">
        <v>66</v>
      </c>
      <c r="I53" s="668">
        <v>32.590800000000002</v>
      </c>
      <c r="J53" s="668">
        <v>0</v>
      </c>
      <c r="K53" s="668">
        <v>32.590800000000002</v>
      </c>
      <c r="L53" s="668">
        <v>69.849999999999994</v>
      </c>
      <c r="M53" s="246">
        <v>0</v>
      </c>
      <c r="N53" s="246">
        <v>1660000</v>
      </c>
      <c r="O53" s="246">
        <v>3030000</v>
      </c>
      <c r="P53" s="246">
        <v>248000</v>
      </c>
      <c r="Q53" s="278">
        <f t="shared" si="1"/>
        <v>4690000</v>
      </c>
    </row>
    <row r="54" spans="1:17">
      <c r="A54" s="419">
        <v>51</v>
      </c>
      <c r="B54" s="244" t="s">
        <v>1267</v>
      </c>
      <c r="C54" s="245">
        <v>45562</v>
      </c>
      <c r="D54" s="244" t="s">
        <v>1259</v>
      </c>
      <c r="E54" s="278">
        <v>4192000</v>
      </c>
      <c r="F54" s="668">
        <v>10</v>
      </c>
      <c r="G54" s="668">
        <v>52</v>
      </c>
      <c r="H54" s="668">
        <v>62</v>
      </c>
      <c r="I54" s="668">
        <v>25.990400000000001</v>
      </c>
      <c r="J54" s="668">
        <v>0</v>
      </c>
      <c r="K54" s="668">
        <v>25.990400000000001</v>
      </c>
      <c r="L54" s="668">
        <v>14.28</v>
      </c>
      <c r="M54" s="246">
        <v>0</v>
      </c>
      <c r="N54" s="246">
        <v>1246000</v>
      </c>
      <c r="O54" s="246">
        <v>2734000</v>
      </c>
      <c r="P54" s="246">
        <v>212000</v>
      </c>
      <c r="Q54" s="278">
        <f t="shared" si="1"/>
        <v>3980000</v>
      </c>
    </row>
    <row r="55" spans="1:17">
      <c r="A55" s="419">
        <v>52</v>
      </c>
      <c r="B55" s="244" t="s">
        <v>1268</v>
      </c>
      <c r="C55" s="245">
        <v>45562</v>
      </c>
      <c r="D55" s="244" t="s">
        <v>1259</v>
      </c>
      <c r="E55" s="278">
        <v>5630000</v>
      </c>
      <c r="F55" s="668">
        <v>10</v>
      </c>
      <c r="G55" s="668">
        <v>54</v>
      </c>
      <c r="H55" s="668">
        <v>64</v>
      </c>
      <c r="I55" s="668">
        <v>29.312000000000001</v>
      </c>
      <c r="J55" s="668">
        <v>6.72</v>
      </c>
      <c r="K55" s="668">
        <v>36.032000000000004</v>
      </c>
      <c r="L55" s="668">
        <v>133.66</v>
      </c>
      <c r="M55" s="246">
        <v>800000</v>
      </c>
      <c r="N55" s="246">
        <v>2300000</v>
      </c>
      <c r="O55" s="246">
        <v>2248000</v>
      </c>
      <c r="P55" s="246">
        <v>282000</v>
      </c>
      <c r="Q55" s="278">
        <f t="shared" si="1"/>
        <v>5348000</v>
      </c>
    </row>
    <row r="56" spans="1:17">
      <c r="A56" s="419">
        <v>53</v>
      </c>
      <c r="B56" s="244" t="s">
        <v>1283</v>
      </c>
      <c r="C56" s="245">
        <v>45562</v>
      </c>
      <c r="D56" s="244" t="s">
        <v>1259</v>
      </c>
      <c r="E56" s="278">
        <v>3886000</v>
      </c>
      <c r="F56" s="668">
        <v>10</v>
      </c>
      <c r="G56" s="668">
        <v>52</v>
      </c>
      <c r="H56" s="668">
        <v>62</v>
      </c>
      <c r="I56" s="668">
        <v>24.0932</v>
      </c>
      <c r="J56" s="668">
        <v>0</v>
      </c>
      <c r="K56" s="668">
        <v>24.0932</v>
      </c>
      <c r="L56" s="668">
        <v>50</v>
      </c>
      <c r="M56" s="246">
        <v>186000</v>
      </c>
      <c r="N56" s="246">
        <v>1752000</v>
      </c>
      <c r="O56" s="246">
        <v>1752000</v>
      </c>
      <c r="P56" s="246">
        <v>196000</v>
      </c>
      <c r="Q56" s="278">
        <f t="shared" si="1"/>
        <v>3690000</v>
      </c>
    </row>
    <row r="57" spans="1:17">
      <c r="A57" s="419">
        <v>54</v>
      </c>
      <c r="B57" s="244" t="s">
        <v>1284</v>
      </c>
      <c r="C57" s="245">
        <v>45562</v>
      </c>
      <c r="D57" s="244" t="s">
        <v>1259</v>
      </c>
      <c r="E57" s="278">
        <v>4960000</v>
      </c>
      <c r="F57" s="668">
        <v>10</v>
      </c>
      <c r="G57" s="668">
        <v>121</v>
      </c>
      <c r="H57" s="668">
        <v>131</v>
      </c>
      <c r="I57" s="668">
        <v>64.975999999999999</v>
      </c>
      <c r="J57" s="668">
        <v>0</v>
      </c>
      <c r="K57" s="668">
        <v>64.975999999999999</v>
      </c>
      <c r="L57" s="668">
        <v>90.61</v>
      </c>
      <c r="M57" s="246">
        <v>2354000</v>
      </c>
      <c r="N57" s="246">
        <v>707000</v>
      </c>
      <c r="O57" s="246">
        <v>1649000</v>
      </c>
      <c r="P57" s="246">
        <v>250000</v>
      </c>
      <c r="Q57" s="278">
        <f t="shared" si="1"/>
        <v>4710000</v>
      </c>
    </row>
    <row r="58" spans="1:17">
      <c r="A58" s="419">
        <v>55</v>
      </c>
      <c r="B58" s="244" t="s">
        <v>1307</v>
      </c>
      <c r="C58" s="282">
        <v>45562</v>
      </c>
      <c r="D58" s="244" t="s">
        <v>102</v>
      </c>
      <c r="E58" s="281">
        <v>192307692</v>
      </c>
      <c r="F58" s="668">
        <v>10</v>
      </c>
      <c r="G58" s="668">
        <v>3</v>
      </c>
      <c r="H58" s="668">
        <v>13</v>
      </c>
      <c r="I58" s="668">
        <v>249.9999996</v>
      </c>
      <c r="J58" s="668">
        <v>0</v>
      </c>
      <c r="K58" s="668">
        <v>249.9999996</v>
      </c>
      <c r="L58" s="668">
        <v>1.71</v>
      </c>
      <c r="M58" s="246">
        <v>0</v>
      </c>
      <c r="N58" s="246">
        <v>0</v>
      </c>
      <c r="O58" s="246">
        <v>0</v>
      </c>
      <c r="P58" s="246">
        <v>0</v>
      </c>
      <c r="Q58" s="246">
        <f t="shared" si="1"/>
        <v>0</v>
      </c>
    </row>
    <row r="59" spans="1:17">
      <c r="A59" s="419">
        <v>56</v>
      </c>
      <c r="B59" s="244" t="s">
        <v>1285</v>
      </c>
      <c r="C59" s="245">
        <v>45565</v>
      </c>
      <c r="D59" s="244" t="s">
        <v>1259</v>
      </c>
      <c r="E59" s="246">
        <v>1704000</v>
      </c>
      <c r="F59" s="668">
        <v>10</v>
      </c>
      <c r="G59" s="668">
        <v>140</v>
      </c>
      <c r="H59" s="668">
        <v>150</v>
      </c>
      <c r="I59" s="668">
        <v>21.78</v>
      </c>
      <c r="J59" s="668">
        <v>3.78</v>
      </c>
      <c r="K59" s="668">
        <v>25.560000000000002</v>
      </c>
      <c r="L59" s="668">
        <v>378.8</v>
      </c>
      <c r="M59" s="246">
        <v>807000</v>
      </c>
      <c r="N59" s="246">
        <v>243000</v>
      </c>
      <c r="O59" s="246">
        <v>566000</v>
      </c>
      <c r="P59" s="246">
        <v>88000</v>
      </c>
      <c r="Q59" s="278">
        <f t="shared" si="1"/>
        <v>1616000</v>
      </c>
    </row>
    <row r="60" spans="1:17">
      <c r="A60" s="419">
        <v>57</v>
      </c>
      <c r="B60" s="244" t="s">
        <v>1286</v>
      </c>
      <c r="C60" s="245">
        <v>45565</v>
      </c>
      <c r="D60" s="244" t="s">
        <v>1259</v>
      </c>
      <c r="E60" s="246">
        <v>1369800</v>
      </c>
      <c r="F60" s="668">
        <v>10</v>
      </c>
      <c r="G60" s="668">
        <v>212</v>
      </c>
      <c r="H60" s="668">
        <v>222</v>
      </c>
      <c r="I60" s="668">
        <v>30.409559999999999</v>
      </c>
      <c r="J60" s="668">
        <v>0</v>
      </c>
      <c r="K60" s="668">
        <v>30.409559999999999</v>
      </c>
      <c r="L60" s="668">
        <v>176.29</v>
      </c>
      <c r="M60" s="246">
        <v>649200</v>
      </c>
      <c r="N60" s="246">
        <v>195600</v>
      </c>
      <c r="O60" s="246">
        <v>455400</v>
      </c>
      <c r="P60" s="246">
        <v>69600</v>
      </c>
      <c r="Q60" s="278">
        <f t="shared" si="1"/>
        <v>1300200</v>
      </c>
    </row>
    <row r="61" spans="1:17">
      <c r="A61" s="419">
        <v>58</v>
      </c>
      <c r="B61" s="244" t="s">
        <v>1299</v>
      </c>
      <c r="C61" s="282">
        <v>45565</v>
      </c>
      <c r="D61" s="244" t="s">
        <v>101</v>
      </c>
      <c r="E61" s="281">
        <v>12570000</v>
      </c>
      <c r="F61" s="668">
        <v>10</v>
      </c>
      <c r="G61" s="668">
        <v>110</v>
      </c>
      <c r="H61" s="668">
        <v>120</v>
      </c>
      <c r="I61" s="668">
        <v>150.84</v>
      </c>
      <c r="J61" s="668">
        <v>0</v>
      </c>
      <c r="K61" s="668">
        <v>150.84</v>
      </c>
      <c r="L61" s="668">
        <v>237.01</v>
      </c>
      <c r="M61" s="246">
        <v>6285000</v>
      </c>
      <c r="N61" s="246">
        <v>1885500</v>
      </c>
      <c r="O61" s="246">
        <v>4399500</v>
      </c>
      <c r="P61" s="246">
        <v>0</v>
      </c>
      <c r="Q61" s="278">
        <f t="shared" si="1"/>
        <v>12570000</v>
      </c>
    </row>
    <row r="62" spans="1:17" s="141" customFormat="1">
      <c r="A62" s="424"/>
      <c r="E62" s="425"/>
      <c r="F62" s="426"/>
      <c r="G62" s="426"/>
      <c r="H62" s="426"/>
    </row>
    <row r="63" spans="1:17" s="141" customFormat="1">
      <c r="A63" s="427" t="s">
        <v>103</v>
      </c>
      <c r="F63" s="426"/>
      <c r="G63" s="426"/>
      <c r="H63" s="426"/>
    </row>
    <row r="64" spans="1:17" s="141" customFormat="1">
      <c r="A64" s="428" t="s">
        <v>104</v>
      </c>
      <c r="F64" s="426"/>
      <c r="G64" s="426"/>
      <c r="H64" s="426"/>
    </row>
    <row r="65" spans="1:4">
      <c r="A65" s="159" t="s">
        <v>1319</v>
      </c>
    </row>
    <row r="67" spans="1:4">
      <c r="C67" s="141"/>
      <c r="D67" s="251"/>
    </row>
    <row r="68" spans="1:4">
      <c r="C68" s="242"/>
      <c r="D68" s="250"/>
    </row>
    <row r="69" spans="1:4">
      <c r="C69" s="243"/>
      <c r="D69" s="250"/>
    </row>
    <row r="70" spans="1:4">
      <c r="C70" s="141"/>
      <c r="D70" s="249"/>
    </row>
    <row r="71" spans="1:4">
      <c r="C71" s="252"/>
      <c r="D71" s="249"/>
    </row>
    <row r="72" spans="1:4">
      <c r="C72" s="243"/>
      <c r="D72" s="250"/>
    </row>
    <row r="73" spans="1:4">
      <c r="C73" s="141"/>
      <c r="D73" s="249"/>
    </row>
    <row r="74" spans="1:4">
      <c r="C74" s="141"/>
      <c r="D74" s="249"/>
    </row>
    <row r="75" spans="1:4">
      <c r="C75" s="141"/>
      <c r="D75" s="251"/>
    </row>
    <row r="76" spans="1:4">
      <c r="C76" s="243"/>
      <c r="D76" s="250"/>
    </row>
    <row r="77" spans="1:4">
      <c r="C77" s="243"/>
      <c r="D77" s="250"/>
    </row>
    <row r="78" spans="1:4">
      <c r="C78" s="141"/>
      <c r="D78" s="249"/>
    </row>
    <row r="79" spans="1:4">
      <c r="C79" s="243"/>
      <c r="D79" s="250"/>
    </row>
    <row r="80" spans="1:4">
      <c r="C80" s="243"/>
      <c r="D80" s="250"/>
    </row>
    <row r="81" spans="3:4">
      <c r="C81" s="141"/>
      <c r="D81" s="251"/>
    </row>
    <row r="82" spans="3:4">
      <c r="C82" s="141"/>
      <c r="D82" s="251"/>
    </row>
    <row r="83" spans="3:4">
      <c r="C83" s="141"/>
      <c r="D83" s="251"/>
    </row>
    <row r="84" spans="3:4">
      <c r="C84" s="141"/>
      <c r="D84" s="251"/>
    </row>
    <row r="85" spans="3:4">
      <c r="C85" s="252"/>
      <c r="D85" s="250"/>
    </row>
    <row r="86" spans="3:4">
      <c r="C86" s="243"/>
      <c r="D86" s="250"/>
    </row>
    <row r="87" spans="3:4">
      <c r="C87" s="141"/>
      <c r="D87" s="249"/>
    </row>
    <row r="88" spans="3:4">
      <c r="C88" s="141"/>
      <c r="D88" s="249"/>
    </row>
    <row r="89" spans="3:4">
      <c r="C89" s="141"/>
      <c r="D89" s="249"/>
    </row>
    <row r="90" spans="3:4">
      <c r="C90" s="141"/>
      <c r="D90" s="251"/>
    </row>
    <row r="91" spans="3:4">
      <c r="C91" s="243"/>
      <c r="D91" s="250"/>
    </row>
    <row r="92" spans="3:4">
      <c r="C92" s="141"/>
      <c r="D92" s="249"/>
    </row>
    <row r="93" spans="3:4">
      <c r="C93" s="252"/>
      <c r="D93" s="250"/>
    </row>
    <row r="94" spans="3:4">
      <c r="C94" s="252"/>
      <c r="D94" s="250"/>
    </row>
    <row r="95" spans="3:4">
      <c r="C95" s="252"/>
      <c r="D95" s="250"/>
    </row>
    <row r="96" spans="3:4">
      <c r="C96" s="243"/>
      <c r="D96" s="250"/>
    </row>
    <row r="97" spans="3:4">
      <c r="C97" s="141"/>
      <c r="D97" s="251"/>
    </row>
    <row r="98" spans="3:4">
      <c r="C98" s="243"/>
      <c r="D98" s="250"/>
    </row>
    <row r="99" spans="3:4">
      <c r="C99" s="141"/>
      <c r="D99" s="249"/>
    </row>
    <row r="100" spans="3:4">
      <c r="C100" s="252"/>
      <c r="D100" s="250"/>
    </row>
    <row r="101" spans="3:4">
      <c r="C101" s="141"/>
      <c r="D101" s="249"/>
    </row>
    <row r="102" spans="3:4">
      <c r="C102" s="243"/>
      <c r="D102" s="250"/>
    </row>
    <row r="103" spans="3:4">
      <c r="C103" s="243"/>
      <c r="D103" s="249"/>
    </row>
  </sheetData>
  <sortState ref="B4:Q61">
    <sortCondition ref="C4:C61"/>
  </sortState>
  <mergeCells count="13">
    <mergeCell ref="L2:L3"/>
    <mergeCell ref="M2:P2"/>
    <mergeCell ref="Q2:Q3"/>
    <mergeCell ref="A1:Q1"/>
    <mergeCell ref="A2:A3"/>
    <mergeCell ref="B2:B3"/>
    <mergeCell ref="C2:C3"/>
    <mergeCell ref="D2:D3"/>
    <mergeCell ref="E2:E3"/>
    <mergeCell ref="F2:F3"/>
    <mergeCell ref="G2:G3"/>
    <mergeCell ref="H2:H3"/>
    <mergeCell ref="I2:K2"/>
  </mergeCells>
  <conditionalFormatting sqref="C75:C80 C82:C90">
    <cfRule type="duplicateValues" dxfId="2" priority="3"/>
  </conditionalFormatting>
  <conditionalFormatting sqref="C67:C74">
    <cfRule type="duplicateValues" dxfId="1" priority="2"/>
  </conditionalFormatting>
  <conditionalFormatting sqref="C81">
    <cfRule type="duplicateValues" dxfId="0" priority="1"/>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17"/>
  <sheetViews>
    <sheetView showGridLines="0" workbookViewId="0">
      <selection sqref="A1:J1"/>
    </sheetView>
  </sheetViews>
  <sheetFormatPr defaultRowHeight="15"/>
  <cols>
    <col min="1" max="1" width="6.42578125" style="192" bestFit="1" customWidth="1"/>
    <col min="2" max="2" width="32.28515625" style="192" bestFit="1" customWidth="1"/>
    <col min="3" max="3" width="30.42578125" style="192" customWidth="1"/>
    <col min="4" max="4" width="11.28515625" style="13" bestFit="1" customWidth="1"/>
    <col min="5" max="6" width="11.28515625" style="14" bestFit="1" customWidth="1"/>
    <col min="7" max="7" width="12.42578125" style="192" bestFit="1" customWidth="1"/>
    <col min="8" max="8" width="9.42578125" style="192" bestFit="1" customWidth="1"/>
    <col min="9" max="9" width="12.7109375" style="192" customWidth="1"/>
    <col min="10" max="10" width="10.140625" style="192" customWidth="1"/>
    <col min="11" max="16384" width="9.140625" style="192"/>
  </cols>
  <sheetData>
    <row r="1" spans="1:13">
      <c r="A1" s="1339" t="s">
        <v>1336</v>
      </c>
      <c r="B1" s="1339"/>
      <c r="C1" s="1339"/>
      <c r="D1" s="1339"/>
      <c r="E1" s="1339"/>
      <c r="F1" s="1339"/>
      <c r="G1" s="1339"/>
      <c r="H1" s="1339"/>
      <c r="I1" s="1339"/>
      <c r="J1" s="1339"/>
      <c r="K1" s="7"/>
    </row>
    <row r="2" spans="1:13">
      <c r="A2" s="1340" t="s">
        <v>105</v>
      </c>
      <c r="B2" s="1340" t="s">
        <v>106</v>
      </c>
      <c r="C2" s="1342" t="s">
        <v>107</v>
      </c>
      <c r="D2" s="1344" t="s">
        <v>108</v>
      </c>
      <c r="E2" s="1346" t="s">
        <v>109</v>
      </c>
      <c r="F2" s="1348" t="s">
        <v>110</v>
      </c>
      <c r="G2" s="1350" t="s">
        <v>111</v>
      </c>
      <c r="H2" s="1351"/>
      <c r="I2" s="1352" t="s">
        <v>112</v>
      </c>
      <c r="J2" s="1340" t="s">
        <v>113</v>
      </c>
      <c r="K2" s="8"/>
    </row>
    <row r="3" spans="1:13" ht="60">
      <c r="A3" s="1341"/>
      <c r="B3" s="1341"/>
      <c r="C3" s="1343"/>
      <c r="D3" s="1345"/>
      <c r="E3" s="1347"/>
      <c r="F3" s="1349"/>
      <c r="G3" s="490" t="s">
        <v>114</v>
      </c>
      <c r="H3" s="490" t="s">
        <v>1349</v>
      </c>
      <c r="I3" s="1353"/>
      <c r="J3" s="1341"/>
      <c r="K3" s="8"/>
    </row>
    <row r="4" spans="1:13">
      <c r="A4" s="166">
        <v>1</v>
      </c>
      <c r="B4" s="244" t="s">
        <v>1328</v>
      </c>
      <c r="C4" s="244" t="s">
        <v>1329</v>
      </c>
      <c r="D4" s="153">
        <v>45427</v>
      </c>
      <c r="E4" s="153">
        <v>45526</v>
      </c>
      <c r="F4" s="153">
        <v>45539</v>
      </c>
      <c r="G4" s="258">
        <v>1560000</v>
      </c>
      <c r="H4" s="579">
        <v>26</v>
      </c>
      <c r="I4" s="258">
        <v>10</v>
      </c>
      <c r="J4" s="259">
        <v>1.56</v>
      </c>
      <c r="K4" s="9"/>
    </row>
    <row r="5" spans="1:13">
      <c r="A5" s="166">
        <v>2</v>
      </c>
      <c r="B5" s="244" t="s">
        <v>1330</v>
      </c>
      <c r="C5" s="244" t="s">
        <v>1331</v>
      </c>
      <c r="D5" s="153">
        <v>45426</v>
      </c>
      <c r="E5" s="153">
        <v>45526</v>
      </c>
      <c r="F5" s="153">
        <v>45539</v>
      </c>
      <c r="G5" s="258">
        <v>3900000</v>
      </c>
      <c r="H5" s="579">
        <v>26</v>
      </c>
      <c r="I5" s="258">
        <v>18.25</v>
      </c>
      <c r="J5" s="259">
        <v>7.11</v>
      </c>
      <c r="K5" s="10"/>
      <c r="L5" s="11"/>
    </row>
    <row r="6" spans="1:13">
      <c r="A6" s="166">
        <v>3</v>
      </c>
      <c r="B6" s="244" t="s">
        <v>1332</v>
      </c>
      <c r="C6" s="244" t="s">
        <v>1333</v>
      </c>
      <c r="D6" s="153">
        <v>45422</v>
      </c>
      <c r="E6" s="153">
        <v>45541</v>
      </c>
      <c r="F6" s="153">
        <v>45555</v>
      </c>
      <c r="G6" s="258">
        <v>928000</v>
      </c>
      <c r="H6" s="579">
        <v>26</v>
      </c>
      <c r="I6" s="258">
        <v>65</v>
      </c>
      <c r="J6" s="259">
        <v>6.03</v>
      </c>
      <c r="K6" s="15"/>
      <c r="L6" s="11"/>
    </row>
    <row r="7" spans="1:13">
      <c r="A7" s="166">
        <v>4</v>
      </c>
      <c r="B7" s="244" t="s">
        <v>1334</v>
      </c>
      <c r="C7" s="244" t="s">
        <v>1335</v>
      </c>
      <c r="D7" s="153">
        <v>45461</v>
      </c>
      <c r="E7" s="153">
        <v>45548</v>
      </c>
      <c r="F7" s="153">
        <v>45562</v>
      </c>
      <c r="G7" s="258">
        <v>16882268</v>
      </c>
      <c r="H7" s="579">
        <v>26</v>
      </c>
      <c r="I7" s="258">
        <v>100</v>
      </c>
      <c r="J7" s="259">
        <v>168.82</v>
      </c>
      <c r="K7" s="15"/>
      <c r="L7" s="11"/>
    </row>
    <row r="8" spans="1:13">
      <c r="A8" s="443"/>
      <c r="B8" s="444"/>
      <c r="C8" s="444"/>
      <c r="D8" s="445"/>
      <c r="E8" s="445"/>
      <c r="F8" s="445"/>
      <c r="G8" s="446"/>
      <c r="H8" s="446"/>
      <c r="I8" s="446"/>
      <c r="J8" s="447"/>
      <c r="K8" s="15"/>
      <c r="L8" s="11"/>
    </row>
    <row r="9" spans="1:13">
      <c r="A9" s="159" t="s">
        <v>129</v>
      </c>
      <c r="B9" s="10"/>
      <c r="C9" s="10"/>
      <c r="D9" s="12"/>
      <c r="E9" s="12"/>
      <c r="F9" s="12"/>
      <c r="G9" s="10"/>
      <c r="H9" s="10"/>
      <c r="I9" s="10"/>
      <c r="J9" s="421"/>
    </row>
    <row r="10" spans="1:13">
      <c r="A10" s="10"/>
      <c r="B10" s="10"/>
      <c r="C10" s="10"/>
      <c r="D10" s="12"/>
      <c r="E10" s="12"/>
      <c r="F10" s="12"/>
      <c r="G10" s="10"/>
      <c r="H10" s="10"/>
      <c r="I10" s="10"/>
      <c r="J10" s="10"/>
    </row>
    <row r="11" spans="1:13">
      <c r="K11" s="10"/>
      <c r="L11" s="10"/>
      <c r="M11" s="10"/>
    </row>
    <row r="12" spans="1:13">
      <c r="K12" s="10"/>
      <c r="L12" s="10"/>
      <c r="M12" s="10"/>
    </row>
    <row r="13" spans="1:13">
      <c r="K13" s="10"/>
      <c r="L13" s="10"/>
      <c r="M13" s="10"/>
    </row>
    <row r="14" spans="1:13">
      <c r="K14" s="10"/>
      <c r="L14" s="10"/>
      <c r="M14" s="10"/>
    </row>
    <row r="15" spans="1:13">
      <c r="K15" s="10"/>
      <c r="L15" s="10"/>
      <c r="M15" s="10"/>
    </row>
    <row r="16" spans="1:13">
      <c r="K16" s="10"/>
      <c r="L16" s="10"/>
      <c r="M16" s="10"/>
    </row>
    <row r="17" spans="11:13">
      <c r="K17" s="10"/>
      <c r="L17" s="10"/>
      <c r="M17" s="10"/>
    </row>
  </sheetData>
  <mergeCells count="10">
    <mergeCell ref="A1:J1"/>
    <mergeCell ref="A2:A3"/>
    <mergeCell ref="B2:B3"/>
    <mergeCell ref="C2:C3"/>
    <mergeCell ref="D2:D3"/>
    <mergeCell ref="E2:E3"/>
    <mergeCell ref="F2:F3"/>
    <mergeCell ref="G2:H2"/>
    <mergeCell ref="I2:I3"/>
    <mergeCell ref="J2:J3"/>
  </mergeCells>
  <printOptions horizontalCentered="1"/>
  <pageMargins left="0.70866141732283472" right="0.70866141732283472" top="0.74803149606299213" bottom="0.74803149606299213" header="0.31496062992125984" footer="0.31496062992125984"/>
  <pageSetup paperSize="9" scale="88" fitToHeight="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30"/>
  <sheetViews>
    <sheetView showGridLines="0" workbookViewId="0">
      <selection sqref="A1:I1"/>
    </sheetView>
  </sheetViews>
  <sheetFormatPr defaultRowHeight="15"/>
  <cols>
    <col min="1" max="1" width="14" style="192" customWidth="1"/>
    <col min="2" max="2" width="13.5703125" style="192" bestFit="1" customWidth="1"/>
    <col min="3" max="3" width="9.28515625" style="192" bestFit="1" customWidth="1"/>
    <col min="4" max="4" width="11.28515625" style="192" customWidth="1"/>
    <col min="5" max="5" width="9.42578125" style="192" customWidth="1"/>
    <col min="6" max="6" width="7" style="192" bestFit="1" customWidth="1"/>
    <col min="7" max="7" width="9" style="192" bestFit="1" customWidth="1"/>
    <col min="8" max="8" width="13.5703125" style="192" bestFit="1" customWidth="1"/>
    <col min="9" max="9" width="9.28515625" style="192" bestFit="1" customWidth="1"/>
    <col min="10" max="16384" width="9.140625" style="192"/>
  </cols>
  <sheetData>
    <row r="1" spans="1:14">
      <c r="A1" s="1355" t="s">
        <v>695</v>
      </c>
      <c r="B1" s="1355"/>
      <c r="C1" s="1355"/>
      <c r="D1" s="1355"/>
      <c r="E1" s="1355"/>
      <c r="F1" s="1355"/>
      <c r="G1" s="1355"/>
      <c r="H1" s="1355"/>
      <c r="I1" s="1355"/>
      <c r="J1" s="16"/>
      <c r="K1" s="16"/>
      <c r="L1" s="16"/>
    </row>
    <row r="2" spans="1:14">
      <c r="A2" s="1356" t="s">
        <v>115</v>
      </c>
      <c r="B2" s="1359" t="s">
        <v>116</v>
      </c>
      <c r="C2" s="1360"/>
      <c r="D2" s="1360"/>
      <c r="E2" s="1360"/>
      <c r="F2" s="1360"/>
      <c r="G2" s="1360"/>
      <c r="H2" s="1360"/>
      <c r="I2" s="1361"/>
    </row>
    <row r="3" spans="1:14">
      <c r="A3" s="1357"/>
      <c r="B3" s="1359" t="s">
        <v>117</v>
      </c>
      <c r="C3" s="1360"/>
      <c r="D3" s="1360"/>
      <c r="E3" s="1360"/>
      <c r="F3" s="1360"/>
      <c r="G3" s="1361"/>
      <c r="H3" s="1362" t="s">
        <v>96</v>
      </c>
      <c r="I3" s="1363"/>
    </row>
    <row r="4" spans="1:14" ht="30" customHeight="1">
      <c r="A4" s="1357"/>
      <c r="B4" s="1364" t="s">
        <v>118</v>
      </c>
      <c r="C4" s="1365"/>
      <c r="D4" s="1364" t="s">
        <v>119</v>
      </c>
      <c r="E4" s="1365"/>
      <c r="F4" s="1364" t="s">
        <v>120</v>
      </c>
      <c r="G4" s="1365"/>
      <c r="H4" s="1340" t="s">
        <v>121</v>
      </c>
      <c r="I4" s="1340" t="s">
        <v>1247</v>
      </c>
    </row>
    <row r="5" spans="1:14" ht="30">
      <c r="A5" s="1358"/>
      <c r="B5" s="491" t="s">
        <v>121</v>
      </c>
      <c r="C5" s="491" t="s">
        <v>1247</v>
      </c>
      <c r="D5" s="491" t="s">
        <v>121</v>
      </c>
      <c r="E5" s="491" t="s">
        <v>122</v>
      </c>
      <c r="F5" s="491" t="s">
        <v>121</v>
      </c>
      <c r="G5" s="491" t="s">
        <v>1248</v>
      </c>
      <c r="H5" s="1341"/>
      <c r="I5" s="1341"/>
    </row>
    <row r="6" spans="1:14">
      <c r="A6" s="297" t="s">
        <v>505</v>
      </c>
      <c r="B6" s="296">
        <v>1</v>
      </c>
      <c r="C6" s="580">
        <v>4.3600000000000003</v>
      </c>
      <c r="D6" s="296">
        <v>1</v>
      </c>
      <c r="E6" s="580">
        <v>3.27</v>
      </c>
      <c r="F6" s="296">
        <v>71</v>
      </c>
      <c r="G6" s="580">
        <v>10243.92</v>
      </c>
      <c r="H6" s="296">
        <v>73</v>
      </c>
      <c r="I6" s="580">
        <v>10251.549999999999</v>
      </c>
      <c r="K6" s="17"/>
      <c r="L6" s="17"/>
      <c r="M6" s="18"/>
      <c r="N6" s="18"/>
    </row>
    <row r="7" spans="1:14">
      <c r="A7" s="492" t="s">
        <v>703</v>
      </c>
      <c r="B7" s="294">
        <v>33</v>
      </c>
      <c r="C7" s="581">
        <v>1002.0593139269999</v>
      </c>
      <c r="D7" s="293">
        <v>1</v>
      </c>
      <c r="E7" s="581">
        <v>5.61</v>
      </c>
      <c r="F7" s="293">
        <v>0</v>
      </c>
      <c r="G7" s="581">
        <v>0</v>
      </c>
      <c r="H7" s="293">
        <v>34</v>
      </c>
      <c r="I7" s="581">
        <v>1007.6693139270001</v>
      </c>
      <c r="K7" s="17"/>
      <c r="L7" s="17"/>
      <c r="M7" s="18"/>
      <c r="N7" s="18"/>
    </row>
    <row r="8" spans="1:14">
      <c r="A8" s="130">
        <v>45412</v>
      </c>
      <c r="B8" s="292">
        <v>4</v>
      </c>
      <c r="C8" s="582">
        <v>25.34</v>
      </c>
      <c r="D8" s="290">
        <v>1</v>
      </c>
      <c r="E8" s="582">
        <v>5.61</v>
      </c>
      <c r="F8" s="290">
        <v>0</v>
      </c>
      <c r="G8" s="582">
        <v>0</v>
      </c>
      <c r="H8" s="290">
        <f>SUM(B8,D8,F8)</f>
        <v>5</v>
      </c>
      <c r="I8" s="583">
        <f>SUM(C8,E8,G8)</f>
        <v>30.95</v>
      </c>
      <c r="K8" s="17"/>
      <c r="L8" s="17"/>
      <c r="M8" s="18"/>
      <c r="N8" s="18"/>
    </row>
    <row r="9" spans="1:14">
      <c r="A9" s="130">
        <v>45443</v>
      </c>
      <c r="B9" s="291">
        <v>1</v>
      </c>
      <c r="C9" s="583">
        <v>4.9800000000000004</v>
      </c>
      <c r="D9" s="156">
        <v>0</v>
      </c>
      <c r="E9" s="583">
        <v>0</v>
      </c>
      <c r="F9" s="156">
        <v>0</v>
      </c>
      <c r="G9" s="583">
        <v>0</v>
      </c>
      <c r="H9" s="290">
        <v>1</v>
      </c>
      <c r="I9" s="583">
        <v>4.9800000000000004</v>
      </c>
      <c r="K9" s="17"/>
      <c r="L9" s="17"/>
      <c r="M9" s="18"/>
      <c r="N9" s="18"/>
    </row>
    <row r="10" spans="1:14">
      <c r="A10" s="130">
        <v>45473</v>
      </c>
      <c r="B10" s="291">
        <v>2</v>
      </c>
      <c r="C10" s="583">
        <v>5.66</v>
      </c>
      <c r="D10" s="156">
        <v>0</v>
      </c>
      <c r="E10" s="583">
        <v>0</v>
      </c>
      <c r="F10" s="156">
        <v>0</v>
      </c>
      <c r="G10" s="583">
        <v>0</v>
      </c>
      <c r="H10" s="290">
        <f t="shared" ref="H10:H13" si="0">SUM(B10,D10,F10)</f>
        <v>2</v>
      </c>
      <c r="I10" s="583">
        <f t="shared" ref="I10:I13" si="1">SUM(C10,E10,G10)</f>
        <v>5.66</v>
      </c>
      <c r="K10" s="17"/>
      <c r="L10" s="17"/>
      <c r="M10" s="18"/>
      <c r="N10" s="18"/>
    </row>
    <row r="11" spans="1:14">
      <c r="A11" s="130">
        <v>45504</v>
      </c>
      <c r="B11" s="291">
        <v>14</v>
      </c>
      <c r="C11" s="583">
        <v>441.47931392700002</v>
      </c>
      <c r="D11" s="291">
        <v>0</v>
      </c>
      <c r="E11" s="584">
        <v>0</v>
      </c>
      <c r="F11" s="291">
        <v>0</v>
      </c>
      <c r="G11" s="584">
        <v>0</v>
      </c>
      <c r="H11" s="290">
        <f t="shared" si="0"/>
        <v>14</v>
      </c>
      <c r="I11" s="583">
        <f t="shared" si="1"/>
        <v>441.47931392700002</v>
      </c>
      <c r="K11" s="17"/>
      <c r="L11" s="17"/>
      <c r="M11" s="18"/>
      <c r="N11" s="18"/>
    </row>
    <row r="12" spans="1:14">
      <c r="A12" s="130">
        <v>45535</v>
      </c>
      <c r="B12" s="291">
        <v>8</v>
      </c>
      <c r="C12" s="583">
        <v>341.08</v>
      </c>
      <c r="D12" s="291">
        <v>0</v>
      </c>
      <c r="E12" s="584">
        <v>0</v>
      </c>
      <c r="F12" s="291">
        <v>0</v>
      </c>
      <c r="G12" s="584">
        <v>0</v>
      </c>
      <c r="H12" s="290">
        <f t="shared" si="0"/>
        <v>8</v>
      </c>
      <c r="I12" s="583">
        <f t="shared" si="1"/>
        <v>341.08</v>
      </c>
      <c r="K12" s="17"/>
      <c r="L12" s="17"/>
      <c r="M12" s="18"/>
      <c r="N12" s="18"/>
    </row>
    <row r="13" spans="1:14">
      <c r="A13" s="130">
        <v>45565</v>
      </c>
      <c r="B13" s="291">
        <v>4</v>
      </c>
      <c r="C13" s="583">
        <v>183.52</v>
      </c>
      <c r="D13" s="291">
        <v>0</v>
      </c>
      <c r="E13" s="584">
        <v>0</v>
      </c>
      <c r="F13" s="291">
        <v>0</v>
      </c>
      <c r="G13" s="584">
        <v>0</v>
      </c>
      <c r="H13" s="290">
        <f t="shared" si="0"/>
        <v>4</v>
      </c>
      <c r="I13" s="583">
        <f t="shared" si="1"/>
        <v>183.52</v>
      </c>
      <c r="K13" s="17"/>
      <c r="L13" s="17"/>
      <c r="M13" s="18"/>
      <c r="N13" s="18"/>
    </row>
    <row r="14" spans="1:14">
      <c r="A14" s="320" t="str">
        <f>"$ indicates as on "&amp;TEXT(IF(COUNT(B8:B13)=1,A8,IF(COUNT(B8:B13)=2,A9,IF(COUNT(B8:B13)=3,A10,IF(COUNT(B8:B13)=4,A11,IF(COUNT(B8:B13)=5,A12,IF(COUNT(B8:B13)=6,A13,IF(COUNT(B8:B13)=7,#REF!,IF(COUNT(B8:B13)=8,#REF!,IF(COUNT(B8:B13)=9,#REF!,IF(COUNT(B8:B13)=10,#REF!,IF(COUNT(B8:B13)=11,#REF!,#REF!))))))))))),"mmmm dd, yyyy")</f>
        <v>$ indicates as on September 30, 2024</v>
      </c>
      <c r="B14" s="19"/>
      <c r="C14" s="19"/>
      <c r="D14" s="19"/>
      <c r="E14" s="585"/>
      <c r="F14" s="22"/>
      <c r="G14" s="22"/>
      <c r="H14" s="233"/>
      <c r="I14" s="22"/>
      <c r="K14" s="17"/>
      <c r="L14" s="17"/>
      <c r="M14" s="18"/>
      <c r="N14" s="18"/>
    </row>
    <row r="15" spans="1:14">
      <c r="A15" s="1354" t="s">
        <v>126</v>
      </c>
      <c r="B15" s="1354"/>
      <c r="C15" s="1354"/>
      <c r="D15" s="1354"/>
      <c r="E15" s="1354"/>
      <c r="F15" s="1354"/>
      <c r="G15" s="1354"/>
      <c r="H15" s="19"/>
      <c r="I15" s="20"/>
      <c r="K15" s="17"/>
      <c r="L15" s="17"/>
      <c r="M15" s="18"/>
      <c r="N15" s="18"/>
    </row>
    <row r="16" spans="1:14">
      <c r="A16" s="1354" t="s">
        <v>127</v>
      </c>
      <c r="B16" s="1354"/>
      <c r="C16" s="1354"/>
      <c r="D16" s="273"/>
      <c r="E16" s="22"/>
      <c r="F16" s="19"/>
      <c r="G16" s="22"/>
      <c r="H16" s="19"/>
      <c r="I16" s="20"/>
      <c r="K16" s="17"/>
      <c r="L16" s="17"/>
      <c r="M16" s="18"/>
      <c r="N16" s="18"/>
    </row>
    <row r="17" spans="1:14">
      <c r="A17" s="23" t="s">
        <v>129</v>
      </c>
      <c r="B17" s="23"/>
      <c r="C17" s="23"/>
      <c r="D17" s="23"/>
      <c r="E17" s="23"/>
      <c r="F17" s="23"/>
      <c r="G17" s="23"/>
      <c r="H17" s="19"/>
      <c r="I17" s="20"/>
      <c r="K17" s="17"/>
      <c r="L17" s="17"/>
      <c r="M17" s="18"/>
      <c r="N17" s="18"/>
    </row>
    <row r="18" spans="1:14">
      <c r="A18" s="24"/>
      <c r="B18" s="19"/>
      <c r="C18" s="25"/>
      <c r="D18" s="19"/>
      <c r="E18" s="19"/>
      <c r="F18" s="19"/>
      <c r="G18" s="19"/>
      <c r="H18" s="19"/>
      <c r="I18" s="25"/>
      <c r="J18" s="26"/>
      <c r="K18" s="17"/>
      <c r="L18" s="17"/>
      <c r="M18" s="18"/>
      <c r="N18" s="18"/>
    </row>
    <row r="19" spans="1:14">
      <c r="A19" s="24"/>
      <c r="B19" s="19"/>
      <c r="C19" s="25"/>
      <c r="D19" s="19"/>
      <c r="E19" s="19"/>
      <c r="F19" s="19"/>
      <c r="G19" s="19"/>
      <c r="H19" s="19"/>
      <c r="I19" s="25"/>
      <c r="J19" s="26"/>
      <c r="K19" s="17"/>
      <c r="L19" s="17"/>
      <c r="M19" s="18"/>
      <c r="N19" s="18"/>
    </row>
    <row r="20" spans="1:14">
      <c r="A20" s="24"/>
      <c r="B20" s="27"/>
      <c r="C20" s="28"/>
      <c r="D20" s="27"/>
      <c r="E20" s="28"/>
      <c r="F20" s="27"/>
      <c r="G20" s="27"/>
      <c r="H20" s="27"/>
      <c r="I20" s="28"/>
      <c r="J20" s="10"/>
      <c r="K20" s="17"/>
      <c r="L20" s="17"/>
      <c r="M20" s="29"/>
      <c r="N20" s="29"/>
    </row>
    <row r="21" spans="1:14">
      <c r="A21" s="30"/>
      <c r="B21" s="31"/>
      <c r="C21" s="31"/>
      <c r="D21" s="31"/>
      <c r="E21" s="31"/>
      <c r="F21" s="31"/>
      <c r="G21" s="31"/>
      <c r="H21" s="31"/>
      <c r="I21" s="31"/>
    </row>
    <row r="22" spans="1:14">
      <c r="A22" s="30"/>
      <c r="B22" s="31"/>
      <c r="C22" s="31"/>
      <c r="D22" s="31"/>
      <c r="E22" s="31"/>
      <c r="F22" s="31"/>
      <c r="G22" s="31"/>
      <c r="H22" s="31"/>
      <c r="I22" s="31"/>
    </row>
    <row r="23" spans="1:14">
      <c r="A23" s="32"/>
      <c r="B23" s="31"/>
      <c r="C23" s="31"/>
      <c r="D23" s="31"/>
      <c r="E23" s="31"/>
      <c r="F23" s="31"/>
      <c r="G23" s="31"/>
      <c r="H23" s="31"/>
      <c r="I23" s="31"/>
    </row>
    <row r="24" spans="1:14">
      <c r="A24" s="32"/>
      <c r="B24" s="31"/>
      <c r="C24" s="31"/>
      <c r="D24" s="31"/>
      <c r="E24" s="31"/>
      <c r="F24" s="31"/>
      <c r="G24" s="31"/>
      <c r="H24" s="31"/>
      <c r="I24" s="31"/>
    </row>
    <row r="25" spans="1:14">
      <c r="H25" s="23"/>
      <c r="I25" s="23"/>
    </row>
    <row r="26" spans="1:14">
      <c r="H26" s="23"/>
      <c r="I26" s="23"/>
    </row>
    <row r="27" spans="1:14">
      <c r="H27" s="33"/>
      <c r="I27" s="33"/>
    </row>
    <row r="28" spans="1:14">
      <c r="H28" s="34"/>
      <c r="I28" s="34"/>
    </row>
    <row r="30" spans="1:14">
      <c r="B30" s="18"/>
      <c r="C30" s="18"/>
      <c r="D30" s="18"/>
      <c r="E30" s="18"/>
      <c r="F30" s="18"/>
      <c r="G30" s="18"/>
      <c r="H30" s="18"/>
      <c r="I30" s="18"/>
    </row>
  </sheetData>
  <mergeCells count="12">
    <mergeCell ref="H4:H5"/>
    <mergeCell ref="I4:I5"/>
    <mergeCell ref="A15:G15"/>
    <mergeCell ref="A16:C16"/>
    <mergeCell ref="A1:I1"/>
    <mergeCell ref="A2:A5"/>
    <mergeCell ref="B2:I2"/>
    <mergeCell ref="B3:G3"/>
    <mergeCell ref="H3:I3"/>
    <mergeCell ref="B4:C4"/>
    <mergeCell ref="D4:E4"/>
    <mergeCell ref="F4:G4"/>
  </mergeCells>
  <printOptions horizontalCentered="1"/>
  <pageMargins left="0.7" right="0.7" top="0.75" bottom="0.75" header="0.3" footer="0.3"/>
  <pageSetup paperSize="9" fitToHeight="0"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H100"/>
  <sheetViews>
    <sheetView showGridLines="0" zoomScaleNormal="100" workbookViewId="0">
      <selection sqref="A1:I1"/>
    </sheetView>
  </sheetViews>
  <sheetFormatPr defaultRowHeight="15"/>
  <cols>
    <col min="1" max="1" width="44.7109375" style="192" customWidth="1"/>
    <col min="2" max="2" width="13.28515625" style="192" customWidth="1"/>
    <col min="3" max="3" width="10.7109375" style="192" bestFit="1" customWidth="1"/>
    <col min="4" max="4" width="13.28515625" style="192" customWidth="1"/>
    <col min="5" max="5" width="10.5703125" style="192" bestFit="1" customWidth="1"/>
    <col min="6" max="6" width="9.42578125" style="192" customWidth="1"/>
    <col min="7" max="8" width="11.5703125" style="192" customWidth="1"/>
    <col min="9" max="9" width="10.5703125" style="192" bestFit="1" customWidth="1"/>
    <col min="10" max="10" width="9.5703125" style="192" customWidth="1"/>
    <col min="11" max="11" width="9.85546875" style="192" customWidth="1"/>
    <col min="12" max="12" width="10.28515625" style="192" customWidth="1"/>
    <col min="13" max="13" width="9.85546875" style="192" customWidth="1"/>
    <col min="14" max="14" width="10.7109375" style="192" customWidth="1"/>
    <col min="15" max="15" width="10.140625" style="192" customWidth="1"/>
    <col min="16" max="16" width="9.140625" style="192" customWidth="1"/>
    <col min="17" max="17" width="12.5703125" style="192" customWidth="1"/>
    <col min="18" max="20" width="9.140625" style="192" customWidth="1"/>
    <col min="21" max="21" width="11" style="192" customWidth="1"/>
    <col min="22" max="22" width="9.140625" style="192" customWidth="1"/>
    <col min="23" max="23" width="10.42578125" style="192" customWidth="1"/>
    <col min="24" max="24" width="9.140625" style="192" customWidth="1"/>
    <col min="25" max="25" width="11.28515625" style="192" customWidth="1"/>
    <col min="26" max="28" width="9.140625" style="192" customWidth="1"/>
    <col min="29" max="29" width="11.5703125" style="192" customWidth="1"/>
    <col min="30" max="30" width="9.140625" style="192" customWidth="1"/>
    <col min="31" max="31" width="10.42578125" style="192" bestFit="1" customWidth="1"/>
    <col min="32" max="32" width="9.140625" style="192" customWidth="1"/>
    <col min="33" max="33" width="12.5703125" style="192" customWidth="1"/>
    <col min="34" max="16384" width="9.140625" style="192"/>
  </cols>
  <sheetData>
    <row r="1" spans="1:34" ht="15" customHeight="1">
      <c r="A1" s="1372" t="s">
        <v>681</v>
      </c>
      <c r="B1" s="1372"/>
      <c r="C1" s="1372"/>
      <c r="D1" s="1372"/>
      <c r="E1" s="1372"/>
      <c r="F1" s="1372"/>
      <c r="G1" s="1372"/>
      <c r="H1" s="1372"/>
      <c r="I1" s="1372"/>
      <c r="J1" s="239"/>
      <c r="K1" s="239"/>
      <c r="L1" s="239"/>
      <c r="M1" s="239"/>
      <c r="N1" s="196"/>
      <c r="O1" s="196"/>
    </row>
    <row r="2" spans="1:34">
      <c r="A2" s="1373" t="s">
        <v>130</v>
      </c>
      <c r="B2" s="1376" t="s">
        <v>505</v>
      </c>
      <c r="C2" s="1376"/>
      <c r="D2" s="1376"/>
      <c r="E2" s="1376"/>
      <c r="F2" s="1376" t="s">
        <v>1444</v>
      </c>
      <c r="G2" s="1376"/>
      <c r="H2" s="1376"/>
      <c r="I2" s="1376"/>
      <c r="J2" s="1369">
        <v>45412</v>
      </c>
      <c r="K2" s="1370"/>
      <c r="L2" s="1370"/>
      <c r="M2" s="1371"/>
      <c r="N2" s="1369">
        <f>EOMONTH(J2,1)</f>
        <v>45443</v>
      </c>
      <c r="O2" s="1370"/>
      <c r="P2" s="1370"/>
      <c r="Q2" s="1371"/>
      <c r="R2" s="1369">
        <f>EOMONTH(N2,1)</f>
        <v>45473</v>
      </c>
      <c r="S2" s="1370"/>
      <c r="T2" s="1370"/>
      <c r="U2" s="1371"/>
      <c r="V2" s="1369">
        <f>EOMONTH(R2,1)</f>
        <v>45504</v>
      </c>
      <c r="W2" s="1370"/>
      <c r="X2" s="1370"/>
      <c r="Y2" s="1371"/>
      <c r="Z2" s="1369">
        <f>EOMONTH(V2,1)</f>
        <v>45535</v>
      </c>
      <c r="AA2" s="1370"/>
      <c r="AB2" s="1370"/>
      <c r="AC2" s="1371"/>
      <c r="AD2" s="1369">
        <f>EOMONTH(Z2,1)</f>
        <v>45565</v>
      </c>
      <c r="AE2" s="1370"/>
      <c r="AF2" s="1370"/>
      <c r="AG2" s="1371"/>
    </row>
    <row r="3" spans="1:34">
      <c r="A3" s="1374"/>
      <c r="B3" s="1367" t="s">
        <v>131</v>
      </c>
      <c r="C3" s="1368"/>
      <c r="D3" s="1367" t="s">
        <v>132</v>
      </c>
      <c r="E3" s="1368"/>
      <c r="F3" s="1367" t="s">
        <v>131</v>
      </c>
      <c r="G3" s="1368"/>
      <c r="H3" s="1367" t="s">
        <v>132</v>
      </c>
      <c r="I3" s="1368"/>
      <c r="J3" s="1367" t="s">
        <v>131</v>
      </c>
      <c r="K3" s="1368"/>
      <c r="L3" s="1367" t="s">
        <v>132</v>
      </c>
      <c r="M3" s="1368"/>
      <c r="N3" s="1367" t="s">
        <v>131</v>
      </c>
      <c r="O3" s="1368"/>
      <c r="P3" s="1367" t="s">
        <v>132</v>
      </c>
      <c r="Q3" s="1368"/>
      <c r="R3" s="1367" t="s">
        <v>131</v>
      </c>
      <c r="S3" s="1368"/>
      <c r="T3" s="1367" t="s">
        <v>132</v>
      </c>
      <c r="U3" s="1368"/>
      <c r="V3" s="1367" t="s">
        <v>131</v>
      </c>
      <c r="W3" s="1368"/>
      <c r="X3" s="1367" t="s">
        <v>132</v>
      </c>
      <c r="Y3" s="1368"/>
      <c r="Z3" s="1367" t="s">
        <v>131</v>
      </c>
      <c r="AA3" s="1368"/>
      <c r="AB3" s="1367" t="s">
        <v>132</v>
      </c>
      <c r="AC3" s="1368"/>
      <c r="AD3" s="1367" t="s">
        <v>131</v>
      </c>
      <c r="AE3" s="1368"/>
      <c r="AF3" s="1367" t="s">
        <v>132</v>
      </c>
      <c r="AG3" s="1368"/>
    </row>
    <row r="4" spans="1:34" ht="31.5" customHeight="1">
      <c r="A4" s="1375"/>
      <c r="B4" s="497" t="s">
        <v>133</v>
      </c>
      <c r="C4" s="497" t="s">
        <v>134</v>
      </c>
      <c r="D4" s="497" t="s">
        <v>133</v>
      </c>
      <c r="E4" s="497" t="s">
        <v>134</v>
      </c>
      <c r="F4" s="497" t="s">
        <v>133</v>
      </c>
      <c r="G4" s="497" t="s">
        <v>134</v>
      </c>
      <c r="H4" s="497" t="s">
        <v>133</v>
      </c>
      <c r="I4" s="497" t="s">
        <v>134</v>
      </c>
      <c r="J4" s="497" t="s">
        <v>133</v>
      </c>
      <c r="K4" s="497" t="s">
        <v>134</v>
      </c>
      <c r="L4" s="497" t="s">
        <v>133</v>
      </c>
      <c r="M4" s="497" t="s">
        <v>134</v>
      </c>
      <c r="N4" s="497" t="s">
        <v>133</v>
      </c>
      <c r="O4" s="497" t="s">
        <v>134</v>
      </c>
      <c r="P4" s="497" t="s">
        <v>133</v>
      </c>
      <c r="Q4" s="497" t="s">
        <v>134</v>
      </c>
      <c r="R4" s="497" t="s">
        <v>133</v>
      </c>
      <c r="S4" s="497" t="s">
        <v>1249</v>
      </c>
      <c r="T4" s="497" t="s">
        <v>133</v>
      </c>
      <c r="U4" s="497" t="s">
        <v>1249</v>
      </c>
      <c r="V4" s="497" t="s">
        <v>133</v>
      </c>
      <c r="W4" s="497" t="s">
        <v>1249</v>
      </c>
      <c r="X4" s="497" t="s">
        <v>133</v>
      </c>
      <c r="Y4" s="497" t="s">
        <v>1249</v>
      </c>
      <c r="Z4" s="497" t="s">
        <v>133</v>
      </c>
      <c r="AA4" s="497" t="s">
        <v>1249</v>
      </c>
      <c r="AB4" s="497" t="s">
        <v>133</v>
      </c>
      <c r="AC4" s="497" t="s">
        <v>1249</v>
      </c>
      <c r="AD4" s="497" t="s">
        <v>133</v>
      </c>
      <c r="AE4" s="497" t="s">
        <v>1249</v>
      </c>
      <c r="AF4" s="497" t="s">
        <v>133</v>
      </c>
      <c r="AG4" s="497" t="s">
        <v>1249</v>
      </c>
    </row>
    <row r="5" spans="1:34" s="197" customFormat="1">
      <c r="A5" s="498" t="s">
        <v>135</v>
      </c>
      <c r="B5" s="498"/>
      <c r="C5" s="498"/>
      <c r="D5" s="498"/>
      <c r="E5" s="498"/>
      <c r="F5" s="498"/>
      <c r="G5" s="498"/>
      <c r="H5" s="498"/>
      <c r="I5" s="498"/>
      <c r="J5" s="498"/>
      <c r="K5" s="498"/>
      <c r="L5" s="498"/>
      <c r="M5" s="498"/>
      <c r="N5" s="498"/>
      <c r="O5" s="498"/>
      <c r="P5" s="498"/>
      <c r="Q5" s="498"/>
      <c r="R5" s="498"/>
      <c r="S5" s="498"/>
      <c r="T5" s="498"/>
      <c r="U5" s="498"/>
      <c r="V5" s="498"/>
      <c r="W5" s="498"/>
      <c r="X5" s="498"/>
      <c r="Y5" s="498"/>
      <c r="Z5" s="498"/>
      <c r="AA5" s="498"/>
      <c r="AB5" s="498"/>
      <c r="AC5" s="498"/>
      <c r="AD5" s="498"/>
      <c r="AE5" s="498"/>
      <c r="AF5" s="498"/>
      <c r="AG5" s="498"/>
    </row>
    <row r="6" spans="1:34" s="15" customFormat="1">
      <c r="A6" s="253" t="s">
        <v>623</v>
      </c>
      <c r="B6" s="165">
        <v>9</v>
      </c>
      <c r="C6" s="586">
        <v>7506.2741069999993</v>
      </c>
      <c r="D6" s="165">
        <v>67</v>
      </c>
      <c r="E6" s="586">
        <v>54353.573211499992</v>
      </c>
      <c r="F6" s="165">
        <f>J6+N6+R6+V6+Z6+AD6</f>
        <v>3</v>
      </c>
      <c r="G6" s="586">
        <f>K6+O6+S6+W6+AA6+AE6</f>
        <v>5746.6458591999999</v>
      </c>
      <c r="H6" s="165">
        <f>L6+P6+T6+X6+AB6+AF6</f>
        <v>36</v>
      </c>
      <c r="I6" s="586">
        <f>M6+Q6+U6+Y6+AC6+AG6</f>
        <v>45274.481682400001</v>
      </c>
      <c r="J6" s="165">
        <v>0</v>
      </c>
      <c r="K6" s="600">
        <v>0</v>
      </c>
      <c r="L6" s="448">
        <v>3</v>
      </c>
      <c r="M6" s="607">
        <v>5054.67</v>
      </c>
      <c r="N6" s="165">
        <v>2</v>
      </c>
      <c r="O6" s="600">
        <v>5614.6458591999999</v>
      </c>
      <c r="P6" s="448">
        <v>3</v>
      </c>
      <c r="Q6" s="607">
        <v>3991.4845838000001</v>
      </c>
      <c r="R6" s="165">
        <v>1</v>
      </c>
      <c r="S6" s="600">
        <v>132</v>
      </c>
      <c r="T6" s="448">
        <v>4</v>
      </c>
      <c r="U6" s="607">
        <v>1825.2800000000002</v>
      </c>
      <c r="V6" s="165">
        <v>0</v>
      </c>
      <c r="W6" s="600">
        <v>0</v>
      </c>
      <c r="X6" s="448">
        <v>5</v>
      </c>
      <c r="Y6" s="607">
        <v>4878.1799755000002</v>
      </c>
      <c r="Z6" s="165">
        <v>0</v>
      </c>
      <c r="AA6" s="600">
        <v>0</v>
      </c>
      <c r="AB6" s="448">
        <v>8</v>
      </c>
      <c r="AC6" s="607">
        <f>SUM(AC7:AC8)</f>
        <v>14700.3171231</v>
      </c>
      <c r="AD6" s="165">
        <v>0</v>
      </c>
      <c r="AE6" s="600">
        <v>0</v>
      </c>
      <c r="AF6" s="448">
        <v>13</v>
      </c>
      <c r="AG6" s="607">
        <v>14824.550000000001</v>
      </c>
    </row>
    <row r="7" spans="1:34" s="15" customFormat="1">
      <c r="A7" s="417" t="s">
        <v>624</v>
      </c>
      <c r="B7" s="165" t="s">
        <v>233</v>
      </c>
      <c r="C7" s="586">
        <v>2942.2087618999999</v>
      </c>
      <c r="D7" s="165" t="s">
        <v>233</v>
      </c>
      <c r="E7" s="586">
        <v>30160.0312982</v>
      </c>
      <c r="F7" s="165" t="s">
        <v>233</v>
      </c>
      <c r="G7" s="586">
        <f t="shared" ref="G7:G8" si="0">K7+O7+S7+W7+AA7+AE7</f>
        <v>3489.6458468999999</v>
      </c>
      <c r="H7" s="165" t="s">
        <v>233</v>
      </c>
      <c r="I7" s="586">
        <f>M7+Q7+U7+Y7+AC7+AG7</f>
        <v>22825.975698399998</v>
      </c>
      <c r="J7" s="165" t="s">
        <v>233</v>
      </c>
      <c r="K7" s="600">
        <v>0</v>
      </c>
      <c r="L7" s="138" t="s">
        <v>233</v>
      </c>
      <c r="M7" s="599">
        <v>4624.4736579999999</v>
      </c>
      <c r="N7" s="138" t="s">
        <v>233</v>
      </c>
      <c r="O7" s="601">
        <v>3489.6458468999999</v>
      </c>
      <c r="P7" s="138" t="s">
        <v>233</v>
      </c>
      <c r="Q7" s="599">
        <v>2703.4940821</v>
      </c>
      <c r="R7" s="138" t="s">
        <v>233</v>
      </c>
      <c r="S7" s="601">
        <v>0</v>
      </c>
      <c r="T7" s="138" t="s">
        <v>233</v>
      </c>
      <c r="U7" s="599">
        <v>1180.2934208000001</v>
      </c>
      <c r="V7" s="138" t="s">
        <v>233</v>
      </c>
      <c r="W7" s="601">
        <v>0</v>
      </c>
      <c r="X7" s="138" t="s">
        <v>233</v>
      </c>
      <c r="Y7" s="599">
        <v>1765.0769344999999</v>
      </c>
      <c r="Z7" s="138" t="s">
        <v>233</v>
      </c>
      <c r="AA7" s="601">
        <v>0</v>
      </c>
      <c r="AB7" s="138" t="s">
        <v>233</v>
      </c>
      <c r="AC7" s="599">
        <v>5746.0690118000002</v>
      </c>
      <c r="AD7" s="138" t="s">
        <v>233</v>
      </c>
      <c r="AE7" s="601">
        <v>0</v>
      </c>
      <c r="AF7" s="138" t="s">
        <v>233</v>
      </c>
      <c r="AG7" s="613">
        <v>6806.5685911999999</v>
      </c>
    </row>
    <row r="8" spans="1:34" s="15" customFormat="1">
      <c r="A8" s="417" t="s">
        <v>625</v>
      </c>
      <c r="B8" s="165" t="s">
        <v>233</v>
      </c>
      <c r="C8" s="586">
        <v>4564.8984638000002</v>
      </c>
      <c r="D8" s="165" t="s">
        <v>233</v>
      </c>
      <c r="E8" s="586">
        <v>24200.778626200001</v>
      </c>
      <c r="F8" s="165" t="s">
        <v>233</v>
      </c>
      <c r="G8" s="586">
        <f t="shared" si="0"/>
        <v>2257.5513492999999</v>
      </c>
      <c r="H8" s="165" t="s">
        <v>233</v>
      </c>
      <c r="I8" s="586">
        <f>M8+Q8+U8+Y8+AC8+AG8</f>
        <v>22451.522990999998</v>
      </c>
      <c r="J8" s="165" t="s">
        <v>233</v>
      </c>
      <c r="K8" s="600">
        <v>0</v>
      </c>
      <c r="L8" s="138" t="s">
        <v>233</v>
      </c>
      <c r="M8" s="599">
        <v>430.1999725</v>
      </c>
      <c r="N8" s="138" t="s">
        <v>233</v>
      </c>
      <c r="O8" s="608">
        <v>2125.5513492999999</v>
      </c>
      <c r="P8" s="138" t="s">
        <v>233</v>
      </c>
      <c r="Q8" s="599">
        <v>1288.9614293</v>
      </c>
      <c r="R8" s="138" t="s">
        <v>233</v>
      </c>
      <c r="S8" s="608">
        <v>132</v>
      </c>
      <c r="T8" s="138" t="s">
        <v>233</v>
      </c>
      <c r="U8" s="599">
        <v>645.10322650000001</v>
      </c>
      <c r="V8" s="138" t="s">
        <v>233</v>
      </c>
      <c r="W8" s="608">
        <v>0</v>
      </c>
      <c r="X8" s="138" t="s">
        <v>233</v>
      </c>
      <c r="Y8" s="599">
        <v>3114.3413168999996</v>
      </c>
      <c r="Z8" s="138" t="s">
        <v>233</v>
      </c>
      <c r="AA8" s="608">
        <v>0</v>
      </c>
      <c r="AB8" s="138" t="s">
        <v>233</v>
      </c>
      <c r="AC8" s="599">
        <v>8954.2481112999994</v>
      </c>
      <c r="AD8" s="138" t="s">
        <v>233</v>
      </c>
      <c r="AE8" s="608">
        <v>0</v>
      </c>
      <c r="AF8" s="138" t="s">
        <v>233</v>
      </c>
      <c r="AG8" s="613">
        <v>8018.6689345000004</v>
      </c>
    </row>
    <row r="9" spans="1:34" s="15" customFormat="1">
      <c r="A9" s="253" t="s">
        <v>626</v>
      </c>
      <c r="B9" s="165">
        <v>3</v>
      </c>
      <c r="C9" s="586">
        <v>121.60543999999999</v>
      </c>
      <c r="D9" s="165">
        <v>193</v>
      </c>
      <c r="E9" s="586">
        <v>5973.859480000001</v>
      </c>
      <c r="F9" s="449">
        <f>J9+N9+R9+V9+Z9+AD9</f>
        <v>3</v>
      </c>
      <c r="G9" s="589">
        <f>K9+O9+S9+W9+AA9+AE9</f>
        <v>126.44432</v>
      </c>
      <c r="H9" s="449">
        <f>L9+P9+T9+X9+AB9+AF9</f>
        <v>142</v>
      </c>
      <c r="I9" s="589">
        <f>M9+Q9+U9+Y9+AC9+AG9</f>
        <v>4976.1340200000004</v>
      </c>
      <c r="J9" s="165">
        <v>0</v>
      </c>
      <c r="K9" s="600">
        <v>0</v>
      </c>
      <c r="L9" s="129">
        <v>23</v>
      </c>
      <c r="M9" s="608">
        <v>672.70851999999991</v>
      </c>
      <c r="N9" s="138">
        <v>0</v>
      </c>
      <c r="O9" s="596">
        <v>0</v>
      </c>
      <c r="P9" s="129">
        <v>21</v>
      </c>
      <c r="Q9" s="608">
        <v>527.21852000000001</v>
      </c>
      <c r="R9" s="138">
        <v>1</v>
      </c>
      <c r="S9" s="596">
        <v>32.520000000000003</v>
      </c>
      <c r="T9" s="129">
        <v>16</v>
      </c>
      <c r="U9" s="608">
        <v>530.8180000000001</v>
      </c>
      <c r="V9" s="138">
        <v>2</v>
      </c>
      <c r="W9" s="596">
        <v>93.924319999999994</v>
      </c>
      <c r="X9" s="129">
        <v>23</v>
      </c>
      <c r="Y9" s="608">
        <v>1088.0824000000002</v>
      </c>
      <c r="Z9" s="138">
        <v>0</v>
      </c>
      <c r="AA9" s="596">
        <v>0</v>
      </c>
      <c r="AB9" s="442">
        <v>25</v>
      </c>
      <c r="AC9" s="608">
        <f>SUM(AC10:AC11)</f>
        <v>768.99797999999998</v>
      </c>
      <c r="AD9" s="138">
        <v>0</v>
      </c>
      <c r="AE9" s="596">
        <v>0</v>
      </c>
      <c r="AF9" s="129">
        <v>34</v>
      </c>
      <c r="AG9" s="608">
        <f>SUM(AG10:AG11)</f>
        <v>1388.3085999999998</v>
      </c>
      <c r="AH9" s="197"/>
    </row>
    <row r="10" spans="1:34" s="15" customFormat="1">
      <c r="A10" s="417" t="s">
        <v>624</v>
      </c>
      <c r="B10" s="165" t="s">
        <v>233</v>
      </c>
      <c r="C10" s="586">
        <v>6.08</v>
      </c>
      <c r="D10" s="165" t="s">
        <v>233</v>
      </c>
      <c r="E10" s="586">
        <v>322.28524649999997</v>
      </c>
      <c r="F10" s="165" t="s">
        <v>233</v>
      </c>
      <c r="G10" s="586">
        <f>K10+O10+S10+W10+AA10+AE10</f>
        <v>9.2880000000000003</v>
      </c>
      <c r="H10" s="165" t="s">
        <v>233</v>
      </c>
      <c r="I10" s="586">
        <f>M10+Q10+U10+Y10+AC10+AG10</f>
        <v>349.66406000000001</v>
      </c>
      <c r="J10" s="165" t="s">
        <v>233</v>
      </c>
      <c r="K10" s="600">
        <v>0</v>
      </c>
      <c r="L10" s="138" t="s">
        <v>233</v>
      </c>
      <c r="M10" s="608">
        <v>0</v>
      </c>
      <c r="N10" s="138" t="s">
        <v>233</v>
      </c>
      <c r="O10" s="601">
        <v>0</v>
      </c>
      <c r="P10" s="138" t="s">
        <v>233</v>
      </c>
      <c r="Q10" s="608">
        <v>6.5987999999999998</v>
      </c>
      <c r="R10" s="138" t="s">
        <v>233</v>
      </c>
      <c r="S10" s="601">
        <v>9.2880000000000003</v>
      </c>
      <c r="T10" s="138" t="s">
        <v>233</v>
      </c>
      <c r="U10" s="608">
        <v>48.536000000000001</v>
      </c>
      <c r="V10" s="138" t="s">
        <v>233</v>
      </c>
      <c r="W10" s="601">
        <v>0</v>
      </c>
      <c r="X10" s="138" t="s">
        <v>233</v>
      </c>
      <c r="Y10" s="608">
        <v>156.88276000000002</v>
      </c>
      <c r="Z10" s="138" t="s">
        <v>233</v>
      </c>
      <c r="AA10" s="601">
        <v>0</v>
      </c>
      <c r="AB10" s="138" t="s">
        <v>233</v>
      </c>
      <c r="AC10" s="608">
        <v>6.4396800000000001</v>
      </c>
      <c r="AD10" s="138" t="s">
        <v>233</v>
      </c>
      <c r="AE10" s="601">
        <v>0</v>
      </c>
      <c r="AF10" s="138" t="s">
        <v>233</v>
      </c>
      <c r="AG10" s="608">
        <v>131.20681999999999</v>
      </c>
    </row>
    <row r="11" spans="1:34" s="15" customFormat="1">
      <c r="A11" s="417" t="s">
        <v>625</v>
      </c>
      <c r="B11" s="165" t="s">
        <v>233</v>
      </c>
      <c r="C11" s="586">
        <v>115.52356</v>
      </c>
      <c r="D11" s="165" t="s">
        <v>233</v>
      </c>
      <c r="E11" s="586">
        <v>5651.7001455</v>
      </c>
      <c r="F11" s="165" t="s">
        <v>233</v>
      </c>
      <c r="G11" s="586">
        <f>K11+O11+S11+W11+AA11+AE11</f>
        <v>117.15631999999999</v>
      </c>
      <c r="H11" s="165" t="s">
        <v>233</v>
      </c>
      <c r="I11" s="586">
        <f>M11+Q11+U11+Y11+AC11+AG11</f>
        <v>4626.5682399999996</v>
      </c>
      <c r="J11" s="165" t="s">
        <v>233</v>
      </c>
      <c r="K11" s="600">
        <v>0</v>
      </c>
      <c r="L11" s="138" t="s">
        <v>233</v>
      </c>
      <c r="M11" s="608">
        <v>672.72667999999987</v>
      </c>
      <c r="N11" s="138" t="s">
        <v>233</v>
      </c>
      <c r="O11" s="601">
        <v>0</v>
      </c>
      <c r="P11" s="138" t="s">
        <v>233</v>
      </c>
      <c r="Q11" s="608">
        <v>520.62464</v>
      </c>
      <c r="R11" s="138" t="s">
        <v>233</v>
      </c>
      <c r="S11" s="601">
        <v>23.231999999999999</v>
      </c>
      <c r="T11" s="138" t="s">
        <v>233</v>
      </c>
      <c r="U11" s="608">
        <v>482.30420000000004</v>
      </c>
      <c r="V11" s="138" t="s">
        <v>233</v>
      </c>
      <c r="W11" s="601">
        <v>93.924319999999994</v>
      </c>
      <c r="X11" s="138" t="s">
        <v>233</v>
      </c>
      <c r="Y11" s="608">
        <v>931.2526399999997</v>
      </c>
      <c r="Z11" s="138" t="s">
        <v>233</v>
      </c>
      <c r="AA11" s="601">
        <v>0</v>
      </c>
      <c r="AB11" s="138" t="s">
        <v>233</v>
      </c>
      <c r="AC11" s="608">
        <v>762.55830000000003</v>
      </c>
      <c r="AD11" s="138" t="s">
        <v>233</v>
      </c>
      <c r="AE11" s="601">
        <v>0</v>
      </c>
      <c r="AF11" s="138" t="s">
        <v>233</v>
      </c>
      <c r="AG11" s="608">
        <v>1257.10178</v>
      </c>
    </row>
    <row r="12" spans="1:34" s="15" customFormat="1">
      <c r="A12" s="253" t="s">
        <v>627</v>
      </c>
      <c r="B12" s="165">
        <v>12</v>
      </c>
      <c r="C12" s="586">
        <v>7627.8795469999995</v>
      </c>
      <c r="D12" s="165">
        <v>260</v>
      </c>
      <c r="E12" s="586">
        <v>60327.432691499991</v>
      </c>
      <c r="F12" s="129">
        <f>F9+F6</f>
        <v>6</v>
      </c>
      <c r="G12" s="596">
        <f t="shared" ref="G12:AG12" si="1">G9+G6</f>
        <v>5873.0901791999995</v>
      </c>
      <c r="H12" s="129">
        <f t="shared" si="1"/>
        <v>178</v>
      </c>
      <c r="I12" s="599">
        <f t="shared" si="1"/>
        <v>50250.615702399999</v>
      </c>
      <c r="J12" s="129">
        <f t="shared" si="1"/>
        <v>0</v>
      </c>
      <c r="K12" s="596">
        <f t="shared" si="1"/>
        <v>0</v>
      </c>
      <c r="L12" s="129">
        <f t="shared" si="1"/>
        <v>26</v>
      </c>
      <c r="M12" s="599">
        <f t="shared" si="1"/>
        <v>5727.3785200000002</v>
      </c>
      <c r="N12" s="129">
        <f t="shared" si="1"/>
        <v>2</v>
      </c>
      <c r="O12" s="596">
        <f t="shared" si="1"/>
        <v>5614.6458591999999</v>
      </c>
      <c r="P12" s="129">
        <f t="shared" si="1"/>
        <v>24</v>
      </c>
      <c r="Q12" s="599">
        <f t="shared" si="1"/>
        <v>4518.7031038000005</v>
      </c>
      <c r="R12" s="129">
        <f t="shared" si="1"/>
        <v>2</v>
      </c>
      <c r="S12" s="596">
        <f t="shared" si="1"/>
        <v>164.52</v>
      </c>
      <c r="T12" s="129">
        <f t="shared" si="1"/>
        <v>20</v>
      </c>
      <c r="U12" s="599">
        <f t="shared" si="1"/>
        <v>2356.0980000000004</v>
      </c>
      <c r="V12" s="129">
        <f t="shared" si="1"/>
        <v>2</v>
      </c>
      <c r="W12" s="596">
        <f t="shared" si="1"/>
        <v>93.924319999999994</v>
      </c>
      <c r="X12" s="129">
        <f t="shared" si="1"/>
        <v>28</v>
      </c>
      <c r="Y12" s="599">
        <f t="shared" si="1"/>
        <v>5966.2623755000004</v>
      </c>
      <c r="Z12" s="129">
        <f t="shared" si="1"/>
        <v>0</v>
      </c>
      <c r="AA12" s="596">
        <f t="shared" si="1"/>
        <v>0</v>
      </c>
      <c r="AB12" s="129">
        <f t="shared" si="1"/>
        <v>33</v>
      </c>
      <c r="AC12" s="599">
        <f t="shared" si="1"/>
        <v>15469.3151031</v>
      </c>
      <c r="AD12" s="129">
        <f t="shared" si="1"/>
        <v>0</v>
      </c>
      <c r="AE12" s="596">
        <f t="shared" si="1"/>
        <v>0</v>
      </c>
      <c r="AF12" s="129">
        <f t="shared" si="1"/>
        <v>47</v>
      </c>
      <c r="AG12" s="613">
        <f t="shared" si="1"/>
        <v>16212.858600000001</v>
      </c>
    </row>
    <row r="13" spans="1:34" s="15" customFormat="1">
      <c r="A13" s="417" t="s">
        <v>628</v>
      </c>
      <c r="B13" s="165" t="s">
        <v>233</v>
      </c>
      <c r="C13" s="586">
        <v>2948.2887618999998</v>
      </c>
      <c r="D13" s="165" t="s">
        <v>233</v>
      </c>
      <c r="E13" s="586">
        <v>30482.316544699999</v>
      </c>
      <c r="F13" s="138" t="s">
        <v>233</v>
      </c>
      <c r="G13" s="596">
        <f>G7+G10</f>
        <v>3498.9338468999999</v>
      </c>
      <c r="H13" s="138" t="s">
        <v>233</v>
      </c>
      <c r="I13" s="599">
        <f>I7+I10</f>
        <v>23175.639758399997</v>
      </c>
      <c r="J13" s="138" t="s">
        <v>233</v>
      </c>
      <c r="K13" s="596">
        <f>K7+K10</f>
        <v>0</v>
      </c>
      <c r="L13" s="138" t="s">
        <v>233</v>
      </c>
      <c r="M13" s="599">
        <f>M7+M10</f>
        <v>4624.4736579999999</v>
      </c>
      <c r="N13" s="138" t="s">
        <v>233</v>
      </c>
      <c r="O13" s="596">
        <f>O7+O10</f>
        <v>3489.6458468999999</v>
      </c>
      <c r="P13" s="138" t="s">
        <v>233</v>
      </c>
      <c r="Q13" s="599">
        <f>Q7+Q10</f>
        <v>2710.0928821000002</v>
      </c>
      <c r="R13" s="138" t="s">
        <v>233</v>
      </c>
      <c r="S13" s="596">
        <f>S7+S10</f>
        <v>9.2880000000000003</v>
      </c>
      <c r="T13" s="138" t="s">
        <v>233</v>
      </c>
      <c r="U13" s="599">
        <f>U7+U10</f>
        <v>1228.8294208000002</v>
      </c>
      <c r="V13" s="138" t="s">
        <v>233</v>
      </c>
      <c r="W13" s="596">
        <f>W7+W10</f>
        <v>0</v>
      </c>
      <c r="X13" s="138" t="s">
        <v>233</v>
      </c>
      <c r="Y13" s="599">
        <f>Y7+Y10</f>
        <v>1921.9596944999998</v>
      </c>
      <c r="Z13" s="138" t="s">
        <v>233</v>
      </c>
      <c r="AA13" s="596">
        <f>AA7+AA10</f>
        <v>0</v>
      </c>
      <c r="AB13" s="138" t="s">
        <v>233</v>
      </c>
      <c r="AC13" s="599">
        <f>AC7+AC10</f>
        <v>5752.5086918000006</v>
      </c>
      <c r="AD13" s="138" t="s">
        <v>233</v>
      </c>
      <c r="AE13" s="596">
        <f>AE7+AE10</f>
        <v>0</v>
      </c>
      <c r="AF13" s="138" t="s">
        <v>233</v>
      </c>
      <c r="AG13" s="613">
        <f>AG7+AG10</f>
        <v>6937.7754112000002</v>
      </c>
    </row>
    <row r="14" spans="1:34" s="15" customFormat="1">
      <c r="A14" s="417" t="s">
        <v>629</v>
      </c>
      <c r="B14" s="165" t="s">
        <v>233</v>
      </c>
      <c r="C14" s="586">
        <v>4680.4220237999998</v>
      </c>
      <c r="D14" s="165" t="s">
        <v>233</v>
      </c>
      <c r="E14" s="586">
        <v>29852.4787717</v>
      </c>
      <c r="F14" s="138" t="s">
        <v>233</v>
      </c>
      <c r="G14" s="596">
        <f>G8+G11</f>
        <v>2374.7076692999999</v>
      </c>
      <c r="H14" s="138" t="s">
        <v>233</v>
      </c>
      <c r="I14" s="599">
        <f>I11+I8</f>
        <v>27078.091230999999</v>
      </c>
      <c r="J14" s="138" t="s">
        <v>233</v>
      </c>
      <c r="K14" s="596">
        <f>K8+K11</f>
        <v>0</v>
      </c>
      <c r="L14" s="138" t="s">
        <v>233</v>
      </c>
      <c r="M14" s="599">
        <f>M11+M8</f>
        <v>1102.9266524999998</v>
      </c>
      <c r="N14" s="138" t="s">
        <v>233</v>
      </c>
      <c r="O14" s="596">
        <f>O8+O11</f>
        <v>2125.5513492999999</v>
      </c>
      <c r="P14" s="138" t="s">
        <v>233</v>
      </c>
      <c r="Q14" s="599">
        <f>Q11+Q8</f>
        <v>1809.5860693</v>
      </c>
      <c r="R14" s="138" t="s">
        <v>233</v>
      </c>
      <c r="S14" s="596">
        <f>S8+S11</f>
        <v>155.232</v>
      </c>
      <c r="T14" s="138" t="s">
        <v>233</v>
      </c>
      <c r="U14" s="599">
        <f>U11+U8</f>
        <v>1127.4074264999999</v>
      </c>
      <c r="V14" s="138" t="s">
        <v>233</v>
      </c>
      <c r="W14" s="596">
        <f>W8+W11</f>
        <v>93.924319999999994</v>
      </c>
      <c r="X14" s="138" t="s">
        <v>233</v>
      </c>
      <c r="Y14" s="599">
        <f>Y11+Y8</f>
        <v>4045.5939568999993</v>
      </c>
      <c r="Z14" s="138" t="s">
        <v>233</v>
      </c>
      <c r="AA14" s="596">
        <f>AA8+AA11</f>
        <v>0</v>
      </c>
      <c r="AB14" s="138" t="s">
        <v>233</v>
      </c>
      <c r="AC14" s="599">
        <f>AC11+AC8</f>
        <v>9716.8064113</v>
      </c>
      <c r="AD14" s="138" t="s">
        <v>233</v>
      </c>
      <c r="AE14" s="596">
        <f>AE8+AE11</f>
        <v>0</v>
      </c>
      <c r="AF14" s="138" t="s">
        <v>233</v>
      </c>
      <c r="AG14" s="613">
        <f>AG11+AG8</f>
        <v>9275.7707145000004</v>
      </c>
    </row>
    <row r="15" spans="1:34" s="15" customFormat="1">
      <c r="A15" s="253" t="s">
        <v>630</v>
      </c>
      <c r="B15" s="165">
        <v>0</v>
      </c>
      <c r="C15" s="586">
        <v>0</v>
      </c>
      <c r="D15" s="165">
        <v>0</v>
      </c>
      <c r="E15" s="586">
        <v>0</v>
      </c>
      <c r="F15" s="165">
        <f>J15+N15+R15+V15+Z15+AD15</f>
        <v>0</v>
      </c>
      <c r="G15" s="586">
        <f>K15+O15+S15+W15+AA15+AE15</f>
        <v>0</v>
      </c>
      <c r="H15" s="165">
        <f>L15+P15+T15+X15+AB15+AF15</f>
        <v>1</v>
      </c>
      <c r="I15" s="586">
        <f>M15+Q15+U15+Y15+AC15+AG15</f>
        <v>17999.999999299998</v>
      </c>
      <c r="J15" s="142">
        <f>J16+J17</f>
        <v>0</v>
      </c>
      <c r="K15" s="601">
        <f>K16+K17</f>
        <v>0</v>
      </c>
      <c r="L15" s="142">
        <v>1</v>
      </c>
      <c r="M15" s="601">
        <v>17999.999999299998</v>
      </c>
      <c r="N15" s="142">
        <f t="shared" ref="N15:AG15" si="2">N16+N17</f>
        <v>0</v>
      </c>
      <c r="O15" s="601">
        <f t="shared" si="2"/>
        <v>0</v>
      </c>
      <c r="P15" s="142">
        <f t="shared" si="2"/>
        <v>0</v>
      </c>
      <c r="Q15" s="601">
        <f t="shared" si="2"/>
        <v>0</v>
      </c>
      <c r="R15" s="142">
        <f t="shared" si="2"/>
        <v>0</v>
      </c>
      <c r="S15" s="601">
        <f t="shared" si="2"/>
        <v>0</v>
      </c>
      <c r="T15" s="142">
        <f t="shared" si="2"/>
        <v>0</v>
      </c>
      <c r="U15" s="601">
        <f t="shared" si="2"/>
        <v>0</v>
      </c>
      <c r="V15" s="142">
        <f t="shared" si="2"/>
        <v>0</v>
      </c>
      <c r="W15" s="601">
        <f t="shared" si="2"/>
        <v>0</v>
      </c>
      <c r="X15" s="142">
        <f t="shared" si="2"/>
        <v>0</v>
      </c>
      <c r="Y15" s="601">
        <f t="shared" si="2"/>
        <v>0</v>
      </c>
      <c r="Z15" s="142">
        <f t="shared" si="2"/>
        <v>0</v>
      </c>
      <c r="AA15" s="601">
        <f t="shared" si="2"/>
        <v>0</v>
      </c>
      <c r="AB15" s="142">
        <f t="shared" si="2"/>
        <v>0</v>
      </c>
      <c r="AC15" s="601">
        <f t="shared" si="2"/>
        <v>0</v>
      </c>
      <c r="AD15" s="142">
        <f t="shared" si="2"/>
        <v>0</v>
      </c>
      <c r="AE15" s="601">
        <f t="shared" si="2"/>
        <v>0</v>
      </c>
      <c r="AF15" s="142">
        <f t="shared" si="2"/>
        <v>0</v>
      </c>
      <c r="AG15" s="601">
        <f t="shared" si="2"/>
        <v>0</v>
      </c>
    </row>
    <row r="16" spans="1:34" s="15" customFormat="1">
      <c r="A16" s="417" t="s">
        <v>624</v>
      </c>
      <c r="B16" s="165">
        <v>0</v>
      </c>
      <c r="C16" s="586">
        <v>0</v>
      </c>
      <c r="D16" s="165">
        <v>0</v>
      </c>
      <c r="E16" s="586">
        <v>0</v>
      </c>
      <c r="F16" s="165">
        <f t="shared" ref="F16:F23" si="3">J16+N16+R16+V16+Z16+AD16</f>
        <v>0</v>
      </c>
      <c r="G16" s="586">
        <f t="shared" ref="G16:G23" si="4">K16+O16+S16+W16+AA16+AE16</f>
        <v>0</v>
      </c>
      <c r="H16" s="165">
        <f t="shared" ref="H16:H23" si="5">L16+P16+T16+X16+AB16+AF16</f>
        <v>0</v>
      </c>
      <c r="I16" s="586">
        <f t="shared" ref="I16:I23" si="6">M16+Q16+U16+Y16+AC16+AG16</f>
        <v>0</v>
      </c>
      <c r="J16" s="138">
        <v>0</v>
      </c>
      <c r="K16" s="602">
        <v>0</v>
      </c>
      <c r="L16" s="138">
        <v>0</v>
      </c>
      <c r="M16" s="602">
        <v>0</v>
      </c>
      <c r="N16" s="138">
        <v>0</v>
      </c>
      <c r="O16" s="602">
        <v>0</v>
      </c>
      <c r="P16" s="138">
        <v>0</v>
      </c>
      <c r="Q16" s="602">
        <v>0</v>
      </c>
      <c r="R16" s="138">
        <v>0</v>
      </c>
      <c r="S16" s="602">
        <v>0</v>
      </c>
      <c r="T16" s="138">
        <v>0</v>
      </c>
      <c r="U16" s="602">
        <v>0</v>
      </c>
      <c r="V16" s="138">
        <v>0</v>
      </c>
      <c r="W16" s="601">
        <v>0</v>
      </c>
      <c r="X16" s="142">
        <v>0</v>
      </c>
      <c r="Y16" s="601">
        <v>0</v>
      </c>
      <c r="Z16" s="142">
        <v>0</v>
      </c>
      <c r="AA16" s="601">
        <v>0</v>
      </c>
      <c r="AB16" s="142">
        <v>0</v>
      </c>
      <c r="AC16" s="601">
        <v>0</v>
      </c>
      <c r="AD16" s="138">
        <v>0</v>
      </c>
      <c r="AE16" s="602">
        <v>0</v>
      </c>
      <c r="AF16" s="138">
        <v>0</v>
      </c>
      <c r="AG16" s="602">
        <v>0</v>
      </c>
    </row>
    <row r="17" spans="1:33" s="15" customFormat="1">
      <c r="A17" s="417" t="s">
        <v>625</v>
      </c>
      <c r="B17" s="165">
        <v>0</v>
      </c>
      <c r="C17" s="586">
        <v>0</v>
      </c>
      <c r="D17" s="165">
        <v>0</v>
      </c>
      <c r="E17" s="586">
        <v>0</v>
      </c>
      <c r="F17" s="165">
        <f t="shared" si="3"/>
        <v>0</v>
      </c>
      <c r="G17" s="586">
        <f t="shared" si="4"/>
        <v>0</v>
      </c>
      <c r="H17" s="165">
        <f t="shared" si="5"/>
        <v>1</v>
      </c>
      <c r="I17" s="586">
        <f t="shared" si="6"/>
        <v>17999.999999299998</v>
      </c>
      <c r="J17" s="138">
        <v>0</v>
      </c>
      <c r="K17" s="601">
        <v>0</v>
      </c>
      <c r="L17" s="138">
        <v>1</v>
      </c>
      <c r="M17" s="601">
        <v>17999.999999299998</v>
      </c>
      <c r="N17" s="138">
        <v>0</v>
      </c>
      <c r="O17" s="602">
        <v>0</v>
      </c>
      <c r="P17" s="138">
        <v>0</v>
      </c>
      <c r="Q17" s="602">
        <v>0</v>
      </c>
      <c r="R17" s="138">
        <v>0</v>
      </c>
      <c r="S17" s="602">
        <v>0</v>
      </c>
      <c r="T17" s="138">
        <v>0</v>
      </c>
      <c r="U17" s="602">
        <v>0</v>
      </c>
      <c r="V17" s="138">
        <v>0</v>
      </c>
      <c r="W17" s="601">
        <v>0</v>
      </c>
      <c r="X17" s="142">
        <v>0</v>
      </c>
      <c r="Y17" s="601">
        <v>0</v>
      </c>
      <c r="Z17" s="142">
        <v>0</v>
      </c>
      <c r="AA17" s="601">
        <v>0</v>
      </c>
      <c r="AB17" s="142">
        <v>0</v>
      </c>
      <c r="AC17" s="601">
        <v>0</v>
      </c>
      <c r="AD17" s="138">
        <v>0</v>
      </c>
      <c r="AE17" s="602">
        <v>0</v>
      </c>
      <c r="AF17" s="138">
        <v>0</v>
      </c>
      <c r="AG17" s="602">
        <v>0</v>
      </c>
    </row>
    <row r="18" spans="1:33" s="15" customFormat="1">
      <c r="A18" s="253" t="s">
        <v>631</v>
      </c>
      <c r="B18" s="165">
        <v>0</v>
      </c>
      <c r="C18" s="586">
        <v>0</v>
      </c>
      <c r="D18" s="165">
        <v>1</v>
      </c>
      <c r="E18" s="586">
        <v>27</v>
      </c>
      <c r="F18" s="165">
        <f t="shared" si="3"/>
        <v>0</v>
      </c>
      <c r="G18" s="586">
        <f t="shared" si="4"/>
        <v>0</v>
      </c>
      <c r="H18" s="165">
        <f t="shared" si="5"/>
        <v>1</v>
      </c>
      <c r="I18" s="586">
        <f t="shared" si="6"/>
        <v>149.99</v>
      </c>
      <c r="J18" s="142">
        <f t="shared" ref="J18:AG18" si="7">J19+J20</f>
        <v>0</v>
      </c>
      <c r="K18" s="601">
        <f t="shared" si="7"/>
        <v>0</v>
      </c>
      <c r="L18" s="142">
        <f t="shared" si="7"/>
        <v>0</v>
      </c>
      <c r="M18" s="601">
        <f t="shared" si="7"/>
        <v>0</v>
      </c>
      <c r="N18" s="142">
        <f t="shared" si="7"/>
        <v>0</v>
      </c>
      <c r="O18" s="601">
        <f t="shared" si="7"/>
        <v>0</v>
      </c>
      <c r="P18" s="142">
        <f t="shared" si="7"/>
        <v>0</v>
      </c>
      <c r="Q18" s="601">
        <f t="shared" si="7"/>
        <v>0</v>
      </c>
      <c r="R18" s="142">
        <f t="shared" si="7"/>
        <v>0</v>
      </c>
      <c r="S18" s="601">
        <f t="shared" si="7"/>
        <v>0</v>
      </c>
      <c r="T18" s="142">
        <f t="shared" si="7"/>
        <v>0</v>
      </c>
      <c r="U18" s="601">
        <f t="shared" si="7"/>
        <v>0</v>
      </c>
      <c r="V18" s="142">
        <f t="shared" si="7"/>
        <v>0</v>
      </c>
      <c r="W18" s="601">
        <f t="shared" si="7"/>
        <v>0</v>
      </c>
      <c r="X18" s="142">
        <f t="shared" si="7"/>
        <v>1</v>
      </c>
      <c r="Y18" s="601">
        <f t="shared" si="7"/>
        <v>149.99</v>
      </c>
      <c r="Z18" s="142">
        <f t="shared" si="7"/>
        <v>0</v>
      </c>
      <c r="AA18" s="601">
        <f t="shared" si="7"/>
        <v>0</v>
      </c>
      <c r="AB18" s="142">
        <f t="shared" si="7"/>
        <v>0</v>
      </c>
      <c r="AC18" s="601">
        <f t="shared" si="7"/>
        <v>0</v>
      </c>
      <c r="AD18" s="142">
        <f t="shared" si="7"/>
        <v>0</v>
      </c>
      <c r="AE18" s="601">
        <f t="shared" si="7"/>
        <v>0</v>
      </c>
      <c r="AF18" s="142">
        <f t="shared" si="7"/>
        <v>0</v>
      </c>
      <c r="AG18" s="601">
        <f t="shared" si="7"/>
        <v>0</v>
      </c>
    </row>
    <row r="19" spans="1:33" s="15" customFormat="1">
      <c r="A19" s="417" t="s">
        <v>624</v>
      </c>
      <c r="B19" s="165">
        <v>0</v>
      </c>
      <c r="C19" s="586">
        <v>0</v>
      </c>
      <c r="D19" s="165">
        <v>0</v>
      </c>
      <c r="E19" s="586">
        <v>0</v>
      </c>
      <c r="F19" s="165">
        <f t="shared" si="3"/>
        <v>0</v>
      </c>
      <c r="G19" s="586">
        <f t="shared" si="4"/>
        <v>0</v>
      </c>
      <c r="H19" s="165">
        <f t="shared" si="5"/>
        <v>0</v>
      </c>
      <c r="I19" s="586">
        <f t="shared" si="6"/>
        <v>0</v>
      </c>
      <c r="J19" s="138">
        <v>0</v>
      </c>
      <c r="K19" s="602">
        <v>0</v>
      </c>
      <c r="L19" s="138">
        <v>0</v>
      </c>
      <c r="M19" s="602">
        <v>0</v>
      </c>
      <c r="N19" s="138">
        <v>0</v>
      </c>
      <c r="O19" s="602">
        <v>0</v>
      </c>
      <c r="P19" s="138">
        <v>0</v>
      </c>
      <c r="Q19" s="602">
        <v>0</v>
      </c>
      <c r="R19" s="138">
        <v>0</v>
      </c>
      <c r="S19" s="602">
        <v>0</v>
      </c>
      <c r="T19" s="138">
        <v>0</v>
      </c>
      <c r="U19" s="602">
        <v>0</v>
      </c>
      <c r="V19" s="138">
        <v>0</v>
      </c>
      <c r="W19" s="602">
        <v>0</v>
      </c>
      <c r="X19" s="138">
        <v>0</v>
      </c>
      <c r="Y19" s="602">
        <v>0</v>
      </c>
      <c r="Z19" s="138">
        <v>0</v>
      </c>
      <c r="AA19" s="602">
        <v>0</v>
      </c>
      <c r="AB19" s="138">
        <v>0</v>
      </c>
      <c r="AC19" s="602">
        <v>0</v>
      </c>
      <c r="AD19" s="138">
        <v>0</v>
      </c>
      <c r="AE19" s="602">
        <v>0</v>
      </c>
      <c r="AF19" s="138">
        <v>0</v>
      </c>
      <c r="AG19" s="602">
        <v>0</v>
      </c>
    </row>
    <row r="20" spans="1:33" s="15" customFormat="1">
      <c r="A20" s="417" t="s">
        <v>625</v>
      </c>
      <c r="B20" s="165">
        <v>0</v>
      </c>
      <c r="C20" s="586">
        <v>0</v>
      </c>
      <c r="D20" s="165">
        <v>1</v>
      </c>
      <c r="E20" s="586">
        <v>27</v>
      </c>
      <c r="F20" s="165">
        <f t="shared" si="3"/>
        <v>0</v>
      </c>
      <c r="G20" s="586">
        <f t="shared" si="4"/>
        <v>0</v>
      </c>
      <c r="H20" s="165">
        <f t="shared" si="5"/>
        <v>1</v>
      </c>
      <c r="I20" s="586">
        <f t="shared" si="6"/>
        <v>149.99</v>
      </c>
      <c r="J20" s="138">
        <v>0</v>
      </c>
      <c r="K20" s="602">
        <v>0</v>
      </c>
      <c r="L20" s="138">
        <v>0</v>
      </c>
      <c r="M20" s="602">
        <v>0</v>
      </c>
      <c r="N20" s="138">
        <v>0</v>
      </c>
      <c r="O20" s="602">
        <v>0</v>
      </c>
      <c r="P20" s="138">
        <v>0</v>
      </c>
      <c r="Q20" s="602">
        <v>0</v>
      </c>
      <c r="R20" s="138">
        <v>0</v>
      </c>
      <c r="S20" s="602">
        <v>0</v>
      </c>
      <c r="T20" s="138">
        <v>0</v>
      </c>
      <c r="U20" s="602">
        <v>0</v>
      </c>
      <c r="V20" s="138">
        <v>0</v>
      </c>
      <c r="W20" s="602">
        <v>0</v>
      </c>
      <c r="X20" s="277">
        <v>1</v>
      </c>
      <c r="Y20" s="602">
        <v>149.99</v>
      </c>
      <c r="Z20" s="138">
        <v>0</v>
      </c>
      <c r="AA20" s="602">
        <v>0</v>
      </c>
      <c r="AB20" s="138">
        <v>0</v>
      </c>
      <c r="AC20" s="602">
        <v>0</v>
      </c>
      <c r="AD20" s="138">
        <v>0</v>
      </c>
      <c r="AE20" s="602">
        <v>0</v>
      </c>
      <c r="AF20" s="138">
        <v>0</v>
      </c>
      <c r="AG20" s="602">
        <v>0</v>
      </c>
    </row>
    <row r="21" spans="1:33" s="15" customFormat="1">
      <c r="A21" s="253" t="s">
        <v>632</v>
      </c>
      <c r="B21" s="165">
        <v>0</v>
      </c>
      <c r="C21" s="586">
        <v>0</v>
      </c>
      <c r="D21" s="165">
        <v>1</v>
      </c>
      <c r="E21" s="586">
        <v>27</v>
      </c>
      <c r="F21" s="165">
        <f t="shared" si="3"/>
        <v>0</v>
      </c>
      <c r="G21" s="586">
        <f t="shared" si="4"/>
        <v>0</v>
      </c>
      <c r="H21" s="165">
        <f t="shared" si="5"/>
        <v>2</v>
      </c>
      <c r="I21" s="586">
        <f t="shared" si="6"/>
        <v>18149.9899993</v>
      </c>
      <c r="J21" s="138">
        <f t="shared" ref="J21:AG21" si="8">J18+J15</f>
        <v>0</v>
      </c>
      <c r="K21" s="602">
        <f t="shared" si="8"/>
        <v>0</v>
      </c>
      <c r="L21" s="138">
        <f t="shared" si="8"/>
        <v>1</v>
      </c>
      <c r="M21" s="602">
        <f t="shared" si="8"/>
        <v>17999.999999299998</v>
      </c>
      <c r="N21" s="138">
        <f t="shared" si="8"/>
        <v>0</v>
      </c>
      <c r="O21" s="602">
        <f t="shared" si="8"/>
        <v>0</v>
      </c>
      <c r="P21" s="138">
        <f t="shared" si="8"/>
        <v>0</v>
      </c>
      <c r="Q21" s="602">
        <f t="shared" si="8"/>
        <v>0</v>
      </c>
      <c r="R21" s="138">
        <f t="shared" si="8"/>
        <v>0</v>
      </c>
      <c r="S21" s="602">
        <f t="shared" si="8"/>
        <v>0</v>
      </c>
      <c r="T21" s="138">
        <f t="shared" si="8"/>
        <v>0</v>
      </c>
      <c r="U21" s="602">
        <f t="shared" si="8"/>
        <v>0</v>
      </c>
      <c r="V21" s="138">
        <f t="shared" si="8"/>
        <v>0</v>
      </c>
      <c r="W21" s="602">
        <f t="shared" si="8"/>
        <v>0</v>
      </c>
      <c r="X21" s="138">
        <f t="shared" si="8"/>
        <v>1</v>
      </c>
      <c r="Y21" s="602">
        <f t="shared" si="8"/>
        <v>149.99</v>
      </c>
      <c r="Z21" s="138">
        <f t="shared" si="8"/>
        <v>0</v>
      </c>
      <c r="AA21" s="602">
        <f t="shared" si="8"/>
        <v>0</v>
      </c>
      <c r="AB21" s="138">
        <f t="shared" si="8"/>
        <v>0</v>
      </c>
      <c r="AC21" s="602">
        <f t="shared" si="8"/>
        <v>0</v>
      </c>
      <c r="AD21" s="138">
        <f t="shared" si="8"/>
        <v>0</v>
      </c>
      <c r="AE21" s="602">
        <f t="shared" si="8"/>
        <v>0</v>
      </c>
      <c r="AF21" s="138">
        <f t="shared" si="8"/>
        <v>0</v>
      </c>
      <c r="AG21" s="602">
        <f t="shared" si="8"/>
        <v>0</v>
      </c>
    </row>
    <row r="22" spans="1:33" s="15" customFormat="1">
      <c r="A22" s="417" t="s">
        <v>624</v>
      </c>
      <c r="B22" s="165">
        <v>0</v>
      </c>
      <c r="C22" s="586">
        <v>0</v>
      </c>
      <c r="D22" s="165">
        <v>0</v>
      </c>
      <c r="E22" s="586">
        <v>0</v>
      </c>
      <c r="F22" s="165">
        <f t="shared" si="3"/>
        <v>0</v>
      </c>
      <c r="G22" s="586">
        <f t="shared" si="4"/>
        <v>0</v>
      </c>
      <c r="H22" s="165">
        <f t="shared" si="5"/>
        <v>0</v>
      </c>
      <c r="I22" s="586">
        <f t="shared" si="6"/>
        <v>0</v>
      </c>
      <c r="J22" s="138">
        <f t="shared" ref="J22:AG22" si="9">J16+J19</f>
        <v>0</v>
      </c>
      <c r="K22" s="602">
        <f t="shared" si="9"/>
        <v>0</v>
      </c>
      <c r="L22" s="138">
        <f t="shared" si="9"/>
        <v>0</v>
      </c>
      <c r="M22" s="602">
        <f t="shared" si="9"/>
        <v>0</v>
      </c>
      <c r="N22" s="138">
        <f t="shared" si="9"/>
        <v>0</v>
      </c>
      <c r="O22" s="602">
        <f t="shared" si="9"/>
        <v>0</v>
      </c>
      <c r="P22" s="138">
        <f t="shared" si="9"/>
        <v>0</v>
      </c>
      <c r="Q22" s="602">
        <f t="shared" si="9"/>
        <v>0</v>
      </c>
      <c r="R22" s="138">
        <f t="shared" si="9"/>
        <v>0</v>
      </c>
      <c r="S22" s="602">
        <f t="shared" si="9"/>
        <v>0</v>
      </c>
      <c r="T22" s="138">
        <f t="shared" si="9"/>
        <v>0</v>
      </c>
      <c r="U22" s="602">
        <f t="shared" si="9"/>
        <v>0</v>
      </c>
      <c r="V22" s="138">
        <f t="shared" si="9"/>
        <v>0</v>
      </c>
      <c r="W22" s="602">
        <f t="shared" si="9"/>
        <v>0</v>
      </c>
      <c r="X22" s="138">
        <f t="shared" si="9"/>
        <v>0</v>
      </c>
      <c r="Y22" s="602">
        <f t="shared" si="9"/>
        <v>0</v>
      </c>
      <c r="Z22" s="138">
        <f t="shared" si="9"/>
        <v>0</v>
      </c>
      <c r="AA22" s="602">
        <f t="shared" si="9"/>
        <v>0</v>
      </c>
      <c r="AB22" s="138">
        <f t="shared" si="9"/>
        <v>0</v>
      </c>
      <c r="AC22" s="602">
        <f t="shared" si="9"/>
        <v>0</v>
      </c>
      <c r="AD22" s="138">
        <f t="shared" si="9"/>
        <v>0</v>
      </c>
      <c r="AE22" s="602">
        <f t="shared" si="9"/>
        <v>0</v>
      </c>
      <c r="AF22" s="138">
        <f t="shared" si="9"/>
        <v>0</v>
      </c>
      <c r="AG22" s="602">
        <f t="shared" si="9"/>
        <v>0</v>
      </c>
    </row>
    <row r="23" spans="1:33" s="15" customFormat="1">
      <c r="A23" s="417" t="s">
        <v>625</v>
      </c>
      <c r="B23" s="165">
        <v>0</v>
      </c>
      <c r="C23" s="586">
        <v>0</v>
      </c>
      <c r="D23" s="165">
        <v>1</v>
      </c>
      <c r="E23" s="586">
        <v>27</v>
      </c>
      <c r="F23" s="165">
        <f t="shared" si="3"/>
        <v>0</v>
      </c>
      <c r="G23" s="586">
        <f t="shared" si="4"/>
        <v>0</v>
      </c>
      <c r="H23" s="165">
        <f t="shared" si="5"/>
        <v>2</v>
      </c>
      <c r="I23" s="586">
        <f t="shared" si="6"/>
        <v>18149.9899993</v>
      </c>
      <c r="J23" s="138">
        <f t="shared" ref="J23:AG23" si="10">J20+J17</f>
        <v>0</v>
      </c>
      <c r="K23" s="602">
        <f t="shared" si="10"/>
        <v>0</v>
      </c>
      <c r="L23" s="138">
        <f t="shared" si="10"/>
        <v>1</v>
      </c>
      <c r="M23" s="602">
        <f t="shared" si="10"/>
        <v>17999.999999299998</v>
      </c>
      <c r="N23" s="138">
        <f t="shared" si="10"/>
        <v>0</v>
      </c>
      <c r="O23" s="602">
        <f t="shared" si="10"/>
        <v>0</v>
      </c>
      <c r="P23" s="138">
        <f t="shared" si="10"/>
        <v>0</v>
      </c>
      <c r="Q23" s="602">
        <f t="shared" si="10"/>
        <v>0</v>
      </c>
      <c r="R23" s="138">
        <f t="shared" si="10"/>
        <v>0</v>
      </c>
      <c r="S23" s="602">
        <f t="shared" si="10"/>
        <v>0</v>
      </c>
      <c r="T23" s="138">
        <f t="shared" si="10"/>
        <v>0</v>
      </c>
      <c r="U23" s="602">
        <f t="shared" si="10"/>
        <v>0</v>
      </c>
      <c r="V23" s="138">
        <f t="shared" si="10"/>
        <v>0</v>
      </c>
      <c r="W23" s="602">
        <f t="shared" si="10"/>
        <v>0</v>
      </c>
      <c r="X23" s="138">
        <f t="shared" si="10"/>
        <v>1</v>
      </c>
      <c r="Y23" s="602">
        <f t="shared" si="10"/>
        <v>149.99</v>
      </c>
      <c r="Z23" s="138">
        <f t="shared" si="10"/>
        <v>0</v>
      </c>
      <c r="AA23" s="602">
        <f t="shared" si="10"/>
        <v>0</v>
      </c>
      <c r="AB23" s="138">
        <f t="shared" si="10"/>
        <v>0</v>
      </c>
      <c r="AC23" s="602">
        <f t="shared" si="10"/>
        <v>0</v>
      </c>
      <c r="AD23" s="138">
        <f t="shared" si="10"/>
        <v>0</v>
      </c>
      <c r="AE23" s="602">
        <f t="shared" si="10"/>
        <v>0</v>
      </c>
      <c r="AF23" s="138">
        <f t="shared" si="10"/>
        <v>0</v>
      </c>
      <c r="AG23" s="602">
        <f t="shared" si="10"/>
        <v>0</v>
      </c>
    </row>
    <row r="24" spans="1:33" s="15" customFormat="1">
      <c r="A24" s="493" t="s">
        <v>633</v>
      </c>
      <c r="B24" s="494">
        <f>B12+B21</f>
        <v>12</v>
      </c>
      <c r="C24" s="587">
        <f>C12+C21</f>
        <v>7627.8795469999995</v>
      </c>
      <c r="D24" s="494">
        <f>D12+D21</f>
        <v>261</v>
      </c>
      <c r="E24" s="587">
        <f>E12+E21</f>
        <v>60354.432691499991</v>
      </c>
      <c r="F24" s="494">
        <f>F12+F21</f>
        <v>6</v>
      </c>
      <c r="G24" s="587">
        <f t="shared" ref="G24:Q26" si="11">G12+G21</f>
        <v>5873.0901791999995</v>
      </c>
      <c r="H24" s="494">
        <f t="shared" si="11"/>
        <v>180</v>
      </c>
      <c r="I24" s="587">
        <f t="shared" si="11"/>
        <v>68400.605701699998</v>
      </c>
      <c r="J24" s="494">
        <f t="shared" si="11"/>
        <v>0</v>
      </c>
      <c r="K24" s="587">
        <f t="shared" si="11"/>
        <v>0</v>
      </c>
      <c r="L24" s="494">
        <f t="shared" si="11"/>
        <v>27</v>
      </c>
      <c r="M24" s="587">
        <f t="shared" si="11"/>
        <v>23727.3785193</v>
      </c>
      <c r="N24" s="494">
        <f t="shared" si="11"/>
        <v>2</v>
      </c>
      <c r="O24" s="587">
        <f t="shared" si="11"/>
        <v>5614.6458591999999</v>
      </c>
      <c r="P24" s="494">
        <f t="shared" si="11"/>
        <v>24</v>
      </c>
      <c r="Q24" s="587">
        <f t="shared" si="11"/>
        <v>4518.7031038000005</v>
      </c>
      <c r="R24" s="494">
        <f>R12+R21</f>
        <v>2</v>
      </c>
      <c r="S24" s="587">
        <f t="shared" ref="S24:U26" si="12">S12+S21</f>
        <v>164.52</v>
      </c>
      <c r="T24" s="494">
        <f t="shared" si="12"/>
        <v>20</v>
      </c>
      <c r="U24" s="587">
        <f t="shared" si="12"/>
        <v>2356.0980000000004</v>
      </c>
      <c r="V24" s="494">
        <f>V12+V21</f>
        <v>2</v>
      </c>
      <c r="W24" s="587">
        <f t="shared" ref="W24:Y26" si="13">W12+W21</f>
        <v>93.924319999999994</v>
      </c>
      <c r="X24" s="494">
        <f t="shared" si="13"/>
        <v>29</v>
      </c>
      <c r="Y24" s="587">
        <f t="shared" si="13"/>
        <v>6116.2523755000002</v>
      </c>
      <c r="Z24" s="494">
        <f>Z12+Z21</f>
        <v>0</v>
      </c>
      <c r="AA24" s="587">
        <f t="shared" ref="AA24:AC26" si="14">AA12+AA21</f>
        <v>0</v>
      </c>
      <c r="AB24" s="494">
        <f t="shared" si="14"/>
        <v>33</v>
      </c>
      <c r="AC24" s="587">
        <f t="shared" si="14"/>
        <v>15469.3151031</v>
      </c>
      <c r="AD24" s="494">
        <f>AD12+AD21</f>
        <v>0</v>
      </c>
      <c r="AE24" s="587">
        <f t="shared" ref="AE24:AG26" si="15">AE12+AE21</f>
        <v>0</v>
      </c>
      <c r="AF24" s="494">
        <f>AF12+AF21</f>
        <v>47</v>
      </c>
      <c r="AG24" s="587">
        <f>AG12+AG21</f>
        <v>16212.858600000001</v>
      </c>
    </row>
    <row r="25" spans="1:33" s="15" customFormat="1">
      <c r="A25" s="495" t="s">
        <v>628</v>
      </c>
      <c r="B25" s="496" t="s">
        <v>233</v>
      </c>
      <c r="C25" s="588">
        <f>C13+C22</f>
        <v>2948.2887618999998</v>
      </c>
      <c r="D25" s="496" t="s">
        <v>233</v>
      </c>
      <c r="E25" s="588">
        <f>E13+E22</f>
        <v>30482.316544699999</v>
      </c>
      <c r="F25" s="496" t="s">
        <v>233</v>
      </c>
      <c r="G25" s="588">
        <f>G13+G22</f>
        <v>3498.9338468999999</v>
      </c>
      <c r="H25" s="496" t="s">
        <v>233</v>
      </c>
      <c r="I25" s="588">
        <f t="shared" si="11"/>
        <v>23175.639758399997</v>
      </c>
      <c r="J25" s="496" t="s">
        <v>233</v>
      </c>
      <c r="K25" s="588">
        <f>K13+K22</f>
        <v>0</v>
      </c>
      <c r="L25" s="496" t="s">
        <v>233</v>
      </c>
      <c r="M25" s="588">
        <f>M13+M22</f>
        <v>4624.4736579999999</v>
      </c>
      <c r="N25" s="496" t="s">
        <v>233</v>
      </c>
      <c r="O25" s="588">
        <f t="shared" si="11"/>
        <v>3489.6458468999999</v>
      </c>
      <c r="P25" s="496" t="s">
        <v>233</v>
      </c>
      <c r="Q25" s="588">
        <f t="shared" si="11"/>
        <v>2710.0928821000002</v>
      </c>
      <c r="R25" s="496" t="s">
        <v>233</v>
      </c>
      <c r="S25" s="588">
        <f t="shared" si="12"/>
        <v>9.2880000000000003</v>
      </c>
      <c r="T25" s="496" t="s">
        <v>233</v>
      </c>
      <c r="U25" s="588">
        <f t="shared" si="12"/>
        <v>1228.8294208000002</v>
      </c>
      <c r="V25" s="496" t="s">
        <v>233</v>
      </c>
      <c r="W25" s="588">
        <f t="shared" si="13"/>
        <v>0</v>
      </c>
      <c r="X25" s="496" t="s">
        <v>233</v>
      </c>
      <c r="Y25" s="588">
        <f t="shared" si="13"/>
        <v>1921.9596944999998</v>
      </c>
      <c r="Z25" s="496" t="s">
        <v>233</v>
      </c>
      <c r="AA25" s="588">
        <f t="shared" si="14"/>
        <v>0</v>
      </c>
      <c r="AB25" s="496" t="s">
        <v>233</v>
      </c>
      <c r="AC25" s="588">
        <f t="shared" si="14"/>
        <v>5752.5086918000006</v>
      </c>
      <c r="AD25" s="496" t="s">
        <v>233</v>
      </c>
      <c r="AE25" s="588">
        <f t="shared" si="15"/>
        <v>0</v>
      </c>
      <c r="AF25" s="496" t="s">
        <v>233</v>
      </c>
      <c r="AG25" s="588">
        <f t="shared" si="15"/>
        <v>6937.7754112000002</v>
      </c>
    </row>
    <row r="26" spans="1:33" s="15" customFormat="1">
      <c r="A26" s="495" t="s">
        <v>629</v>
      </c>
      <c r="B26" s="496" t="s">
        <v>233</v>
      </c>
      <c r="C26" s="588">
        <f>C14+C23</f>
        <v>4680.4220237999998</v>
      </c>
      <c r="D26" s="496" t="s">
        <v>233</v>
      </c>
      <c r="E26" s="588">
        <f>E14+E23</f>
        <v>29879.4787717</v>
      </c>
      <c r="F26" s="496" t="s">
        <v>233</v>
      </c>
      <c r="G26" s="588">
        <f>G14+G23</f>
        <v>2374.7076692999999</v>
      </c>
      <c r="H26" s="496" t="s">
        <v>233</v>
      </c>
      <c r="I26" s="588">
        <f t="shared" si="11"/>
        <v>45228.081230299998</v>
      </c>
      <c r="J26" s="496" t="s">
        <v>233</v>
      </c>
      <c r="K26" s="588">
        <f>K14+K23</f>
        <v>0</v>
      </c>
      <c r="L26" s="496" t="s">
        <v>233</v>
      </c>
      <c r="M26" s="588">
        <f>M14+M23</f>
        <v>19102.926651799997</v>
      </c>
      <c r="N26" s="496" t="s">
        <v>233</v>
      </c>
      <c r="O26" s="588">
        <f t="shared" si="11"/>
        <v>2125.5513492999999</v>
      </c>
      <c r="P26" s="496" t="s">
        <v>233</v>
      </c>
      <c r="Q26" s="588">
        <f t="shared" si="11"/>
        <v>1809.5860693</v>
      </c>
      <c r="R26" s="496" t="s">
        <v>233</v>
      </c>
      <c r="S26" s="588">
        <f t="shared" si="12"/>
        <v>155.232</v>
      </c>
      <c r="T26" s="496" t="s">
        <v>233</v>
      </c>
      <c r="U26" s="588">
        <f t="shared" si="12"/>
        <v>1127.4074264999999</v>
      </c>
      <c r="V26" s="496" t="s">
        <v>233</v>
      </c>
      <c r="W26" s="588">
        <f t="shared" si="13"/>
        <v>93.924319999999994</v>
      </c>
      <c r="X26" s="496" t="s">
        <v>233</v>
      </c>
      <c r="Y26" s="588">
        <f t="shared" si="13"/>
        <v>4195.5839568999991</v>
      </c>
      <c r="Z26" s="496" t="s">
        <v>233</v>
      </c>
      <c r="AA26" s="588">
        <f t="shared" si="14"/>
        <v>0</v>
      </c>
      <c r="AB26" s="496" t="s">
        <v>233</v>
      </c>
      <c r="AC26" s="588">
        <f t="shared" si="14"/>
        <v>9716.8064113</v>
      </c>
      <c r="AD26" s="496" t="s">
        <v>233</v>
      </c>
      <c r="AE26" s="588">
        <f t="shared" si="15"/>
        <v>0</v>
      </c>
      <c r="AF26" s="496" t="s">
        <v>233</v>
      </c>
      <c r="AG26" s="588">
        <f t="shared" si="15"/>
        <v>9275.7707145000004</v>
      </c>
    </row>
    <row r="27" spans="1:33" s="15" customFormat="1">
      <c r="A27" s="254" t="s">
        <v>634</v>
      </c>
      <c r="B27" s="165">
        <v>9</v>
      </c>
      <c r="C27" s="586">
        <v>7241.9912989999993</v>
      </c>
      <c r="D27" s="165">
        <v>58</v>
      </c>
      <c r="E27" s="586">
        <v>7868.2127025000009</v>
      </c>
      <c r="F27" s="165">
        <f>J27+N27+R27+V27+Z27+AD27</f>
        <v>8</v>
      </c>
      <c r="G27" s="586">
        <f>K27+O27+S27+W27+AA27+AE27</f>
        <v>2652.4180999999999</v>
      </c>
      <c r="H27" s="165">
        <f>L27+P27+T27+X27+AB27+AF27</f>
        <v>60</v>
      </c>
      <c r="I27" s="586">
        <f>M27+Q27+U27+Y27+AC27+AG27</f>
        <v>9004.151219106001</v>
      </c>
      <c r="J27" s="255">
        <f t="shared" ref="J27:AF27" si="16">SUM(J28:J29)</f>
        <v>2</v>
      </c>
      <c r="K27" s="603">
        <f t="shared" si="16"/>
        <v>1184.1300000000001</v>
      </c>
      <c r="L27" s="255">
        <f t="shared" si="16"/>
        <v>6</v>
      </c>
      <c r="M27" s="603">
        <f t="shared" si="16"/>
        <v>459.05831260000002</v>
      </c>
      <c r="N27" s="255">
        <f t="shared" si="16"/>
        <v>1</v>
      </c>
      <c r="O27" s="603">
        <f t="shared" si="16"/>
        <v>1271.8280999999999</v>
      </c>
      <c r="P27" s="255">
        <f t="shared" si="16"/>
        <v>11</v>
      </c>
      <c r="Q27" s="603">
        <f t="shared" si="16"/>
        <v>883.40640980000012</v>
      </c>
      <c r="R27" s="255">
        <f t="shared" si="16"/>
        <v>2</v>
      </c>
      <c r="S27" s="603">
        <f t="shared" si="16"/>
        <v>90.53</v>
      </c>
      <c r="T27" s="255">
        <f t="shared" si="16"/>
        <v>14</v>
      </c>
      <c r="U27" s="603">
        <f t="shared" si="16"/>
        <v>960.05</v>
      </c>
      <c r="V27" s="255">
        <f t="shared" si="16"/>
        <v>2</v>
      </c>
      <c r="W27" s="603">
        <f t="shared" si="16"/>
        <v>57</v>
      </c>
      <c r="X27" s="255">
        <f t="shared" si="16"/>
        <v>9</v>
      </c>
      <c r="Y27" s="603">
        <f t="shared" si="16"/>
        <v>2733.9241576000004</v>
      </c>
      <c r="Z27" s="255">
        <f t="shared" si="16"/>
        <v>1</v>
      </c>
      <c r="AA27" s="603">
        <f t="shared" si="16"/>
        <v>48.93</v>
      </c>
      <c r="AB27" s="255">
        <f t="shared" si="16"/>
        <v>9</v>
      </c>
      <c r="AC27" s="603">
        <f t="shared" si="16"/>
        <v>3297.192339106</v>
      </c>
      <c r="AD27" s="255">
        <f t="shared" si="16"/>
        <v>0</v>
      </c>
      <c r="AE27" s="603">
        <f t="shared" si="16"/>
        <v>0</v>
      </c>
      <c r="AF27" s="255">
        <f t="shared" si="16"/>
        <v>11</v>
      </c>
      <c r="AG27" s="603">
        <f>SUM(AG28:AG29)</f>
        <v>670.51999999999987</v>
      </c>
    </row>
    <row r="28" spans="1:33" s="15" customFormat="1">
      <c r="A28" s="417" t="s">
        <v>635</v>
      </c>
      <c r="B28" s="165">
        <v>8</v>
      </c>
      <c r="C28" s="586">
        <v>7215.1312989999997</v>
      </c>
      <c r="D28" s="165">
        <v>50</v>
      </c>
      <c r="E28" s="586">
        <v>7661.5575825000005</v>
      </c>
      <c r="F28" s="165">
        <f t="shared" ref="F28:F38" si="17">J28+N28+R28+V28+Z28+AD28</f>
        <v>8</v>
      </c>
      <c r="G28" s="586">
        <f t="shared" ref="G28:I30" si="18">K28+O28+S28+W28+AA28+AE28</f>
        <v>2652.4180999999999</v>
      </c>
      <c r="H28" s="165">
        <f t="shared" si="18"/>
        <v>52</v>
      </c>
      <c r="I28" s="586">
        <f t="shared" si="18"/>
        <v>8181.6932191060005</v>
      </c>
      <c r="J28" s="256">
        <v>2</v>
      </c>
      <c r="K28" s="604">
        <v>1184.1300000000001</v>
      </c>
      <c r="L28" s="255">
        <v>4</v>
      </c>
      <c r="M28" s="609">
        <v>425.2083126</v>
      </c>
      <c r="N28" s="256">
        <v>1</v>
      </c>
      <c r="O28" s="604">
        <v>1271.8280999999999</v>
      </c>
      <c r="P28" s="255">
        <v>9</v>
      </c>
      <c r="Q28" s="609">
        <v>454.31840980000004</v>
      </c>
      <c r="R28" s="256">
        <v>2</v>
      </c>
      <c r="S28" s="604">
        <v>90.53</v>
      </c>
      <c r="T28" s="255">
        <v>12</v>
      </c>
      <c r="U28" s="609">
        <v>949.5</v>
      </c>
      <c r="V28" s="256">
        <v>2</v>
      </c>
      <c r="W28" s="604">
        <v>57</v>
      </c>
      <c r="X28" s="255">
        <v>8</v>
      </c>
      <c r="Y28" s="609">
        <v>2433.9241576000004</v>
      </c>
      <c r="Z28" s="256">
        <v>1</v>
      </c>
      <c r="AA28" s="604">
        <v>48.93</v>
      </c>
      <c r="AB28" s="255">
        <v>9</v>
      </c>
      <c r="AC28" s="609">
        <v>3297.192339106</v>
      </c>
      <c r="AD28" s="256">
        <v>0</v>
      </c>
      <c r="AE28" s="604">
        <v>0</v>
      </c>
      <c r="AF28" s="255">
        <v>10</v>
      </c>
      <c r="AG28" s="609">
        <v>621.54999999999984</v>
      </c>
    </row>
    <row r="29" spans="1:33" s="15" customFormat="1">
      <c r="A29" s="417" t="s">
        <v>636</v>
      </c>
      <c r="B29" s="165">
        <v>1</v>
      </c>
      <c r="C29" s="586">
        <v>26.86</v>
      </c>
      <c r="D29" s="165">
        <v>8</v>
      </c>
      <c r="E29" s="586">
        <v>206.65512000000001</v>
      </c>
      <c r="F29" s="165">
        <f t="shared" si="17"/>
        <v>0</v>
      </c>
      <c r="G29" s="586">
        <f t="shared" si="18"/>
        <v>0</v>
      </c>
      <c r="H29" s="165">
        <f t="shared" si="18"/>
        <v>8</v>
      </c>
      <c r="I29" s="586">
        <f t="shared" si="18"/>
        <v>822.45800000000008</v>
      </c>
      <c r="J29" s="256">
        <v>0</v>
      </c>
      <c r="K29" s="604">
        <v>0</v>
      </c>
      <c r="L29" s="255">
        <v>2</v>
      </c>
      <c r="M29" s="609">
        <v>33.85</v>
      </c>
      <c r="N29" s="256">
        <v>0</v>
      </c>
      <c r="O29" s="604">
        <v>0</v>
      </c>
      <c r="P29" s="255">
        <v>2</v>
      </c>
      <c r="Q29" s="609">
        <v>429.08800000000002</v>
      </c>
      <c r="R29" s="256">
        <v>0</v>
      </c>
      <c r="S29" s="604">
        <v>0</v>
      </c>
      <c r="T29" s="255">
        <v>2</v>
      </c>
      <c r="U29" s="609">
        <v>10.55</v>
      </c>
      <c r="V29" s="256">
        <v>0</v>
      </c>
      <c r="W29" s="604">
        <v>0</v>
      </c>
      <c r="X29" s="255">
        <v>1</v>
      </c>
      <c r="Y29" s="609">
        <v>300</v>
      </c>
      <c r="Z29" s="256">
        <v>0</v>
      </c>
      <c r="AA29" s="604">
        <v>0</v>
      </c>
      <c r="AB29" s="255">
        <v>0</v>
      </c>
      <c r="AC29" s="609">
        <v>0</v>
      </c>
      <c r="AD29" s="256">
        <v>0</v>
      </c>
      <c r="AE29" s="604">
        <v>0</v>
      </c>
      <c r="AF29" s="255">
        <v>1</v>
      </c>
      <c r="AG29" s="609">
        <v>48.97</v>
      </c>
    </row>
    <row r="30" spans="1:33" s="197" customFormat="1">
      <c r="A30" s="432" t="s">
        <v>637</v>
      </c>
      <c r="B30" s="449">
        <v>69</v>
      </c>
      <c r="C30" s="589">
        <v>7021.1732980100014</v>
      </c>
      <c r="D30" s="449">
        <v>620</v>
      </c>
      <c r="E30" s="589">
        <v>38134.003589003994</v>
      </c>
      <c r="F30" s="165">
        <f t="shared" si="17"/>
        <v>59</v>
      </c>
      <c r="G30" s="589">
        <f t="shared" si="18"/>
        <v>9799.6375000000007</v>
      </c>
      <c r="H30" s="449">
        <f t="shared" si="18"/>
        <v>432</v>
      </c>
      <c r="I30" s="589">
        <f t="shared" si="18"/>
        <v>48172.819644001007</v>
      </c>
      <c r="J30" s="431">
        <f>J31+J32</f>
        <v>8</v>
      </c>
      <c r="K30" s="605">
        <f>K31+K32</f>
        <v>120.31</v>
      </c>
      <c r="L30" s="431">
        <f>L31+L32</f>
        <v>99</v>
      </c>
      <c r="M30" s="605">
        <f>M31+M32</f>
        <v>7581.8799313500012</v>
      </c>
      <c r="N30" s="431">
        <f t="shared" ref="N30:AG30" si="19">N31+N32</f>
        <v>15</v>
      </c>
      <c r="O30" s="605">
        <f t="shared" si="19"/>
        <v>2614.4275000000002</v>
      </c>
      <c r="P30" s="431">
        <f t="shared" si="19"/>
        <v>99</v>
      </c>
      <c r="Q30" s="605">
        <f t="shared" si="19"/>
        <v>22378.765600392002</v>
      </c>
      <c r="R30" s="431">
        <f t="shared" si="19"/>
        <v>13</v>
      </c>
      <c r="S30" s="605">
        <f t="shared" si="19"/>
        <v>2200.2600000000002</v>
      </c>
      <c r="T30" s="431">
        <f t="shared" si="19"/>
        <v>48</v>
      </c>
      <c r="U30" s="605">
        <f t="shared" si="19"/>
        <v>4794.9335981000022</v>
      </c>
      <c r="V30" s="431">
        <f t="shared" si="19"/>
        <v>10</v>
      </c>
      <c r="W30" s="605">
        <f t="shared" si="19"/>
        <v>3347.41</v>
      </c>
      <c r="X30" s="431">
        <f t="shared" si="19"/>
        <v>53</v>
      </c>
      <c r="Y30" s="605">
        <f t="shared" si="19"/>
        <v>976.80251680000015</v>
      </c>
      <c r="Z30" s="431">
        <f t="shared" si="19"/>
        <v>5</v>
      </c>
      <c r="AA30" s="605">
        <f t="shared" si="19"/>
        <v>148.46</v>
      </c>
      <c r="AB30" s="431">
        <f t="shared" si="19"/>
        <v>71</v>
      </c>
      <c r="AC30" s="605">
        <f t="shared" si="19"/>
        <v>1211.713105215</v>
      </c>
      <c r="AD30" s="431">
        <f t="shared" si="19"/>
        <v>8</v>
      </c>
      <c r="AE30" s="605">
        <f t="shared" si="19"/>
        <v>1368.77</v>
      </c>
      <c r="AF30" s="431">
        <f t="shared" si="19"/>
        <v>62</v>
      </c>
      <c r="AG30" s="605">
        <f t="shared" si="19"/>
        <v>11228.724892143999</v>
      </c>
    </row>
    <row r="31" spans="1:33" s="197" customFormat="1">
      <c r="A31" s="429" t="s">
        <v>635</v>
      </c>
      <c r="B31" s="449">
        <v>69</v>
      </c>
      <c r="C31" s="589">
        <v>7021.1732980100014</v>
      </c>
      <c r="D31" s="449">
        <v>564</v>
      </c>
      <c r="E31" s="589">
        <v>37516.551904204003</v>
      </c>
      <c r="F31" s="165">
        <f t="shared" si="17"/>
        <v>58</v>
      </c>
      <c r="G31" s="589">
        <f t="shared" ref="G31:G38" si="20">K31+O31+S31+W31+AA31+AE31</f>
        <v>9785.6274999999987</v>
      </c>
      <c r="H31" s="449">
        <f t="shared" ref="H31:H38" si="21">L31+P31+T31+X31+AB31+AF31</f>
        <v>368</v>
      </c>
      <c r="I31" s="589">
        <f>M31+Q31+U31+Y31+AC31+AG31</f>
        <v>47108.420611642003</v>
      </c>
      <c r="J31" s="431">
        <v>8</v>
      </c>
      <c r="K31" s="605">
        <v>120.31</v>
      </c>
      <c r="L31" s="431">
        <v>85</v>
      </c>
      <c r="M31" s="605">
        <v>7298.8208013500016</v>
      </c>
      <c r="N31" s="431">
        <v>15</v>
      </c>
      <c r="O31" s="605">
        <v>2614.4275000000002</v>
      </c>
      <c r="P31" s="431">
        <v>92</v>
      </c>
      <c r="Q31" s="605">
        <v>22307.353909992002</v>
      </c>
      <c r="R31" s="431">
        <v>12</v>
      </c>
      <c r="S31" s="605">
        <v>2186.25</v>
      </c>
      <c r="T31" s="431">
        <v>42</v>
      </c>
      <c r="U31" s="605">
        <v>4664.8295521000018</v>
      </c>
      <c r="V31" s="431">
        <v>10</v>
      </c>
      <c r="W31" s="605">
        <v>3347.41</v>
      </c>
      <c r="X31" s="431">
        <v>43</v>
      </c>
      <c r="Y31" s="605">
        <v>859.31225680000011</v>
      </c>
      <c r="Z31" s="431">
        <v>5</v>
      </c>
      <c r="AA31" s="605">
        <v>148.46</v>
      </c>
      <c r="AB31" s="431">
        <v>55</v>
      </c>
      <c r="AC31" s="605">
        <v>1024.3400000000001</v>
      </c>
      <c r="AD31" s="441">
        <v>8</v>
      </c>
      <c r="AE31" s="605">
        <v>1368.77</v>
      </c>
      <c r="AF31" s="441">
        <v>51</v>
      </c>
      <c r="AG31" s="605">
        <v>10953.764091399999</v>
      </c>
    </row>
    <row r="32" spans="1:33" s="197" customFormat="1">
      <c r="A32" s="429" t="s">
        <v>636</v>
      </c>
      <c r="B32" s="449">
        <v>0</v>
      </c>
      <c r="C32" s="589">
        <v>0</v>
      </c>
      <c r="D32" s="449">
        <v>56</v>
      </c>
      <c r="E32" s="589">
        <v>617.45168479999995</v>
      </c>
      <c r="F32" s="165">
        <f t="shared" si="17"/>
        <v>1</v>
      </c>
      <c r="G32" s="589">
        <f t="shared" si="20"/>
        <v>14.01</v>
      </c>
      <c r="H32" s="449">
        <f t="shared" si="21"/>
        <v>64</v>
      </c>
      <c r="I32" s="589">
        <f>M32+Q32+U32+Y32+AC32+AG32</f>
        <v>1064.3990323589999</v>
      </c>
      <c r="J32" s="431">
        <v>0</v>
      </c>
      <c r="K32" s="605">
        <v>0</v>
      </c>
      <c r="L32" s="431">
        <v>14</v>
      </c>
      <c r="M32" s="605">
        <v>283.05912999999998</v>
      </c>
      <c r="N32" s="431">
        <v>0</v>
      </c>
      <c r="O32" s="605">
        <v>0</v>
      </c>
      <c r="P32" s="431">
        <v>7</v>
      </c>
      <c r="Q32" s="605">
        <v>71.411690399999998</v>
      </c>
      <c r="R32" s="431">
        <v>1</v>
      </c>
      <c r="S32" s="605">
        <v>14.01</v>
      </c>
      <c r="T32" s="431">
        <v>6</v>
      </c>
      <c r="U32" s="605">
        <v>130.10404599999998</v>
      </c>
      <c r="V32" s="431">
        <v>0</v>
      </c>
      <c r="W32" s="605">
        <v>0</v>
      </c>
      <c r="X32" s="431">
        <v>10</v>
      </c>
      <c r="Y32" s="605">
        <v>117.49026000000001</v>
      </c>
      <c r="Z32" s="431">
        <v>0</v>
      </c>
      <c r="AA32" s="605">
        <v>0</v>
      </c>
      <c r="AB32" s="431">
        <v>16</v>
      </c>
      <c r="AC32" s="605">
        <v>187.37310521499998</v>
      </c>
      <c r="AD32" s="441">
        <v>0</v>
      </c>
      <c r="AE32" s="605">
        <v>0</v>
      </c>
      <c r="AF32" s="441">
        <v>11</v>
      </c>
      <c r="AG32" s="605">
        <v>274.96080074399998</v>
      </c>
    </row>
    <row r="33" spans="1:33" s="197" customFormat="1">
      <c r="A33" s="432" t="s">
        <v>638</v>
      </c>
      <c r="B33" s="449">
        <v>15</v>
      </c>
      <c r="C33" s="589">
        <v>40320.469933204993</v>
      </c>
      <c r="D33" s="449">
        <v>46</v>
      </c>
      <c r="E33" s="589">
        <v>28651.001407938005</v>
      </c>
      <c r="F33" s="165">
        <f t="shared" si="17"/>
        <v>3</v>
      </c>
      <c r="G33" s="589">
        <f t="shared" si="20"/>
        <v>2599.9997684179998</v>
      </c>
      <c r="H33" s="449">
        <f t="shared" si="21"/>
        <v>47</v>
      </c>
      <c r="I33" s="589">
        <f>M33+Q33+U33+Y33+AC33+AG33</f>
        <v>62150.278238683997</v>
      </c>
      <c r="J33" s="442">
        <f>J34+J35</f>
        <v>2</v>
      </c>
      <c r="K33" s="605">
        <f>K34+K35</f>
        <v>2099.999868418</v>
      </c>
      <c r="L33" s="442">
        <f>L34+L35</f>
        <v>9</v>
      </c>
      <c r="M33" s="605">
        <f>M34+M35</f>
        <v>9371.7329127920002</v>
      </c>
      <c r="N33" s="442">
        <f t="shared" ref="N33:AF33" si="22">N34+N35</f>
        <v>0</v>
      </c>
      <c r="O33" s="605">
        <f t="shared" si="22"/>
        <v>0</v>
      </c>
      <c r="P33" s="442">
        <f t="shared" si="22"/>
        <v>2</v>
      </c>
      <c r="Q33" s="605">
        <f t="shared" si="22"/>
        <v>3039.9998919999998</v>
      </c>
      <c r="R33" s="442">
        <f t="shared" si="22"/>
        <v>1</v>
      </c>
      <c r="S33" s="605">
        <f t="shared" si="22"/>
        <v>499.99990000000003</v>
      </c>
      <c r="T33" s="442">
        <f t="shared" si="22"/>
        <v>5</v>
      </c>
      <c r="U33" s="605">
        <f t="shared" si="22"/>
        <v>2274.8397000000004</v>
      </c>
      <c r="V33" s="442">
        <f t="shared" si="22"/>
        <v>0</v>
      </c>
      <c r="W33" s="605">
        <f t="shared" si="22"/>
        <v>0</v>
      </c>
      <c r="X33" s="442">
        <f t="shared" si="22"/>
        <v>11</v>
      </c>
      <c r="Y33" s="605">
        <f t="shared" si="22"/>
        <v>13699.104579524997</v>
      </c>
      <c r="Z33" s="442">
        <f t="shared" si="22"/>
        <v>0</v>
      </c>
      <c r="AA33" s="605">
        <f t="shared" si="22"/>
        <v>0</v>
      </c>
      <c r="AB33" s="442">
        <f t="shared" si="22"/>
        <v>8</v>
      </c>
      <c r="AC33" s="605">
        <f t="shared" si="22"/>
        <v>12281.601154366997</v>
      </c>
      <c r="AD33" s="442">
        <f t="shared" si="22"/>
        <v>0</v>
      </c>
      <c r="AE33" s="605">
        <f t="shared" si="22"/>
        <v>0</v>
      </c>
      <c r="AF33" s="442">
        <f t="shared" si="22"/>
        <v>12</v>
      </c>
      <c r="AG33" s="605">
        <f>AG34+AG35</f>
        <v>21483</v>
      </c>
    </row>
    <row r="34" spans="1:33" s="197" customFormat="1">
      <c r="A34" s="429" t="s">
        <v>635</v>
      </c>
      <c r="B34" s="449">
        <v>15</v>
      </c>
      <c r="C34" s="589">
        <v>40320.469933204993</v>
      </c>
      <c r="D34" s="449">
        <v>44</v>
      </c>
      <c r="E34" s="589">
        <v>28534.463557938001</v>
      </c>
      <c r="F34" s="165">
        <f t="shared" si="17"/>
        <v>3</v>
      </c>
      <c r="G34" s="589">
        <f t="shared" si="20"/>
        <v>2599.9997684179998</v>
      </c>
      <c r="H34" s="449">
        <f t="shared" si="21"/>
        <v>45</v>
      </c>
      <c r="I34" s="589">
        <f t="shared" ref="I34:I38" si="23">M34+Q34+U34+Y34+AC34+AG34</f>
        <v>61975.438238683993</v>
      </c>
      <c r="J34" s="431">
        <v>2</v>
      </c>
      <c r="K34" s="605">
        <v>2099.999868418</v>
      </c>
      <c r="L34" s="430">
        <v>9</v>
      </c>
      <c r="M34" s="606">
        <v>9371.7329127920002</v>
      </c>
      <c r="N34" s="430">
        <v>0</v>
      </c>
      <c r="O34" s="606">
        <v>0</v>
      </c>
      <c r="P34" s="431">
        <v>2</v>
      </c>
      <c r="Q34" s="605">
        <v>3039.9998919999998</v>
      </c>
      <c r="R34" s="431">
        <v>1</v>
      </c>
      <c r="S34" s="605">
        <v>499.99990000000003</v>
      </c>
      <c r="T34" s="431">
        <v>4</v>
      </c>
      <c r="U34" s="605">
        <v>2249.9997000000003</v>
      </c>
      <c r="V34" s="431">
        <v>0</v>
      </c>
      <c r="W34" s="605">
        <v>0</v>
      </c>
      <c r="X34" s="442">
        <v>11</v>
      </c>
      <c r="Y34" s="611">
        <v>13699.104579524997</v>
      </c>
      <c r="Z34" s="431">
        <v>0</v>
      </c>
      <c r="AA34" s="605">
        <v>0</v>
      </c>
      <c r="AB34" s="442">
        <v>8</v>
      </c>
      <c r="AC34" s="611">
        <v>12281.601154366997</v>
      </c>
      <c r="AD34" s="430">
        <v>0</v>
      </c>
      <c r="AE34" s="606">
        <v>0</v>
      </c>
      <c r="AF34" s="430">
        <v>11</v>
      </c>
      <c r="AG34" s="606">
        <v>21333</v>
      </c>
    </row>
    <row r="35" spans="1:33" s="197" customFormat="1">
      <c r="A35" s="429" t="s">
        <v>636</v>
      </c>
      <c r="B35" s="449">
        <v>0</v>
      </c>
      <c r="C35" s="589">
        <v>0</v>
      </c>
      <c r="D35" s="449">
        <v>2</v>
      </c>
      <c r="E35" s="589">
        <v>116.53785000000001</v>
      </c>
      <c r="F35" s="165">
        <f t="shared" si="17"/>
        <v>0</v>
      </c>
      <c r="G35" s="589">
        <f t="shared" si="20"/>
        <v>0</v>
      </c>
      <c r="H35" s="449">
        <f t="shared" si="21"/>
        <v>2</v>
      </c>
      <c r="I35" s="589">
        <f t="shared" si="23"/>
        <v>174.84</v>
      </c>
      <c r="J35" s="430">
        <v>0</v>
      </c>
      <c r="K35" s="606">
        <v>0</v>
      </c>
      <c r="L35" s="430">
        <v>0</v>
      </c>
      <c r="M35" s="606">
        <v>0</v>
      </c>
      <c r="N35" s="430">
        <v>0</v>
      </c>
      <c r="O35" s="606">
        <v>0</v>
      </c>
      <c r="P35" s="430">
        <v>0</v>
      </c>
      <c r="Q35" s="606">
        <v>0</v>
      </c>
      <c r="R35" s="430">
        <v>0</v>
      </c>
      <c r="S35" s="606">
        <v>0</v>
      </c>
      <c r="T35" s="430">
        <v>1</v>
      </c>
      <c r="U35" s="606">
        <v>24.84</v>
      </c>
      <c r="V35" s="431">
        <v>0</v>
      </c>
      <c r="W35" s="605">
        <v>0</v>
      </c>
      <c r="X35" s="431">
        <v>0</v>
      </c>
      <c r="Y35" s="605">
        <v>0</v>
      </c>
      <c r="Z35" s="431">
        <v>0</v>
      </c>
      <c r="AA35" s="605">
        <v>0</v>
      </c>
      <c r="AB35" s="430">
        <v>0</v>
      </c>
      <c r="AC35" s="606">
        <v>0</v>
      </c>
      <c r="AD35" s="430">
        <v>0</v>
      </c>
      <c r="AE35" s="606">
        <v>0</v>
      </c>
      <c r="AF35" s="430">
        <v>1</v>
      </c>
      <c r="AG35" s="606">
        <v>150</v>
      </c>
    </row>
    <row r="36" spans="1:33" s="197" customFormat="1">
      <c r="A36" s="432" t="s">
        <v>639</v>
      </c>
      <c r="B36" s="449">
        <v>4</v>
      </c>
      <c r="C36" s="589">
        <v>1652.7280414000002</v>
      </c>
      <c r="D36" s="449">
        <v>47</v>
      </c>
      <c r="E36" s="589">
        <v>22881.828268093999</v>
      </c>
      <c r="F36" s="165">
        <f t="shared" si="17"/>
        <v>0</v>
      </c>
      <c r="G36" s="589">
        <f t="shared" si="20"/>
        <v>0</v>
      </c>
      <c r="H36" s="449">
        <f t="shared" si="21"/>
        <v>20</v>
      </c>
      <c r="I36" s="589">
        <f t="shared" si="23"/>
        <v>9957.1264422500008</v>
      </c>
      <c r="J36" s="430">
        <f>J37+J38</f>
        <v>0</v>
      </c>
      <c r="K36" s="606">
        <f>K37+K38</f>
        <v>0</v>
      </c>
      <c r="L36" s="430">
        <f>L37+L38</f>
        <v>2</v>
      </c>
      <c r="M36" s="606">
        <f>M37+M38</f>
        <v>14.3120016</v>
      </c>
      <c r="N36" s="430">
        <f t="shared" ref="N36:AG36" si="24">N37+N38</f>
        <v>0</v>
      </c>
      <c r="O36" s="606">
        <f t="shared" si="24"/>
        <v>0</v>
      </c>
      <c r="P36" s="430">
        <f t="shared" si="24"/>
        <v>2</v>
      </c>
      <c r="Q36" s="606">
        <f t="shared" si="24"/>
        <v>219.9577275</v>
      </c>
      <c r="R36" s="430">
        <f t="shared" si="24"/>
        <v>0</v>
      </c>
      <c r="S36" s="606">
        <f t="shared" si="24"/>
        <v>0</v>
      </c>
      <c r="T36" s="430">
        <f t="shared" si="24"/>
        <v>2</v>
      </c>
      <c r="U36" s="606">
        <f t="shared" si="24"/>
        <v>91.010919999999999</v>
      </c>
      <c r="V36" s="430">
        <f t="shared" si="24"/>
        <v>0</v>
      </c>
      <c r="W36" s="606">
        <f t="shared" si="24"/>
        <v>0</v>
      </c>
      <c r="X36" s="430">
        <f t="shared" si="24"/>
        <v>4</v>
      </c>
      <c r="Y36" s="606">
        <f t="shared" si="24"/>
        <v>833.74329315</v>
      </c>
      <c r="Z36" s="430">
        <f t="shared" si="24"/>
        <v>0</v>
      </c>
      <c r="AA36" s="606">
        <f t="shared" si="24"/>
        <v>0</v>
      </c>
      <c r="AB36" s="430">
        <f t="shared" si="24"/>
        <v>2</v>
      </c>
      <c r="AC36" s="606">
        <f t="shared" si="24"/>
        <v>1806.8325</v>
      </c>
      <c r="AD36" s="430">
        <f t="shared" si="24"/>
        <v>0</v>
      </c>
      <c r="AE36" s="606">
        <f t="shared" si="24"/>
        <v>0</v>
      </c>
      <c r="AF36" s="430">
        <f t="shared" si="24"/>
        <v>8</v>
      </c>
      <c r="AG36" s="606">
        <f t="shared" si="24"/>
        <v>6991.27</v>
      </c>
    </row>
    <row r="37" spans="1:33" s="197" customFormat="1">
      <c r="A37" s="429" t="s">
        <v>640</v>
      </c>
      <c r="B37" s="449">
        <v>4</v>
      </c>
      <c r="C37" s="589">
        <v>1652.7280414000002</v>
      </c>
      <c r="D37" s="449">
        <v>47</v>
      </c>
      <c r="E37" s="589">
        <v>22881.828268093999</v>
      </c>
      <c r="F37" s="165">
        <f t="shared" si="17"/>
        <v>0</v>
      </c>
      <c r="G37" s="589">
        <f t="shared" si="20"/>
        <v>0</v>
      </c>
      <c r="H37" s="449">
        <f t="shared" si="21"/>
        <v>20</v>
      </c>
      <c r="I37" s="589">
        <f t="shared" si="23"/>
        <v>9957.1264422500008</v>
      </c>
      <c r="J37" s="430">
        <v>0</v>
      </c>
      <c r="K37" s="606">
        <v>0</v>
      </c>
      <c r="L37" s="434">
        <v>2</v>
      </c>
      <c r="M37" s="606">
        <v>14.3120016</v>
      </c>
      <c r="N37" s="434">
        <v>0</v>
      </c>
      <c r="O37" s="606">
        <v>0</v>
      </c>
      <c r="P37" s="434">
        <v>2</v>
      </c>
      <c r="Q37" s="606">
        <v>219.9577275</v>
      </c>
      <c r="R37" s="430">
        <v>0</v>
      </c>
      <c r="S37" s="606">
        <v>0</v>
      </c>
      <c r="T37" s="435">
        <v>2</v>
      </c>
      <c r="U37" s="611">
        <v>91.010919999999999</v>
      </c>
      <c r="V37" s="431">
        <v>0</v>
      </c>
      <c r="W37" s="605">
        <v>0</v>
      </c>
      <c r="X37" s="435">
        <v>4</v>
      </c>
      <c r="Y37" s="611">
        <v>833.74329315</v>
      </c>
      <c r="Z37" s="431">
        <v>0</v>
      </c>
      <c r="AA37" s="605">
        <v>0</v>
      </c>
      <c r="AB37" s="435">
        <v>2</v>
      </c>
      <c r="AC37" s="611">
        <v>1806.8325</v>
      </c>
      <c r="AD37" s="431">
        <v>0</v>
      </c>
      <c r="AE37" s="605">
        <v>0</v>
      </c>
      <c r="AF37" s="435">
        <v>8</v>
      </c>
      <c r="AG37" s="611">
        <v>6991.27</v>
      </c>
    </row>
    <row r="38" spans="1:33" s="197" customFormat="1">
      <c r="A38" s="429" t="s">
        <v>641</v>
      </c>
      <c r="B38" s="449">
        <v>0</v>
      </c>
      <c r="C38" s="589">
        <v>0</v>
      </c>
      <c r="D38" s="449">
        <v>0</v>
      </c>
      <c r="E38" s="589">
        <v>0</v>
      </c>
      <c r="F38" s="165">
        <f t="shared" si="17"/>
        <v>0</v>
      </c>
      <c r="G38" s="589">
        <f t="shared" si="20"/>
        <v>0</v>
      </c>
      <c r="H38" s="449">
        <f t="shared" si="21"/>
        <v>0</v>
      </c>
      <c r="I38" s="589">
        <f t="shared" si="23"/>
        <v>0</v>
      </c>
      <c r="J38" s="430">
        <v>0</v>
      </c>
      <c r="K38" s="606">
        <v>0</v>
      </c>
      <c r="L38" s="430">
        <v>0</v>
      </c>
      <c r="M38" s="606">
        <v>0</v>
      </c>
      <c r="N38" s="430">
        <v>0</v>
      </c>
      <c r="O38" s="606">
        <v>0</v>
      </c>
      <c r="P38" s="430">
        <v>0</v>
      </c>
      <c r="Q38" s="606">
        <v>0</v>
      </c>
      <c r="R38" s="430">
        <v>0</v>
      </c>
      <c r="S38" s="606">
        <v>0</v>
      </c>
      <c r="T38" s="430">
        <v>0</v>
      </c>
      <c r="U38" s="606">
        <v>0</v>
      </c>
      <c r="V38" s="431">
        <v>0</v>
      </c>
      <c r="W38" s="605">
        <v>0</v>
      </c>
      <c r="X38" s="431">
        <v>0</v>
      </c>
      <c r="Y38" s="605">
        <v>0</v>
      </c>
      <c r="Z38" s="431">
        <v>0</v>
      </c>
      <c r="AA38" s="605">
        <v>0</v>
      </c>
      <c r="AB38" s="431">
        <v>0</v>
      </c>
      <c r="AC38" s="605">
        <v>0</v>
      </c>
      <c r="AD38" s="431">
        <v>0</v>
      </c>
      <c r="AE38" s="605">
        <v>0</v>
      </c>
      <c r="AF38" s="431">
        <v>0</v>
      </c>
      <c r="AG38" s="605">
        <v>0</v>
      </c>
    </row>
    <row r="39" spans="1:33" s="15" customFormat="1">
      <c r="A39" s="493" t="s">
        <v>688</v>
      </c>
      <c r="B39" s="502">
        <f>B24+B27+B30+B33+B36</f>
        <v>109</v>
      </c>
      <c r="C39" s="590">
        <f>C24+C27+C30+C33+C36</f>
        <v>63864.242118614988</v>
      </c>
      <c r="D39" s="502">
        <f>D24+D27+D30+D33+D36</f>
        <v>1032</v>
      </c>
      <c r="E39" s="590">
        <f>E24+E27+E30+E33+E36</f>
        <v>157889.47865903599</v>
      </c>
      <c r="F39" s="502">
        <f>F24+F27+F30+F33+F36</f>
        <v>76</v>
      </c>
      <c r="G39" s="590">
        <f t="shared" ref="G39:AD39" si="25">G24+G27+G30+G33+G36</f>
        <v>20925.145547617998</v>
      </c>
      <c r="H39" s="502">
        <f t="shared" si="25"/>
        <v>739</v>
      </c>
      <c r="I39" s="590">
        <f t="shared" si="25"/>
        <v>197684.98124574102</v>
      </c>
      <c r="J39" s="502">
        <f t="shared" si="25"/>
        <v>12</v>
      </c>
      <c r="K39" s="590">
        <f t="shared" si="25"/>
        <v>3404.4398684180001</v>
      </c>
      <c r="L39" s="502">
        <f t="shared" si="25"/>
        <v>143</v>
      </c>
      <c r="M39" s="590">
        <f t="shared" si="25"/>
        <v>41154.361677642002</v>
      </c>
      <c r="N39" s="502">
        <f t="shared" si="25"/>
        <v>18</v>
      </c>
      <c r="O39" s="590">
        <f t="shared" si="25"/>
        <v>9500.9014592000003</v>
      </c>
      <c r="P39" s="502">
        <f t="shared" si="25"/>
        <v>138</v>
      </c>
      <c r="Q39" s="590">
        <f>Q24+Q27+Q30+Q33+Q36</f>
        <v>31040.832733492003</v>
      </c>
      <c r="R39" s="502">
        <f t="shared" si="25"/>
        <v>18</v>
      </c>
      <c r="S39" s="590">
        <f t="shared" si="25"/>
        <v>2955.3099000000002</v>
      </c>
      <c r="T39" s="502">
        <f t="shared" si="25"/>
        <v>89</v>
      </c>
      <c r="U39" s="590">
        <f t="shared" si="25"/>
        <v>10476.932218100003</v>
      </c>
      <c r="V39" s="502">
        <f t="shared" si="25"/>
        <v>14</v>
      </c>
      <c r="W39" s="590">
        <f t="shared" si="25"/>
        <v>3498.3343199999999</v>
      </c>
      <c r="X39" s="502">
        <f t="shared" si="25"/>
        <v>106</v>
      </c>
      <c r="Y39" s="590">
        <f t="shared" si="25"/>
        <v>24359.826922574997</v>
      </c>
      <c r="Z39" s="502">
        <f t="shared" si="25"/>
        <v>6</v>
      </c>
      <c r="AA39" s="590">
        <f t="shared" si="25"/>
        <v>197.39000000000001</v>
      </c>
      <c r="AB39" s="502">
        <f t="shared" si="25"/>
        <v>123</v>
      </c>
      <c r="AC39" s="590">
        <f t="shared" si="25"/>
        <v>34066.654201787991</v>
      </c>
      <c r="AD39" s="502">
        <f t="shared" si="25"/>
        <v>8</v>
      </c>
      <c r="AE39" s="590">
        <f>AE24+AE27+AE30+AE33+AE36</f>
        <v>1368.77</v>
      </c>
      <c r="AF39" s="502">
        <f>AF24+AF27+AF30+AF33+AF36</f>
        <v>140</v>
      </c>
      <c r="AG39" s="590">
        <f>AG24+AG27+AG30+AG33+AG36</f>
        <v>56586.373492144005</v>
      </c>
    </row>
    <row r="40" spans="1:33" s="15" customFormat="1">
      <c r="A40" s="493" t="s">
        <v>691</v>
      </c>
      <c r="B40" s="496" t="s">
        <v>233</v>
      </c>
      <c r="C40" s="591">
        <f>C25+C36</f>
        <v>4601.0168033</v>
      </c>
      <c r="D40" s="496" t="s">
        <v>233</v>
      </c>
      <c r="E40" s="591">
        <f>E25+E36</f>
        <v>53364.144812793995</v>
      </c>
      <c r="F40" s="496" t="s">
        <v>233</v>
      </c>
      <c r="G40" s="591">
        <f>G25+G36</f>
        <v>3498.9338468999999</v>
      </c>
      <c r="H40" s="496" t="s">
        <v>233</v>
      </c>
      <c r="I40" s="591">
        <f>I25+I36</f>
        <v>33132.766200649996</v>
      </c>
      <c r="J40" s="496" t="s">
        <v>233</v>
      </c>
      <c r="K40" s="591">
        <f>K25+K36</f>
        <v>0</v>
      </c>
      <c r="L40" s="496" t="s">
        <v>233</v>
      </c>
      <c r="M40" s="591">
        <f>M25+M36</f>
        <v>4638.7856596000001</v>
      </c>
      <c r="N40" s="496" t="s">
        <v>233</v>
      </c>
      <c r="O40" s="591">
        <f>O25+O36</f>
        <v>3489.6458468999999</v>
      </c>
      <c r="P40" s="496" t="s">
        <v>233</v>
      </c>
      <c r="Q40" s="591">
        <f>Q25+Q36</f>
        <v>2930.0506096000004</v>
      </c>
      <c r="R40" s="496" t="s">
        <v>233</v>
      </c>
      <c r="S40" s="591">
        <f>S25+S36</f>
        <v>9.2880000000000003</v>
      </c>
      <c r="T40" s="496" t="s">
        <v>233</v>
      </c>
      <c r="U40" s="591">
        <f>U25+U36</f>
        <v>1319.8403408000001</v>
      </c>
      <c r="V40" s="496" t="s">
        <v>233</v>
      </c>
      <c r="W40" s="591">
        <f>W25+W36</f>
        <v>0</v>
      </c>
      <c r="X40" s="496" t="s">
        <v>233</v>
      </c>
      <c r="Y40" s="591">
        <f>Y25+Y36</f>
        <v>2755.7029876500001</v>
      </c>
      <c r="Z40" s="496" t="s">
        <v>233</v>
      </c>
      <c r="AA40" s="591">
        <f>AA25+AA36</f>
        <v>0</v>
      </c>
      <c r="AB40" s="496" t="s">
        <v>233</v>
      </c>
      <c r="AC40" s="591">
        <f>AC25+AC36</f>
        <v>7559.3411918000002</v>
      </c>
      <c r="AD40" s="496" t="s">
        <v>233</v>
      </c>
      <c r="AE40" s="591">
        <f>AE25+AE36</f>
        <v>0</v>
      </c>
      <c r="AF40" s="496" t="s">
        <v>233</v>
      </c>
      <c r="AG40" s="591">
        <f>AG25+AG36</f>
        <v>13929.045411200001</v>
      </c>
    </row>
    <row r="41" spans="1:33" s="15" customFormat="1">
      <c r="A41" s="493" t="s">
        <v>692</v>
      </c>
      <c r="B41" s="496" t="s">
        <v>233</v>
      </c>
      <c r="C41" s="588">
        <f>C33+C30+C27+C26</f>
        <v>59264.056554014991</v>
      </c>
      <c r="D41" s="496" t="s">
        <v>233</v>
      </c>
      <c r="E41" s="588">
        <f>E33+E30+E27+E26</f>
        <v>104532.696471142</v>
      </c>
      <c r="F41" s="496" t="s">
        <v>233</v>
      </c>
      <c r="G41" s="588">
        <f>G33+G30+G27+G26</f>
        <v>17426.763037718003</v>
      </c>
      <c r="H41" s="496" t="s">
        <v>233</v>
      </c>
      <c r="I41" s="588">
        <f>I33+I30+I27+I26</f>
        <v>164555.33033209102</v>
      </c>
      <c r="J41" s="496" t="s">
        <v>233</v>
      </c>
      <c r="K41" s="588">
        <f>K33+K30+K27+K26</f>
        <v>3404.4398684180001</v>
      </c>
      <c r="L41" s="496" t="s">
        <v>233</v>
      </c>
      <c r="M41" s="588">
        <f>M33+M30+M27+M26</f>
        <v>36515.597808541992</v>
      </c>
      <c r="N41" s="496" t="s">
        <v>233</v>
      </c>
      <c r="O41" s="588">
        <f>O33+O30+O27+O26</f>
        <v>6011.8069493000003</v>
      </c>
      <c r="P41" s="496" t="s">
        <v>233</v>
      </c>
      <c r="Q41" s="588">
        <f>Q33+Q30+Q27+Q26</f>
        <v>28111.757971492003</v>
      </c>
      <c r="R41" s="496" t="s">
        <v>233</v>
      </c>
      <c r="S41" s="588">
        <f>S33+S30+S27+S26</f>
        <v>2946.0219000000002</v>
      </c>
      <c r="T41" s="496" t="s">
        <v>233</v>
      </c>
      <c r="U41" s="588">
        <f>U33+U30+U27+U26</f>
        <v>9157.2307246000018</v>
      </c>
      <c r="V41" s="496" t="s">
        <v>233</v>
      </c>
      <c r="W41" s="588">
        <f>W33+W30+W27+W26</f>
        <v>3498.3343199999999</v>
      </c>
      <c r="X41" s="496" t="s">
        <v>233</v>
      </c>
      <c r="Y41" s="588">
        <f>Y33+Y30+Y27+Y26</f>
        <v>21605.415210824995</v>
      </c>
      <c r="Z41" s="496" t="s">
        <v>233</v>
      </c>
      <c r="AA41" s="588">
        <f>AA33+AA30+AA27+AA26</f>
        <v>197.39000000000001</v>
      </c>
      <c r="AB41" s="496" t="s">
        <v>233</v>
      </c>
      <c r="AC41" s="588">
        <f>AC33+AC30+AC27+AC26</f>
        <v>26507.313009987996</v>
      </c>
      <c r="AD41" s="496" t="s">
        <v>233</v>
      </c>
      <c r="AE41" s="588">
        <f>AE33+AE30+AE27+AE26</f>
        <v>1368.77</v>
      </c>
      <c r="AF41" s="496" t="s">
        <v>233</v>
      </c>
      <c r="AG41" s="588">
        <f>AG33+AG30+AG27+AG26</f>
        <v>42658.015606643996</v>
      </c>
    </row>
    <row r="42" spans="1:33" s="15" customFormat="1">
      <c r="A42" s="499" t="s">
        <v>642</v>
      </c>
      <c r="B42" s="500"/>
      <c r="C42" s="592"/>
      <c r="D42" s="500"/>
      <c r="E42" s="592"/>
      <c r="F42" s="501"/>
      <c r="G42" s="597"/>
      <c r="H42" s="501"/>
      <c r="I42" s="597"/>
      <c r="J42" s="501"/>
      <c r="K42" s="597"/>
      <c r="L42" s="501"/>
      <c r="M42" s="610"/>
      <c r="N42" s="501"/>
      <c r="O42" s="597"/>
      <c r="P42" s="501"/>
      <c r="Q42" s="610"/>
      <c r="R42" s="501"/>
      <c r="S42" s="597"/>
      <c r="T42" s="501"/>
      <c r="U42" s="610"/>
      <c r="V42" s="501"/>
      <c r="W42" s="597"/>
      <c r="X42" s="501"/>
      <c r="Y42" s="610"/>
      <c r="Z42" s="501"/>
      <c r="AA42" s="597"/>
      <c r="AB42" s="501"/>
      <c r="AC42" s="610"/>
      <c r="AD42" s="501"/>
      <c r="AE42" s="597"/>
      <c r="AF42" s="501"/>
      <c r="AG42" s="610"/>
    </row>
    <row r="43" spans="1:33" s="197" customFormat="1" ht="30">
      <c r="A43" s="437" t="s">
        <v>1340</v>
      </c>
      <c r="B43" s="433">
        <v>1120</v>
      </c>
      <c r="C43" s="593">
        <v>664316.12712287006</v>
      </c>
      <c r="D43" s="433">
        <v>227</v>
      </c>
      <c r="E43" s="593">
        <v>173440.80634450002</v>
      </c>
      <c r="F43" s="438">
        <f t="shared" ref="F43:I44" si="26">J43+N43+R43+V43+Z43+AD43</f>
        <v>708</v>
      </c>
      <c r="G43" s="598">
        <f t="shared" si="26"/>
        <v>385919.96009161876</v>
      </c>
      <c r="H43" s="438">
        <f t="shared" si="26"/>
        <v>109</v>
      </c>
      <c r="I43" s="598">
        <f t="shared" si="26"/>
        <v>70890.488440424</v>
      </c>
      <c r="J43" s="438">
        <v>86</v>
      </c>
      <c r="K43" s="598">
        <v>25739.755809819999</v>
      </c>
      <c r="L43" s="438">
        <v>15</v>
      </c>
      <c r="M43" s="598">
        <v>4768.2442944240001</v>
      </c>
      <c r="N43" s="431">
        <v>112</v>
      </c>
      <c r="O43" s="605">
        <v>58075.972811163985</v>
      </c>
      <c r="P43" s="431">
        <v>11</v>
      </c>
      <c r="Q43" s="605">
        <v>3151.2303027000003</v>
      </c>
      <c r="R43" s="431">
        <v>105</v>
      </c>
      <c r="S43" s="605">
        <v>54569.274626990002</v>
      </c>
      <c r="T43" s="431">
        <v>26</v>
      </c>
      <c r="U43" s="605">
        <v>9727.8817677999996</v>
      </c>
      <c r="V43" s="431">
        <v>110</v>
      </c>
      <c r="W43" s="605">
        <v>73509.787569345004</v>
      </c>
      <c r="X43" s="431">
        <v>25</v>
      </c>
      <c r="Y43" s="605">
        <v>20534.6030565</v>
      </c>
      <c r="Z43" s="431">
        <v>158</v>
      </c>
      <c r="AA43" s="605">
        <v>68795.42999380581</v>
      </c>
      <c r="AB43" s="431">
        <v>12</v>
      </c>
      <c r="AC43" s="605">
        <v>10616.3776046</v>
      </c>
      <c r="AD43" s="431">
        <v>137</v>
      </c>
      <c r="AE43" s="605">
        <v>105229.739280494</v>
      </c>
      <c r="AF43" s="431">
        <v>20</v>
      </c>
      <c r="AG43" s="605">
        <v>22092.151414399999</v>
      </c>
    </row>
    <row r="44" spans="1:33" s="197" customFormat="1">
      <c r="A44" s="432" t="s">
        <v>1341</v>
      </c>
      <c r="B44" s="433">
        <v>45</v>
      </c>
      <c r="C44" s="593">
        <v>19166.309999999998</v>
      </c>
      <c r="D44" s="433">
        <v>0</v>
      </c>
      <c r="E44" s="593">
        <v>0</v>
      </c>
      <c r="F44" s="433">
        <f t="shared" si="26"/>
        <v>20</v>
      </c>
      <c r="G44" s="593">
        <f t="shared" si="26"/>
        <v>4055.84</v>
      </c>
      <c r="H44" s="433">
        <f t="shared" si="26"/>
        <v>1</v>
      </c>
      <c r="I44" s="593">
        <f t="shared" si="26"/>
        <v>800</v>
      </c>
      <c r="J44" s="431">
        <v>4</v>
      </c>
      <c r="K44" s="605">
        <v>686.75</v>
      </c>
      <c r="L44" s="431">
        <v>0</v>
      </c>
      <c r="M44" s="605">
        <v>0</v>
      </c>
      <c r="N44" s="439">
        <v>3</v>
      </c>
      <c r="O44" s="605">
        <v>1206.96</v>
      </c>
      <c r="P44" s="431">
        <v>0</v>
      </c>
      <c r="Q44" s="605">
        <v>0</v>
      </c>
      <c r="R44" s="439">
        <v>3</v>
      </c>
      <c r="S44" s="605">
        <v>560.25</v>
      </c>
      <c r="T44" s="431">
        <v>0</v>
      </c>
      <c r="U44" s="605">
        <v>0</v>
      </c>
      <c r="V44" s="440">
        <v>2</v>
      </c>
      <c r="W44" s="612">
        <v>261.63</v>
      </c>
      <c r="X44" s="431">
        <v>0</v>
      </c>
      <c r="Y44" s="605">
        <v>0</v>
      </c>
      <c r="Z44" s="439">
        <v>4</v>
      </c>
      <c r="AA44" s="605">
        <v>444.99</v>
      </c>
      <c r="AB44" s="431">
        <v>0</v>
      </c>
      <c r="AC44" s="605">
        <v>0</v>
      </c>
      <c r="AD44" s="431">
        <v>4</v>
      </c>
      <c r="AE44" s="605">
        <v>895.26</v>
      </c>
      <c r="AF44" s="431">
        <v>1</v>
      </c>
      <c r="AG44" s="605">
        <v>800</v>
      </c>
    </row>
    <row r="45" spans="1:33" s="15" customFormat="1">
      <c r="A45" s="493" t="s">
        <v>1342</v>
      </c>
      <c r="B45" s="503">
        <f t="shared" ref="B45:AC45" si="27">B43+B44</f>
        <v>1165</v>
      </c>
      <c r="C45" s="594">
        <f t="shared" si="27"/>
        <v>683482.43712287</v>
      </c>
      <c r="D45" s="503">
        <f t="shared" si="27"/>
        <v>227</v>
      </c>
      <c r="E45" s="594">
        <f t="shared" si="27"/>
        <v>173440.80634450002</v>
      </c>
      <c r="F45" s="503">
        <f t="shared" si="27"/>
        <v>728</v>
      </c>
      <c r="G45" s="594">
        <f t="shared" si="27"/>
        <v>389975.80009161879</v>
      </c>
      <c r="H45" s="503">
        <f t="shared" si="27"/>
        <v>110</v>
      </c>
      <c r="I45" s="594">
        <f t="shared" si="27"/>
        <v>71690.488440424</v>
      </c>
      <c r="J45" s="503">
        <f t="shared" si="27"/>
        <v>90</v>
      </c>
      <c r="K45" s="594">
        <f t="shared" si="27"/>
        <v>26426.505809819999</v>
      </c>
      <c r="L45" s="503">
        <f t="shared" si="27"/>
        <v>15</v>
      </c>
      <c r="M45" s="594">
        <f t="shared" si="27"/>
        <v>4768.2442944240001</v>
      </c>
      <c r="N45" s="503">
        <f t="shared" si="27"/>
        <v>115</v>
      </c>
      <c r="O45" s="594">
        <f t="shared" si="27"/>
        <v>59282.932811163984</v>
      </c>
      <c r="P45" s="503">
        <f t="shared" si="27"/>
        <v>11</v>
      </c>
      <c r="Q45" s="594">
        <f t="shared" si="27"/>
        <v>3151.2303027000003</v>
      </c>
      <c r="R45" s="503">
        <f t="shared" si="27"/>
        <v>108</v>
      </c>
      <c r="S45" s="594">
        <f t="shared" si="27"/>
        <v>55129.524626990002</v>
      </c>
      <c r="T45" s="503">
        <f t="shared" si="27"/>
        <v>26</v>
      </c>
      <c r="U45" s="594">
        <f t="shared" si="27"/>
        <v>9727.8817677999996</v>
      </c>
      <c r="V45" s="503">
        <f t="shared" si="27"/>
        <v>112</v>
      </c>
      <c r="W45" s="594">
        <f t="shared" si="27"/>
        <v>73771.417569345009</v>
      </c>
      <c r="X45" s="503">
        <f t="shared" si="27"/>
        <v>25</v>
      </c>
      <c r="Y45" s="594">
        <f t="shared" si="27"/>
        <v>20534.6030565</v>
      </c>
      <c r="Z45" s="503">
        <f t="shared" si="27"/>
        <v>162</v>
      </c>
      <c r="AA45" s="594">
        <f t="shared" si="27"/>
        <v>69240.419993805815</v>
      </c>
      <c r="AB45" s="503">
        <f t="shared" si="27"/>
        <v>12</v>
      </c>
      <c r="AC45" s="594">
        <f t="shared" si="27"/>
        <v>10616.3776046</v>
      </c>
      <c r="AD45" s="503">
        <f>AD43+AD44</f>
        <v>141</v>
      </c>
      <c r="AE45" s="594">
        <f>AE43+AE44</f>
        <v>106124.999280494</v>
      </c>
      <c r="AF45" s="503">
        <f>AF43+AF44</f>
        <v>21</v>
      </c>
      <c r="AG45" s="594">
        <f>AG43+AG44</f>
        <v>22892.151414399999</v>
      </c>
    </row>
    <row r="46" spans="1:33" s="15" customFormat="1">
      <c r="A46" s="499" t="s">
        <v>643</v>
      </c>
      <c r="B46" s="500"/>
      <c r="C46" s="592"/>
      <c r="D46" s="500"/>
      <c r="E46" s="592"/>
      <c r="F46" s="501"/>
      <c r="G46" s="597"/>
      <c r="H46" s="501"/>
      <c r="I46" s="597"/>
      <c r="J46" s="501"/>
      <c r="K46" s="597"/>
      <c r="L46" s="501"/>
      <c r="M46" s="610"/>
      <c r="N46" s="501"/>
      <c r="O46" s="597"/>
      <c r="P46" s="501"/>
      <c r="Q46" s="610"/>
      <c r="R46" s="501"/>
      <c r="S46" s="597"/>
      <c r="T46" s="501"/>
      <c r="U46" s="610"/>
      <c r="V46" s="501"/>
      <c r="W46" s="597"/>
      <c r="X46" s="501"/>
      <c r="Y46" s="610"/>
      <c r="Z46" s="501"/>
      <c r="AA46" s="597"/>
      <c r="AB46" s="501"/>
      <c r="AC46" s="610"/>
      <c r="AD46" s="501"/>
      <c r="AE46" s="597"/>
      <c r="AF46" s="501"/>
      <c r="AG46" s="610"/>
    </row>
    <row r="47" spans="1:33" s="197" customFormat="1">
      <c r="A47" s="432" t="s">
        <v>1337</v>
      </c>
      <c r="B47" s="433">
        <v>0</v>
      </c>
      <c r="C47" s="593">
        <v>0</v>
      </c>
      <c r="D47" s="433">
        <v>3</v>
      </c>
      <c r="E47" s="593">
        <v>5905</v>
      </c>
      <c r="F47" s="433">
        <f t="shared" ref="F47:I48" si="28">J47+N47+R47+V47+Z47+AD47</f>
        <v>0</v>
      </c>
      <c r="G47" s="593">
        <f t="shared" si="28"/>
        <v>0</v>
      </c>
      <c r="H47" s="433">
        <f t="shared" si="28"/>
        <v>1</v>
      </c>
      <c r="I47" s="593">
        <f t="shared" si="28"/>
        <v>1228</v>
      </c>
      <c r="J47" s="431">
        <v>0</v>
      </c>
      <c r="K47" s="605">
        <v>0</v>
      </c>
      <c r="L47" s="431">
        <v>0</v>
      </c>
      <c r="M47" s="605">
        <v>0</v>
      </c>
      <c r="N47" s="431">
        <v>0</v>
      </c>
      <c r="O47" s="605">
        <v>0</v>
      </c>
      <c r="P47" s="431">
        <v>0</v>
      </c>
      <c r="Q47" s="605">
        <v>0</v>
      </c>
      <c r="R47" s="431">
        <v>0</v>
      </c>
      <c r="S47" s="605">
        <v>0</v>
      </c>
      <c r="T47" s="431">
        <v>1</v>
      </c>
      <c r="U47" s="605">
        <v>1228</v>
      </c>
      <c r="V47" s="431">
        <v>0</v>
      </c>
      <c r="W47" s="605">
        <v>0</v>
      </c>
      <c r="X47" s="431">
        <v>0</v>
      </c>
      <c r="Y47" s="605">
        <v>0</v>
      </c>
      <c r="Z47" s="431">
        <v>0</v>
      </c>
      <c r="AA47" s="605">
        <v>0</v>
      </c>
      <c r="AB47" s="431">
        <v>0</v>
      </c>
      <c r="AC47" s="605">
        <v>0</v>
      </c>
      <c r="AD47" s="431">
        <v>0</v>
      </c>
      <c r="AE47" s="605">
        <v>0</v>
      </c>
      <c r="AF47" s="431">
        <v>0</v>
      </c>
      <c r="AG47" s="605">
        <v>0</v>
      </c>
    </row>
    <row r="48" spans="1:33" s="197" customFormat="1">
      <c r="A48" s="432" t="s">
        <v>1338</v>
      </c>
      <c r="B48" s="433">
        <v>0</v>
      </c>
      <c r="C48" s="593">
        <v>0</v>
      </c>
      <c r="D48" s="433">
        <v>14</v>
      </c>
      <c r="E48" s="593">
        <v>33118.6</v>
      </c>
      <c r="F48" s="433">
        <f t="shared" si="28"/>
        <v>0</v>
      </c>
      <c r="G48" s="593">
        <f t="shared" si="28"/>
        <v>0</v>
      </c>
      <c r="H48" s="433">
        <f t="shared" si="28"/>
        <v>4</v>
      </c>
      <c r="I48" s="593">
        <f t="shared" si="28"/>
        <v>8688.9699999999993</v>
      </c>
      <c r="J48" s="431">
        <v>0</v>
      </c>
      <c r="K48" s="605">
        <v>0</v>
      </c>
      <c r="L48" s="431">
        <v>0</v>
      </c>
      <c r="M48" s="605">
        <v>0</v>
      </c>
      <c r="N48" s="431">
        <v>0</v>
      </c>
      <c r="O48" s="605">
        <v>0</v>
      </c>
      <c r="P48" s="431">
        <v>0</v>
      </c>
      <c r="Q48" s="605">
        <v>0</v>
      </c>
      <c r="R48" s="431"/>
      <c r="S48" s="605"/>
      <c r="T48" s="431">
        <v>1</v>
      </c>
      <c r="U48" s="605">
        <v>102.5</v>
      </c>
      <c r="V48" s="431">
        <v>0</v>
      </c>
      <c r="W48" s="605">
        <v>0</v>
      </c>
      <c r="X48" s="431">
        <v>1</v>
      </c>
      <c r="Y48" s="605">
        <v>1520</v>
      </c>
      <c r="Z48" s="431">
        <v>0</v>
      </c>
      <c r="AA48" s="605">
        <v>0</v>
      </c>
      <c r="AB48" s="431">
        <v>1</v>
      </c>
      <c r="AC48" s="605">
        <v>400.47</v>
      </c>
      <c r="AD48" s="431">
        <v>0</v>
      </c>
      <c r="AE48" s="605">
        <v>0</v>
      </c>
      <c r="AF48" s="431">
        <v>1</v>
      </c>
      <c r="AG48" s="605">
        <v>6666</v>
      </c>
    </row>
    <row r="49" spans="1:33" s="15" customFormat="1">
      <c r="A49" s="493" t="s">
        <v>1339</v>
      </c>
      <c r="B49" s="504">
        <f t="shared" ref="B49:K49" si="29">SUM(B47:B48)</f>
        <v>0</v>
      </c>
      <c r="C49" s="595">
        <f t="shared" si="29"/>
        <v>0</v>
      </c>
      <c r="D49" s="504">
        <f t="shared" si="29"/>
        <v>17</v>
      </c>
      <c r="E49" s="595">
        <f t="shared" si="29"/>
        <v>39023.599999999999</v>
      </c>
      <c r="F49" s="504">
        <f t="shared" si="29"/>
        <v>0</v>
      </c>
      <c r="G49" s="595">
        <f t="shared" si="29"/>
        <v>0</v>
      </c>
      <c r="H49" s="504">
        <f t="shared" si="29"/>
        <v>5</v>
      </c>
      <c r="I49" s="595">
        <f t="shared" si="29"/>
        <v>9916.9699999999993</v>
      </c>
      <c r="J49" s="503">
        <f t="shared" si="29"/>
        <v>0</v>
      </c>
      <c r="K49" s="594">
        <f t="shared" si="29"/>
        <v>0</v>
      </c>
      <c r="L49" s="503">
        <f t="shared" ref="L49:AG49" si="30">SUM(L47:L48)</f>
        <v>0</v>
      </c>
      <c r="M49" s="594">
        <f t="shared" si="30"/>
        <v>0</v>
      </c>
      <c r="N49" s="503">
        <f t="shared" si="30"/>
        <v>0</v>
      </c>
      <c r="O49" s="594">
        <f t="shared" si="30"/>
        <v>0</v>
      </c>
      <c r="P49" s="503">
        <f t="shared" si="30"/>
        <v>0</v>
      </c>
      <c r="Q49" s="594">
        <f t="shared" si="30"/>
        <v>0</v>
      </c>
      <c r="R49" s="503">
        <f t="shared" si="30"/>
        <v>0</v>
      </c>
      <c r="S49" s="594">
        <f t="shared" si="30"/>
        <v>0</v>
      </c>
      <c r="T49" s="503">
        <f t="shared" si="30"/>
        <v>2</v>
      </c>
      <c r="U49" s="594">
        <f t="shared" si="30"/>
        <v>1330.5</v>
      </c>
      <c r="V49" s="503">
        <f t="shared" si="30"/>
        <v>0</v>
      </c>
      <c r="W49" s="594">
        <f t="shared" si="30"/>
        <v>0</v>
      </c>
      <c r="X49" s="503">
        <f t="shared" si="30"/>
        <v>1</v>
      </c>
      <c r="Y49" s="594">
        <f t="shared" si="30"/>
        <v>1520</v>
      </c>
      <c r="Z49" s="503">
        <f t="shared" si="30"/>
        <v>0</v>
      </c>
      <c r="AA49" s="594">
        <f t="shared" si="30"/>
        <v>0</v>
      </c>
      <c r="AB49" s="503">
        <f t="shared" si="30"/>
        <v>1</v>
      </c>
      <c r="AC49" s="594">
        <f t="shared" si="30"/>
        <v>400.47</v>
      </c>
      <c r="AD49" s="503">
        <f t="shared" si="30"/>
        <v>0</v>
      </c>
      <c r="AE49" s="594">
        <f t="shared" si="30"/>
        <v>0</v>
      </c>
      <c r="AF49" s="503">
        <f t="shared" si="30"/>
        <v>1</v>
      </c>
      <c r="AG49" s="503">
        <f t="shared" si="30"/>
        <v>6666</v>
      </c>
    </row>
    <row r="50" spans="1:33">
      <c r="A50" s="1366" t="s">
        <v>81</v>
      </c>
      <c r="B50" s="1366"/>
      <c r="C50" s="1366"/>
      <c r="D50" s="1366"/>
      <c r="E50" s="1366"/>
      <c r="F50" s="1366"/>
      <c r="G50" s="1366"/>
      <c r="H50" s="1366"/>
      <c r="I50" s="1366"/>
      <c r="J50" s="1366"/>
      <c r="K50" s="1366"/>
      <c r="L50" s="1366"/>
      <c r="M50" s="1366"/>
      <c r="N50" s="196"/>
      <c r="O50" s="196"/>
      <c r="AC50" s="18"/>
    </row>
    <row r="51" spans="1:33">
      <c r="A51" s="240" t="s">
        <v>696</v>
      </c>
      <c r="B51" s="240"/>
      <c r="C51" s="240"/>
      <c r="D51" s="240"/>
      <c r="E51" s="240"/>
      <c r="F51" s="240"/>
      <c r="G51" s="272"/>
      <c r="H51" s="240"/>
      <c r="I51" s="240"/>
      <c r="J51" s="240"/>
      <c r="K51" s="240"/>
      <c r="L51" s="240"/>
      <c r="M51" s="240"/>
      <c r="N51" s="196"/>
      <c r="O51" s="196"/>
      <c r="Y51" s="18"/>
      <c r="AB51" s="18"/>
      <c r="AC51" s="18"/>
    </row>
    <row r="52" spans="1:33">
      <c r="A52" s="240" t="s">
        <v>697</v>
      </c>
      <c r="B52" s="240"/>
      <c r="C52" s="240"/>
      <c r="D52" s="240"/>
      <c r="E52" s="240"/>
      <c r="F52" s="240"/>
      <c r="G52" s="240"/>
      <c r="H52" s="240"/>
      <c r="I52" s="240"/>
      <c r="J52" s="240"/>
      <c r="K52" s="240"/>
      <c r="L52" s="240"/>
      <c r="M52" s="240"/>
      <c r="N52" s="196"/>
      <c r="O52" s="196"/>
      <c r="Y52" s="18"/>
      <c r="AC52" s="18"/>
    </row>
    <row r="53" spans="1:33">
      <c r="A53" s="196" t="s">
        <v>689</v>
      </c>
      <c r="B53" s="196"/>
      <c r="C53" s="196"/>
      <c r="D53" s="196"/>
      <c r="E53" s="196"/>
      <c r="F53" s="196"/>
      <c r="G53" s="196"/>
      <c r="H53" s="196"/>
      <c r="I53" s="196"/>
      <c r="J53" s="196"/>
      <c r="K53" s="196"/>
      <c r="L53" s="196"/>
      <c r="M53" s="196"/>
      <c r="N53" s="196"/>
      <c r="O53" s="196"/>
    </row>
    <row r="54" spans="1:33">
      <c r="A54" s="196" t="s">
        <v>690</v>
      </c>
      <c r="B54" s="196"/>
      <c r="C54" s="196"/>
      <c r="D54" s="196"/>
      <c r="E54" s="196"/>
      <c r="F54" s="196"/>
      <c r="G54" s="196"/>
      <c r="H54" s="196"/>
      <c r="I54" s="196"/>
      <c r="J54" s="196"/>
      <c r="K54" s="196"/>
      <c r="L54" s="196"/>
      <c r="M54" s="196"/>
      <c r="N54" s="196"/>
      <c r="O54" s="196"/>
    </row>
    <row r="55" spans="1:33">
      <c r="A55" s="196" t="s">
        <v>650</v>
      </c>
      <c r="B55" s="196"/>
      <c r="C55" s="196"/>
      <c r="D55" s="196"/>
      <c r="E55" s="196"/>
      <c r="F55" s="196"/>
      <c r="G55" s="196"/>
      <c r="H55" s="196"/>
      <c r="I55" s="196"/>
      <c r="J55" s="196"/>
      <c r="K55" s="196"/>
      <c r="L55" s="196"/>
      <c r="M55" s="196"/>
      <c r="N55" s="196"/>
      <c r="O55" s="196"/>
    </row>
    <row r="56" spans="1:33">
      <c r="A56" s="159" t="s">
        <v>129</v>
      </c>
      <c r="B56" s="196"/>
      <c r="C56" s="196"/>
      <c r="D56" s="196"/>
      <c r="E56" s="196"/>
      <c r="F56" s="196"/>
      <c r="G56" s="196"/>
      <c r="H56" s="196"/>
      <c r="I56" s="196"/>
      <c r="J56" s="196"/>
      <c r="K56" s="196"/>
      <c r="L56" s="196"/>
      <c r="M56" s="196"/>
      <c r="N56" s="196"/>
      <c r="O56" s="196"/>
    </row>
    <row r="57" spans="1:33">
      <c r="A57" s="196"/>
      <c r="B57" s="196"/>
      <c r="C57" s="196"/>
      <c r="D57" s="196"/>
      <c r="E57" s="196"/>
      <c r="F57" s="196"/>
      <c r="G57" s="196"/>
      <c r="H57" s="196"/>
      <c r="I57" s="196"/>
      <c r="J57" s="196"/>
      <c r="K57" s="196"/>
      <c r="L57" s="196"/>
      <c r="M57" s="196"/>
      <c r="N57" s="196"/>
      <c r="O57" s="196"/>
    </row>
    <row r="63" spans="1:33">
      <c r="Q63" s="36"/>
      <c r="R63" s="36"/>
      <c r="S63" s="36"/>
      <c r="T63" s="36"/>
      <c r="U63" s="36"/>
      <c r="V63" s="257"/>
      <c r="X63" s="257"/>
      <c r="Z63" s="257"/>
    </row>
    <row r="64" spans="1:33">
      <c r="P64" s="36"/>
      <c r="Q64" s="36"/>
      <c r="R64" s="36"/>
      <c r="S64" s="36"/>
      <c r="T64" s="36"/>
      <c r="U64" s="36"/>
      <c r="V64" s="257"/>
      <c r="X64" s="257"/>
      <c r="Z64" s="257"/>
    </row>
    <row r="65" spans="17:26">
      <c r="Q65" s="36"/>
      <c r="R65" s="36"/>
      <c r="S65" s="36"/>
      <c r="T65" s="36"/>
      <c r="U65" s="36"/>
      <c r="V65" s="257"/>
      <c r="X65" s="257"/>
      <c r="Z65" s="257"/>
    </row>
    <row r="66" spans="17:26">
      <c r="Q66" s="36"/>
      <c r="R66" s="36"/>
      <c r="S66" s="36"/>
      <c r="T66" s="36"/>
      <c r="U66" s="36"/>
      <c r="V66" s="257"/>
      <c r="X66" s="257"/>
      <c r="Z66" s="257"/>
    </row>
    <row r="67" spans="17:26">
      <c r="Q67" s="36"/>
      <c r="R67" s="36"/>
      <c r="S67" s="36"/>
      <c r="T67" s="36"/>
      <c r="U67" s="36"/>
      <c r="V67" s="257"/>
      <c r="X67" s="257"/>
      <c r="Z67" s="257"/>
    </row>
    <row r="68" spans="17:26">
      <c r="Q68" s="36"/>
      <c r="R68" s="36"/>
      <c r="S68" s="36"/>
      <c r="T68" s="36"/>
      <c r="U68" s="36"/>
      <c r="V68" s="257"/>
      <c r="X68" s="257"/>
      <c r="Z68" s="257"/>
    </row>
    <row r="69" spans="17:26">
      <c r="Q69" s="36"/>
      <c r="R69" s="36"/>
      <c r="S69" s="36"/>
      <c r="T69" s="36"/>
      <c r="U69" s="36"/>
      <c r="V69" s="257"/>
      <c r="X69" s="257"/>
      <c r="Z69" s="257"/>
    </row>
    <row r="70" spans="17:26">
      <c r="Q70" s="36"/>
      <c r="R70" s="36"/>
      <c r="S70" s="36"/>
      <c r="T70" s="36"/>
      <c r="U70" s="36"/>
      <c r="V70" s="257"/>
      <c r="X70" s="257"/>
      <c r="Z70" s="257"/>
    </row>
    <row r="71" spans="17:26">
      <c r="Q71" s="36"/>
      <c r="R71" s="36"/>
      <c r="S71" s="36"/>
      <c r="T71" s="36"/>
      <c r="U71" s="36"/>
      <c r="V71" s="257"/>
      <c r="X71" s="257"/>
      <c r="Z71" s="257"/>
    </row>
    <row r="72" spans="17:26">
      <c r="Q72" s="36"/>
      <c r="R72" s="36"/>
      <c r="S72" s="36"/>
      <c r="T72" s="36"/>
      <c r="U72" s="36"/>
      <c r="V72" s="257"/>
      <c r="X72" s="257"/>
      <c r="Z72" s="257"/>
    </row>
    <row r="73" spans="17:26">
      <c r="Q73" s="36"/>
      <c r="R73" s="36"/>
      <c r="S73" s="36"/>
      <c r="T73" s="36"/>
      <c r="U73" s="36"/>
      <c r="V73" s="257"/>
      <c r="X73" s="257"/>
      <c r="Z73" s="257"/>
    </row>
    <row r="74" spans="17:26">
      <c r="Q74" s="36"/>
      <c r="R74" s="36"/>
      <c r="S74" s="36"/>
      <c r="T74" s="36"/>
      <c r="U74" s="36"/>
      <c r="V74" s="257"/>
      <c r="X74" s="257"/>
      <c r="Z74" s="257"/>
    </row>
    <row r="75" spans="17:26">
      <c r="Q75" s="36"/>
      <c r="R75" s="36"/>
      <c r="S75" s="36"/>
      <c r="T75" s="36"/>
      <c r="U75" s="36"/>
      <c r="V75" s="257"/>
      <c r="X75" s="257"/>
      <c r="Z75" s="257"/>
    </row>
    <row r="76" spans="17:26">
      <c r="Q76" s="36"/>
      <c r="R76" s="36"/>
      <c r="S76" s="36"/>
      <c r="T76" s="36"/>
      <c r="U76" s="36"/>
      <c r="V76" s="257"/>
      <c r="X76" s="257"/>
      <c r="Z76" s="257"/>
    </row>
    <row r="77" spans="17:26">
      <c r="Q77" s="36"/>
      <c r="R77" s="36"/>
      <c r="S77" s="36"/>
      <c r="T77" s="36"/>
      <c r="U77" s="36"/>
      <c r="V77" s="257"/>
      <c r="X77" s="257"/>
      <c r="Z77" s="257"/>
    </row>
    <row r="78" spans="17:26">
      <c r="Q78" s="36"/>
      <c r="R78" s="36"/>
      <c r="S78" s="36"/>
      <c r="T78" s="36"/>
      <c r="U78" s="36"/>
      <c r="V78" s="257"/>
      <c r="X78" s="257"/>
      <c r="Z78" s="257"/>
    </row>
    <row r="79" spans="17:26">
      <c r="R79" s="36"/>
      <c r="S79" s="36"/>
      <c r="T79" s="36"/>
      <c r="U79" s="36"/>
      <c r="V79" s="257"/>
      <c r="X79" s="257"/>
      <c r="Z79" s="257"/>
    </row>
    <row r="80" spans="17:26">
      <c r="R80" s="36"/>
      <c r="S80" s="36"/>
      <c r="T80" s="36"/>
      <c r="U80" s="36"/>
      <c r="V80" s="257"/>
      <c r="X80" s="257"/>
      <c r="Z80" s="257"/>
    </row>
    <row r="81" spans="1:26">
      <c r="R81" s="36"/>
      <c r="S81" s="36"/>
      <c r="T81" s="36"/>
      <c r="U81" s="36"/>
      <c r="V81" s="257"/>
      <c r="X81" s="257"/>
      <c r="Z81" s="257"/>
    </row>
    <row r="82" spans="1:26">
      <c r="R82" s="36"/>
      <c r="S82" s="36"/>
      <c r="T82" s="36"/>
      <c r="U82" s="36"/>
      <c r="V82" s="257"/>
      <c r="X82" s="257"/>
      <c r="Z82" s="257"/>
    </row>
    <row r="83" spans="1:26" ht="15.75">
      <c r="A83" s="40"/>
      <c r="B83" s="40"/>
      <c r="C83" s="40"/>
      <c r="D83" s="40"/>
      <c r="E83" s="40"/>
      <c r="F83" s="41"/>
      <c r="G83" s="41"/>
      <c r="H83" s="42"/>
      <c r="I83" s="43"/>
      <c r="K83" s="43"/>
      <c r="L83" s="43"/>
      <c r="M83" s="43"/>
      <c r="R83" s="36"/>
      <c r="S83" s="36"/>
      <c r="T83" s="36"/>
      <c r="U83" s="36"/>
      <c r="V83" s="257"/>
      <c r="X83" s="257"/>
      <c r="Z83" s="257"/>
    </row>
    <row r="84" spans="1:26">
      <c r="A84" s="44"/>
      <c r="B84" s="44"/>
      <c r="C84" s="44"/>
      <c r="D84" s="44"/>
      <c r="E84" s="44"/>
      <c r="F84" s="45"/>
      <c r="G84" s="45"/>
      <c r="H84" s="123"/>
      <c r="I84" s="123"/>
      <c r="K84" s="46"/>
      <c r="L84" s="46"/>
      <c r="M84" s="46"/>
    </row>
    <row r="85" spans="1:26">
      <c r="A85" s="44"/>
      <c r="B85" s="44"/>
      <c r="C85" s="44"/>
      <c r="D85" s="44"/>
      <c r="E85" s="44"/>
      <c r="F85" s="45"/>
      <c r="G85" s="45"/>
      <c r="H85" s="45"/>
      <c r="I85" s="45"/>
      <c r="K85" s="45"/>
      <c r="L85" s="45"/>
      <c r="M85" s="45"/>
    </row>
    <row r="86" spans="1:26">
      <c r="A86" s="44"/>
      <c r="B86" s="44"/>
      <c r="C86" s="44"/>
      <c r="D86" s="44"/>
      <c r="E86" s="44"/>
      <c r="F86" s="45"/>
      <c r="G86" s="45"/>
      <c r="H86" s="45"/>
      <c r="I86" s="45"/>
      <c r="K86" s="45"/>
      <c r="L86" s="45"/>
      <c r="M86" s="45"/>
      <c r="N86" s="47"/>
      <c r="O86" s="48"/>
    </row>
    <row r="90" spans="1:26">
      <c r="P90" s="36"/>
      <c r="Q90" s="36"/>
    </row>
    <row r="93" spans="1:26">
      <c r="F93" s="36"/>
      <c r="G93" s="36"/>
      <c r="H93" s="36"/>
      <c r="I93" s="36"/>
      <c r="J93" s="36"/>
      <c r="K93" s="36"/>
      <c r="L93" s="36"/>
      <c r="M93" s="36"/>
      <c r="N93" s="36"/>
      <c r="O93" s="36"/>
    </row>
    <row r="94" spans="1:26">
      <c r="F94" s="36"/>
      <c r="G94" s="36"/>
      <c r="H94" s="36"/>
      <c r="I94" s="36"/>
      <c r="J94" s="36"/>
      <c r="K94" s="36"/>
      <c r="L94" s="36"/>
      <c r="M94" s="36"/>
      <c r="N94" s="36"/>
      <c r="O94" s="36"/>
    </row>
    <row r="100" spans="14:14">
      <c r="N100" s="49"/>
    </row>
  </sheetData>
  <mergeCells count="27">
    <mergeCell ref="P3:Q3"/>
    <mergeCell ref="A1:I1"/>
    <mergeCell ref="A2:A4"/>
    <mergeCell ref="B2:E2"/>
    <mergeCell ref="F2:I2"/>
    <mergeCell ref="J2:M2"/>
    <mergeCell ref="R2:U2"/>
    <mergeCell ref="V2:Y2"/>
    <mergeCell ref="Z2:AC2"/>
    <mergeCell ref="AD2:AG2"/>
    <mergeCell ref="N2:Q2"/>
    <mergeCell ref="A50:M50"/>
    <mergeCell ref="AD3:AE3"/>
    <mergeCell ref="AF3:AG3"/>
    <mergeCell ref="R3:S3"/>
    <mergeCell ref="T3:U3"/>
    <mergeCell ref="V3:W3"/>
    <mergeCell ref="X3:Y3"/>
    <mergeCell ref="Z3:AA3"/>
    <mergeCell ref="AB3:AC3"/>
    <mergeCell ref="B3:C3"/>
    <mergeCell ref="D3:E3"/>
    <mergeCell ref="F3:G3"/>
    <mergeCell ref="H3:I3"/>
    <mergeCell ref="J3:K3"/>
    <mergeCell ref="L3:M3"/>
    <mergeCell ref="N3:O3"/>
  </mergeCells>
  <printOptions horizontalCentered="1"/>
  <pageMargins left="0.7" right="0.7" top="0.75" bottom="0.75" header="0.3" footer="0.3"/>
  <pageSetup paperSize="9" scale="57" fitToWidth="0" orientation="landscape" r:id="rId1"/>
  <colBreaks count="1" manualBreakCount="1">
    <brk id="17" max="55"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pageSetUpPr fitToPage="1"/>
  </sheetPr>
  <dimension ref="A1:R18"/>
  <sheetViews>
    <sheetView showGridLines="0" zoomScaleNormal="100" workbookViewId="0">
      <selection sqref="A1:O1"/>
    </sheetView>
  </sheetViews>
  <sheetFormatPr defaultRowHeight="15"/>
  <cols>
    <col min="3" max="3" width="10.5703125" bestFit="1" customWidth="1"/>
    <col min="16" max="16" width="11.5703125" bestFit="1" customWidth="1"/>
    <col min="17" max="17" width="14" customWidth="1"/>
  </cols>
  <sheetData>
    <row r="1" spans="1:18">
      <c r="A1" s="1379" t="s">
        <v>794</v>
      </c>
      <c r="B1" s="1379"/>
      <c r="C1" s="1379"/>
      <c r="D1" s="1379"/>
      <c r="E1" s="1379"/>
      <c r="F1" s="1379"/>
      <c r="G1" s="1379"/>
      <c r="H1" s="1379"/>
      <c r="I1" s="1379"/>
      <c r="J1" s="1379"/>
      <c r="K1" s="1379"/>
      <c r="L1" s="1379"/>
      <c r="M1" s="1379"/>
      <c r="N1" s="1379"/>
      <c r="O1" s="1379"/>
    </row>
    <row r="2" spans="1:18" ht="15" customHeight="1">
      <c r="A2" s="1388" t="s">
        <v>115</v>
      </c>
      <c r="B2" s="1384" t="s">
        <v>136</v>
      </c>
      <c r="C2" s="1385"/>
      <c r="D2" s="1390" t="s">
        <v>603</v>
      </c>
      <c r="E2" s="1391"/>
      <c r="F2" s="1391"/>
      <c r="G2" s="1391"/>
      <c r="H2" s="1391"/>
      <c r="I2" s="1391"/>
      <c r="J2" s="1391"/>
      <c r="K2" s="1391"/>
      <c r="L2" s="1391"/>
      <c r="M2" s="1392"/>
      <c r="N2" s="1393" t="s">
        <v>139</v>
      </c>
      <c r="O2" s="1394"/>
    </row>
    <row r="3" spans="1:18">
      <c r="A3" s="1389"/>
      <c r="B3" s="1386"/>
      <c r="C3" s="1387"/>
      <c r="D3" s="1382" t="s">
        <v>684</v>
      </c>
      <c r="E3" s="1383"/>
      <c r="F3" s="1377" t="s">
        <v>683</v>
      </c>
      <c r="G3" s="1378"/>
      <c r="H3" s="1377" t="s">
        <v>685</v>
      </c>
      <c r="I3" s="1378"/>
      <c r="J3" s="1382" t="s">
        <v>102</v>
      </c>
      <c r="K3" s="1383"/>
      <c r="L3" s="1382" t="s">
        <v>682</v>
      </c>
      <c r="M3" s="1383"/>
      <c r="N3" s="1382" t="s">
        <v>680</v>
      </c>
      <c r="O3" s="1383"/>
    </row>
    <row r="4" spans="1:18" ht="30">
      <c r="A4" s="1386"/>
      <c r="B4" s="505" t="s">
        <v>140</v>
      </c>
      <c r="C4" s="505" t="s">
        <v>1248</v>
      </c>
      <c r="D4" s="505" t="s">
        <v>140</v>
      </c>
      <c r="E4" s="505" t="s">
        <v>1248</v>
      </c>
      <c r="F4" s="505" t="s">
        <v>140</v>
      </c>
      <c r="G4" s="505" t="s">
        <v>1248</v>
      </c>
      <c r="H4" s="505" t="s">
        <v>140</v>
      </c>
      <c r="I4" s="505" t="s">
        <v>1248</v>
      </c>
      <c r="J4" s="505" t="s">
        <v>140</v>
      </c>
      <c r="K4" s="505" t="s">
        <v>1248</v>
      </c>
      <c r="L4" s="505" t="s">
        <v>140</v>
      </c>
      <c r="M4" s="505" t="s">
        <v>1248</v>
      </c>
      <c r="N4" s="505" t="s">
        <v>140</v>
      </c>
      <c r="O4" s="505" t="s">
        <v>1248</v>
      </c>
    </row>
    <row r="5" spans="1:18">
      <c r="A5" s="234" t="s">
        <v>505</v>
      </c>
      <c r="B5" s="198">
        <v>385</v>
      </c>
      <c r="C5" s="614">
        <v>102259.41623999999</v>
      </c>
      <c r="D5" s="198">
        <v>76</v>
      </c>
      <c r="E5" s="614">
        <v>61859.847318499997</v>
      </c>
      <c r="F5" s="198">
        <v>196</v>
      </c>
      <c r="G5" s="614">
        <v>6095.4649200000003</v>
      </c>
      <c r="H5" s="199">
        <v>272</v>
      </c>
      <c r="I5" s="618">
        <v>67955.312238500002</v>
      </c>
      <c r="J5" s="35">
        <v>67</v>
      </c>
      <c r="K5" s="614">
        <v>15110.204001500002</v>
      </c>
      <c r="L5" s="35">
        <v>1</v>
      </c>
      <c r="M5" s="614">
        <v>27</v>
      </c>
      <c r="N5" s="35">
        <v>45</v>
      </c>
      <c r="O5" s="614">
        <v>19166.899999999998</v>
      </c>
      <c r="P5" s="1293"/>
      <c r="Q5" s="1293"/>
      <c r="R5" s="266"/>
    </row>
    <row r="6" spans="1:18">
      <c r="A6" s="506" t="s">
        <v>703</v>
      </c>
      <c r="B6" s="507">
        <v>275</v>
      </c>
      <c r="C6" s="615">
        <v>90786.133591705991</v>
      </c>
      <c r="D6" s="507">
        <v>39</v>
      </c>
      <c r="E6" s="615">
        <v>51021.165133300005</v>
      </c>
      <c r="F6" s="507">
        <v>145</v>
      </c>
      <c r="G6" s="615">
        <v>5102.5691399999996</v>
      </c>
      <c r="H6" s="507">
        <v>184</v>
      </c>
      <c r="I6" s="615">
        <v>56123.734273300004</v>
      </c>
      <c r="J6" s="508">
        <v>68</v>
      </c>
      <c r="K6" s="619">
        <v>11656.569319106</v>
      </c>
      <c r="L6" s="508">
        <v>2</v>
      </c>
      <c r="M6" s="619">
        <v>18149.9899993</v>
      </c>
      <c r="N6" s="508">
        <v>21</v>
      </c>
      <c r="O6" s="619">
        <v>4855.84</v>
      </c>
      <c r="P6" s="1293"/>
      <c r="Q6" s="1293"/>
      <c r="R6" s="266"/>
    </row>
    <row r="7" spans="1:18">
      <c r="A7" s="130">
        <v>45412</v>
      </c>
      <c r="B7" s="37">
        <f t="shared" ref="B7:C11" si="0">H7+J7+L7+N7</f>
        <v>39</v>
      </c>
      <c r="C7" s="616">
        <f t="shared" si="0"/>
        <v>26057.3168319</v>
      </c>
      <c r="D7" s="37">
        <v>3</v>
      </c>
      <c r="E7" s="616">
        <v>5054.67</v>
      </c>
      <c r="F7" s="37">
        <v>23</v>
      </c>
      <c r="G7" s="616">
        <v>672.70851999999991</v>
      </c>
      <c r="H7" s="37">
        <f t="shared" ref="H6:I8" si="1">D7+F7</f>
        <v>26</v>
      </c>
      <c r="I7" s="616">
        <f t="shared" si="1"/>
        <v>5727.3785200000002</v>
      </c>
      <c r="J7" s="37">
        <v>8</v>
      </c>
      <c r="K7" s="616">
        <v>1643.1883126000002</v>
      </c>
      <c r="L7" s="37">
        <v>1</v>
      </c>
      <c r="M7" s="616">
        <v>17999.999999299998</v>
      </c>
      <c r="N7" s="37">
        <v>4</v>
      </c>
      <c r="O7" s="616">
        <v>686.75</v>
      </c>
      <c r="P7" s="1293"/>
      <c r="Q7" s="1293"/>
    </row>
    <row r="8" spans="1:18">
      <c r="A8" s="130">
        <v>45443</v>
      </c>
      <c r="B8" s="37">
        <f t="shared" si="0"/>
        <v>41</v>
      </c>
      <c r="C8" s="616">
        <f t="shared" si="0"/>
        <v>13495.5434728</v>
      </c>
      <c r="D8" s="37">
        <v>5</v>
      </c>
      <c r="E8" s="616">
        <v>9606.130443</v>
      </c>
      <c r="F8" s="37">
        <v>21</v>
      </c>
      <c r="G8" s="616">
        <v>527.21852000000001</v>
      </c>
      <c r="H8" s="37">
        <f t="shared" si="1"/>
        <v>26</v>
      </c>
      <c r="I8" s="616">
        <f t="shared" si="1"/>
        <v>10133.348963</v>
      </c>
      <c r="J8" s="37">
        <v>12</v>
      </c>
      <c r="K8" s="616">
        <v>2155.2345098000001</v>
      </c>
      <c r="L8" s="37">
        <v>0</v>
      </c>
      <c r="M8" s="616">
        <v>0</v>
      </c>
      <c r="N8" s="37">
        <v>3</v>
      </c>
      <c r="O8" s="616">
        <v>1206.96</v>
      </c>
      <c r="P8" s="1293"/>
      <c r="Q8" s="1293"/>
    </row>
    <row r="9" spans="1:18">
      <c r="A9" s="130">
        <v>45473</v>
      </c>
      <c r="B9" s="37">
        <f t="shared" si="0"/>
        <v>41</v>
      </c>
      <c r="C9" s="616">
        <f t="shared" si="0"/>
        <v>4131.4480000000003</v>
      </c>
      <c r="D9" s="37">
        <v>5</v>
      </c>
      <c r="E9" s="616">
        <v>1957.28</v>
      </c>
      <c r="F9" s="37">
        <v>17</v>
      </c>
      <c r="G9" s="616">
        <v>563.33800000000008</v>
      </c>
      <c r="H9" s="37">
        <f t="shared" ref="H9:I11" si="2">D9+F9</f>
        <v>22</v>
      </c>
      <c r="I9" s="616">
        <f t="shared" si="2"/>
        <v>2520.6179999999999</v>
      </c>
      <c r="J9" s="37">
        <v>16</v>
      </c>
      <c r="K9" s="616">
        <v>1050.58</v>
      </c>
      <c r="L9" s="37">
        <v>0</v>
      </c>
      <c r="M9" s="616">
        <v>0</v>
      </c>
      <c r="N9" s="37">
        <v>3</v>
      </c>
      <c r="O9" s="616">
        <v>560.25</v>
      </c>
      <c r="P9" s="1293"/>
      <c r="Q9" s="1293"/>
    </row>
    <row r="10" spans="1:18">
      <c r="A10" s="130">
        <v>45504</v>
      </c>
      <c r="B10" s="37">
        <f t="shared" si="0"/>
        <v>44</v>
      </c>
      <c r="C10" s="616">
        <f t="shared" si="0"/>
        <v>9262.7308530999981</v>
      </c>
      <c r="D10" s="274">
        <v>5</v>
      </c>
      <c r="E10" s="616">
        <v>4878.1799754999993</v>
      </c>
      <c r="F10" s="37">
        <v>25</v>
      </c>
      <c r="G10" s="616">
        <v>1182.0067200000001</v>
      </c>
      <c r="H10" s="37">
        <f t="shared" si="2"/>
        <v>30</v>
      </c>
      <c r="I10" s="616">
        <f t="shared" si="2"/>
        <v>6060.1866954999996</v>
      </c>
      <c r="J10" s="37">
        <v>11</v>
      </c>
      <c r="K10" s="616">
        <v>2790.9241575999995</v>
      </c>
      <c r="L10" s="37">
        <v>1</v>
      </c>
      <c r="M10" s="616">
        <v>149.99</v>
      </c>
      <c r="N10" s="37">
        <v>2</v>
      </c>
      <c r="O10" s="616">
        <v>261.63</v>
      </c>
      <c r="P10" s="1293"/>
      <c r="Q10" s="1293"/>
    </row>
    <row r="11" spans="1:18">
      <c r="A11" s="130">
        <v>45535</v>
      </c>
      <c r="B11" s="37">
        <f t="shared" si="0"/>
        <v>47</v>
      </c>
      <c r="C11" s="616">
        <f t="shared" si="0"/>
        <v>19260.432833906005</v>
      </c>
      <c r="D11" s="275">
        <v>8</v>
      </c>
      <c r="E11" s="616">
        <v>14700.324714800003</v>
      </c>
      <c r="F11" s="436">
        <v>25</v>
      </c>
      <c r="G11" s="620">
        <v>768.99577999999985</v>
      </c>
      <c r="H11" s="37">
        <f t="shared" si="2"/>
        <v>33</v>
      </c>
      <c r="I11" s="616">
        <f t="shared" si="2"/>
        <v>15469.320494800002</v>
      </c>
      <c r="J11" s="37">
        <v>10</v>
      </c>
      <c r="K11" s="616">
        <v>3346.1223391059998</v>
      </c>
      <c r="L11" s="37">
        <v>0</v>
      </c>
      <c r="M11" s="616">
        <v>0</v>
      </c>
      <c r="N11" s="37">
        <v>4</v>
      </c>
      <c r="O11" s="616">
        <v>444.99</v>
      </c>
      <c r="P11" s="1293"/>
      <c r="Q11" s="1293"/>
    </row>
    <row r="12" spans="1:18">
      <c r="A12" s="130">
        <v>45565</v>
      </c>
      <c r="B12" s="37">
        <f>H12+J12+L12+N12</f>
        <v>63</v>
      </c>
      <c r="C12" s="616">
        <f t="shared" ref="C12" si="3">I12+K12+M12+O12</f>
        <v>18578.661599999999</v>
      </c>
      <c r="D12" s="163">
        <v>13</v>
      </c>
      <c r="E12" s="616">
        <v>14824.58</v>
      </c>
      <c r="F12" s="164">
        <v>34</v>
      </c>
      <c r="G12" s="617">
        <v>1388.3015999999998</v>
      </c>
      <c r="H12" s="37">
        <f>D12+F12</f>
        <v>47</v>
      </c>
      <c r="I12" s="616">
        <f t="shared" ref="I12" si="4">E12+G12</f>
        <v>16212.881600000001</v>
      </c>
      <c r="J12" s="163">
        <v>11</v>
      </c>
      <c r="K12" s="616">
        <v>670.52</v>
      </c>
      <c r="L12" s="37">
        <v>0</v>
      </c>
      <c r="M12" s="616">
        <v>0</v>
      </c>
      <c r="N12" s="436">
        <v>5</v>
      </c>
      <c r="O12" s="620">
        <v>1695.26</v>
      </c>
      <c r="P12" s="1293"/>
      <c r="Q12" s="1293"/>
    </row>
    <row r="13" spans="1:18" s="192" customFormat="1">
      <c r="A13" s="320" t="str">
        <f>"$ indicates as on "&amp;TEXT(IF(COUNT(B7:B12)=1,A7,IF(COUNT(B7:B12)=2,A8,IF(COUNT(B7:B12)=3,A9,IF(COUNT(B7:B12)=4,A10,IF(COUNT(B7:B12)=5,A11,IF(COUNT(B7:B12)=6,A12,IF(COUNT(B7:B12)=7,#REF!,IF(COUNT(B7:B12)=8,#REF!,IF(COUNT(B7:B12)=9,#REF!,IF(COUNT(B7:B12)=10,#REF!,IF(COUNT(B7:B12)=11,#REF!,#REF!))))))))))),"mmmm dd, yyyy")</f>
        <v>$ indicates as on September 30, 2024</v>
      </c>
      <c r="B13" s="41"/>
      <c r="C13" s="41"/>
      <c r="D13" s="321"/>
      <c r="E13" s="321"/>
      <c r="F13" s="321"/>
      <c r="G13" s="321"/>
      <c r="H13" s="41"/>
      <c r="I13" s="41"/>
      <c r="J13" s="321"/>
      <c r="K13" s="321"/>
      <c r="L13" s="321"/>
      <c r="M13" s="321"/>
      <c r="N13" s="41"/>
      <c r="O13" s="322"/>
    </row>
    <row r="14" spans="1:18">
      <c r="A14" s="1380" t="s">
        <v>789</v>
      </c>
      <c r="B14" s="1381"/>
      <c r="C14" s="1381"/>
      <c r="D14" s="1381"/>
      <c r="E14" s="1381"/>
      <c r="F14" s="1381"/>
      <c r="G14" s="1381"/>
      <c r="H14" s="1381"/>
      <c r="I14" s="1381"/>
      <c r="J14" s="1381"/>
      <c r="K14" s="1381"/>
      <c r="L14" s="1381"/>
      <c r="M14" s="1381"/>
      <c r="N14" s="1381"/>
      <c r="O14" s="1381"/>
    </row>
    <row r="15" spans="1:18">
      <c r="A15" s="160" t="s">
        <v>790</v>
      </c>
      <c r="B15" s="160"/>
      <c r="C15" s="160"/>
      <c r="D15" s="160"/>
      <c r="E15" s="160"/>
      <c r="F15" s="160"/>
      <c r="G15" s="160"/>
      <c r="H15" s="160"/>
      <c r="I15" s="160"/>
      <c r="J15" s="160"/>
      <c r="K15" s="143"/>
      <c r="L15" s="38"/>
      <c r="M15" s="140"/>
    </row>
    <row r="16" spans="1:18">
      <c r="A16" s="161" t="s">
        <v>791</v>
      </c>
      <c r="B16" s="161"/>
      <c r="C16" s="161"/>
      <c r="D16" s="161"/>
      <c r="E16" s="39"/>
      <c r="F16" s="39"/>
      <c r="G16" s="39"/>
      <c r="H16" s="39"/>
      <c r="I16" s="39"/>
      <c r="J16" s="36"/>
      <c r="K16" s="39"/>
      <c r="L16" s="39"/>
      <c r="M16" s="39"/>
    </row>
    <row r="17" spans="1:13">
      <c r="A17" s="159" t="s">
        <v>129</v>
      </c>
      <c r="B17" s="159"/>
      <c r="C17" s="159"/>
      <c r="D17" s="159"/>
      <c r="E17" s="159"/>
      <c r="F17" s="159"/>
      <c r="G17" s="159"/>
      <c r="H17" s="159"/>
      <c r="I17" s="159"/>
      <c r="K17" s="159"/>
      <c r="L17" s="159"/>
      <c r="M17" s="159"/>
    </row>
    <row r="18" spans="1:13">
      <c r="A18" s="161"/>
      <c r="F18" s="1296"/>
    </row>
  </sheetData>
  <mergeCells count="12">
    <mergeCell ref="H3:I3"/>
    <mergeCell ref="A1:O1"/>
    <mergeCell ref="A14:O14"/>
    <mergeCell ref="D3:E3"/>
    <mergeCell ref="J3:K3"/>
    <mergeCell ref="L3:M3"/>
    <mergeCell ref="N3:O3"/>
    <mergeCell ref="B2:C3"/>
    <mergeCell ref="F3:G3"/>
    <mergeCell ref="A2:A4"/>
    <mergeCell ref="D2:M2"/>
    <mergeCell ref="N2:O2"/>
  </mergeCells>
  <printOptions horizontalCentered="1"/>
  <pageMargins left="0.7" right="0.7" top="0.75" bottom="0.75" header="0.3" footer="0.3"/>
  <pageSetup paperSize="9" scale="94" fitToHeight="0"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1:S79"/>
  <sheetViews>
    <sheetView showGridLines="0" zoomScaleNormal="100" workbookViewId="0"/>
  </sheetViews>
  <sheetFormatPr defaultRowHeight="15"/>
  <cols>
    <col min="1" max="1" width="17.5703125" customWidth="1"/>
    <col min="2" max="2" width="19.42578125" customWidth="1"/>
    <col min="3" max="3" width="25.5703125" customWidth="1"/>
    <col min="4" max="4" width="10.5703125" customWidth="1"/>
    <col min="5" max="5" width="10.28515625" customWidth="1"/>
    <col min="6" max="6" width="10.28515625" style="15" customWidth="1"/>
    <col min="7" max="7" width="12.85546875" style="15" customWidth="1"/>
    <col min="9" max="9" width="11.28515625" customWidth="1"/>
    <col min="10" max="10" width="10.140625" bestFit="1" customWidth="1"/>
  </cols>
  <sheetData>
    <row r="1" spans="1:19" ht="15.75">
      <c r="A1" s="221" t="s">
        <v>143</v>
      </c>
      <c r="B1" s="221"/>
      <c r="C1" s="221"/>
      <c r="D1" s="221"/>
      <c r="E1" s="221"/>
      <c r="F1" s="221"/>
      <c r="G1" s="221"/>
    </row>
    <row r="2" spans="1:19" ht="15" customHeight="1">
      <c r="A2" s="1407" t="s">
        <v>705</v>
      </c>
      <c r="B2" s="1409" t="s">
        <v>706</v>
      </c>
      <c r="C2" s="1409" t="s">
        <v>144</v>
      </c>
      <c r="D2" s="1408" t="s">
        <v>505</v>
      </c>
      <c r="E2" s="1408"/>
      <c r="F2" s="1408" t="s">
        <v>1320</v>
      </c>
      <c r="G2" s="1408"/>
      <c r="H2" s="1406">
        <v>45383</v>
      </c>
      <c r="I2" s="1406"/>
      <c r="J2" s="1398">
        <f>EOMONTH(H2,1)</f>
        <v>45443</v>
      </c>
      <c r="K2" s="1399"/>
      <c r="L2" s="1398">
        <f>EOMONTH(J2,1)</f>
        <v>45473</v>
      </c>
      <c r="M2" s="1399"/>
      <c r="N2" s="1398">
        <f>EOMONTH(L2,1)</f>
        <v>45504</v>
      </c>
      <c r="O2" s="1399"/>
      <c r="P2" s="1398">
        <f>EOMONTH(N2,1)</f>
        <v>45535</v>
      </c>
      <c r="Q2" s="1399"/>
      <c r="R2" s="1398">
        <f>EOMONTH(P2,1)</f>
        <v>45565</v>
      </c>
      <c r="S2" s="1399"/>
    </row>
    <row r="3" spans="1:19" ht="25.5">
      <c r="A3" s="1407"/>
      <c r="B3" s="1409"/>
      <c r="C3" s="1409"/>
      <c r="D3" s="509" t="s">
        <v>140</v>
      </c>
      <c r="E3" s="509" t="s">
        <v>1248</v>
      </c>
      <c r="F3" s="509" t="s">
        <v>140</v>
      </c>
      <c r="G3" s="509" t="s">
        <v>1248</v>
      </c>
      <c r="H3" s="509" t="s">
        <v>140</v>
      </c>
      <c r="I3" s="509" t="s">
        <v>1248</v>
      </c>
      <c r="J3" s="509" t="s">
        <v>140</v>
      </c>
      <c r="K3" s="509" t="s">
        <v>1248</v>
      </c>
      <c r="L3" s="509" t="s">
        <v>140</v>
      </c>
      <c r="M3" s="509" t="s">
        <v>1248</v>
      </c>
      <c r="N3" s="509" t="s">
        <v>140</v>
      </c>
      <c r="O3" s="509" t="s">
        <v>1248</v>
      </c>
      <c r="P3" s="509" t="s">
        <v>140</v>
      </c>
      <c r="Q3" s="509" t="s">
        <v>1248</v>
      </c>
      <c r="R3" s="509" t="s">
        <v>140</v>
      </c>
      <c r="S3" s="509" t="s">
        <v>1248</v>
      </c>
    </row>
    <row r="4" spans="1:19">
      <c r="A4" s="1400" t="s">
        <v>766</v>
      </c>
      <c r="B4" s="1400" t="s">
        <v>767</v>
      </c>
      <c r="C4" s="218" t="s">
        <v>707</v>
      </c>
      <c r="D4" s="219">
        <v>7</v>
      </c>
      <c r="E4" s="621">
        <v>615.83574079999994</v>
      </c>
      <c r="F4" s="157">
        <f>H4+J4+L4+N4+P4+R4</f>
        <v>7</v>
      </c>
      <c r="G4" s="623">
        <f>I4+K4+M4+O4+Q4+S4</f>
        <v>302.27904000000001</v>
      </c>
      <c r="H4" s="139">
        <v>0</v>
      </c>
      <c r="I4" s="621">
        <v>0</v>
      </c>
      <c r="J4" s="139">
        <v>2</v>
      </c>
      <c r="K4" s="621">
        <v>60.491599999999998</v>
      </c>
      <c r="L4" s="139">
        <v>3</v>
      </c>
      <c r="M4" s="621">
        <v>149.28</v>
      </c>
      <c r="N4" s="139">
        <v>0</v>
      </c>
      <c r="O4" s="621">
        <v>0</v>
      </c>
      <c r="P4" s="1301">
        <v>1</v>
      </c>
      <c r="Q4" s="1302">
        <v>25.14744</v>
      </c>
      <c r="R4" s="139">
        <v>1</v>
      </c>
      <c r="S4" s="621">
        <v>67.36</v>
      </c>
    </row>
    <row r="5" spans="1:19">
      <c r="A5" s="1402"/>
      <c r="B5" s="1401"/>
      <c r="C5" s="218" t="s">
        <v>708</v>
      </c>
      <c r="D5" s="219">
        <v>2</v>
      </c>
      <c r="E5" s="621">
        <v>170.5403</v>
      </c>
      <c r="F5" s="157">
        <f t="shared" ref="F5:F62" si="0">H5+J5+L5+N5+P5+R5</f>
        <v>1</v>
      </c>
      <c r="G5" s="623">
        <f t="shared" ref="G5:G62" si="1">I5+K5+M5+O5+Q5+S5</f>
        <v>44.676000000000002</v>
      </c>
      <c r="H5" s="139">
        <v>0</v>
      </c>
      <c r="I5" s="621">
        <v>0</v>
      </c>
      <c r="J5" s="139">
        <v>0</v>
      </c>
      <c r="K5" s="621">
        <v>0</v>
      </c>
      <c r="L5" s="139">
        <v>0</v>
      </c>
      <c r="M5" s="621">
        <v>0</v>
      </c>
      <c r="N5" s="139">
        <v>1</v>
      </c>
      <c r="O5" s="621">
        <v>44.676000000000002</v>
      </c>
      <c r="P5" s="1301">
        <v>0</v>
      </c>
      <c r="Q5" s="1302">
        <v>0</v>
      </c>
      <c r="R5" s="139">
        <v>0</v>
      </c>
      <c r="S5" s="621">
        <v>0</v>
      </c>
    </row>
    <row r="6" spans="1:19">
      <c r="A6" s="1402"/>
      <c r="B6" s="1400" t="s">
        <v>768</v>
      </c>
      <c r="C6" s="218" t="s">
        <v>709</v>
      </c>
      <c r="D6" s="219">
        <v>2</v>
      </c>
      <c r="E6" s="621">
        <v>4447.0123926000006</v>
      </c>
      <c r="F6" s="157">
        <f t="shared" si="0"/>
        <v>1</v>
      </c>
      <c r="G6" s="623">
        <f t="shared" si="1"/>
        <v>400</v>
      </c>
      <c r="H6" s="139">
        <v>0</v>
      </c>
      <c r="I6" s="621">
        <v>0</v>
      </c>
      <c r="J6" s="139">
        <v>1</v>
      </c>
      <c r="K6" s="621">
        <v>400</v>
      </c>
      <c r="L6" s="139">
        <v>0</v>
      </c>
      <c r="M6" s="621">
        <v>0</v>
      </c>
      <c r="N6" s="139">
        <v>0</v>
      </c>
      <c r="O6" s="621">
        <v>0</v>
      </c>
      <c r="P6" s="1301">
        <v>0</v>
      </c>
      <c r="Q6" s="1302">
        <v>0</v>
      </c>
      <c r="R6" s="139">
        <v>0</v>
      </c>
      <c r="S6" s="621">
        <v>0</v>
      </c>
    </row>
    <row r="7" spans="1:19">
      <c r="A7" s="1402"/>
      <c r="B7" s="1401"/>
      <c r="C7" s="218" t="s">
        <v>710</v>
      </c>
      <c r="D7" s="219">
        <v>1</v>
      </c>
      <c r="E7" s="621">
        <v>49.98</v>
      </c>
      <c r="F7" s="157">
        <f t="shared" si="0"/>
        <v>0</v>
      </c>
      <c r="G7" s="623">
        <f t="shared" si="1"/>
        <v>0</v>
      </c>
      <c r="H7" s="139">
        <v>0</v>
      </c>
      <c r="I7" s="621">
        <v>0</v>
      </c>
      <c r="J7" s="139">
        <v>0</v>
      </c>
      <c r="K7" s="621">
        <v>0</v>
      </c>
      <c r="L7" s="139">
        <v>0</v>
      </c>
      <c r="M7" s="621">
        <v>0</v>
      </c>
      <c r="N7" s="139">
        <v>0</v>
      </c>
      <c r="O7" s="621">
        <v>0</v>
      </c>
      <c r="P7" s="1301">
        <v>0</v>
      </c>
      <c r="Q7" s="1302">
        <v>0</v>
      </c>
      <c r="R7" s="139">
        <v>0</v>
      </c>
      <c r="S7" s="621">
        <v>0</v>
      </c>
    </row>
    <row r="8" spans="1:19">
      <c r="A8" s="1402"/>
      <c r="B8" s="1400" t="s">
        <v>769</v>
      </c>
      <c r="C8" s="218" t="s">
        <v>711</v>
      </c>
      <c r="D8" s="219">
        <v>1</v>
      </c>
      <c r="E8" s="621">
        <v>42.692639999999997</v>
      </c>
      <c r="F8" s="157">
        <f t="shared" si="0"/>
        <v>2</v>
      </c>
      <c r="G8" s="623">
        <f t="shared" si="1"/>
        <v>195.06622830000001</v>
      </c>
      <c r="H8" s="139">
        <v>0</v>
      </c>
      <c r="I8" s="621">
        <v>0</v>
      </c>
      <c r="J8" s="139">
        <v>0</v>
      </c>
      <c r="K8" s="621">
        <v>0</v>
      </c>
      <c r="L8" s="139">
        <v>0</v>
      </c>
      <c r="M8" s="621">
        <v>0</v>
      </c>
      <c r="N8" s="139">
        <v>1</v>
      </c>
      <c r="O8" s="621">
        <v>170.99998830000001</v>
      </c>
      <c r="P8" s="1301">
        <v>1</v>
      </c>
      <c r="Q8" s="1302">
        <v>24.066240000000001</v>
      </c>
      <c r="R8" s="139">
        <v>0</v>
      </c>
      <c r="S8" s="621">
        <v>0</v>
      </c>
    </row>
    <row r="9" spans="1:19">
      <c r="A9" s="1402"/>
      <c r="B9" s="1402"/>
      <c r="C9" s="218" t="s">
        <v>712</v>
      </c>
      <c r="D9" s="219">
        <v>0</v>
      </c>
      <c r="E9" s="621">
        <v>0</v>
      </c>
      <c r="F9" s="157">
        <f t="shared" si="0"/>
        <v>0</v>
      </c>
      <c r="G9" s="623">
        <f t="shared" si="1"/>
        <v>0</v>
      </c>
      <c r="H9" s="139">
        <v>0</v>
      </c>
      <c r="I9" s="621">
        <v>0</v>
      </c>
      <c r="J9" s="139">
        <v>0</v>
      </c>
      <c r="K9" s="621">
        <v>0</v>
      </c>
      <c r="L9" s="139">
        <v>0</v>
      </c>
      <c r="M9" s="621">
        <v>0</v>
      </c>
      <c r="N9" s="139">
        <v>0</v>
      </c>
      <c r="O9" s="621">
        <v>0</v>
      </c>
      <c r="P9" s="1301">
        <v>0</v>
      </c>
      <c r="Q9" s="1302">
        <v>0</v>
      </c>
      <c r="R9" s="139">
        <v>0</v>
      </c>
      <c r="S9" s="621">
        <v>0</v>
      </c>
    </row>
    <row r="10" spans="1:19">
      <c r="A10" s="1402"/>
      <c r="B10" s="1402"/>
      <c r="C10" s="218" t="s">
        <v>713</v>
      </c>
      <c r="D10" s="219">
        <v>0</v>
      </c>
      <c r="E10" s="621">
        <v>0</v>
      </c>
      <c r="F10" s="157">
        <f t="shared" si="0"/>
        <v>1</v>
      </c>
      <c r="G10" s="623">
        <f t="shared" si="1"/>
        <v>34.24</v>
      </c>
      <c r="H10" s="139">
        <v>0</v>
      </c>
      <c r="I10" s="621">
        <v>0</v>
      </c>
      <c r="J10" s="139">
        <v>0</v>
      </c>
      <c r="K10" s="621">
        <v>0</v>
      </c>
      <c r="L10" s="139">
        <v>0</v>
      </c>
      <c r="M10" s="621">
        <v>0</v>
      </c>
      <c r="N10" s="139">
        <v>0</v>
      </c>
      <c r="O10" s="621">
        <v>0</v>
      </c>
      <c r="P10" s="1301">
        <v>0</v>
      </c>
      <c r="Q10" s="1302">
        <v>0</v>
      </c>
      <c r="R10" s="139">
        <v>1</v>
      </c>
      <c r="S10" s="621">
        <v>34.24</v>
      </c>
    </row>
    <row r="11" spans="1:19">
      <c r="A11" s="1402"/>
      <c r="B11" s="1402"/>
      <c r="C11" s="218" t="s">
        <v>714</v>
      </c>
      <c r="D11" s="219">
        <v>0</v>
      </c>
      <c r="E11" s="621">
        <v>0</v>
      </c>
      <c r="F11" s="157">
        <f t="shared" si="0"/>
        <v>1</v>
      </c>
      <c r="G11" s="623">
        <f t="shared" si="1"/>
        <v>113.16096</v>
      </c>
      <c r="H11" s="139">
        <v>0</v>
      </c>
      <c r="I11" s="621">
        <v>0</v>
      </c>
      <c r="J11" s="139">
        <v>0</v>
      </c>
      <c r="K11" s="621">
        <v>0</v>
      </c>
      <c r="L11" s="139">
        <v>0</v>
      </c>
      <c r="M11" s="621">
        <v>0</v>
      </c>
      <c r="N11" s="139">
        <v>1</v>
      </c>
      <c r="O11" s="621">
        <v>113.16096</v>
      </c>
      <c r="P11" s="1301">
        <v>0</v>
      </c>
      <c r="Q11" s="1302">
        <v>0</v>
      </c>
      <c r="R11" s="139">
        <v>0</v>
      </c>
      <c r="S11" s="621">
        <v>0</v>
      </c>
    </row>
    <row r="12" spans="1:19">
      <c r="A12" s="1402"/>
      <c r="B12" s="1401"/>
      <c r="C12" s="218" t="s">
        <v>715</v>
      </c>
      <c r="D12" s="219">
        <v>1</v>
      </c>
      <c r="E12" s="621">
        <v>37.5335775</v>
      </c>
      <c r="F12" s="157">
        <f t="shared" si="0"/>
        <v>0</v>
      </c>
      <c r="G12" s="623">
        <f t="shared" si="1"/>
        <v>0</v>
      </c>
      <c r="H12" s="139">
        <v>0</v>
      </c>
      <c r="I12" s="621">
        <v>0</v>
      </c>
      <c r="J12" s="139">
        <v>0</v>
      </c>
      <c r="K12" s="621">
        <v>0</v>
      </c>
      <c r="L12" s="139">
        <v>0</v>
      </c>
      <c r="M12" s="621">
        <v>0</v>
      </c>
      <c r="N12" s="139">
        <v>0</v>
      </c>
      <c r="O12" s="621">
        <v>0</v>
      </c>
      <c r="P12" s="1301">
        <v>0</v>
      </c>
      <c r="Q12" s="1302">
        <v>0</v>
      </c>
      <c r="R12" s="139">
        <v>0</v>
      </c>
      <c r="S12" s="621">
        <v>0</v>
      </c>
    </row>
    <row r="13" spans="1:19">
      <c r="A13" s="1401"/>
      <c r="B13" s="222" t="s">
        <v>770</v>
      </c>
      <c r="C13" s="218" t="s">
        <v>716</v>
      </c>
      <c r="D13" s="219">
        <v>2</v>
      </c>
      <c r="E13" s="621">
        <v>77.48</v>
      </c>
      <c r="F13" s="157">
        <f t="shared" si="0"/>
        <v>2</v>
      </c>
      <c r="G13" s="623">
        <f t="shared" si="1"/>
        <v>84.9273448</v>
      </c>
      <c r="H13" s="139">
        <v>0</v>
      </c>
      <c r="I13" s="621">
        <v>0</v>
      </c>
      <c r="J13" s="139">
        <v>1</v>
      </c>
      <c r="K13" s="621">
        <v>45.1073448</v>
      </c>
      <c r="L13" s="139">
        <v>0</v>
      </c>
      <c r="M13" s="621">
        <v>0</v>
      </c>
      <c r="N13" s="139">
        <v>1</v>
      </c>
      <c r="O13" s="621">
        <v>39.82</v>
      </c>
      <c r="P13" s="1301">
        <v>0</v>
      </c>
      <c r="Q13" s="1302">
        <v>0</v>
      </c>
      <c r="R13" s="139">
        <v>0</v>
      </c>
      <c r="S13" s="621">
        <v>0</v>
      </c>
    </row>
    <row r="14" spans="1:19">
      <c r="A14" s="1400" t="s">
        <v>771</v>
      </c>
      <c r="B14" s="1400" t="s">
        <v>772</v>
      </c>
      <c r="C14" s="218" t="s">
        <v>717</v>
      </c>
      <c r="D14" s="219">
        <v>1</v>
      </c>
      <c r="E14" s="621">
        <v>601.54999999999995</v>
      </c>
      <c r="F14" s="157">
        <f t="shared" si="0"/>
        <v>5</v>
      </c>
      <c r="G14" s="623">
        <f t="shared" si="1"/>
        <v>6367.6100000000006</v>
      </c>
      <c r="H14" s="139">
        <v>0</v>
      </c>
      <c r="I14" s="621">
        <v>0</v>
      </c>
      <c r="J14" s="139">
        <v>0</v>
      </c>
      <c r="K14" s="621">
        <v>0</v>
      </c>
      <c r="L14" s="139">
        <v>0</v>
      </c>
      <c r="M14" s="621">
        <v>0</v>
      </c>
      <c r="N14" s="139">
        <v>1</v>
      </c>
      <c r="O14" s="621">
        <v>115.64</v>
      </c>
      <c r="P14" s="1301">
        <v>3</v>
      </c>
      <c r="Q14" s="1302">
        <v>6227.88</v>
      </c>
      <c r="R14" s="139">
        <v>1</v>
      </c>
      <c r="S14" s="621">
        <v>24.09</v>
      </c>
    </row>
    <row r="15" spans="1:19">
      <c r="A15" s="1402"/>
      <c r="B15" s="1401"/>
      <c r="C15" s="218" t="s">
        <v>718</v>
      </c>
      <c r="D15" s="219">
        <v>3</v>
      </c>
      <c r="E15" s="621">
        <v>914.20791999999994</v>
      </c>
      <c r="F15" s="157">
        <f t="shared" si="0"/>
        <v>4</v>
      </c>
      <c r="G15" s="623">
        <f t="shared" si="1"/>
        <v>809.13559999999995</v>
      </c>
      <c r="H15" s="139">
        <v>1</v>
      </c>
      <c r="I15" s="621">
        <v>53.89</v>
      </c>
      <c r="J15" s="139">
        <v>1</v>
      </c>
      <c r="K15" s="621">
        <v>25.2456</v>
      </c>
      <c r="L15" s="139">
        <v>0</v>
      </c>
      <c r="M15" s="621">
        <v>0</v>
      </c>
      <c r="N15" s="139">
        <v>0</v>
      </c>
      <c r="O15" s="621">
        <v>0</v>
      </c>
      <c r="P15" s="1301">
        <v>0</v>
      </c>
      <c r="Q15" s="1302">
        <v>0</v>
      </c>
      <c r="R15" s="139">
        <v>2</v>
      </c>
      <c r="S15" s="621">
        <v>730</v>
      </c>
    </row>
    <row r="16" spans="1:19">
      <c r="A16" s="1402"/>
      <c r="B16" s="222" t="s">
        <v>773</v>
      </c>
      <c r="C16" s="218" t="s">
        <v>719</v>
      </c>
      <c r="D16" s="219">
        <v>22</v>
      </c>
      <c r="E16" s="621">
        <v>4644.4648800999994</v>
      </c>
      <c r="F16" s="157">
        <f t="shared" si="0"/>
        <v>15</v>
      </c>
      <c r="G16" s="623">
        <f t="shared" si="1"/>
        <v>2086.7383650000002</v>
      </c>
      <c r="H16" s="139">
        <v>5</v>
      </c>
      <c r="I16" s="621">
        <v>141.13036500000001</v>
      </c>
      <c r="J16" s="139">
        <v>1</v>
      </c>
      <c r="K16" s="621">
        <v>15</v>
      </c>
      <c r="L16" s="139">
        <v>4</v>
      </c>
      <c r="M16" s="621">
        <v>633.55999999999995</v>
      </c>
      <c r="N16" s="139">
        <v>1</v>
      </c>
      <c r="O16" s="621">
        <v>28.05</v>
      </c>
      <c r="P16" s="1301">
        <v>2</v>
      </c>
      <c r="Q16" s="1302">
        <v>119.84800000000001</v>
      </c>
      <c r="R16" s="139">
        <v>2</v>
      </c>
      <c r="S16" s="621">
        <v>1149.1500000000001</v>
      </c>
    </row>
    <row r="17" spans="1:19">
      <c r="A17" s="1402"/>
      <c r="B17" s="222" t="s">
        <v>774</v>
      </c>
      <c r="C17" s="218" t="s">
        <v>720</v>
      </c>
      <c r="D17" s="219">
        <v>14</v>
      </c>
      <c r="E17" s="621">
        <v>279.06739999999996</v>
      </c>
      <c r="F17" s="157">
        <f t="shared" si="0"/>
        <v>15</v>
      </c>
      <c r="G17" s="623">
        <f t="shared" si="1"/>
        <v>619.45296356599999</v>
      </c>
      <c r="H17" s="139">
        <v>1</v>
      </c>
      <c r="I17" s="621">
        <v>44.741307599999999</v>
      </c>
      <c r="J17" s="139">
        <v>2</v>
      </c>
      <c r="K17" s="621">
        <v>28.87</v>
      </c>
      <c r="L17" s="139">
        <v>3</v>
      </c>
      <c r="M17" s="621">
        <v>76.39</v>
      </c>
      <c r="N17" s="139">
        <v>1</v>
      </c>
      <c r="O17" s="621">
        <v>49.92</v>
      </c>
      <c r="P17" s="1301">
        <v>4</v>
      </c>
      <c r="Q17" s="1302">
        <v>261.39165596599997</v>
      </c>
      <c r="R17" s="139">
        <v>4</v>
      </c>
      <c r="S17" s="621">
        <v>158.14000000000001</v>
      </c>
    </row>
    <row r="18" spans="1:19">
      <c r="A18" s="1402"/>
      <c r="B18" s="1400" t="s">
        <v>775</v>
      </c>
      <c r="C18" s="218" t="s">
        <v>721</v>
      </c>
      <c r="D18" s="219">
        <v>5</v>
      </c>
      <c r="E18" s="621">
        <v>555.20499999999993</v>
      </c>
      <c r="F18" s="157">
        <f t="shared" si="0"/>
        <v>3</v>
      </c>
      <c r="G18" s="623">
        <f t="shared" si="1"/>
        <v>83.181600000000003</v>
      </c>
      <c r="H18" s="139">
        <v>0</v>
      </c>
      <c r="I18" s="621">
        <v>0</v>
      </c>
      <c r="J18" s="139">
        <v>1</v>
      </c>
      <c r="K18" s="621">
        <v>8.4816000000000003</v>
      </c>
      <c r="L18" s="139">
        <v>0</v>
      </c>
      <c r="M18" s="621">
        <v>0</v>
      </c>
      <c r="N18" s="139">
        <v>0</v>
      </c>
      <c r="O18" s="621">
        <v>0</v>
      </c>
      <c r="P18" s="1301">
        <v>1</v>
      </c>
      <c r="Q18" s="1302">
        <v>18.72</v>
      </c>
      <c r="R18" s="139">
        <v>1</v>
      </c>
      <c r="S18" s="621">
        <v>55.98</v>
      </c>
    </row>
    <row r="19" spans="1:19">
      <c r="A19" s="1402"/>
      <c r="B19" s="1402"/>
      <c r="C19" s="218" t="s">
        <v>722</v>
      </c>
      <c r="D19" s="219">
        <v>6</v>
      </c>
      <c r="E19" s="621">
        <v>240.97613100000001</v>
      </c>
      <c r="F19" s="157">
        <f t="shared" si="0"/>
        <v>1</v>
      </c>
      <c r="G19" s="623">
        <f t="shared" si="1"/>
        <v>14.251519999999999</v>
      </c>
      <c r="H19" s="139">
        <v>1</v>
      </c>
      <c r="I19" s="621">
        <v>14.251519999999999</v>
      </c>
      <c r="J19" s="139">
        <v>0</v>
      </c>
      <c r="K19" s="621">
        <v>0</v>
      </c>
      <c r="L19" s="139">
        <v>0</v>
      </c>
      <c r="M19" s="621">
        <v>0</v>
      </c>
      <c r="N19" s="139">
        <v>0</v>
      </c>
      <c r="O19" s="621">
        <v>0</v>
      </c>
      <c r="P19" s="1301">
        <v>0</v>
      </c>
      <c r="Q19" s="1302">
        <v>0</v>
      </c>
      <c r="R19" s="139">
        <v>0</v>
      </c>
      <c r="S19" s="621">
        <v>0</v>
      </c>
    </row>
    <row r="20" spans="1:19">
      <c r="A20" s="1402"/>
      <c r="B20" s="1401"/>
      <c r="C20" s="218" t="s">
        <v>723</v>
      </c>
      <c r="D20" s="219">
        <v>0</v>
      </c>
      <c r="E20" s="621">
        <v>0</v>
      </c>
      <c r="F20" s="157">
        <f t="shared" si="0"/>
        <v>1</v>
      </c>
      <c r="G20" s="623">
        <f t="shared" si="1"/>
        <v>45.9</v>
      </c>
      <c r="H20" s="139">
        <v>0</v>
      </c>
      <c r="I20" s="621">
        <v>0</v>
      </c>
      <c r="J20" s="139">
        <v>0</v>
      </c>
      <c r="K20" s="621">
        <v>0</v>
      </c>
      <c r="L20" s="139">
        <v>0</v>
      </c>
      <c r="M20" s="621">
        <v>0</v>
      </c>
      <c r="N20" s="139">
        <v>1</v>
      </c>
      <c r="O20" s="621">
        <v>45.9</v>
      </c>
      <c r="P20" s="1301">
        <v>0</v>
      </c>
      <c r="Q20" s="1302">
        <v>0</v>
      </c>
      <c r="R20" s="139">
        <v>0</v>
      </c>
      <c r="S20" s="621">
        <v>0</v>
      </c>
    </row>
    <row r="21" spans="1:19">
      <c r="A21" s="1402"/>
      <c r="B21" s="222" t="s">
        <v>776</v>
      </c>
      <c r="C21" s="218" t="s">
        <v>724</v>
      </c>
      <c r="D21" s="219">
        <v>6</v>
      </c>
      <c r="E21" s="621">
        <v>1256.2571</v>
      </c>
      <c r="F21" s="157">
        <f t="shared" si="0"/>
        <v>4</v>
      </c>
      <c r="G21" s="623">
        <f t="shared" si="1"/>
        <v>2467.6039999999998</v>
      </c>
      <c r="H21" s="139">
        <v>0</v>
      </c>
      <c r="I21" s="621">
        <v>0</v>
      </c>
      <c r="J21" s="139">
        <v>0</v>
      </c>
      <c r="K21" s="621">
        <v>0</v>
      </c>
      <c r="L21" s="139">
        <v>0</v>
      </c>
      <c r="M21" s="621">
        <v>0</v>
      </c>
      <c r="N21" s="139">
        <v>2</v>
      </c>
      <c r="O21" s="621">
        <v>2029.4839999999999</v>
      </c>
      <c r="P21" s="1301">
        <v>0</v>
      </c>
      <c r="Q21" s="1302">
        <v>0</v>
      </c>
      <c r="R21" s="139">
        <v>2</v>
      </c>
      <c r="S21" s="621">
        <v>438.12</v>
      </c>
    </row>
    <row r="22" spans="1:19">
      <c r="A22" s="1402"/>
      <c r="B22" s="1400" t="s">
        <v>145</v>
      </c>
      <c r="C22" s="218" t="s">
        <v>725</v>
      </c>
      <c r="D22" s="219">
        <v>5</v>
      </c>
      <c r="E22" s="621">
        <v>4895.93</v>
      </c>
      <c r="F22" s="157">
        <f t="shared" si="0"/>
        <v>6</v>
      </c>
      <c r="G22" s="623">
        <f t="shared" si="1"/>
        <v>2335.7809160000002</v>
      </c>
      <c r="H22" s="139">
        <v>1</v>
      </c>
      <c r="I22" s="621">
        <v>16.473600000000001</v>
      </c>
      <c r="J22" s="139">
        <v>1</v>
      </c>
      <c r="K22" s="621">
        <v>1550.8093160000001</v>
      </c>
      <c r="L22" s="139">
        <v>2</v>
      </c>
      <c r="M22" s="621">
        <v>749.22800000000007</v>
      </c>
      <c r="N22" s="139">
        <v>0</v>
      </c>
      <c r="O22" s="621">
        <v>0</v>
      </c>
      <c r="P22" s="1301">
        <v>0</v>
      </c>
      <c r="Q22" s="1302">
        <v>0</v>
      </c>
      <c r="R22" s="139">
        <v>2</v>
      </c>
      <c r="S22" s="621">
        <v>19.27</v>
      </c>
    </row>
    <row r="23" spans="1:19">
      <c r="A23" s="1402"/>
      <c r="B23" s="1402"/>
      <c r="C23" s="218" t="s">
        <v>726</v>
      </c>
      <c r="D23" s="219">
        <v>7</v>
      </c>
      <c r="E23" s="621">
        <v>215.69183999999998</v>
      </c>
      <c r="F23" s="157">
        <f t="shared" si="0"/>
        <v>3</v>
      </c>
      <c r="G23" s="623">
        <f t="shared" si="1"/>
        <v>138.21</v>
      </c>
      <c r="H23" s="139">
        <v>0</v>
      </c>
      <c r="I23" s="621">
        <v>0</v>
      </c>
      <c r="J23" s="139">
        <v>0</v>
      </c>
      <c r="K23" s="621">
        <v>0</v>
      </c>
      <c r="L23" s="139">
        <v>1</v>
      </c>
      <c r="M23" s="621">
        <v>6.81</v>
      </c>
      <c r="N23" s="139">
        <v>0</v>
      </c>
      <c r="O23" s="621">
        <v>0</v>
      </c>
      <c r="P23" s="1301">
        <v>0</v>
      </c>
      <c r="Q23" s="1302">
        <v>0</v>
      </c>
      <c r="R23" s="139">
        <v>2</v>
      </c>
      <c r="S23" s="621">
        <v>131.4</v>
      </c>
    </row>
    <row r="24" spans="1:19">
      <c r="A24" s="1401"/>
      <c r="B24" s="1401"/>
      <c r="C24" s="218" t="s">
        <v>727</v>
      </c>
      <c r="D24" s="219">
        <v>12</v>
      </c>
      <c r="E24" s="621">
        <v>3584.8555719999995</v>
      </c>
      <c r="F24" s="157">
        <f t="shared" si="0"/>
        <v>4</v>
      </c>
      <c r="G24" s="623">
        <f t="shared" si="1"/>
        <v>5045.96</v>
      </c>
      <c r="H24" s="139">
        <v>0</v>
      </c>
      <c r="I24" s="621">
        <v>0</v>
      </c>
      <c r="J24" s="139">
        <v>1</v>
      </c>
      <c r="K24" s="621">
        <v>13.53</v>
      </c>
      <c r="L24" s="139">
        <v>0</v>
      </c>
      <c r="M24" s="621">
        <v>0</v>
      </c>
      <c r="N24" s="139">
        <v>0</v>
      </c>
      <c r="O24" s="621">
        <v>0</v>
      </c>
      <c r="P24" s="1301">
        <v>2</v>
      </c>
      <c r="Q24" s="1302">
        <v>4197.75</v>
      </c>
      <c r="R24" s="139">
        <v>1</v>
      </c>
      <c r="S24" s="621">
        <v>834.68</v>
      </c>
    </row>
    <row r="25" spans="1:19">
      <c r="A25" s="1400" t="s">
        <v>622</v>
      </c>
      <c r="B25" s="1400" t="s">
        <v>777</v>
      </c>
      <c r="C25" s="218" t="s">
        <v>728</v>
      </c>
      <c r="D25" s="219">
        <v>2</v>
      </c>
      <c r="E25" s="621">
        <v>558.4</v>
      </c>
      <c r="F25" s="157">
        <f t="shared" si="0"/>
        <v>0</v>
      </c>
      <c r="G25" s="623">
        <f t="shared" si="1"/>
        <v>0</v>
      </c>
      <c r="H25" s="139">
        <v>0</v>
      </c>
      <c r="I25" s="621">
        <v>0</v>
      </c>
      <c r="J25" s="139">
        <v>0</v>
      </c>
      <c r="K25" s="621">
        <v>0</v>
      </c>
      <c r="L25" s="139">
        <v>0</v>
      </c>
      <c r="M25" s="621">
        <v>0</v>
      </c>
      <c r="N25" s="139">
        <v>0</v>
      </c>
      <c r="O25" s="621">
        <v>0</v>
      </c>
      <c r="P25" s="1301">
        <v>0</v>
      </c>
      <c r="Q25" s="1302">
        <v>0</v>
      </c>
      <c r="R25" s="139">
        <v>0</v>
      </c>
      <c r="S25" s="621">
        <v>0</v>
      </c>
    </row>
    <row r="26" spans="1:19">
      <c r="A26" s="1402"/>
      <c r="B26" s="1402"/>
      <c r="C26" s="218" t="s">
        <v>729</v>
      </c>
      <c r="D26" s="219">
        <v>0</v>
      </c>
      <c r="E26" s="621">
        <v>0</v>
      </c>
      <c r="F26" s="157">
        <f t="shared" si="0"/>
        <v>0</v>
      </c>
      <c r="G26" s="623">
        <f t="shared" si="1"/>
        <v>0</v>
      </c>
      <c r="H26" s="139">
        <v>0</v>
      </c>
      <c r="I26" s="621">
        <v>0</v>
      </c>
      <c r="J26" s="139">
        <v>0</v>
      </c>
      <c r="K26" s="621">
        <v>0</v>
      </c>
      <c r="L26" s="139">
        <v>0</v>
      </c>
      <c r="M26" s="621">
        <v>0</v>
      </c>
      <c r="N26" s="139">
        <v>0</v>
      </c>
      <c r="O26" s="621">
        <v>0</v>
      </c>
      <c r="P26" s="1301">
        <v>0</v>
      </c>
      <c r="Q26" s="1302">
        <v>0</v>
      </c>
      <c r="R26" s="139">
        <v>0</v>
      </c>
      <c r="S26" s="621">
        <v>0</v>
      </c>
    </row>
    <row r="27" spans="1:19">
      <c r="A27" s="1402"/>
      <c r="B27" s="1402"/>
      <c r="C27" s="218" t="s">
        <v>730</v>
      </c>
      <c r="D27" s="219">
        <v>2</v>
      </c>
      <c r="E27" s="621">
        <v>520.92999999999995</v>
      </c>
      <c r="F27" s="157">
        <f t="shared" si="0"/>
        <v>1</v>
      </c>
      <c r="G27" s="623">
        <f t="shared" si="1"/>
        <v>6.3</v>
      </c>
      <c r="H27" s="139">
        <v>1</v>
      </c>
      <c r="I27" s="621">
        <v>6.3</v>
      </c>
      <c r="J27" s="139">
        <v>0</v>
      </c>
      <c r="K27" s="621">
        <v>0</v>
      </c>
      <c r="L27" s="139">
        <v>0</v>
      </c>
      <c r="M27" s="621">
        <v>0</v>
      </c>
      <c r="N27" s="139">
        <v>0</v>
      </c>
      <c r="O27" s="621">
        <v>0</v>
      </c>
      <c r="P27" s="1301">
        <v>0</v>
      </c>
      <c r="Q27" s="1302">
        <v>0</v>
      </c>
      <c r="R27" s="139">
        <v>0</v>
      </c>
      <c r="S27" s="621">
        <v>0</v>
      </c>
    </row>
    <row r="28" spans="1:19">
      <c r="A28" s="1401"/>
      <c r="B28" s="1401"/>
      <c r="C28" s="218" t="s">
        <v>731</v>
      </c>
      <c r="D28" s="219">
        <v>0</v>
      </c>
      <c r="E28" s="621">
        <v>0</v>
      </c>
      <c r="F28" s="157">
        <f t="shared" si="0"/>
        <v>0</v>
      </c>
      <c r="G28" s="623">
        <f t="shared" si="1"/>
        <v>0</v>
      </c>
      <c r="H28" s="139">
        <v>0</v>
      </c>
      <c r="I28" s="621">
        <v>0</v>
      </c>
      <c r="J28" s="139">
        <v>0</v>
      </c>
      <c r="K28" s="621">
        <v>0</v>
      </c>
      <c r="L28" s="139">
        <v>0</v>
      </c>
      <c r="M28" s="621">
        <v>0</v>
      </c>
      <c r="N28" s="139">
        <v>0</v>
      </c>
      <c r="O28" s="621">
        <v>0</v>
      </c>
      <c r="P28" s="1301">
        <v>0</v>
      </c>
      <c r="Q28" s="1302">
        <v>0</v>
      </c>
      <c r="R28" s="139">
        <v>0</v>
      </c>
      <c r="S28" s="621">
        <v>0</v>
      </c>
    </row>
    <row r="29" spans="1:19">
      <c r="A29" s="1403" t="s">
        <v>778</v>
      </c>
      <c r="B29" s="1403" t="s">
        <v>778</v>
      </c>
      <c r="C29" s="218" t="s">
        <v>732</v>
      </c>
      <c r="D29" s="219">
        <v>8</v>
      </c>
      <c r="E29" s="621">
        <v>324.42033169999996</v>
      </c>
      <c r="F29" s="157">
        <f t="shared" si="0"/>
        <v>11</v>
      </c>
      <c r="G29" s="623">
        <f t="shared" si="1"/>
        <v>3837.8202532999999</v>
      </c>
      <c r="H29" s="139">
        <v>2</v>
      </c>
      <c r="I29" s="621">
        <v>76.065600000000003</v>
      </c>
      <c r="J29" s="139">
        <v>2</v>
      </c>
      <c r="K29" s="621">
        <v>54.699999999999996</v>
      </c>
      <c r="L29" s="139">
        <v>2</v>
      </c>
      <c r="M29" s="621">
        <v>86.129519999999999</v>
      </c>
      <c r="N29" s="139">
        <v>2</v>
      </c>
      <c r="O29" s="621">
        <v>561.15</v>
      </c>
      <c r="P29" s="1301">
        <v>2</v>
      </c>
      <c r="Q29" s="1302">
        <v>3010.8051332999999</v>
      </c>
      <c r="R29" s="139">
        <v>1</v>
      </c>
      <c r="S29" s="621">
        <v>48.97</v>
      </c>
    </row>
    <row r="30" spans="1:19">
      <c r="A30" s="1404"/>
      <c r="B30" s="1404"/>
      <c r="C30" s="218" t="s">
        <v>733</v>
      </c>
      <c r="D30" s="219">
        <v>1</v>
      </c>
      <c r="E30" s="621">
        <v>48.943300000000001</v>
      </c>
      <c r="F30" s="157">
        <f t="shared" si="0"/>
        <v>2</v>
      </c>
      <c r="G30" s="623">
        <f t="shared" si="1"/>
        <v>1521.78</v>
      </c>
      <c r="H30" s="139">
        <v>1</v>
      </c>
      <c r="I30" s="621">
        <v>21.78</v>
      </c>
      <c r="J30" s="139">
        <v>0</v>
      </c>
      <c r="K30" s="621">
        <v>0</v>
      </c>
      <c r="L30" s="139">
        <v>0</v>
      </c>
      <c r="M30" s="621">
        <v>0</v>
      </c>
      <c r="N30" s="139">
        <v>1</v>
      </c>
      <c r="O30" s="621">
        <v>1500</v>
      </c>
      <c r="P30" s="1301">
        <v>0</v>
      </c>
      <c r="Q30" s="1302">
        <v>0</v>
      </c>
      <c r="R30" s="139">
        <v>0</v>
      </c>
      <c r="S30" s="621">
        <v>0</v>
      </c>
    </row>
    <row r="31" spans="1:19">
      <c r="A31" s="1404"/>
      <c r="B31" s="1404"/>
      <c r="C31" s="218" t="s">
        <v>734</v>
      </c>
      <c r="D31" s="219">
        <v>1</v>
      </c>
      <c r="E31" s="621">
        <v>16.07</v>
      </c>
      <c r="F31" s="157">
        <f t="shared" si="0"/>
        <v>0</v>
      </c>
      <c r="G31" s="623">
        <f t="shared" si="1"/>
        <v>0</v>
      </c>
      <c r="H31" s="139">
        <v>0</v>
      </c>
      <c r="I31" s="621">
        <v>0</v>
      </c>
      <c r="J31" s="139">
        <v>0</v>
      </c>
      <c r="K31" s="621">
        <v>0</v>
      </c>
      <c r="L31" s="139">
        <v>0</v>
      </c>
      <c r="M31" s="621">
        <v>0</v>
      </c>
      <c r="N31" s="139">
        <v>0</v>
      </c>
      <c r="O31" s="621">
        <v>0</v>
      </c>
      <c r="P31" s="1301">
        <v>0</v>
      </c>
      <c r="Q31" s="1302">
        <v>0</v>
      </c>
      <c r="R31" s="139">
        <v>0</v>
      </c>
      <c r="S31" s="621">
        <v>0</v>
      </c>
    </row>
    <row r="32" spans="1:19">
      <c r="A32" s="1404"/>
      <c r="B32" s="1404"/>
      <c r="C32" s="218" t="s">
        <v>735</v>
      </c>
      <c r="D32" s="219">
        <v>13</v>
      </c>
      <c r="E32" s="621">
        <v>1596.7931286</v>
      </c>
      <c r="F32" s="157">
        <f t="shared" si="0"/>
        <v>9</v>
      </c>
      <c r="G32" s="623">
        <f t="shared" si="1"/>
        <v>296.40768750000001</v>
      </c>
      <c r="H32" s="139">
        <v>2</v>
      </c>
      <c r="I32" s="621">
        <v>32.1</v>
      </c>
      <c r="J32" s="139">
        <v>2</v>
      </c>
      <c r="K32" s="621">
        <v>44.323999999999998</v>
      </c>
      <c r="L32" s="139">
        <v>2</v>
      </c>
      <c r="M32" s="621">
        <v>77.14</v>
      </c>
      <c r="N32" s="139">
        <v>1</v>
      </c>
      <c r="O32" s="621">
        <v>12.72</v>
      </c>
      <c r="P32" s="1301">
        <v>1</v>
      </c>
      <c r="Q32" s="1302">
        <v>48.183687499999998</v>
      </c>
      <c r="R32" s="139">
        <v>1</v>
      </c>
      <c r="S32" s="621">
        <v>81.94</v>
      </c>
    </row>
    <row r="33" spans="1:19">
      <c r="A33" s="1404"/>
      <c r="B33" s="1404"/>
      <c r="C33" s="218" t="s">
        <v>736</v>
      </c>
      <c r="D33" s="219">
        <v>1</v>
      </c>
      <c r="E33" s="621">
        <v>1701.44</v>
      </c>
      <c r="F33" s="157">
        <f t="shared" si="0"/>
        <v>1</v>
      </c>
      <c r="G33" s="623">
        <f t="shared" si="1"/>
        <v>19.463999999999999</v>
      </c>
      <c r="H33" s="139">
        <v>0</v>
      </c>
      <c r="I33" s="621">
        <v>0</v>
      </c>
      <c r="J33" s="139">
        <v>0</v>
      </c>
      <c r="K33" s="621">
        <v>0</v>
      </c>
      <c r="L33" s="139">
        <v>0</v>
      </c>
      <c r="M33" s="621">
        <v>0</v>
      </c>
      <c r="N33" s="139">
        <v>1</v>
      </c>
      <c r="O33" s="621">
        <v>19.463999999999999</v>
      </c>
      <c r="P33" s="1301">
        <v>0</v>
      </c>
      <c r="Q33" s="1302">
        <v>0</v>
      </c>
      <c r="R33" s="139">
        <v>0</v>
      </c>
      <c r="S33" s="621">
        <v>0</v>
      </c>
    </row>
    <row r="34" spans="1:19">
      <c r="A34" s="1404"/>
      <c r="B34" s="1404"/>
      <c r="C34" s="218" t="s">
        <v>737</v>
      </c>
      <c r="D34" s="219">
        <v>2</v>
      </c>
      <c r="E34" s="621">
        <v>1793</v>
      </c>
      <c r="F34" s="157">
        <f t="shared" si="0"/>
        <v>1</v>
      </c>
      <c r="G34" s="623">
        <f t="shared" si="1"/>
        <v>24.54</v>
      </c>
      <c r="H34" s="139">
        <v>0</v>
      </c>
      <c r="I34" s="621">
        <v>0</v>
      </c>
      <c r="J34" s="139">
        <v>0</v>
      </c>
      <c r="K34" s="621">
        <v>0</v>
      </c>
      <c r="L34" s="139">
        <v>0</v>
      </c>
      <c r="M34" s="621">
        <v>0</v>
      </c>
      <c r="N34" s="139">
        <v>1</v>
      </c>
      <c r="O34" s="621">
        <v>24.54</v>
      </c>
      <c r="P34" s="1301">
        <v>0</v>
      </c>
      <c r="Q34" s="1302">
        <v>0</v>
      </c>
      <c r="R34" s="139">
        <v>0</v>
      </c>
      <c r="S34" s="621">
        <v>0</v>
      </c>
    </row>
    <row r="35" spans="1:19">
      <c r="A35" s="1405"/>
      <c r="B35" s="1405"/>
      <c r="C35" s="218" t="s">
        <v>738</v>
      </c>
      <c r="D35" s="219">
        <v>0</v>
      </c>
      <c r="E35" s="621">
        <v>0</v>
      </c>
      <c r="F35" s="157">
        <f t="shared" si="0"/>
        <v>0</v>
      </c>
      <c r="G35" s="623">
        <f t="shared" si="1"/>
        <v>0</v>
      </c>
      <c r="H35" s="139">
        <v>0</v>
      </c>
      <c r="I35" s="621">
        <v>0</v>
      </c>
      <c r="J35" s="139">
        <v>0</v>
      </c>
      <c r="K35" s="621">
        <v>0</v>
      </c>
      <c r="L35" s="139">
        <v>0</v>
      </c>
      <c r="M35" s="621">
        <v>0</v>
      </c>
      <c r="N35" s="139">
        <v>0</v>
      </c>
      <c r="O35" s="621">
        <v>0</v>
      </c>
      <c r="P35" s="1301">
        <v>0</v>
      </c>
      <c r="Q35" s="1302">
        <v>0</v>
      </c>
      <c r="R35" s="139">
        <v>0</v>
      </c>
      <c r="S35" s="621">
        <v>0</v>
      </c>
    </row>
    <row r="36" spans="1:19">
      <c r="A36" s="1400" t="s">
        <v>779</v>
      </c>
      <c r="B36" s="1400" t="s">
        <v>779</v>
      </c>
      <c r="C36" s="218" t="s">
        <v>739</v>
      </c>
      <c r="D36" s="219">
        <v>12</v>
      </c>
      <c r="E36" s="621">
        <v>12826.930345999999</v>
      </c>
      <c r="F36" s="157">
        <f t="shared" si="0"/>
        <v>21</v>
      </c>
      <c r="G36" s="623">
        <f t="shared" si="1"/>
        <v>12499.362420000001</v>
      </c>
      <c r="H36" s="139">
        <v>1</v>
      </c>
      <c r="I36" s="621">
        <v>33.130000000000003</v>
      </c>
      <c r="J36" s="139">
        <v>2</v>
      </c>
      <c r="K36" s="621">
        <v>4271.8280999999997</v>
      </c>
      <c r="L36" s="139">
        <v>4</v>
      </c>
      <c r="M36" s="621">
        <v>255.05</v>
      </c>
      <c r="N36" s="139">
        <v>4</v>
      </c>
      <c r="O36" s="621">
        <v>150.92431999999999</v>
      </c>
      <c r="P36" s="1301">
        <v>0</v>
      </c>
      <c r="Q36" s="1302">
        <v>0</v>
      </c>
      <c r="R36" s="139">
        <v>10</v>
      </c>
      <c r="S36" s="621">
        <v>7788.43</v>
      </c>
    </row>
    <row r="37" spans="1:19">
      <c r="A37" s="1402"/>
      <c r="B37" s="1402"/>
      <c r="C37" s="218" t="s">
        <v>740</v>
      </c>
      <c r="D37" s="219">
        <v>4</v>
      </c>
      <c r="E37" s="621">
        <v>2057.21</v>
      </c>
      <c r="F37" s="157">
        <f t="shared" si="0"/>
        <v>1</v>
      </c>
      <c r="G37" s="623">
        <f t="shared" si="1"/>
        <v>1151</v>
      </c>
      <c r="H37" s="139">
        <v>1</v>
      </c>
      <c r="I37" s="621">
        <v>1151</v>
      </c>
      <c r="J37" s="139">
        <v>0</v>
      </c>
      <c r="K37" s="621">
        <v>0</v>
      </c>
      <c r="L37" s="139">
        <v>0</v>
      </c>
      <c r="M37" s="621">
        <v>0</v>
      </c>
      <c r="N37" s="139">
        <v>0</v>
      </c>
      <c r="O37" s="621">
        <v>0</v>
      </c>
      <c r="P37" s="1301">
        <v>0</v>
      </c>
      <c r="Q37" s="1302">
        <v>0</v>
      </c>
      <c r="R37" s="139">
        <v>0</v>
      </c>
      <c r="S37" s="621">
        <v>0</v>
      </c>
    </row>
    <row r="38" spans="1:19">
      <c r="A38" s="1402"/>
      <c r="B38" s="1402"/>
      <c r="C38" s="218" t="s">
        <v>741</v>
      </c>
      <c r="D38" s="219">
        <v>4</v>
      </c>
      <c r="E38" s="621">
        <v>914.39506000000006</v>
      </c>
      <c r="F38" s="157">
        <f t="shared" si="0"/>
        <v>1</v>
      </c>
      <c r="G38" s="623">
        <f t="shared" si="1"/>
        <v>48.93</v>
      </c>
      <c r="H38" s="139">
        <v>0</v>
      </c>
      <c r="I38" s="621">
        <v>0</v>
      </c>
      <c r="J38" s="139">
        <v>0</v>
      </c>
      <c r="K38" s="621">
        <v>0</v>
      </c>
      <c r="L38" s="139">
        <v>0</v>
      </c>
      <c r="M38" s="621">
        <v>0</v>
      </c>
      <c r="N38" s="139">
        <v>0</v>
      </c>
      <c r="O38" s="621">
        <v>0</v>
      </c>
      <c r="P38" s="1301">
        <v>1</v>
      </c>
      <c r="Q38" s="1302">
        <v>48.93</v>
      </c>
      <c r="R38" s="139">
        <v>0</v>
      </c>
      <c r="S38" s="621">
        <v>0</v>
      </c>
    </row>
    <row r="39" spans="1:19">
      <c r="A39" s="1402"/>
      <c r="B39" s="1402"/>
      <c r="C39" s="218" t="s">
        <v>742</v>
      </c>
      <c r="D39" s="219">
        <v>1</v>
      </c>
      <c r="E39" s="621">
        <v>1171.58</v>
      </c>
      <c r="F39" s="157">
        <f t="shared" si="0"/>
        <v>1</v>
      </c>
      <c r="G39" s="623">
        <f t="shared" si="1"/>
        <v>2614.6458591999999</v>
      </c>
      <c r="H39" s="139">
        <v>0</v>
      </c>
      <c r="I39" s="621">
        <v>0</v>
      </c>
      <c r="J39" s="139">
        <v>1</v>
      </c>
      <c r="K39" s="621">
        <v>2614.6458591999999</v>
      </c>
      <c r="L39" s="139">
        <v>0</v>
      </c>
      <c r="M39" s="621">
        <v>0</v>
      </c>
      <c r="N39" s="139">
        <v>0</v>
      </c>
      <c r="O39" s="621">
        <v>0</v>
      </c>
      <c r="P39" s="1301">
        <v>0</v>
      </c>
      <c r="Q39" s="1302">
        <v>0</v>
      </c>
      <c r="R39" s="139">
        <v>0</v>
      </c>
      <c r="S39" s="621">
        <v>0</v>
      </c>
    </row>
    <row r="40" spans="1:19">
      <c r="A40" s="1401"/>
      <c r="B40" s="1401"/>
      <c r="C40" s="218" t="s">
        <v>743</v>
      </c>
      <c r="D40" s="219">
        <v>1</v>
      </c>
      <c r="E40" s="621">
        <v>49.965440000000001</v>
      </c>
      <c r="F40" s="157">
        <f t="shared" si="0"/>
        <v>0</v>
      </c>
      <c r="G40" s="623">
        <f t="shared" si="1"/>
        <v>0</v>
      </c>
      <c r="H40" s="139">
        <v>0</v>
      </c>
      <c r="I40" s="621">
        <v>0</v>
      </c>
      <c r="J40" s="139">
        <v>0</v>
      </c>
      <c r="K40" s="621">
        <v>0</v>
      </c>
      <c r="L40" s="139">
        <v>0</v>
      </c>
      <c r="M40" s="621">
        <v>0</v>
      </c>
      <c r="N40" s="139">
        <v>0</v>
      </c>
      <c r="O40" s="621">
        <v>0</v>
      </c>
      <c r="P40" s="1301">
        <v>0</v>
      </c>
      <c r="Q40" s="1302">
        <v>0</v>
      </c>
      <c r="R40" s="139">
        <v>0</v>
      </c>
      <c r="S40" s="621">
        <v>0</v>
      </c>
    </row>
    <row r="41" spans="1:19">
      <c r="A41" s="1400" t="s">
        <v>146</v>
      </c>
      <c r="B41" s="1400" t="s">
        <v>146</v>
      </c>
      <c r="C41" s="218" t="s">
        <v>744</v>
      </c>
      <c r="D41" s="219">
        <v>18</v>
      </c>
      <c r="E41" s="621">
        <v>8849.0514124000001</v>
      </c>
      <c r="F41" s="157">
        <f t="shared" si="0"/>
        <v>6</v>
      </c>
      <c r="G41" s="623">
        <f t="shared" si="1"/>
        <v>4324.4911199999997</v>
      </c>
      <c r="H41" s="139">
        <v>1</v>
      </c>
      <c r="I41" s="621">
        <v>12.07</v>
      </c>
      <c r="J41" s="139">
        <v>1</v>
      </c>
      <c r="K41" s="621">
        <v>43.161119999999997</v>
      </c>
      <c r="L41" s="139">
        <v>2</v>
      </c>
      <c r="M41" s="621">
        <v>460.49</v>
      </c>
      <c r="N41" s="139">
        <v>1</v>
      </c>
      <c r="O41" s="621">
        <v>1952.03</v>
      </c>
      <c r="P41" s="1301">
        <v>1</v>
      </c>
      <c r="Q41" s="1302">
        <v>1856.74</v>
      </c>
      <c r="R41" s="139">
        <v>0</v>
      </c>
      <c r="S41" s="621">
        <v>0</v>
      </c>
    </row>
    <row r="42" spans="1:19">
      <c r="A42" s="1402"/>
      <c r="B42" s="1402"/>
      <c r="C42" s="218" t="s">
        <v>745</v>
      </c>
      <c r="D42" s="219">
        <v>3</v>
      </c>
      <c r="E42" s="621">
        <v>88.767200000000003</v>
      </c>
      <c r="F42" s="157">
        <f t="shared" si="0"/>
        <v>3</v>
      </c>
      <c r="G42" s="623">
        <f t="shared" si="1"/>
        <v>112.49199999999999</v>
      </c>
      <c r="H42" s="139">
        <v>0</v>
      </c>
      <c r="I42" s="621">
        <v>0</v>
      </c>
      <c r="J42" s="139">
        <v>1</v>
      </c>
      <c r="K42" s="621">
        <v>12.6</v>
      </c>
      <c r="L42" s="139">
        <v>0</v>
      </c>
      <c r="M42" s="621">
        <v>0</v>
      </c>
      <c r="N42" s="139">
        <v>0</v>
      </c>
      <c r="O42" s="621">
        <v>0</v>
      </c>
      <c r="P42" s="1301">
        <v>1</v>
      </c>
      <c r="Q42" s="1302">
        <v>29.231999999999999</v>
      </c>
      <c r="R42" s="139">
        <v>1</v>
      </c>
      <c r="S42" s="621">
        <v>70.66</v>
      </c>
    </row>
    <row r="43" spans="1:19">
      <c r="A43" s="1401"/>
      <c r="B43" s="1401"/>
      <c r="C43" s="218" t="s">
        <v>746</v>
      </c>
      <c r="D43" s="219">
        <v>10</v>
      </c>
      <c r="E43" s="621">
        <v>2250.5</v>
      </c>
      <c r="F43" s="157">
        <f t="shared" si="0"/>
        <v>3</v>
      </c>
      <c r="G43" s="623">
        <f t="shared" si="1"/>
        <v>1888.7860000000001</v>
      </c>
      <c r="H43" s="139">
        <v>0</v>
      </c>
      <c r="I43" s="621">
        <v>0</v>
      </c>
      <c r="J43" s="139">
        <v>1</v>
      </c>
      <c r="K43" s="621">
        <v>1841.75</v>
      </c>
      <c r="L43" s="139">
        <v>0</v>
      </c>
      <c r="M43" s="621">
        <v>0</v>
      </c>
      <c r="N43" s="139">
        <v>1</v>
      </c>
      <c r="O43" s="621">
        <v>41.256</v>
      </c>
      <c r="P43" s="1301">
        <v>1</v>
      </c>
      <c r="Q43" s="1302">
        <v>5.78</v>
      </c>
      <c r="R43" s="139">
        <v>0</v>
      </c>
      <c r="S43" s="621">
        <v>0</v>
      </c>
    </row>
    <row r="44" spans="1:19">
      <c r="A44" s="1400" t="s">
        <v>780</v>
      </c>
      <c r="B44" s="222" t="s">
        <v>781</v>
      </c>
      <c r="C44" s="218" t="s">
        <v>747</v>
      </c>
      <c r="D44" s="219">
        <v>12</v>
      </c>
      <c r="E44" s="621">
        <v>770.89711699999998</v>
      </c>
      <c r="F44" s="157">
        <f t="shared" si="0"/>
        <v>15</v>
      </c>
      <c r="G44" s="623">
        <f t="shared" si="1"/>
        <v>2978.2646799999998</v>
      </c>
      <c r="H44" s="139">
        <v>4</v>
      </c>
      <c r="I44" s="621">
        <v>565.13648000000001</v>
      </c>
      <c r="J44" s="139">
        <v>1</v>
      </c>
      <c r="K44" s="621">
        <v>23.364000000000001</v>
      </c>
      <c r="L44" s="139">
        <v>0</v>
      </c>
      <c r="M44" s="621">
        <v>0</v>
      </c>
      <c r="N44" s="139">
        <v>4</v>
      </c>
      <c r="O44" s="621">
        <v>393.06100000000004</v>
      </c>
      <c r="P44" s="1301">
        <v>4</v>
      </c>
      <c r="Q44" s="1302">
        <v>1972.3532</v>
      </c>
      <c r="R44" s="139">
        <v>2</v>
      </c>
      <c r="S44" s="621">
        <v>24.35</v>
      </c>
    </row>
    <row r="45" spans="1:19">
      <c r="A45" s="1402"/>
      <c r="B45" s="1400" t="s">
        <v>782</v>
      </c>
      <c r="C45" s="218" t="s">
        <v>748</v>
      </c>
      <c r="D45" s="219">
        <v>2</v>
      </c>
      <c r="E45" s="621">
        <v>653.04</v>
      </c>
      <c r="F45" s="157">
        <f t="shared" si="0"/>
        <v>1</v>
      </c>
      <c r="G45" s="623">
        <f t="shared" si="1"/>
        <v>5.58</v>
      </c>
      <c r="H45" s="139">
        <v>0</v>
      </c>
      <c r="I45" s="621">
        <v>0</v>
      </c>
      <c r="J45" s="139">
        <v>0</v>
      </c>
      <c r="K45" s="621">
        <v>0</v>
      </c>
      <c r="L45" s="139">
        <v>0</v>
      </c>
      <c r="M45" s="621">
        <v>0</v>
      </c>
      <c r="N45" s="139">
        <v>0</v>
      </c>
      <c r="O45" s="621">
        <v>0</v>
      </c>
      <c r="P45" s="1301">
        <v>1</v>
      </c>
      <c r="Q45" s="1302">
        <v>5.58</v>
      </c>
      <c r="R45" s="139">
        <v>0</v>
      </c>
      <c r="S45" s="621">
        <v>0</v>
      </c>
    </row>
    <row r="46" spans="1:19" ht="15" customHeight="1">
      <c r="A46" s="1402"/>
      <c r="B46" s="1402"/>
      <c r="C46" s="220" t="s">
        <v>749</v>
      </c>
      <c r="D46" s="219">
        <v>0</v>
      </c>
      <c r="E46" s="621">
        <v>0</v>
      </c>
      <c r="F46" s="157">
        <f t="shared" si="0"/>
        <v>1</v>
      </c>
      <c r="G46" s="623">
        <f t="shared" si="1"/>
        <v>49.07</v>
      </c>
      <c r="H46" s="139">
        <v>0</v>
      </c>
      <c r="I46" s="621">
        <v>0</v>
      </c>
      <c r="J46" s="139">
        <v>0</v>
      </c>
      <c r="K46" s="621">
        <v>0</v>
      </c>
      <c r="L46" s="139">
        <v>1</v>
      </c>
      <c r="M46" s="621">
        <v>49.07</v>
      </c>
      <c r="N46" s="139">
        <v>0</v>
      </c>
      <c r="O46" s="621">
        <v>0</v>
      </c>
      <c r="P46" s="1301">
        <v>0</v>
      </c>
      <c r="Q46" s="1302">
        <v>0</v>
      </c>
      <c r="R46" s="139">
        <v>0</v>
      </c>
      <c r="S46" s="621">
        <v>0</v>
      </c>
    </row>
    <row r="47" spans="1:19">
      <c r="A47" s="1402"/>
      <c r="B47" s="1402"/>
      <c r="C47" s="218" t="s">
        <v>750</v>
      </c>
      <c r="D47" s="219">
        <v>16</v>
      </c>
      <c r="E47" s="621">
        <v>3342.4780930000002</v>
      </c>
      <c r="F47" s="157">
        <f t="shared" si="0"/>
        <v>7</v>
      </c>
      <c r="G47" s="623">
        <f t="shared" si="1"/>
        <v>3202.1096649999999</v>
      </c>
      <c r="H47" s="139">
        <v>0</v>
      </c>
      <c r="I47" s="621">
        <v>0</v>
      </c>
      <c r="J47" s="139">
        <v>1</v>
      </c>
      <c r="K47" s="621">
        <v>174.63106500000001</v>
      </c>
      <c r="L47" s="139">
        <v>1</v>
      </c>
      <c r="M47" s="621">
        <v>30.7944</v>
      </c>
      <c r="N47" s="139">
        <v>2</v>
      </c>
      <c r="O47" s="621">
        <v>116.84</v>
      </c>
      <c r="P47" s="1301">
        <v>1</v>
      </c>
      <c r="Q47" s="1302">
        <v>31.3674</v>
      </c>
      <c r="R47" s="139">
        <v>2</v>
      </c>
      <c r="S47" s="621">
        <v>2848.4767999999999</v>
      </c>
    </row>
    <row r="48" spans="1:19">
      <c r="A48" s="1402"/>
      <c r="B48" s="1402"/>
      <c r="C48" s="218" t="s">
        <v>751</v>
      </c>
      <c r="D48" s="219">
        <v>13</v>
      </c>
      <c r="E48" s="621">
        <v>2010.2531999999999</v>
      </c>
      <c r="F48" s="157">
        <f t="shared" si="0"/>
        <v>12</v>
      </c>
      <c r="G48" s="623">
        <f t="shared" si="1"/>
        <v>1527.3897280000001</v>
      </c>
      <c r="H48" s="139">
        <v>3</v>
      </c>
      <c r="I48" s="621">
        <v>666.32</v>
      </c>
      <c r="J48" s="139">
        <v>2</v>
      </c>
      <c r="K48" s="621">
        <v>51.0916</v>
      </c>
      <c r="L48" s="139">
        <v>2</v>
      </c>
      <c r="M48" s="621">
        <v>505.02728000000002</v>
      </c>
      <c r="N48" s="139">
        <v>3</v>
      </c>
      <c r="O48" s="621">
        <v>128.610848</v>
      </c>
      <c r="P48" s="1301">
        <v>0</v>
      </c>
      <c r="Q48" s="1302">
        <v>0</v>
      </c>
      <c r="R48" s="139">
        <v>2</v>
      </c>
      <c r="S48" s="621">
        <v>176.34</v>
      </c>
    </row>
    <row r="49" spans="1:19">
      <c r="A49" s="1401"/>
      <c r="B49" s="1401"/>
      <c r="C49" s="218" t="s">
        <v>752</v>
      </c>
      <c r="D49" s="219">
        <v>43</v>
      </c>
      <c r="E49" s="621">
        <v>6129.4286200000006</v>
      </c>
      <c r="F49" s="157">
        <f t="shared" si="0"/>
        <v>29</v>
      </c>
      <c r="G49" s="623">
        <f t="shared" si="1"/>
        <v>1763.3216872</v>
      </c>
      <c r="H49" s="139">
        <v>3</v>
      </c>
      <c r="I49" s="621">
        <v>134.09199999999998</v>
      </c>
      <c r="J49" s="139">
        <v>3</v>
      </c>
      <c r="K49" s="621">
        <v>59.557999999999993</v>
      </c>
      <c r="L49" s="139">
        <v>2</v>
      </c>
      <c r="M49" s="621">
        <v>100.35599999999999</v>
      </c>
      <c r="N49" s="139">
        <v>4</v>
      </c>
      <c r="O49" s="621">
        <v>801.15458719999992</v>
      </c>
      <c r="P49" s="1301">
        <v>5</v>
      </c>
      <c r="Q49" s="1302">
        <v>102.7811</v>
      </c>
      <c r="R49" s="139">
        <v>12</v>
      </c>
      <c r="S49" s="621">
        <v>565.38000000000011</v>
      </c>
    </row>
    <row r="50" spans="1:19">
      <c r="A50" s="1400" t="s">
        <v>783</v>
      </c>
      <c r="B50" s="1400" t="s">
        <v>783</v>
      </c>
      <c r="C50" s="218" t="s">
        <v>753</v>
      </c>
      <c r="D50" s="219">
        <v>10</v>
      </c>
      <c r="E50" s="621">
        <v>302.71300000000002</v>
      </c>
      <c r="F50" s="157">
        <f t="shared" si="0"/>
        <v>5</v>
      </c>
      <c r="G50" s="623">
        <f t="shared" si="1"/>
        <v>426.86868959999998</v>
      </c>
      <c r="H50" s="139">
        <v>2</v>
      </c>
      <c r="I50" s="621">
        <v>93.441959999999995</v>
      </c>
      <c r="J50" s="139">
        <v>0</v>
      </c>
      <c r="K50" s="621">
        <v>0</v>
      </c>
      <c r="L50" s="139">
        <v>0</v>
      </c>
      <c r="M50" s="621">
        <v>0</v>
      </c>
      <c r="N50" s="139">
        <v>0</v>
      </c>
      <c r="O50" s="621">
        <v>0</v>
      </c>
      <c r="P50" s="1301">
        <v>2</v>
      </c>
      <c r="Q50" s="1302">
        <v>299.58192959999997</v>
      </c>
      <c r="R50" s="139">
        <v>1</v>
      </c>
      <c r="S50" s="621">
        <v>33.844799999999999</v>
      </c>
    </row>
    <row r="51" spans="1:19">
      <c r="A51" s="1402"/>
      <c r="B51" s="1402"/>
      <c r="C51" s="218" t="s">
        <v>754</v>
      </c>
      <c r="D51" s="219">
        <v>15</v>
      </c>
      <c r="E51" s="621">
        <v>4756.0068719999999</v>
      </c>
      <c r="F51" s="157">
        <f t="shared" si="0"/>
        <v>5</v>
      </c>
      <c r="G51" s="623">
        <f t="shared" si="1"/>
        <v>309.37998519999996</v>
      </c>
      <c r="H51" s="139">
        <v>0</v>
      </c>
      <c r="I51" s="621">
        <v>0</v>
      </c>
      <c r="J51" s="139">
        <v>1</v>
      </c>
      <c r="K51" s="621">
        <v>49.4</v>
      </c>
      <c r="L51" s="139">
        <v>2</v>
      </c>
      <c r="M51" s="621">
        <v>33.22</v>
      </c>
      <c r="N51" s="139">
        <v>0</v>
      </c>
      <c r="O51" s="621">
        <v>0</v>
      </c>
      <c r="P51" s="1301">
        <v>2</v>
      </c>
      <c r="Q51" s="1302">
        <v>226.75998519999999</v>
      </c>
      <c r="R51" s="139">
        <v>0</v>
      </c>
      <c r="S51" s="621">
        <v>0</v>
      </c>
    </row>
    <row r="52" spans="1:19">
      <c r="A52" s="1401"/>
      <c r="B52" s="1401"/>
      <c r="C52" s="218" t="s">
        <v>755</v>
      </c>
      <c r="D52" s="219">
        <v>5</v>
      </c>
      <c r="E52" s="621">
        <v>1311.6339999999998</v>
      </c>
      <c r="F52" s="157">
        <f t="shared" si="0"/>
        <v>2</v>
      </c>
      <c r="G52" s="623">
        <f t="shared" si="1"/>
        <v>35.18</v>
      </c>
      <c r="H52" s="139">
        <v>0</v>
      </c>
      <c r="I52" s="621">
        <v>0</v>
      </c>
      <c r="J52" s="139">
        <v>2</v>
      </c>
      <c r="K52" s="621">
        <v>35.18</v>
      </c>
      <c r="L52" s="139">
        <v>0</v>
      </c>
      <c r="M52" s="621">
        <v>0</v>
      </c>
      <c r="N52" s="139">
        <v>0</v>
      </c>
      <c r="O52" s="621">
        <v>0</v>
      </c>
      <c r="P52" s="1301">
        <v>0</v>
      </c>
      <c r="Q52" s="1302">
        <v>0</v>
      </c>
      <c r="R52" s="139">
        <v>0</v>
      </c>
      <c r="S52" s="621">
        <v>0</v>
      </c>
    </row>
    <row r="53" spans="1:19">
      <c r="A53" s="1400" t="s">
        <v>784</v>
      </c>
      <c r="B53" s="1400" t="s">
        <v>784</v>
      </c>
      <c r="C53" s="218" t="s">
        <v>756</v>
      </c>
      <c r="D53" s="219">
        <v>0</v>
      </c>
      <c r="E53" s="621">
        <v>0</v>
      </c>
      <c r="F53" s="157">
        <f t="shared" si="0"/>
        <v>0</v>
      </c>
      <c r="G53" s="623">
        <f t="shared" si="1"/>
        <v>0</v>
      </c>
      <c r="H53" s="139">
        <v>0</v>
      </c>
      <c r="I53" s="621">
        <v>0</v>
      </c>
      <c r="J53" s="139">
        <v>0</v>
      </c>
      <c r="K53" s="621">
        <v>0</v>
      </c>
      <c r="L53" s="139">
        <v>0</v>
      </c>
      <c r="M53" s="621">
        <v>0</v>
      </c>
      <c r="N53" s="139">
        <v>0</v>
      </c>
      <c r="O53" s="621">
        <v>0</v>
      </c>
      <c r="P53" s="1301">
        <v>0</v>
      </c>
      <c r="Q53" s="1302">
        <v>0</v>
      </c>
      <c r="R53" s="139">
        <v>0</v>
      </c>
      <c r="S53" s="621">
        <v>0</v>
      </c>
    </row>
    <row r="54" spans="1:19">
      <c r="A54" s="1402"/>
      <c r="B54" s="1402"/>
      <c r="C54" s="218" t="s">
        <v>757</v>
      </c>
      <c r="D54" s="219">
        <v>13</v>
      </c>
      <c r="E54" s="621">
        <v>1336.1109836000001</v>
      </c>
      <c r="F54" s="157">
        <f t="shared" si="0"/>
        <v>8</v>
      </c>
      <c r="G54" s="623">
        <f t="shared" si="1"/>
        <v>1378.4561999999999</v>
      </c>
      <c r="H54" s="139">
        <v>1</v>
      </c>
      <c r="I54" s="621">
        <v>5.6</v>
      </c>
      <c r="J54" s="139">
        <v>2</v>
      </c>
      <c r="K54" s="621">
        <v>136.64580000000001</v>
      </c>
      <c r="L54" s="139">
        <v>0</v>
      </c>
      <c r="M54" s="621">
        <v>0</v>
      </c>
      <c r="N54" s="139">
        <v>0</v>
      </c>
      <c r="O54" s="621">
        <v>0</v>
      </c>
      <c r="P54" s="1301">
        <v>2</v>
      </c>
      <c r="Q54" s="1302">
        <v>77.070400000000006</v>
      </c>
      <c r="R54" s="139">
        <v>3</v>
      </c>
      <c r="S54" s="621">
        <v>1159.1399999999999</v>
      </c>
    </row>
    <row r="55" spans="1:19">
      <c r="A55" s="1402"/>
      <c r="B55" s="1402"/>
      <c r="C55" s="218" t="s">
        <v>758</v>
      </c>
      <c r="D55" s="219">
        <v>1</v>
      </c>
      <c r="E55" s="621">
        <v>2800</v>
      </c>
      <c r="F55" s="157">
        <f t="shared" si="0"/>
        <v>1</v>
      </c>
      <c r="G55" s="623">
        <f t="shared" si="1"/>
        <v>28</v>
      </c>
      <c r="H55" s="139">
        <v>0</v>
      </c>
      <c r="I55" s="621">
        <v>0</v>
      </c>
      <c r="J55" s="139">
        <v>1</v>
      </c>
      <c r="K55" s="621">
        <v>28</v>
      </c>
      <c r="L55" s="139">
        <v>0</v>
      </c>
      <c r="M55" s="621">
        <v>0</v>
      </c>
      <c r="N55" s="139">
        <v>0</v>
      </c>
      <c r="O55" s="621">
        <v>0</v>
      </c>
      <c r="P55" s="1301">
        <v>0</v>
      </c>
      <c r="Q55" s="1302">
        <v>0</v>
      </c>
      <c r="R55" s="139">
        <v>0</v>
      </c>
      <c r="S55" s="621">
        <v>0</v>
      </c>
    </row>
    <row r="56" spans="1:19">
      <c r="A56" s="1402"/>
      <c r="B56" s="1402"/>
      <c r="C56" s="218" t="s">
        <v>759</v>
      </c>
      <c r="D56" s="219">
        <v>19</v>
      </c>
      <c r="E56" s="621">
        <v>1437.8788473000002</v>
      </c>
      <c r="F56" s="157">
        <f t="shared" si="0"/>
        <v>19</v>
      </c>
      <c r="G56" s="623">
        <f t="shared" si="1"/>
        <v>1416.32226874</v>
      </c>
      <c r="H56" s="139">
        <v>2</v>
      </c>
      <c r="I56" s="621">
        <v>28.043999999999997</v>
      </c>
      <c r="J56" s="139">
        <v>4</v>
      </c>
      <c r="K56" s="621">
        <v>700.16846780000003</v>
      </c>
      <c r="L56" s="139">
        <v>4</v>
      </c>
      <c r="M56" s="621">
        <v>269.46960000000001</v>
      </c>
      <c r="N56" s="139">
        <v>3</v>
      </c>
      <c r="O56" s="621">
        <v>99.226189599999998</v>
      </c>
      <c r="P56" s="1301">
        <v>4</v>
      </c>
      <c r="Q56" s="1302">
        <v>177.17401133999999</v>
      </c>
      <c r="R56" s="139">
        <v>2</v>
      </c>
      <c r="S56" s="621">
        <v>142.24</v>
      </c>
    </row>
    <row r="57" spans="1:19">
      <c r="A57" s="1401"/>
      <c r="B57" s="1401"/>
      <c r="C57" s="218" t="s">
        <v>760</v>
      </c>
      <c r="D57" s="219">
        <v>0</v>
      </c>
      <c r="E57" s="621">
        <v>0</v>
      </c>
      <c r="F57" s="157">
        <f t="shared" si="0"/>
        <v>0</v>
      </c>
      <c r="G57" s="623">
        <f t="shared" si="1"/>
        <v>0</v>
      </c>
      <c r="H57" s="139">
        <v>0</v>
      </c>
      <c r="I57" s="621">
        <v>0</v>
      </c>
      <c r="J57" s="139">
        <v>0</v>
      </c>
      <c r="K57" s="621">
        <v>0</v>
      </c>
      <c r="L57" s="139">
        <v>0</v>
      </c>
      <c r="M57" s="621">
        <v>0</v>
      </c>
      <c r="N57" s="139">
        <v>0</v>
      </c>
      <c r="O57" s="621">
        <v>0</v>
      </c>
      <c r="P57" s="1301">
        <v>0</v>
      </c>
      <c r="Q57" s="1302">
        <v>0</v>
      </c>
      <c r="R57" s="139">
        <v>0</v>
      </c>
      <c r="S57" s="621">
        <v>0</v>
      </c>
    </row>
    <row r="58" spans="1:19">
      <c r="A58" s="1400" t="s">
        <v>785</v>
      </c>
      <c r="B58" s="1400" t="s">
        <v>785</v>
      </c>
      <c r="C58" s="218" t="s">
        <v>761</v>
      </c>
      <c r="D58" s="219">
        <v>4</v>
      </c>
      <c r="E58" s="621">
        <v>134.93</v>
      </c>
      <c r="F58" s="157">
        <f t="shared" si="0"/>
        <v>4</v>
      </c>
      <c r="G58" s="623">
        <f t="shared" si="1"/>
        <v>22724.9899993</v>
      </c>
      <c r="H58" s="139">
        <v>2</v>
      </c>
      <c r="I58" s="621">
        <v>22274.999999299998</v>
      </c>
      <c r="J58" s="139">
        <v>0</v>
      </c>
      <c r="K58" s="621">
        <v>0</v>
      </c>
      <c r="L58" s="139">
        <v>0</v>
      </c>
      <c r="M58" s="621">
        <v>0</v>
      </c>
      <c r="N58" s="139">
        <v>2</v>
      </c>
      <c r="O58" s="621">
        <v>449.99</v>
      </c>
      <c r="P58" s="1301">
        <v>0</v>
      </c>
      <c r="Q58" s="1302">
        <v>0</v>
      </c>
      <c r="R58" s="139">
        <v>0</v>
      </c>
      <c r="S58" s="621">
        <v>0</v>
      </c>
    </row>
    <row r="59" spans="1:19">
      <c r="A59" s="1401"/>
      <c r="B59" s="1401"/>
      <c r="C59" s="218" t="s">
        <v>762</v>
      </c>
      <c r="D59" s="219">
        <v>0</v>
      </c>
      <c r="E59" s="621">
        <v>0</v>
      </c>
      <c r="F59" s="157">
        <f t="shared" si="0"/>
        <v>0</v>
      </c>
      <c r="G59" s="623">
        <f t="shared" si="1"/>
        <v>0</v>
      </c>
      <c r="H59" s="139">
        <v>0</v>
      </c>
      <c r="I59" s="621">
        <v>0</v>
      </c>
      <c r="J59" s="139">
        <v>0</v>
      </c>
      <c r="K59" s="621">
        <v>0</v>
      </c>
      <c r="L59" s="139">
        <v>0</v>
      </c>
      <c r="M59" s="621">
        <v>0</v>
      </c>
      <c r="N59" s="139">
        <v>0</v>
      </c>
      <c r="O59" s="621">
        <v>0</v>
      </c>
      <c r="P59" s="1301">
        <v>0</v>
      </c>
      <c r="Q59" s="1302">
        <v>0</v>
      </c>
      <c r="R59" s="139">
        <v>0</v>
      </c>
      <c r="S59" s="621">
        <v>0</v>
      </c>
    </row>
    <row r="60" spans="1:19">
      <c r="A60" s="1400" t="s">
        <v>786</v>
      </c>
      <c r="B60" s="222" t="s">
        <v>147</v>
      </c>
      <c r="C60" s="218" t="s">
        <v>763</v>
      </c>
      <c r="D60" s="219">
        <v>3</v>
      </c>
      <c r="E60" s="621">
        <v>273.99879440000001</v>
      </c>
      <c r="F60" s="157">
        <f t="shared" si="0"/>
        <v>2</v>
      </c>
      <c r="G60" s="623">
        <f t="shared" si="1"/>
        <v>298.30065100000002</v>
      </c>
      <c r="H60" s="139">
        <v>0</v>
      </c>
      <c r="I60" s="621">
        <v>0</v>
      </c>
      <c r="J60" s="139">
        <v>0</v>
      </c>
      <c r="K60" s="621">
        <v>0</v>
      </c>
      <c r="L60" s="139">
        <v>0</v>
      </c>
      <c r="M60" s="621">
        <v>0</v>
      </c>
      <c r="N60" s="139">
        <v>0</v>
      </c>
      <c r="O60" s="621">
        <v>0</v>
      </c>
      <c r="P60" s="1301">
        <v>1</v>
      </c>
      <c r="Q60" s="1302">
        <v>48.300651000000002</v>
      </c>
      <c r="R60" s="139">
        <v>1</v>
      </c>
      <c r="S60" s="621">
        <v>250</v>
      </c>
    </row>
    <row r="61" spans="1:19">
      <c r="A61" s="1401"/>
      <c r="B61" s="222" t="s">
        <v>786</v>
      </c>
      <c r="C61" s="218" t="s">
        <v>764</v>
      </c>
      <c r="D61" s="219">
        <v>4</v>
      </c>
      <c r="E61" s="621">
        <v>435.47</v>
      </c>
      <c r="F61" s="157">
        <f t="shared" si="0"/>
        <v>5</v>
      </c>
      <c r="G61" s="623">
        <f t="shared" si="1"/>
        <v>245.90616</v>
      </c>
      <c r="H61" s="139">
        <v>0</v>
      </c>
      <c r="I61" s="621">
        <v>0</v>
      </c>
      <c r="J61" s="139">
        <v>0</v>
      </c>
      <c r="K61" s="621">
        <v>0</v>
      </c>
      <c r="L61" s="139">
        <v>2</v>
      </c>
      <c r="M61" s="621">
        <v>82.223199999999991</v>
      </c>
      <c r="N61" s="139">
        <v>2</v>
      </c>
      <c r="O61" s="621">
        <v>112.48295999999999</v>
      </c>
      <c r="P61" s="1301">
        <v>0</v>
      </c>
      <c r="Q61" s="1302">
        <v>0</v>
      </c>
      <c r="R61" s="139">
        <v>1</v>
      </c>
      <c r="S61" s="621">
        <v>51.2</v>
      </c>
    </row>
    <row r="62" spans="1:19">
      <c r="A62" s="222" t="s">
        <v>787</v>
      </c>
      <c r="B62" s="222" t="s">
        <v>787</v>
      </c>
      <c r="C62" s="218" t="s">
        <v>765</v>
      </c>
      <c r="D62" s="219">
        <v>0</v>
      </c>
      <c r="E62" s="621">
        <v>0</v>
      </c>
      <c r="F62" s="157">
        <f t="shared" si="0"/>
        <v>1</v>
      </c>
      <c r="G62" s="623">
        <f t="shared" si="1"/>
        <v>6.96</v>
      </c>
      <c r="H62" s="139">
        <v>0</v>
      </c>
      <c r="I62" s="621">
        <v>0</v>
      </c>
      <c r="J62" s="139">
        <v>0</v>
      </c>
      <c r="K62" s="621">
        <v>0</v>
      </c>
      <c r="L62" s="139">
        <v>1</v>
      </c>
      <c r="M62" s="621">
        <v>6.96</v>
      </c>
      <c r="N62" s="139">
        <v>0</v>
      </c>
      <c r="O62" s="621">
        <v>0</v>
      </c>
      <c r="P62" s="1301">
        <v>0</v>
      </c>
      <c r="Q62" s="1302">
        <v>0</v>
      </c>
      <c r="R62" s="139">
        <v>0</v>
      </c>
      <c r="S62" s="621">
        <v>0</v>
      </c>
    </row>
    <row r="63" spans="1:19">
      <c r="A63" s="1395" t="s">
        <v>96</v>
      </c>
      <c r="B63" s="1396"/>
      <c r="C63" s="1397"/>
      <c r="D63" s="510">
        <f>SUM(D4:D62)</f>
        <v>340</v>
      </c>
      <c r="E63" s="622">
        <f>SUM(E4:E62)</f>
        <v>83092.516240000012</v>
      </c>
      <c r="F63" s="510">
        <f>SUM(F4:F62)</f>
        <v>254</v>
      </c>
      <c r="G63" s="622">
        <f>SUM(G4:G62)</f>
        <v>85930.293591705995</v>
      </c>
      <c r="H63" s="510">
        <f>SUM(H4:H62)</f>
        <v>35</v>
      </c>
      <c r="I63" s="622">
        <f t="shared" ref="I63:S63" si="2">SUM(I4:I62)</f>
        <v>25370.5668319</v>
      </c>
      <c r="J63" s="510">
        <f t="shared" si="2"/>
        <v>38</v>
      </c>
      <c r="K63" s="622">
        <f t="shared" si="2"/>
        <v>12288.583472799999</v>
      </c>
      <c r="L63" s="510">
        <f t="shared" si="2"/>
        <v>38</v>
      </c>
      <c r="M63" s="622">
        <f t="shared" si="2"/>
        <v>3571.1979999999999</v>
      </c>
      <c r="N63" s="510">
        <f t="shared" si="2"/>
        <v>42</v>
      </c>
      <c r="O63" s="622">
        <f t="shared" si="2"/>
        <v>9001.1008531000007</v>
      </c>
      <c r="P63" s="622">
        <f>SUM(P4:P62)</f>
        <v>43</v>
      </c>
      <c r="Q63" s="622">
        <f>SUM(Q4:Q62)</f>
        <v>18815.442833906007</v>
      </c>
      <c r="R63" s="510">
        <f t="shared" si="2"/>
        <v>58</v>
      </c>
      <c r="S63" s="622">
        <f t="shared" si="2"/>
        <v>16883.401600000005</v>
      </c>
    </row>
    <row r="64" spans="1:19" s="192" customFormat="1">
      <c r="A64" s="4"/>
      <c r="B64" s="4"/>
      <c r="C64" s="223"/>
      <c r="D64" s="1294"/>
      <c r="E64" s="224"/>
      <c r="F64" s="1294"/>
      <c r="G64" s="1295"/>
      <c r="H64" s="224"/>
      <c r="I64" s="224"/>
      <c r="P64" s="1296"/>
      <c r="Q64" s="1296"/>
    </row>
    <row r="65" spans="1:19" ht="15" customHeight="1">
      <c r="A65" s="217" t="s">
        <v>788</v>
      </c>
      <c r="B65" s="217"/>
      <c r="C65" s="217"/>
      <c r="D65" s="217"/>
      <c r="E65" s="217"/>
      <c r="F65" s="271"/>
      <c r="G65" s="271"/>
      <c r="H65" s="217"/>
      <c r="I65" s="217"/>
      <c r="J65" s="217"/>
      <c r="K65" s="217"/>
      <c r="L65" s="217"/>
      <c r="M65" s="217"/>
      <c r="N65" s="217"/>
      <c r="O65" s="217"/>
    </row>
    <row r="66" spans="1:19">
      <c r="A66" s="159" t="s">
        <v>1321</v>
      </c>
      <c r="D66" s="1303"/>
      <c r="E66" s="197"/>
      <c r="F66" s="197"/>
      <c r="H66" s="18"/>
      <c r="I66" s="18"/>
    </row>
    <row r="67" spans="1:19">
      <c r="D67" s="1304"/>
      <c r="E67" s="1304"/>
      <c r="F67" s="1304"/>
      <c r="G67" s="124"/>
      <c r="H67" s="124"/>
      <c r="I67" s="124"/>
      <c r="J67" s="124"/>
      <c r="K67" s="124"/>
      <c r="L67" s="124"/>
      <c r="M67" s="124"/>
      <c r="N67" s="124"/>
      <c r="O67" s="124"/>
      <c r="P67" s="124"/>
      <c r="Q67" s="124"/>
      <c r="R67" s="124"/>
      <c r="S67" s="124"/>
    </row>
    <row r="68" spans="1:19">
      <c r="D68" s="197"/>
      <c r="E68" s="197"/>
      <c r="F68" s="197"/>
      <c r="H68" s="1293"/>
      <c r="I68" s="1293"/>
    </row>
    <row r="69" spans="1:19">
      <c r="D69" s="197"/>
      <c r="E69" s="197"/>
      <c r="F69" s="197"/>
    </row>
    <row r="70" spans="1:19">
      <c r="D70" s="197"/>
      <c r="E70" s="197"/>
      <c r="F70" s="197"/>
    </row>
    <row r="71" spans="1:19">
      <c r="D71" s="197"/>
      <c r="E71" s="197"/>
      <c r="F71" s="197"/>
    </row>
    <row r="72" spans="1:19">
      <c r="D72" s="197"/>
      <c r="E72" s="197"/>
      <c r="F72" s="197"/>
    </row>
    <row r="73" spans="1:19">
      <c r="D73" s="197"/>
      <c r="E73" s="197"/>
      <c r="F73" s="197"/>
    </row>
    <row r="74" spans="1:19">
      <c r="D74" s="197"/>
      <c r="E74" s="197"/>
      <c r="F74" s="197"/>
    </row>
    <row r="75" spans="1:19">
      <c r="D75" s="197"/>
      <c r="E75" s="197"/>
      <c r="F75" s="197"/>
    </row>
    <row r="76" spans="1:19">
      <c r="D76" s="197"/>
      <c r="E76" s="197"/>
      <c r="F76" s="197"/>
    </row>
    <row r="77" spans="1:19">
      <c r="D77" s="197"/>
      <c r="E77" s="197"/>
      <c r="F77" s="197"/>
    </row>
    <row r="78" spans="1:19">
      <c r="D78" s="197"/>
      <c r="E78" s="197"/>
      <c r="F78" s="197"/>
    </row>
    <row r="79" spans="1:19">
      <c r="D79" s="197"/>
      <c r="E79" s="197"/>
      <c r="F79" s="197"/>
    </row>
  </sheetData>
  <sortState ref="A4:G26">
    <sortCondition ref="A4:A26"/>
  </sortState>
  <mergeCells count="37">
    <mergeCell ref="N2:O2"/>
    <mergeCell ref="P2:Q2"/>
    <mergeCell ref="R2:S2"/>
    <mergeCell ref="J2:K2"/>
    <mergeCell ref="A14:A24"/>
    <mergeCell ref="B14:B15"/>
    <mergeCell ref="B18:B20"/>
    <mergeCell ref="B22:B24"/>
    <mergeCell ref="B41:B43"/>
    <mergeCell ref="A25:A28"/>
    <mergeCell ref="B25:B28"/>
    <mergeCell ref="H2:I2"/>
    <mergeCell ref="A4:A13"/>
    <mergeCell ref="B4:B5"/>
    <mergeCell ref="B6:B7"/>
    <mergeCell ref="B8:B12"/>
    <mergeCell ref="A2:A3"/>
    <mergeCell ref="D2:E2"/>
    <mergeCell ref="F2:G2"/>
    <mergeCell ref="B2:B3"/>
    <mergeCell ref="C2:C3"/>
    <mergeCell ref="A63:C63"/>
    <mergeCell ref="L2:M2"/>
    <mergeCell ref="A58:A59"/>
    <mergeCell ref="B58:B59"/>
    <mergeCell ref="A60:A61"/>
    <mergeCell ref="A44:A49"/>
    <mergeCell ref="B45:B49"/>
    <mergeCell ref="A50:A52"/>
    <mergeCell ref="B50:B52"/>
    <mergeCell ref="A53:A57"/>
    <mergeCell ref="B53:B57"/>
    <mergeCell ref="A29:A35"/>
    <mergeCell ref="B29:B35"/>
    <mergeCell ref="A36:A40"/>
    <mergeCell ref="B36:B40"/>
    <mergeCell ref="A41:A43"/>
  </mergeCells>
  <printOptions horizontalCentered="1"/>
  <pageMargins left="0.7" right="0.7" top="0.75" bottom="0.75" header="0.3" footer="0.3"/>
  <pageSetup paperSize="9" scale="59" fitToHeight="0" orientation="landscape" r:id="rId1"/>
  <rowBreaks count="1" manualBreakCount="1">
    <brk id="35" max="18"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pageSetUpPr fitToPage="1"/>
  </sheetPr>
  <dimension ref="A1:U27"/>
  <sheetViews>
    <sheetView showGridLines="0" zoomScaleNormal="100" workbookViewId="0">
      <selection sqref="A1:Q1"/>
    </sheetView>
  </sheetViews>
  <sheetFormatPr defaultRowHeight="15"/>
  <sheetData>
    <row r="1" spans="1:21">
      <c r="A1" s="1412" t="s">
        <v>5</v>
      </c>
      <c r="B1" s="1413"/>
      <c r="C1" s="1413"/>
      <c r="D1" s="1413"/>
      <c r="E1" s="1413"/>
      <c r="F1" s="1413"/>
      <c r="G1" s="1413"/>
      <c r="H1" s="1413"/>
      <c r="I1" s="1413"/>
      <c r="J1" s="1413"/>
      <c r="K1" s="1413"/>
      <c r="L1" s="1413"/>
      <c r="M1" s="1413"/>
      <c r="N1" s="1413"/>
      <c r="O1" s="1413"/>
      <c r="P1" s="1413"/>
      <c r="Q1" s="1414"/>
      <c r="R1" s="51"/>
      <c r="S1" s="51"/>
    </row>
    <row r="2" spans="1:21">
      <c r="A2" s="1415" t="s">
        <v>115</v>
      </c>
      <c r="B2" s="1417" t="s">
        <v>96</v>
      </c>
      <c r="C2" s="1417"/>
      <c r="D2" s="1417" t="s">
        <v>149</v>
      </c>
      <c r="E2" s="1417"/>
      <c r="F2" s="1417"/>
      <c r="G2" s="1417"/>
      <c r="H2" s="1417" t="s">
        <v>150</v>
      </c>
      <c r="I2" s="1417"/>
      <c r="J2" s="1417"/>
      <c r="K2" s="1417"/>
      <c r="L2" s="1417"/>
      <c r="M2" s="1417"/>
      <c r="N2" s="1417"/>
      <c r="O2" s="1417"/>
      <c r="P2" s="1417"/>
      <c r="Q2" s="1417"/>
      <c r="R2" s="52"/>
      <c r="S2" s="52"/>
    </row>
    <row r="3" spans="1:21">
      <c r="A3" s="1416"/>
      <c r="B3" s="1418"/>
      <c r="C3" s="1418"/>
      <c r="D3" s="1418" t="s">
        <v>151</v>
      </c>
      <c r="E3" s="1418"/>
      <c r="F3" s="1418" t="s">
        <v>137</v>
      </c>
      <c r="G3" s="1418"/>
      <c r="H3" s="1418" t="s">
        <v>152</v>
      </c>
      <c r="I3" s="1418"/>
      <c r="J3" s="1418" t="s">
        <v>153</v>
      </c>
      <c r="K3" s="1418"/>
      <c r="L3" s="1418" t="s">
        <v>154</v>
      </c>
      <c r="M3" s="1418"/>
      <c r="N3" s="1418" t="s">
        <v>155</v>
      </c>
      <c r="O3" s="1418"/>
      <c r="P3" s="1418" t="s">
        <v>156</v>
      </c>
      <c r="Q3" s="1418"/>
      <c r="R3" s="52"/>
      <c r="S3" s="52"/>
    </row>
    <row r="4" spans="1:21" ht="30">
      <c r="A4" s="1416"/>
      <c r="B4" s="505" t="s">
        <v>140</v>
      </c>
      <c r="C4" s="505" t="s">
        <v>1248</v>
      </c>
      <c r="D4" s="505" t="s">
        <v>140</v>
      </c>
      <c r="E4" s="505" t="s">
        <v>1248</v>
      </c>
      <c r="F4" s="505" t="s">
        <v>140</v>
      </c>
      <c r="G4" s="505" t="s">
        <v>1248</v>
      </c>
      <c r="H4" s="505" t="s">
        <v>140</v>
      </c>
      <c r="I4" s="505" t="s">
        <v>1248</v>
      </c>
      <c r="J4" s="505" t="s">
        <v>140</v>
      </c>
      <c r="K4" s="505" t="s">
        <v>1248</v>
      </c>
      <c r="L4" s="505" t="s">
        <v>140</v>
      </c>
      <c r="M4" s="505" t="s">
        <v>1248</v>
      </c>
      <c r="N4" s="505" t="s">
        <v>140</v>
      </c>
      <c r="O4" s="505" t="s">
        <v>1248</v>
      </c>
      <c r="P4" s="505" t="s">
        <v>140</v>
      </c>
      <c r="Q4" s="505" t="s">
        <v>1248</v>
      </c>
      <c r="R4" s="53"/>
      <c r="S4" s="53"/>
    </row>
    <row r="5" spans="1:21">
      <c r="A5" s="234" t="s">
        <v>505</v>
      </c>
      <c r="B5" s="200">
        <v>340</v>
      </c>
      <c r="C5" s="624">
        <v>83091.975847599984</v>
      </c>
      <c r="D5" s="200">
        <v>337</v>
      </c>
      <c r="E5" s="624">
        <v>80426.091544199997</v>
      </c>
      <c r="F5" s="200">
        <v>2</v>
      </c>
      <c r="G5" s="624">
        <v>2639.41</v>
      </c>
      <c r="H5" s="200">
        <v>72</v>
      </c>
      <c r="I5" s="624">
        <v>32405.593709199999</v>
      </c>
      <c r="J5" s="200">
        <v>16</v>
      </c>
      <c r="K5" s="624">
        <v>2306.4180996999999</v>
      </c>
      <c r="L5" s="200">
        <v>195</v>
      </c>
      <c r="M5" s="624">
        <v>37193.107738699997</v>
      </c>
      <c r="N5" s="200">
        <v>50</v>
      </c>
      <c r="O5" s="624">
        <v>10340.569020000001</v>
      </c>
      <c r="P5" s="200">
        <v>7</v>
      </c>
      <c r="Q5" s="624">
        <v>846.28728000000001</v>
      </c>
      <c r="R5" s="54"/>
      <c r="S5" s="54"/>
    </row>
    <row r="6" spans="1:21">
      <c r="A6" s="506" t="s">
        <v>703</v>
      </c>
      <c r="B6" s="1305">
        <v>254</v>
      </c>
      <c r="C6" s="1306">
        <v>85930.293591705995</v>
      </c>
      <c r="D6" s="511">
        <v>254</v>
      </c>
      <c r="E6" s="626">
        <v>85929.891991705997</v>
      </c>
      <c r="F6" s="511">
        <v>0</v>
      </c>
      <c r="G6" s="626">
        <v>0</v>
      </c>
      <c r="H6" s="511">
        <v>59</v>
      </c>
      <c r="I6" s="626">
        <v>15133.450128666002</v>
      </c>
      <c r="J6" s="511">
        <v>22</v>
      </c>
      <c r="K6" s="626">
        <v>5730.5763957999998</v>
      </c>
      <c r="L6" s="511">
        <v>132</v>
      </c>
      <c r="M6" s="626">
        <v>44492.891060440001</v>
      </c>
      <c r="N6" s="511">
        <v>34</v>
      </c>
      <c r="O6" s="626">
        <v>19930.441058499997</v>
      </c>
      <c r="P6" s="511">
        <v>7</v>
      </c>
      <c r="Q6" s="626">
        <v>642.93494829999997</v>
      </c>
      <c r="R6" s="54"/>
      <c r="S6" s="54"/>
    </row>
    <row r="7" spans="1:21">
      <c r="A7" s="130">
        <v>45412</v>
      </c>
      <c r="B7" s="128">
        <f>SUM(H7,J7,L7,N7,P7)</f>
        <v>35</v>
      </c>
      <c r="C7" s="625">
        <f t="shared" ref="B6:C10" si="0">SUM(I7,K7,M7,O7,Q7)</f>
        <v>25370.566831899996</v>
      </c>
      <c r="D7" s="128">
        <v>35</v>
      </c>
      <c r="E7" s="625">
        <v>25370.566831899996</v>
      </c>
      <c r="F7" s="128">
        <v>0</v>
      </c>
      <c r="G7" s="625">
        <v>0</v>
      </c>
      <c r="H7" s="128">
        <v>10</v>
      </c>
      <c r="I7" s="625">
        <v>4644.9488850000007</v>
      </c>
      <c r="J7" s="663">
        <v>0</v>
      </c>
      <c r="K7" s="664">
        <v>0</v>
      </c>
      <c r="L7" s="128">
        <v>22</v>
      </c>
      <c r="M7" s="625">
        <v>19527.236426899995</v>
      </c>
      <c r="N7" s="128">
        <v>3</v>
      </c>
      <c r="O7" s="625">
        <v>1198.3815200000001</v>
      </c>
      <c r="P7" s="663">
        <v>0</v>
      </c>
      <c r="Q7" s="664">
        <v>0</v>
      </c>
      <c r="R7" s="54"/>
      <c r="S7" s="54"/>
      <c r="T7" s="54"/>
      <c r="U7" s="54"/>
    </row>
    <row r="8" spans="1:21">
      <c r="A8" s="130">
        <v>45443</v>
      </c>
      <c r="B8" s="128">
        <f t="shared" si="0"/>
        <v>38</v>
      </c>
      <c r="C8" s="625">
        <f t="shared" si="0"/>
        <v>12288.583472800001</v>
      </c>
      <c r="D8" s="128">
        <v>38</v>
      </c>
      <c r="E8" s="625">
        <v>12288.583472800001</v>
      </c>
      <c r="F8" s="128">
        <v>0</v>
      </c>
      <c r="G8" s="625">
        <v>0</v>
      </c>
      <c r="H8" s="128">
        <v>6</v>
      </c>
      <c r="I8" s="625">
        <v>2234.4149838000003</v>
      </c>
      <c r="J8" s="128">
        <v>3</v>
      </c>
      <c r="K8" s="625">
        <v>426.58800000000002</v>
      </c>
      <c r="L8" s="128">
        <v>22</v>
      </c>
      <c r="M8" s="625">
        <v>4558.1943689999998</v>
      </c>
      <c r="N8" s="128">
        <v>6</v>
      </c>
      <c r="O8" s="625">
        <v>5026.2249999999995</v>
      </c>
      <c r="P8" s="128">
        <v>1</v>
      </c>
      <c r="Q8" s="625">
        <v>43.161119999999997</v>
      </c>
      <c r="R8" s="54"/>
      <c r="S8" s="54"/>
      <c r="T8" s="124"/>
      <c r="U8" s="124"/>
    </row>
    <row r="9" spans="1:21">
      <c r="A9" s="130">
        <v>45473</v>
      </c>
      <c r="B9" s="128">
        <f t="shared" si="0"/>
        <v>38</v>
      </c>
      <c r="C9" s="625">
        <f t="shared" si="0"/>
        <v>3571.1980000000003</v>
      </c>
      <c r="D9" s="128">
        <v>38</v>
      </c>
      <c r="E9" s="625">
        <v>3571.1980000000003</v>
      </c>
      <c r="F9" s="128">
        <v>0</v>
      </c>
      <c r="G9" s="625">
        <v>0</v>
      </c>
      <c r="H9" s="128">
        <v>7</v>
      </c>
      <c r="I9" s="625">
        <v>1299.5532000000001</v>
      </c>
      <c r="J9" s="128">
        <v>3</v>
      </c>
      <c r="K9" s="625">
        <v>87.91</v>
      </c>
      <c r="L9" s="128">
        <v>25</v>
      </c>
      <c r="M9" s="625">
        <v>1581.0903999999998</v>
      </c>
      <c r="N9" s="128">
        <v>2</v>
      </c>
      <c r="O9" s="625">
        <v>571.85</v>
      </c>
      <c r="P9" s="128">
        <v>1</v>
      </c>
      <c r="Q9" s="625">
        <v>30.7944</v>
      </c>
      <c r="R9" s="54"/>
      <c r="S9" s="54"/>
    </row>
    <row r="10" spans="1:21">
      <c r="A10" s="130">
        <v>45504</v>
      </c>
      <c r="B10" s="128">
        <f t="shared" si="0"/>
        <v>42</v>
      </c>
      <c r="C10" s="625">
        <f t="shared" si="0"/>
        <v>9001.1008530999989</v>
      </c>
      <c r="D10" s="128">
        <v>42</v>
      </c>
      <c r="E10" s="625">
        <v>9001.1008530999989</v>
      </c>
      <c r="F10" s="128">
        <v>0</v>
      </c>
      <c r="G10" s="625">
        <v>0</v>
      </c>
      <c r="H10" s="128">
        <v>12</v>
      </c>
      <c r="I10" s="625">
        <v>1603.3992968</v>
      </c>
      <c r="J10" s="128">
        <v>4</v>
      </c>
      <c r="K10" s="625">
        <v>199.82195999999999</v>
      </c>
      <c r="L10" s="128">
        <v>19</v>
      </c>
      <c r="M10" s="625">
        <v>4648.3601679999992</v>
      </c>
      <c r="N10" s="128">
        <v>4</v>
      </c>
      <c r="O10" s="625">
        <v>2296.33</v>
      </c>
      <c r="P10" s="128">
        <v>3</v>
      </c>
      <c r="Q10" s="625">
        <v>253.1894283</v>
      </c>
      <c r="R10" s="54"/>
      <c r="S10" s="54"/>
    </row>
    <row r="11" spans="1:21">
      <c r="A11" s="130">
        <v>45535</v>
      </c>
      <c r="B11" s="663">
        <f>SUM(H11+J11+L11+N11+P11)</f>
        <v>43</v>
      </c>
      <c r="C11" s="664">
        <f>SUM(I11+K11+M11+O11+Q11)</f>
        <v>18815.442833906</v>
      </c>
      <c r="D11" s="663">
        <v>43</v>
      </c>
      <c r="E11" s="664">
        <v>18815.442833906</v>
      </c>
      <c r="F11" s="128">
        <v>0</v>
      </c>
      <c r="G11" s="625">
        <v>0</v>
      </c>
      <c r="H11" s="663">
        <v>12</v>
      </c>
      <c r="I11" s="664">
        <v>4205.4737630659993</v>
      </c>
      <c r="J11" s="663">
        <v>4</v>
      </c>
      <c r="K11" s="664">
        <v>3079.2996358</v>
      </c>
      <c r="L11" s="663">
        <v>20</v>
      </c>
      <c r="M11" s="664">
        <v>5101.5248965399996</v>
      </c>
      <c r="N11" s="663">
        <v>7</v>
      </c>
      <c r="O11" s="664">
        <v>6429.1445384999997</v>
      </c>
      <c r="P11" s="663">
        <v>0</v>
      </c>
      <c r="Q11" s="664">
        <v>0</v>
      </c>
      <c r="R11" s="54"/>
      <c r="S11" s="54"/>
    </row>
    <row r="12" spans="1:21">
      <c r="A12" s="130">
        <v>45565</v>
      </c>
      <c r="B12" s="663">
        <f>SUM(H12+J12+L12+N12+P12)</f>
        <v>58</v>
      </c>
      <c r="C12" s="664">
        <f>SUM(I12+K12+M12+O12+Q12)</f>
        <v>16883.401600000001</v>
      </c>
      <c r="D12" s="128">
        <v>58</v>
      </c>
      <c r="E12" s="625">
        <v>16883</v>
      </c>
      <c r="F12" s="128">
        <v>0</v>
      </c>
      <c r="G12" s="625">
        <v>0</v>
      </c>
      <c r="H12" s="128">
        <v>12</v>
      </c>
      <c r="I12" s="625">
        <v>1145.6599999999999</v>
      </c>
      <c r="J12" s="128">
        <v>8</v>
      </c>
      <c r="K12" s="625">
        <v>1936.9567999999999</v>
      </c>
      <c r="L12" s="128">
        <v>24</v>
      </c>
      <c r="M12" s="625">
        <v>9076.484800000002</v>
      </c>
      <c r="N12" s="128">
        <v>12</v>
      </c>
      <c r="O12" s="625">
        <v>4408.5099999999993</v>
      </c>
      <c r="P12" s="128">
        <v>2</v>
      </c>
      <c r="Q12" s="625">
        <v>315.78999999999996</v>
      </c>
      <c r="R12" s="54"/>
      <c r="S12" s="54"/>
    </row>
    <row r="13" spans="1:21" s="192" customFormat="1">
      <c r="A13" s="320" t="s">
        <v>1373</v>
      </c>
      <c r="B13" s="321"/>
      <c r="C13" s="321"/>
      <c r="D13" s="321"/>
      <c r="E13" s="321"/>
      <c r="F13" s="321"/>
      <c r="G13" s="321"/>
      <c r="H13" s="321"/>
      <c r="I13" s="321"/>
      <c r="J13" s="321"/>
      <c r="K13" s="321"/>
      <c r="L13" s="321"/>
      <c r="M13" s="321"/>
      <c r="N13" s="321"/>
      <c r="O13" s="321"/>
      <c r="P13" s="321"/>
      <c r="Q13" s="321"/>
      <c r="R13" s="54"/>
      <c r="S13" s="54"/>
    </row>
    <row r="14" spans="1:21">
      <c r="A14" s="1411" t="s">
        <v>148</v>
      </c>
      <c r="B14" s="1411"/>
      <c r="C14" s="1411"/>
      <c r="D14" s="1411"/>
      <c r="E14" s="1411"/>
      <c r="F14" s="1411"/>
      <c r="G14" s="1411"/>
      <c r="H14" s="1411"/>
      <c r="I14" s="1411"/>
      <c r="J14" s="55"/>
      <c r="K14" s="56"/>
      <c r="L14" s="55"/>
      <c r="M14" s="56"/>
      <c r="N14" s="55"/>
      <c r="O14" s="56"/>
      <c r="P14" s="55"/>
      <c r="Q14" s="56"/>
      <c r="R14" s="19"/>
      <c r="S14" s="19"/>
    </row>
    <row r="15" spans="1:21">
      <c r="A15" s="1410" t="s">
        <v>1321</v>
      </c>
      <c r="B15" s="1410"/>
      <c r="C15" s="23"/>
      <c r="D15" s="57"/>
      <c r="E15" s="57"/>
      <c r="F15" s="57"/>
      <c r="G15" s="57"/>
      <c r="H15" s="57"/>
      <c r="I15" s="57"/>
      <c r="J15" s="55"/>
      <c r="N15" s="55"/>
      <c r="O15" s="56"/>
      <c r="P15" s="55"/>
      <c r="Q15" s="55"/>
      <c r="R15" s="55"/>
      <c r="S15" s="55"/>
    </row>
    <row r="16" spans="1:21">
      <c r="A16" s="276"/>
      <c r="B16" s="55"/>
      <c r="C16" s="56"/>
      <c r="D16" s="55"/>
      <c r="E16" s="56"/>
      <c r="F16" s="55"/>
      <c r="G16" s="55"/>
      <c r="H16" s="55"/>
      <c r="I16" s="55"/>
      <c r="J16" s="55"/>
      <c r="N16" s="55"/>
      <c r="O16" s="56"/>
      <c r="P16" s="55"/>
      <c r="Q16" s="55"/>
      <c r="R16" s="55"/>
      <c r="S16" s="55"/>
    </row>
    <row r="17" spans="1:19">
      <c r="A17" s="1410"/>
      <c r="B17" s="1410"/>
      <c r="C17" s="1410"/>
      <c r="D17" s="1410"/>
      <c r="E17" s="59"/>
      <c r="F17" s="55"/>
      <c r="G17" s="55"/>
      <c r="H17" s="55"/>
      <c r="I17" s="55"/>
      <c r="J17" s="55"/>
      <c r="N17" s="60"/>
      <c r="O17" s="60"/>
      <c r="P17" s="60"/>
      <c r="Q17" s="60"/>
      <c r="R17" s="61"/>
      <c r="S17" s="61"/>
    </row>
    <row r="18" spans="1:19">
      <c r="A18" s="58"/>
      <c r="B18" s="1303"/>
      <c r="C18" s="197"/>
      <c r="D18" s="59"/>
      <c r="E18" s="59"/>
      <c r="F18" s="10"/>
      <c r="G18" s="10"/>
      <c r="H18" s="62"/>
      <c r="I18" s="59"/>
      <c r="J18" s="59"/>
      <c r="N18" s="59"/>
      <c r="O18" s="59"/>
      <c r="P18" s="10"/>
      <c r="Q18" s="10"/>
      <c r="R18" s="10"/>
      <c r="S18" s="10"/>
    </row>
    <row r="19" spans="1:19">
      <c r="A19" s="58"/>
      <c r="B19" s="1304"/>
      <c r="C19" s="1304"/>
      <c r="D19" s="59"/>
      <c r="E19" s="63"/>
      <c r="F19" s="63"/>
      <c r="G19" s="63"/>
      <c r="H19" s="59"/>
      <c r="I19" s="63"/>
      <c r="J19" s="59"/>
      <c r="N19" s="59"/>
      <c r="O19" s="63"/>
      <c r="P19" s="59"/>
      <c r="Q19" s="63"/>
      <c r="R19" s="63"/>
      <c r="S19" s="63"/>
    </row>
    <row r="20" spans="1:19">
      <c r="A20" s="58"/>
      <c r="B20" s="197"/>
      <c r="C20" s="197"/>
      <c r="D20" s="59"/>
      <c r="E20" s="63"/>
      <c r="F20" s="63"/>
      <c r="G20" s="63"/>
      <c r="H20" s="59"/>
      <c r="I20" s="63"/>
      <c r="J20" s="59"/>
      <c r="K20" s="63"/>
      <c r="L20" s="59"/>
      <c r="M20" s="63"/>
      <c r="N20" s="59"/>
      <c r="O20" s="63"/>
      <c r="P20" s="59"/>
      <c r="Q20" s="63"/>
      <c r="R20" s="63"/>
      <c r="S20" s="63"/>
    </row>
    <row r="21" spans="1:19">
      <c r="A21" s="50"/>
      <c r="B21" s="197"/>
      <c r="C21" s="197"/>
      <c r="D21" s="64"/>
      <c r="E21" s="54"/>
      <c r="F21" s="54"/>
      <c r="G21" s="54"/>
      <c r="H21" s="64"/>
      <c r="I21" s="54"/>
      <c r="J21" s="64"/>
      <c r="K21" s="54"/>
      <c r="L21" s="64"/>
      <c r="M21" s="54"/>
      <c r="N21" s="64"/>
      <c r="O21" s="54"/>
      <c r="P21" s="64"/>
      <c r="Q21" s="54"/>
      <c r="R21" s="54"/>
      <c r="S21" s="54"/>
    </row>
    <row r="22" spans="1:19">
      <c r="A22" s="50"/>
      <c r="B22" s="197"/>
      <c r="C22" s="197"/>
      <c r="D22" s="64"/>
      <c r="E22" s="54"/>
      <c r="F22" s="54"/>
      <c r="G22" s="54"/>
      <c r="H22" s="64"/>
      <c r="I22" s="54"/>
      <c r="J22" s="64"/>
      <c r="K22" s="54"/>
      <c r="L22" s="64"/>
      <c r="M22" s="54"/>
      <c r="N22" s="64"/>
      <c r="O22" s="54"/>
      <c r="P22" s="64"/>
      <c r="Q22" s="54"/>
      <c r="R22" s="54"/>
      <c r="S22" s="54"/>
    </row>
    <row r="23" spans="1:19">
      <c r="A23" s="50"/>
      <c r="B23" s="197"/>
      <c r="C23" s="197"/>
      <c r="D23" s="64"/>
      <c r="E23" s="54"/>
      <c r="F23" s="54"/>
      <c r="G23" s="54"/>
      <c r="H23" s="64"/>
      <c r="I23" s="54"/>
      <c r="J23" s="64"/>
      <c r="K23" s="54"/>
      <c r="L23" s="64"/>
      <c r="M23" s="54"/>
      <c r="N23" s="64"/>
      <c r="O23" s="54"/>
      <c r="P23" s="64"/>
      <c r="Q23" s="54"/>
      <c r="R23" s="54"/>
      <c r="S23" s="54"/>
    </row>
    <row r="24" spans="1:19">
      <c r="B24" s="197"/>
      <c r="C24" s="197"/>
    </row>
    <row r="25" spans="1:19">
      <c r="B25" s="197"/>
      <c r="C25" s="197"/>
      <c r="J25" s="65"/>
      <c r="K25" s="65"/>
      <c r="L25" s="65"/>
      <c r="M25" s="65"/>
      <c r="N25" s="65"/>
      <c r="O25" s="65"/>
      <c r="P25" s="65"/>
      <c r="Q25" s="65"/>
      <c r="R25" s="51"/>
      <c r="S25" s="51"/>
    </row>
    <row r="26" spans="1:19">
      <c r="B26" s="197"/>
      <c r="C26" s="197"/>
      <c r="J26" s="23"/>
      <c r="K26" s="23"/>
      <c r="L26" s="23"/>
      <c r="M26" s="65"/>
      <c r="N26" s="65"/>
      <c r="O26" s="65"/>
      <c r="P26" s="65"/>
      <c r="Q26" s="65"/>
      <c r="R26" s="51"/>
      <c r="S26" s="51"/>
    </row>
    <row r="27" spans="1:19">
      <c r="J27" s="65"/>
      <c r="K27" s="65"/>
      <c r="L27" s="65"/>
      <c r="M27" s="65"/>
      <c r="N27" s="65"/>
      <c r="O27" s="65"/>
      <c r="P27" s="65"/>
      <c r="Q27" s="65"/>
      <c r="R27" s="15"/>
    </row>
  </sheetData>
  <mergeCells count="15">
    <mergeCell ref="A17:D17"/>
    <mergeCell ref="A14:I14"/>
    <mergeCell ref="A15:B15"/>
    <mergeCell ref="A1:Q1"/>
    <mergeCell ref="A2:A4"/>
    <mergeCell ref="B2:C3"/>
    <mergeCell ref="D2:G2"/>
    <mergeCell ref="H2:Q2"/>
    <mergeCell ref="D3:E3"/>
    <mergeCell ref="F3:G3"/>
    <mergeCell ref="H3:I3"/>
    <mergeCell ref="J3:K3"/>
    <mergeCell ref="L3:M3"/>
    <mergeCell ref="N3:O3"/>
    <mergeCell ref="P3:Q3"/>
  </mergeCells>
  <printOptions horizontalCentered="1"/>
  <pageMargins left="0.7" right="0.7" top="0.75" bottom="0.75" header="0.3" footer="0.3"/>
  <pageSetup paperSize="9" scale="84" fitToHeight="0"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pageSetUpPr fitToPage="1"/>
  </sheetPr>
  <dimension ref="A1:R26"/>
  <sheetViews>
    <sheetView showGridLines="0" zoomScaleNormal="100" workbookViewId="0">
      <selection activeCell="A12" sqref="A12"/>
    </sheetView>
  </sheetViews>
  <sheetFormatPr defaultRowHeight="15"/>
  <cols>
    <col min="2" max="2" width="19.42578125" customWidth="1"/>
  </cols>
  <sheetData>
    <row r="1" spans="1:18">
      <c r="A1" s="1420" t="s">
        <v>6</v>
      </c>
      <c r="B1" s="1420"/>
      <c r="C1" s="1420"/>
      <c r="D1" s="1420"/>
      <c r="E1" s="1420"/>
      <c r="F1" s="1420"/>
      <c r="G1" s="1420"/>
      <c r="H1" s="1420"/>
      <c r="I1" s="1420"/>
      <c r="J1" s="1420"/>
      <c r="K1" s="1420"/>
      <c r="L1" s="1420"/>
      <c r="M1" s="1420"/>
      <c r="N1" s="1420"/>
      <c r="O1" s="51"/>
    </row>
    <row r="2" spans="1:18">
      <c r="A2" s="1421" t="s">
        <v>115</v>
      </c>
      <c r="B2" s="1423" t="s">
        <v>96</v>
      </c>
      <c r="C2" s="1424"/>
      <c r="D2" s="1423" t="s">
        <v>157</v>
      </c>
      <c r="E2" s="1424"/>
      <c r="F2" s="1425" t="s">
        <v>158</v>
      </c>
      <c r="G2" s="1426"/>
      <c r="H2" s="1423" t="s">
        <v>159</v>
      </c>
      <c r="I2" s="1424"/>
      <c r="J2" s="1423" t="s">
        <v>160</v>
      </c>
      <c r="K2" s="1424"/>
      <c r="L2" s="1423" t="s">
        <v>161</v>
      </c>
      <c r="M2" s="1424"/>
      <c r="N2" s="1423" t="s">
        <v>162</v>
      </c>
      <c r="O2" s="1424"/>
    </row>
    <row r="3" spans="1:18" ht="30">
      <c r="A3" s="1422"/>
      <c r="B3" s="512" t="s">
        <v>140</v>
      </c>
      <c r="C3" s="512" t="s">
        <v>1248</v>
      </c>
      <c r="D3" s="512" t="s">
        <v>140</v>
      </c>
      <c r="E3" s="512" t="s">
        <v>1248</v>
      </c>
      <c r="F3" s="512" t="s">
        <v>140</v>
      </c>
      <c r="G3" s="512" t="s">
        <v>1248</v>
      </c>
      <c r="H3" s="512" t="s">
        <v>140</v>
      </c>
      <c r="I3" s="512" t="s">
        <v>1248</v>
      </c>
      <c r="J3" s="512" t="s">
        <v>140</v>
      </c>
      <c r="K3" s="512" t="s">
        <v>1248</v>
      </c>
      <c r="L3" s="512" t="s">
        <v>140</v>
      </c>
      <c r="M3" s="512" t="s">
        <v>1248</v>
      </c>
      <c r="N3" s="512" t="s">
        <v>140</v>
      </c>
      <c r="O3" s="512" t="s">
        <v>1248</v>
      </c>
    </row>
    <row r="4" spans="1:18">
      <c r="A4" s="234" t="s">
        <v>505</v>
      </c>
      <c r="B4" s="66">
        <v>340</v>
      </c>
      <c r="C4" s="627">
        <v>83091.976240000004</v>
      </c>
      <c r="D4" s="66">
        <v>3</v>
      </c>
      <c r="E4" s="627">
        <v>9.4619999999999997</v>
      </c>
      <c r="F4" s="66">
        <v>28</v>
      </c>
      <c r="G4" s="627">
        <v>218.70821859999998</v>
      </c>
      <c r="H4" s="66">
        <v>187</v>
      </c>
      <c r="I4" s="627">
        <v>5420.5137005000006</v>
      </c>
      <c r="J4" s="66">
        <v>38</v>
      </c>
      <c r="K4" s="627">
        <v>2473.5783006000001</v>
      </c>
      <c r="L4" s="66">
        <v>29</v>
      </c>
      <c r="M4" s="627">
        <v>8297.8353831000004</v>
      </c>
      <c r="N4" s="66">
        <v>55</v>
      </c>
      <c r="O4" s="627">
        <v>66671.878637200003</v>
      </c>
      <c r="P4" s="18"/>
      <c r="Q4" s="18"/>
    </row>
    <row r="5" spans="1:18">
      <c r="A5" s="506" t="s">
        <v>703</v>
      </c>
      <c r="B5" s="1315">
        <v>254</v>
      </c>
      <c r="C5" s="1316">
        <v>85930.293591705995</v>
      </c>
      <c r="D5" s="1315">
        <v>4</v>
      </c>
      <c r="E5" s="1316">
        <v>16.86</v>
      </c>
      <c r="F5" s="1315">
        <v>21</v>
      </c>
      <c r="G5" s="1316">
        <v>149.8536</v>
      </c>
      <c r="H5" s="1315">
        <v>140</v>
      </c>
      <c r="I5" s="1316">
        <v>4171.0564983060003</v>
      </c>
      <c r="J5" s="1315">
        <v>30</v>
      </c>
      <c r="K5" s="1316">
        <v>1952.1370400000001</v>
      </c>
      <c r="L5" s="1315">
        <v>29</v>
      </c>
      <c r="M5" s="1316">
        <v>6460.0557281000001</v>
      </c>
      <c r="N5" s="1315">
        <v>30</v>
      </c>
      <c r="O5" s="1316">
        <v>73180.330725299995</v>
      </c>
      <c r="P5" s="18"/>
      <c r="Q5" s="18"/>
      <c r="R5" s="18"/>
    </row>
    <row r="6" spans="1:18">
      <c r="A6" s="130">
        <v>45412</v>
      </c>
      <c r="B6" s="67">
        <f t="shared" ref="B6:C10" si="0">D6+F6+H6+J6+L6+N6</f>
        <v>35</v>
      </c>
      <c r="C6" s="628">
        <f t="shared" si="0"/>
        <v>25370.5668319</v>
      </c>
      <c r="D6" s="67">
        <v>1</v>
      </c>
      <c r="E6" s="628">
        <v>4.76</v>
      </c>
      <c r="F6" s="67">
        <v>3</v>
      </c>
      <c r="G6" s="628">
        <v>21.8</v>
      </c>
      <c r="H6" s="67">
        <v>20</v>
      </c>
      <c r="I6" s="628">
        <v>513.18407259999992</v>
      </c>
      <c r="J6" s="67">
        <v>5</v>
      </c>
      <c r="K6" s="628">
        <v>275.15276</v>
      </c>
      <c r="L6" s="67">
        <v>2</v>
      </c>
      <c r="M6" s="628">
        <v>480.2</v>
      </c>
      <c r="N6" s="67">
        <v>4</v>
      </c>
      <c r="O6" s="628">
        <v>24075.469999299999</v>
      </c>
      <c r="P6" s="18"/>
      <c r="Q6" s="18"/>
    </row>
    <row r="7" spans="1:18">
      <c r="A7" s="130">
        <v>45443</v>
      </c>
      <c r="B7" s="67">
        <f t="shared" si="0"/>
        <v>38</v>
      </c>
      <c r="C7" s="628">
        <f t="shared" si="0"/>
        <v>12288.583472800001</v>
      </c>
      <c r="D7" s="67">
        <v>0</v>
      </c>
      <c r="E7" s="628">
        <v>0</v>
      </c>
      <c r="F7" s="67">
        <v>4</v>
      </c>
      <c r="G7" s="628">
        <v>30.365600000000001</v>
      </c>
      <c r="H7" s="67">
        <v>25</v>
      </c>
      <c r="I7" s="628">
        <v>709.34326479999993</v>
      </c>
      <c r="J7" s="67">
        <v>1</v>
      </c>
      <c r="K7" s="628">
        <v>96.284999999999997</v>
      </c>
      <c r="L7" s="67">
        <v>2</v>
      </c>
      <c r="M7" s="628">
        <v>574.63106500000004</v>
      </c>
      <c r="N7" s="67">
        <v>6</v>
      </c>
      <c r="O7" s="628">
        <v>10877.958543000001</v>
      </c>
      <c r="P7" s="18"/>
      <c r="Q7" s="18"/>
    </row>
    <row r="8" spans="1:18">
      <c r="A8" s="130">
        <v>45473</v>
      </c>
      <c r="B8" s="67">
        <f t="shared" si="0"/>
        <v>38</v>
      </c>
      <c r="C8" s="628">
        <f t="shared" si="0"/>
        <v>3571.1979999999999</v>
      </c>
      <c r="D8" s="67">
        <v>1</v>
      </c>
      <c r="E8" s="628">
        <v>3.59</v>
      </c>
      <c r="F8" s="67">
        <v>6</v>
      </c>
      <c r="G8" s="628">
        <v>41.367999999999995</v>
      </c>
      <c r="H8" s="67">
        <v>22</v>
      </c>
      <c r="I8" s="628">
        <v>736.90671999999995</v>
      </c>
      <c r="J8" s="67">
        <v>2</v>
      </c>
      <c r="K8" s="628">
        <v>182.27328</v>
      </c>
      <c r="L8" s="67">
        <v>5</v>
      </c>
      <c r="M8" s="628">
        <v>1329.94</v>
      </c>
      <c r="N8" s="67">
        <v>2</v>
      </c>
      <c r="O8" s="628">
        <v>1277.1199999999999</v>
      </c>
      <c r="P8" s="18"/>
      <c r="Q8" s="18"/>
    </row>
    <row r="9" spans="1:18">
      <c r="A9" s="130">
        <v>45504</v>
      </c>
      <c r="B9" s="67">
        <f t="shared" si="0"/>
        <v>42</v>
      </c>
      <c r="C9" s="628">
        <f t="shared" si="0"/>
        <v>9001.1008531000007</v>
      </c>
      <c r="D9" s="67">
        <v>0</v>
      </c>
      <c r="E9" s="628">
        <v>0</v>
      </c>
      <c r="F9" s="67">
        <v>1</v>
      </c>
      <c r="G9" s="628">
        <v>9</v>
      </c>
      <c r="H9" s="67">
        <v>22</v>
      </c>
      <c r="I9" s="628">
        <v>705.18571759999998</v>
      </c>
      <c r="J9" s="67">
        <v>7</v>
      </c>
      <c r="K9" s="628">
        <v>405.70519999999999</v>
      </c>
      <c r="L9" s="67">
        <v>7</v>
      </c>
      <c r="M9" s="628">
        <v>1175.0099482999999</v>
      </c>
      <c r="N9" s="67">
        <v>5</v>
      </c>
      <c r="O9" s="628">
        <v>6706.1999871999997</v>
      </c>
      <c r="P9" s="18"/>
      <c r="Q9" s="18"/>
    </row>
    <row r="10" spans="1:18">
      <c r="A10" s="130">
        <v>45535</v>
      </c>
      <c r="B10" s="1317">
        <f t="shared" si="0"/>
        <v>43</v>
      </c>
      <c r="C10" s="1318">
        <f t="shared" si="0"/>
        <v>18815.442833906</v>
      </c>
      <c r="D10" s="1317">
        <v>1</v>
      </c>
      <c r="E10" s="1318">
        <v>4.0199999999999996</v>
      </c>
      <c r="F10" s="1317">
        <v>3</v>
      </c>
      <c r="G10" s="1318">
        <v>19.850000000000001</v>
      </c>
      <c r="H10" s="1317">
        <v>24</v>
      </c>
      <c r="I10" s="1318">
        <v>709.44512330600014</v>
      </c>
      <c r="J10" s="1317">
        <v>6</v>
      </c>
      <c r="K10" s="1318">
        <v>390.48079999999999</v>
      </c>
      <c r="L10" s="1317">
        <v>3</v>
      </c>
      <c r="M10" s="1318">
        <v>651.34471479999991</v>
      </c>
      <c r="N10" s="1317">
        <v>6</v>
      </c>
      <c r="O10" s="1318">
        <v>17040.302195799999</v>
      </c>
      <c r="P10" s="18"/>
      <c r="Q10" s="18"/>
    </row>
    <row r="11" spans="1:18">
      <c r="A11" s="130">
        <v>45565</v>
      </c>
      <c r="B11" s="67">
        <f t="shared" ref="B11" si="1">D11+F11+H11+J11+L11+N11</f>
        <v>58</v>
      </c>
      <c r="C11" s="628">
        <f t="shared" ref="C11" si="2">E11+G11+I11+K11+M11+O11</f>
        <v>16883.401600000001</v>
      </c>
      <c r="D11" s="67">
        <v>1</v>
      </c>
      <c r="E11" s="628">
        <v>4.49</v>
      </c>
      <c r="F11" s="67">
        <v>4</v>
      </c>
      <c r="G11" s="628">
        <v>27.470000000000002</v>
      </c>
      <c r="H11" s="67">
        <v>27</v>
      </c>
      <c r="I11" s="628">
        <v>796.99159999999995</v>
      </c>
      <c r="J11" s="67">
        <v>9</v>
      </c>
      <c r="K11" s="628">
        <v>602.24</v>
      </c>
      <c r="L11" s="67">
        <v>10</v>
      </c>
      <c r="M11" s="628">
        <v>2248.9300000000003</v>
      </c>
      <c r="N11" s="67">
        <v>7</v>
      </c>
      <c r="O11" s="628">
        <v>13203.28</v>
      </c>
      <c r="P11" s="18"/>
      <c r="Q11" s="18"/>
    </row>
    <row r="12" spans="1:18" s="192" customFormat="1">
      <c r="A12" s="320" t="s">
        <v>1373</v>
      </c>
      <c r="B12" s="69"/>
      <c r="C12" s="69"/>
      <c r="D12" s="69"/>
      <c r="E12" s="69"/>
      <c r="F12" s="69"/>
      <c r="G12" s="69"/>
      <c r="H12" s="69"/>
      <c r="I12" s="69"/>
      <c r="J12" s="69"/>
      <c r="K12" s="69"/>
      <c r="L12" s="69"/>
      <c r="M12" s="69"/>
      <c r="N12" s="69"/>
      <c r="O12" s="69"/>
    </row>
    <row r="13" spans="1:18" ht="15.75">
      <c r="A13" s="1419" t="s">
        <v>148</v>
      </c>
      <c r="B13" s="1419"/>
      <c r="C13" s="1419"/>
      <c r="D13" s="1419"/>
      <c r="E13" s="1419"/>
      <c r="F13" s="1419"/>
      <c r="G13" s="1419"/>
      <c r="H13" s="1419"/>
      <c r="I13" s="1419"/>
      <c r="J13" s="68"/>
      <c r="K13" s="68"/>
      <c r="L13" s="68"/>
      <c r="M13" s="68"/>
      <c r="N13" s="68"/>
      <c r="O13" s="68"/>
    </row>
    <row r="14" spans="1:18">
      <c r="A14" s="1410" t="s">
        <v>1319</v>
      </c>
      <c r="B14" s="1410"/>
      <c r="C14" s="57"/>
      <c r="D14" s="65"/>
      <c r="E14" s="65"/>
      <c r="F14" s="65"/>
      <c r="G14" s="65"/>
      <c r="H14" s="65"/>
      <c r="I14" s="65"/>
      <c r="J14" s="69"/>
      <c r="K14" s="69"/>
      <c r="L14" s="69"/>
      <c r="M14" s="69"/>
      <c r="N14" s="69"/>
      <c r="O14" s="69"/>
    </row>
    <row r="15" spans="1:18">
      <c r="A15" s="197"/>
      <c r="B15" s="1307"/>
      <c r="C15" s="1307"/>
      <c r="D15" s="1307"/>
      <c r="E15" s="1307"/>
      <c r="F15" s="1307"/>
      <c r="G15" s="197"/>
      <c r="J15" s="69"/>
      <c r="K15" s="69"/>
      <c r="L15" s="69"/>
      <c r="M15" s="69"/>
      <c r="N15" s="69"/>
      <c r="O15" s="69"/>
    </row>
    <row r="16" spans="1:18" ht="15" customHeight="1">
      <c r="A16" s="1308"/>
      <c r="B16" s="1309"/>
      <c r="C16" s="1310"/>
      <c r="D16" s="197"/>
      <c r="E16" s="197"/>
      <c r="F16" s="197"/>
      <c r="G16" s="197"/>
    </row>
    <row r="17" spans="1:15">
      <c r="A17" s="1308"/>
      <c r="B17" s="1310"/>
      <c r="C17" s="1310"/>
      <c r="D17" s="1310"/>
      <c r="E17" s="1310"/>
      <c r="F17" s="1310"/>
      <c r="G17" s="197"/>
      <c r="J17" s="59"/>
      <c r="K17" s="59"/>
      <c r="L17" s="59"/>
      <c r="M17" s="59"/>
      <c r="N17" s="59"/>
      <c r="O17" s="59"/>
    </row>
    <row r="18" spans="1:15">
      <c r="A18" s="1308"/>
      <c r="B18" s="1310"/>
      <c r="C18" s="1310"/>
      <c r="D18" s="1310"/>
      <c r="E18" s="1310"/>
      <c r="F18" s="1310"/>
      <c r="G18" s="197"/>
      <c r="J18" s="59"/>
      <c r="K18" s="59"/>
      <c r="L18" s="59"/>
      <c r="M18" s="59"/>
      <c r="N18" s="59"/>
      <c r="O18" s="59"/>
    </row>
    <row r="19" spans="1:15">
      <c r="A19" s="1308"/>
      <c r="B19" s="1310"/>
      <c r="C19" s="1310"/>
      <c r="D19" s="1310"/>
      <c r="E19" s="1310"/>
      <c r="F19" s="1310"/>
      <c r="G19" s="197"/>
      <c r="J19" s="59"/>
      <c r="K19" s="59"/>
      <c r="L19" s="59"/>
      <c r="M19" s="59"/>
      <c r="N19" s="59"/>
      <c r="O19" s="59"/>
    </row>
    <row r="20" spans="1:15">
      <c r="A20" s="1311"/>
      <c r="B20" s="1312"/>
      <c r="C20" s="1312"/>
      <c r="D20" s="1312"/>
      <c r="E20" s="1312"/>
      <c r="F20" s="1312"/>
      <c r="G20" s="197"/>
      <c r="J20" s="64"/>
      <c r="K20" s="64"/>
      <c r="L20" s="64"/>
      <c r="M20" s="64"/>
      <c r="N20" s="64"/>
      <c r="O20" s="64"/>
    </row>
    <row r="21" spans="1:15">
      <c r="A21" s="1311"/>
      <c r="B21" s="1312"/>
      <c r="C21" s="1312"/>
      <c r="D21" s="1312"/>
      <c r="E21" s="1312"/>
      <c r="F21" s="1312"/>
      <c r="G21" s="197"/>
      <c r="J21" s="64"/>
      <c r="K21" s="64"/>
      <c r="L21" s="64"/>
      <c r="M21" s="64"/>
      <c r="N21" s="64"/>
      <c r="O21" s="64"/>
    </row>
    <row r="22" spans="1:15" ht="15.75">
      <c r="A22" s="1313"/>
      <c r="B22" s="1314"/>
      <c r="C22" s="1314"/>
      <c r="D22" s="1314"/>
      <c r="E22" s="1314"/>
      <c r="F22" s="1314"/>
      <c r="G22" s="1314"/>
      <c r="H22" s="68"/>
      <c r="I22" s="68"/>
      <c r="J22" s="68"/>
      <c r="K22" s="68"/>
      <c r="L22" s="68"/>
      <c r="M22" s="68"/>
      <c r="N22" s="68"/>
      <c r="O22" s="68"/>
    </row>
    <row r="23" spans="1:15">
      <c r="A23" s="197"/>
      <c r="B23" s="197"/>
      <c r="C23" s="197"/>
      <c r="D23" s="197"/>
      <c r="E23" s="197"/>
      <c r="F23" s="197"/>
      <c r="G23" s="197"/>
    </row>
    <row r="24" spans="1:15">
      <c r="A24" s="197"/>
      <c r="B24" s="197"/>
      <c r="C24" s="197"/>
      <c r="D24" s="197"/>
      <c r="E24" s="197"/>
      <c r="F24" s="197"/>
      <c r="G24" s="197"/>
      <c r="J24" s="65"/>
      <c r="K24" s="65"/>
      <c r="L24" s="65"/>
      <c r="M24" s="65"/>
      <c r="N24" s="65"/>
      <c r="O24" s="65"/>
    </row>
    <row r="25" spans="1:15">
      <c r="J25" s="65"/>
      <c r="K25" s="65"/>
      <c r="L25" s="65"/>
      <c r="M25" s="65"/>
      <c r="N25" s="65"/>
      <c r="O25" s="65"/>
    </row>
    <row r="26" spans="1:15">
      <c r="J26" s="15"/>
      <c r="K26" s="15"/>
      <c r="L26" s="15"/>
      <c r="M26" s="15"/>
      <c r="N26" s="15"/>
      <c r="O26" s="15"/>
    </row>
  </sheetData>
  <mergeCells count="11">
    <mergeCell ref="A13:I13"/>
    <mergeCell ref="A14:B14"/>
    <mergeCell ref="A1:N1"/>
    <mergeCell ref="A2:A3"/>
    <mergeCell ref="B2:C2"/>
    <mergeCell ref="D2:E2"/>
    <mergeCell ref="F2:G2"/>
    <mergeCell ref="H2:I2"/>
    <mergeCell ref="J2:K2"/>
    <mergeCell ref="L2:M2"/>
    <mergeCell ref="N2:O2"/>
  </mergeCells>
  <printOptions horizontalCentered="1"/>
  <pageMargins left="0.7" right="0.7" top="0.75" bottom="0.75" header="0.3" footer="0.3"/>
  <pageSetup paperSize="9" scale="88" fitToHeight="0"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dimension ref="A1:K23"/>
  <sheetViews>
    <sheetView showGridLines="0" workbookViewId="0">
      <selection sqref="A1:I1"/>
    </sheetView>
  </sheetViews>
  <sheetFormatPr defaultRowHeight="15"/>
  <sheetData>
    <row r="1" spans="1:11">
      <c r="A1" s="1420" t="s">
        <v>7</v>
      </c>
      <c r="B1" s="1420"/>
      <c r="C1" s="1420"/>
      <c r="D1" s="1420"/>
      <c r="E1" s="1420"/>
      <c r="F1" s="1420"/>
      <c r="G1" s="1420"/>
      <c r="H1" s="1420"/>
      <c r="I1" s="1420"/>
      <c r="J1" s="51"/>
      <c r="K1" s="51"/>
    </row>
    <row r="2" spans="1:11">
      <c r="A2" s="1421" t="s">
        <v>115</v>
      </c>
      <c r="B2" s="1425" t="s">
        <v>163</v>
      </c>
      <c r="C2" s="1426"/>
      <c r="D2" s="1425" t="s">
        <v>164</v>
      </c>
      <c r="E2" s="1426"/>
      <c r="F2" s="1425" t="s">
        <v>165</v>
      </c>
      <c r="G2" s="1426"/>
      <c r="H2" s="1425" t="s">
        <v>166</v>
      </c>
      <c r="I2" s="1426"/>
      <c r="J2" s="1425" t="s">
        <v>96</v>
      </c>
      <c r="K2" s="1426"/>
    </row>
    <row r="3" spans="1:11" ht="30">
      <c r="A3" s="1422"/>
      <c r="B3" s="514" t="s">
        <v>140</v>
      </c>
      <c r="C3" s="514" t="s">
        <v>1248</v>
      </c>
      <c r="D3" s="514" t="s">
        <v>140</v>
      </c>
      <c r="E3" s="514" t="s">
        <v>1248</v>
      </c>
      <c r="F3" s="514" t="s">
        <v>140</v>
      </c>
      <c r="G3" s="514" t="s">
        <v>1248</v>
      </c>
      <c r="H3" s="514" t="s">
        <v>140</v>
      </c>
      <c r="I3" s="514" t="s">
        <v>1248</v>
      </c>
      <c r="J3" s="515" t="s">
        <v>140</v>
      </c>
      <c r="K3" s="514" t="s">
        <v>1248</v>
      </c>
    </row>
    <row r="4" spans="1:11">
      <c r="A4" s="234" t="s">
        <v>505</v>
      </c>
      <c r="B4" s="71">
        <v>0</v>
      </c>
      <c r="C4" s="629">
        <v>0</v>
      </c>
      <c r="D4" s="71">
        <v>3</v>
      </c>
      <c r="E4" s="629">
        <v>266.53775969999998</v>
      </c>
      <c r="F4" s="71">
        <v>0</v>
      </c>
      <c r="G4" s="629">
        <v>0</v>
      </c>
      <c r="H4" s="71">
        <v>58</v>
      </c>
      <c r="I4" s="629">
        <v>68704.953550000006</v>
      </c>
      <c r="J4" s="71">
        <v>61</v>
      </c>
      <c r="K4" s="629">
        <v>68971.49130970001</v>
      </c>
    </row>
    <row r="5" spans="1:11">
      <c r="A5" s="506" t="s">
        <v>703</v>
      </c>
      <c r="B5" s="513">
        <f t="shared" ref="B5:K5" si="0">SUM(B6:B11)</f>
        <v>2</v>
      </c>
      <c r="C5" s="630">
        <f t="shared" si="0"/>
        <v>398.49864000000002</v>
      </c>
      <c r="D5" s="513">
        <f t="shared" si="0"/>
        <v>2</v>
      </c>
      <c r="E5" s="630">
        <f t="shared" si="0"/>
        <v>3024.84</v>
      </c>
      <c r="F5" s="513">
        <f t="shared" si="0"/>
        <v>0</v>
      </c>
      <c r="G5" s="630">
        <f t="shared" si="0"/>
        <v>0</v>
      </c>
      <c r="H5" s="513">
        <f t="shared" si="0"/>
        <v>46</v>
      </c>
      <c r="I5" s="630">
        <f t="shared" si="0"/>
        <v>61326.694567101993</v>
      </c>
      <c r="J5" s="513">
        <f t="shared" si="0"/>
        <v>50</v>
      </c>
      <c r="K5" s="630">
        <f t="shared" si="0"/>
        <v>64750.033207101995</v>
      </c>
    </row>
    <row r="6" spans="1:11">
      <c r="A6" s="130">
        <v>45412</v>
      </c>
      <c r="B6" s="104">
        <v>0</v>
      </c>
      <c r="C6" s="631">
        <v>0</v>
      </c>
      <c r="D6" s="104">
        <v>0</v>
      </c>
      <c r="E6" s="631">
        <v>0</v>
      </c>
      <c r="F6" s="104">
        <v>0</v>
      </c>
      <c r="G6" s="631">
        <v>0</v>
      </c>
      <c r="H6" s="104">
        <v>11</v>
      </c>
      <c r="I6" s="631">
        <v>11471.732781210001</v>
      </c>
      <c r="J6" s="104">
        <f>SUM(B6,D6,F6,H6)</f>
        <v>11</v>
      </c>
      <c r="K6" s="631">
        <f>SUM(C6,E6,G6,I6)</f>
        <v>11471.732781210001</v>
      </c>
    </row>
    <row r="7" spans="1:11">
      <c r="A7" s="130">
        <v>45443</v>
      </c>
      <c r="B7" s="104">
        <v>0</v>
      </c>
      <c r="C7" s="631">
        <v>0</v>
      </c>
      <c r="D7" s="104">
        <v>0</v>
      </c>
      <c r="E7" s="631">
        <v>0</v>
      </c>
      <c r="F7" s="104">
        <v>0</v>
      </c>
      <c r="G7" s="631">
        <v>0</v>
      </c>
      <c r="H7" s="104">
        <v>2</v>
      </c>
      <c r="I7" s="631">
        <v>3039.9998919999998</v>
      </c>
      <c r="J7" s="104">
        <f t="shared" ref="J7:K10" si="1">SUM(B7,D7,F7,H7)</f>
        <v>2</v>
      </c>
      <c r="K7" s="631">
        <f t="shared" si="1"/>
        <v>3039.9998919999998</v>
      </c>
    </row>
    <row r="8" spans="1:11">
      <c r="A8" s="130">
        <v>45473</v>
      </c>
      <c r="B8" s="104">
        <v>0</v>
      </c>
      <c r="C8" s="631">
        <v>0</v>
      </c>
      <c r="D8" s="104">
        <v>1</v>
      </c>
      <c r="E8" s="631">
        <v>24.84</v>
      </c>
      <c r="F8" s="104">
        <v>0</v>
      </c>
      <c r="G8" s="631">
        <v>0</v>
      </c>
      <c r="H8" s="104">
        <v>5</v>
      </c>
      <c r="I8" s="631">
        <v>2749.9996000000001</v>
      </c>
      <c r="J8" s="104">
        <f t="shared" si="1"/>
        <v>6</v>
      </c>
      <c r="K8" s="631">
        <f t="shared" si="1"/>
        <v>2774.8396000000002</v>
      </c>
    </row>
    <row r="9" spans="1:11">
      <c r="A9" s="130">
        <v>45504</v>
      </c>
      <c r="B9" s="104">
        <v>0</v>
      </c>
      <c r="C9" s="631">
        <v>0</v>
      </c>
      <c r="D9" s="104">
        <v>0</v>
      </c>
      <c r="E9" s="631">
        <v>0</v>
      </c>
      <c r="F9" s="104">
        <v>0</v>
      </c>
      <c r="G9" s="631">
        <v>0</v>
      </c>
      <c r="H9" s="6">
        <v>11</v>
      </c>
      <c r="I9" s="631">
        <v>13699.104579524997</v>
      </c>
      <c r="J9" s="104">
        <f t="shared" si="1"/>
        <v>11</v>
      </c>
      <c r="K9" s="631">
        <f t="shared" si="1"/>
        <v>13699.104579524997</v>
      </c>
    </row>
    <row r="10" spans="1:11">
      <c r="A10" s="130">
        <v>45535</v>
      </c>
      <c r="B10" s="6">
        <v>1</v>
      </c>
      <c r="C10" s="631">
        <v>248.50344000000001</v>
      </c>
      <c r="D10" s="104">
        <v>0</v>
      </c>
      <c r="E10" s="631">
        <v>0</v>
      </c>
      <c r="F10" s="104">
        <v>0</v>
      </c>
      <c r="G10" s="631">
        <v>0</v>
      </c>
      <c r="H10" s="6">
        <v>7</v>
      </c>
      <c r="I10" s="631">
        <v>12033.097714366997</v>
      </c>
      <c r="J10" s="104">
        <f t="shared" si="1"/>
        <v>8</v>
      </c>
      <c r="K10" s="631">
        <f t="shared" si="1"/>
        <v>12281.601154366997</v>
      </c>
    </row>
    <row r="11" spans="1:11">
      <c r="A11" s="130">
        <v>45565</v>
      </c>
      <c r="B11" s="6">
        <v>1</v>
      </c>
      <c r="C11" s="632">
        <v>149.99520000000001</v>
      </c>
      <c r="D11" s="104">
        <v>1</v>
      </c>
      <c r="E11" s="631">
        <v>3000</v>
      </c>
      <c r="F11" s="104">
        <v>0</v>
      </c>
      <c r="G11" s="631">
        <v>0</v>
      </c>
      <c r="H11" s="104">
        <v>10</v>
      </c>
      <c r="I11" s="631">
        <v>18332.759999999998</v>
      </c>
      <c r="J11" s="104">
        <f t="shared" ref="J11" si="2">SUM(B11,D11,F11,H11)</f>
        <v>12</v>
      </c>
      <c r="K11" s="631">
        <f t="shared" ref="K11" si="3">SUM(C11,E11,G11,I11)</f>
        <v>21482.7552</v>
      </c>
    </row>
    <row r="12" spans="1:11" s="192" customFormat="1">
      <c r="A12" s="320" t="s">
        <v>1373</v>
      </c>
      <c r="B12" s="406"/>
      <c r="C12" s="406"/>
      <c r="D12" s="406"/>
      <c r="E12" s="407"/>
      <c r="F12" s="406"/>
      <c r="G12" s="406"/>
      <c r="H12" s="406"/>
      <c r="I12" s="408"/>
      <c r="J12" s="409"/>
      <c r="K12" s="409"/>
    </row>
    <row r="13" spans="1:11" ht="15" customHeight="1">
      <c r="A13" s="1427" t="s">
        <v>167</v>
      </c>
      <c r="B13" s="1427"/>
      <c r="C13" s="1427"/>
      <c r="D13" s="1427"/>
      <c r="E13" s="1427"/>
      <c r="F13" s="1427"/>
      <c r="G13" s="1427"/>
      <c r="H13" s="1427"/>
      <c r="I13" s="1427"/>
      <c r="J13" s="1427"/>
      <c r="K13" s="1427"/>
    </row>
    <row r="14" spans="1:11" s="192" customFormat="1" ht="15" customHeight="1">
      <c r="A14" s="1427" t="s">
        <v>1343</v>
      </c>
      <c r="B14" s="1427"/>
      <c r="C14" s="1427"/>
      <c r="D14" s="1427"/>
      <c r="E14" s="1427"/>
      <c r="F14" s="1427"/>
      <c r="G14" s="1427"/>
      <c r="H14" s="1427"/>
      <c r="I14" s="1427"/>
      <c r="J14" s="1427"/>
      <c r="K14" s="1427"/>
    </row>
    <row r="15" spans="1:11" ht="15" customHeight="1">
      <c r="A15" s="1339" t="s">
        <v>168</v>
      </c>
      <c r="B15" s="1339"/>
      <c r="C15" s="1339"/>
      <c r="D15" s="1339"/>
      <c r="E15" s="415"/>
      <c r="F15" s="415"/>
      <c r="G15" s="415"/>
      <c r="H15" s="415"/>
      <c r="I15" s="415"/>
      <c r="J15" s="416"/>
      <c r="K15" s="416"/>
    </row>
    <row r="16" spans="1:11">
      <c r="B16" s="72"/>
      <c r="C16" s="22"/>
      <c r="D16" s="72"/>
      <c r="E16" s="22"/>
      <c r="F16" s="19"/>
      <c r="G16" s="19"/>
      <c r="H16" s="19"/>
      <c r="I16" s="19"/>
      <c r="J16" s="19"/>
      <c r="K16" s="19"/>
    </row>
    <row r="17" spans="1:11">
      <c r="A17" s="21"/>
      <c r="B17" s="72"/>
      <c r="C17" s="22"/>
      <c r="D17" s="72"/>
      <c r="E17" s="22"/>
      <c r="F17" s="19"/>
      <c r="G17" s="19"/>
      <c r="H17" s="72"/>
      <c r="I17" s="22"/>
      <c r="J17" s="19"/>
      <c r="K17" s="22"/>
    </row>
    <row r="18" spans="1:11">
      <c r="A18" s="21"/>
      <c r="B18" s="10"/>
      <c r="C18" s="10"/>
      <c r="D18" s="10"/>
      <c r="E18" s="10"/>
      <c r="F18" s="10"/>
      <c r="G18" s="10"/>
      <c r="H18" s="72"/>
      <c r="I18" s="22"/>
      <c r="J18" s="19"/>
      <c r="K18" s="22"/>
    </row>
    <row r="19" spans="1:11">
      <c r="A19" s="21"/>
      <c r="B19" s="10"/>
      <c r="C19" s="10"/>
      <c r="D19" s="10"/>
      <c r="E19" s="10"/>
      <c r="F19" s="10"/>
      <c r="G19" s="10"/>
      <c r="H19" s="10"/>
      <c r="I19" s="10"/>
      <c r="J19" s="10"/>
      <c r="K19" s="10"/>
    </row>
    <row r="20" spans="1:11">
      <c r="A20" s="21"/>
      <c r="B20" s="10"/>
      <c r="C20" s="10"/>
      <c r="D20" s="10"/>
      <c r="E20" s="10"/>
      <c r="F20" s="10"/>
      <c r="G20" s="10"/>
      <c r="H20" s="10"/>
      <c r="I20" s="10"/>
      <c r="J20" s="10"/>
      <c r="K20" s="10"/>
    </row>
    <row r="21" spans="1:11">
      <c r="A21" s="70"/>
      <c r="B21" s="73"/>
      <c r="C21" s="73"/>
      <c r="D21" s="73"/>
      <c r="E21" s="73"/>
      <c r="F21" s="73"/>
      <c r="G21" s="73"/>
      <c r="H21" s="73"/>
      <c r="I21" s="73"/>
      <c r="J21" s="73"/>
      <c r="K21" s="73"/>
    </row>
    <row r="22" spans="1:11">
      <c r="A22" s="70"/>
      <c r="B22" s="73"/>
      <c r="C22" s="73"/>
      <c r="D22" s="73"/>
      <c r="E22" s="73"/>
      <c r="F22" s="73"/>
      <c r="G22" s="73"/>
      <c r="H22" s="73"/>
      <c r="I22" s="73"/>
      <c r="J22" s="73"/>
      <c r="K22" s="73"/>
    </row>
    <row r="23" spans="1:11">
      <c r="A23" s="50"/>
      <c r="B23" s="73"/>
      <c r="C23" s="73"/>
      <c r="D23" s="73"/>
      <c r="E23" s="73"/>
      <c r="F23" s="73"/>
      <c r="G23" s="73"/>
      <c r="H23" s="73"/>
      <c r="I23" s="73"/>
      <c r="J23" s="73"/>
      <c r="K23" s="73"/>
    </row>
  </sheetData>
  <mergeCells count="10">
    <mergeCell ref="A15:D15"/>
    <mergeCell ref="A14:K14"/>
    <mergeCell ref="J2:K2"/>
    <mergeCell ref="A13:K13"/>
    <mergeCell ref="A1:I1"/>
    <mergeCell ref="A2:A3"/>
    <mergeCell ref="B2:C2"/>
    <mergeCell ref="D2:E2"/>
    <mergeCell ref="F2:G2"/>
    <mergeCell ref="H2:I2"/>
  </mergeCells>
  <printOptions horizontalCentered="1"/>
  <pageMargins left="0.7" right="0.7" top="0.75" bottom="0.75" header="0.3" footer="0.3"/>
  <pageSetup paperSize="9"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dimension ref="A1:V27"/>
  <sheetViews>
    <sheetView showGridLines="0" workbookViewId="0">
      <selection sqref="A1:I1"/>
    </sheetView>
  </sheetViews>
  <sheetFormatPr defaultRowHeight="15"/>
  <cols>
    <col min="1" max="1" width="15.140625" customWidth="1"/>
  </cols>
  <sheetData>
    <row r="1" spans="1:22">
      <c r="A1" s="1420" t="s">
        <v>8</v>
      </c>
      <c r="B1" s="1420"/>
      <c r="C1" s="1420"/>
      <c r="D1" s="1420"/>
      <c r="E1" s="1420"/>
      <c r="F1" s="1420"/>
      <c r="G1" s="1420"/>
      <c r="H1" s="1420"/>
      <c r="I1" s="1420"/>
      <c r="J1" s="51"/>
      <c r="K1" s="51"/>
    </row>
    <row r="2" spans="1:22">
      <c r="A2" s="1428" t="s">
        <v>169</v>
      </c>
      <c r="B2" s="1425" t="s">
        <v>163</v>
      </c>
      <c r="C2" s="1426"/>
      <c r="D2" s="1425" t="s">
        <v>164</v>
      </c>
      <c r="E2" s="1426"/>
      <c r="F2" s="1425" t="s">
        <v>165</v>
      </c>
      <c r="G2" s="1426"/>
      <c r="H2" s="1425" t="s">
        <v>170</v>
      </c>
      <c r="I2" s="1426"/>
      <c r="J2" s="1425" t="s">
        <v>96</v>
      </c>
      <c r="K2" s="1426"/>
    </row>
    <row r="3" spans="1:22" ht="30">
      <c r="A3" s="1429"/>
      <c r="B3" s="516" t="s">
        <v>140</v>
      </c>
      <c r="C3" s="516" t="s">
        <v>1248</v>
      </c>
      <c r="D3" s="516" t="s">
        <v>140</v>
      </c>
      <c r="E3" s="516" t="s">
        <v>1248</v>
      </c>
      <c r="F3" s="516" t="s">
        <v>140</v>
      </c>
      <c r="G3" s="516" t="s">
        <v>1248</v>
      </c>
      <c r="H3" s="516" t="s">
        <v>140</v>
      </c>
      <c r="I3" s="516" t="s">
        <v>1248</v>
      </c>
      <c r="J3" s="516" t="s">
        <v>140</v>
      </c>
      <c r="K3" s="516" t="s">
        <v>1248</v>
      </c>
    </row>
    <row r="4" spans="1:22">
      <c r="A4" s="234" t="s">
        <v>505</v>
      </c>
      <c r="B4" s="125">
        <v>354</v>
      </c>
      <c r="C4" s="633">
        <v>10393.319999999998</v>
      </c>
      <c r="D4" s="125">
        <v>73</v>
      </c>
      <c r="E4" s="633">
        <v>1010.7463999999998</v>
      </c>
      <c r="F4" s="125">
        <v>5</v>
      </c>
      <c r="G4" s="633">
        <v>41.44</v>
      </c>
      <c r="H4" s="125">
        <v>257</v>
      </c>
      <c r="I4" s="633">
        <v>33709.596000000005</v>
      </c>
      <c r="J4" s="125">
        <v>689</v>
      </c>
      <c r="K4" s="633">
        <v>45155.102399999996</v>
      </c>
      <c r="L4" s="18"/>
      <c r="M4" s="18"/>
    </row>
    <row r="5" spans="1:22">
      <c r="A5" s="506" t="s">
        <v>703</v>
      </c>
      <c r="B5" s="517">
        <f t="shared" ref="B5:K5" si="0">SUM(B6:B11)</f>
        <v>229</v>
      </c>
      <c r="C5" s="634">
        <f t="shared" si="0"/>
        <v>12254.69</v>
      </c>
      <c r="D5" s="517">
        <f t="shared" si="0"/>
        <v>80</v>
      </c>
      <c r="E5" s="634">
        <f t="shared" si="0"/>
        <v>1034.1840446649999</v>
      </c>
      <c r="F5" s="517">
        <f t="shared" si="0"/>
        <v>1</v>
      </c>
      <c r="G5" s="634">
        <f t="shared" si="0"/>
        <v>5.0199999999999996</v>
      </c>
      <c r="H5" s="517">
        <f t="shared" si="0"/>
        <v>180</v>
      </c>
      <c r="I5" s="634">
        <f t="shared" si="0"/>
        <v>44628.553623799999</v>
      </c>
      <c r="J5" s="517">
        <f t="shared" si="0"/>
        <v>490</v>
      </c>
      <c r="K5" s="634">
        <f t="shared" si="0"/>
        <v>57922.442768465</v>
      </c>
      <c r="L5" s="18"/>
      <c r="M5" s="18"/>
      <c r="N5" s="18"/>
      <c r="O5" s="18"/>
      <c r="P5" s="18"/>
      <c r="Q5" s="18"/>
      <c r="R5" s="18"/>
      <c r="S5" s="18"/>
      <c r="T5" s="18"/>
      <c r="U5" s="18"/>
      <c r="V5" s="18"/>
    </row>
    <row r="6" spans="1:22">
      <c r="A6" s="130">
        <v>45412</v>
      </c>
      <c r="B6" s="126">
        <v>51</v>
      </c>
      <c r="C6" s="635">
        <v>1387.3100000000002</v>
      </c>
      <c r="D6" s="126">
        <v>13</v>
      </c>
      <c r="E6" s="635">
        <v>206.12993134999999</v>
      </c>
      <c r="F6" s="126">
        <v>1</v>
      </c>
      <c r="G6" s="635">
        <v>5.0199999999999996</v>
      </c>
      <c r="H6" s="126">
        <v>42</v>
      </c>
      <c r="I6" s="635">
        <v>6103.73</v>
      </c>
      <c r="J6" s="126">
        <f t="shared" ref="J6:K10" si="1">B6+D6+F6+H6</f>
        <v>107</v>
      </c>
      <c r="K6" s="635">
        <f t="shared" si="1"/>
        <v>7702.1899313499998</v>
      </c>
      <c r="L6" s="18"/>
      <c r="M6" s="18"/>
    </row>
    <row r="7" spans="1:22">
      <c r="A7" s="130">
        <v>45443</v>
      </c>
      <c r="B7" s="126">
        <v>56</v>
      </c>
      <c r="C7" s="635">
        <v>839.50000000000011</v>
      </c>
      <c r="D7" s="665">
        <v>19</v>
      </c>
      <c r="E7" s="666">
        <v>135.11000000000001</v>
      </c>
      <c r="F7" s="126">
        <v>0</v>
      </c>
      <c r="G7" s="635">
        <v>0</v>
      </c>
      <c r="H7" s="126">
        <v>38</v>
      </c>
      <c r="I7" s="635">
        <v>23968.573617000002</v>
      </c>
      <c r="J7" s="126">
        <f t="shared" si="1"/>
        <v>113</v>
      </c>
      <c r="K7" s="635">
        <f t="shared" si="1"/>
        <v>24943.183617000002</v>
      </c>
      <c r="L7" s="18"/>
      <c r="M7" s="18"/>
    </row>
    <row r="8" spans="1:22">
      <c r="A8" s="130">
        <v>45473</v>
      </c>
      <c r="B8" s="126">
        <v>26</v>
      </c>
      <c r="C8" s="635">
        <v>822.4</v>
      </c>
      <c r="D8" s="126">
        <v>13</v>
      </c>
      <c r="E8" s="635">
        <v>187.04359809999997</v>
      </c>
      <c r="F8" s="126">
        <v>0</v>
      </c>
      <c r="G8" s="635">
        <v>0</v>
      </c>
      <c r="H8" s="126">
        <v>22</v>
      </c>
      <c r="I8" s="635">
        <v>5985.75</v>
      </c>
      <c r="J8" s="126">
        <f t="shared" si="1"/>
        <v>61</v>
      </c>
      <c r="K8" s="635">
        <f t="shared" si="1"/>
        <v>6995.1935980999997</v>
      </c>
      <c r="L8" s="18"/>
      <c r="M8" s="18"/>
    </row>
    <row r="9" spans="1:22">
      <c r="A9" s="130">
        <v>45504</v>
      </c>
      <c r="B9" s="126">
        <v>32</v>
      </c>
      <c r="C9" s="635">
        <v>489.7</v>
      </c>
      <c r="D9" s="126">
        <v>12</v>
      </c>
      <c r="E9" s="635">
        <v>119.80251000000001</v>
      </c>
      <c r="F9" s="126">
        <v>0</v>
      </c>
      <c r="G9" s="635">
        <v>0</v>
      </c>
      <c r="H9" s="126">
        <v>19</v>
      </c>
      <c r="I9" s="635">
        <v>3714.7100068</v>
      </c>
      <c r="J9" s="126">
        <f t="shared" si="1"/>
        <v>63</v>
      </c>
      <c r="K9" s="635">
        <f t="shared" si="1"/>
        <v>4324.2125168000002</v>
      </c>
      <c r="L9" s="18"/>
      <c r="M9" s="18"/>
    </row>
    <row r="10" spans="1:22">
      <c r="A10" s="130">
        <v>45535</v>
      </c>
      <c r="B10" s="126">
        <v>30</v>
      </c>
      <c r="C10" s="635">
        <v>618.3900000000001</v>
      </c>
      <c r="D10" s="126">
        <v>12</v>
      </c>
      <c r="E10" s="635">
        <v>151.06310521500001</v>
      </c>
      <c r="F10" s="126">
        <v>0</v>
      </c>
      <c r="G10" s="635">
        <v>0</v>
      </c>
      <c r="H10" s="126">
        <v>34</v>
      </c>
      <c r="I10" s="635">
        <v>590.71999999999991</v>
      </c>
      <c r="J10" s="126">
        <f>B10+D10+F10+H10</f>
        <v>76</v>
      </c>
      <c r="K10" s="635">
        <f t="shared" si="1"/>
        <v>1360.1731052149999</v>
      </c>
      <c r="L10" s="18"/>
      <c r="M10" s="18"/>
    </row>
    <row r="11" spans="1:22">
      <c r="A11" s="130">
        <v>45565</v>
      </c>
      <c r="B11" s="126">
        <v>34</v>
      </c>
      <c r="C11" s="635">
        <v>8097.39</v>
      </c>
      <c r="D11" s="126">
        <v>11</v>
      </c>
      <c r="E11" s="635">
        <v>235.03489999999999</v>
      </c>
      <c r="F11" s="126">
        <v>0</v>
      </c>
      <c r="G11" s="635">
        <v>0</v>
      </c>
      <c r="H11" s="126">
        <v>25</v>
      </c>
      <c r="I11" s="635">
        <v>4265.07</v>
      </c>
      <c r="J11" s="126">
        <f>B11+D11+F11+H11</f>
        <v>70</v>
      </c>
      <c r="K11" s="635">
        <v>12597.49</v>
      </c>
      <c r="L11" s="18"/>
      <c r="M11" s="18"/>
    </row>
    <row r="12" spans="1:22" s="192" customFormat="1">
      <c r="A12" s="320" t="s">
        <v>1373</v>
      </c>
      <c r="B12" s="410"/>
      <c r="C12" s="411"/>
      <c r="D12" s="411"/>
      <c r="E12" s="411"/>
      <c r="F12" s="411"/>
      <c r="G12" s="411"/>
      <c r="H12" s="411"/>
      <c r="I12" s="411"/>
      <c r="J12" s="411"/>
      <c r="K12" s="411"/>
    </row>
    <row r="13" spans="1:22">
      <c r="A13" s="5" t="s">
        <v>171</v>
      </c>
      <c r="B13" s="5"/>
      <c r="C13" s="5"/>
      <c r="D13" s="20"/>
      <c r="E13" s="20"/>
      <c r="F13" s="20"/>
      <c r="G13" s="20"/>
      <c r="H13" s="20"/>
      <c r="I13" s="20"/>
      <c r="J13" s="20"/>
      <c r="K13" s="20"/>
    </row>
    <row r="14" spans="1:22">
      <c r="A14" s="57" t="s">
        <v>168</v>
      </c>
      <c r="B14" s="57"/>
      <c r="C14" s="23"/>
      <c r="D14" s="20"/>
      <c r="E14" s="20"/>
      <c r="F14" s="20"/>
      <c r="G14" s="20"/>
      <c r="H14" s="20"/>
      <c r="I14" s="20"/>
      <c r="J14" s="20"/>
      <c r="K14" s="20"/>
    </row>
    <row r="15" spans="1:22">
      <c r="B15" s="20"/>
      <c r="C15" s="20"/>
      <c r="D15" s="20"/>
      <c r="E15" s="20"/>
      <c r="F15" s="20"/>
      <c r="G15" s="20"/>
      <c r="H15" s="20"/>
      <c r="I15" s="20"/>
      <c r="J15" s="20"/>
      <c r="K15" s="20"/>
    </row>
    <row r="16" spans="1:22">
      <c r="A16" s="21"/>
      <c r="B16" s="74"/>
      <c r="C16" s="74"/>
      <c r="D16" s="667"/>
      <c r="E16" s="74"/>
      <c r="F16" s="74"/>
      <c r="G16" s="74"/>
      <c r="H16" s="74"/>
      <c r="I16" s="74"/>
      <c r="J16" s="74"/>
      <c r="K16" s="74"/>
    </row>
    <row r="17" spans="1:11">
      <c r="A17" s="21"/>
      <c r="B17" s="74"/>
      <c r="C17" s="74"/>
      <c r="D17" s="74"/>
      <c r="E17" s="74"/>
      <c r="F17" s="74"/>
      <c r="G17" s="74"/>
      <c r="H17" s="74"/>
      <c r="I17" s="75"/>
      <c r="J17" s="74"/>
      <c r="K17" s="74"/>
    </row>
    <row r="18" spans="1:11">
      <c r="A18" s="21"/>
      <c r="B18" s="74"/>
      <c r="C18" s="74"/>
      <c r="D18" s="74"/>
      <c r="E18" s="74"/>
      <c r="F18" s="74"/>
      <c r="G18" s="74"/>
      <c r="H18" s="74"/>
      <c r="I18" s="74"/>
      <c r="J18" s="74"/>
      <c r="K18" s="74"/>
    </row>
    <row r="19" spans="1:11">
      <c r="A19" s="21"/>
      <c r="B19" s="74"/>
      <c r="C19" s="74"/>
      <c r="D19" s="74"/>
      <c r="E19" s="74"/>
      <c r="F19" s="74"/>
      <c r="G19" s="74"/>
      <c r="H19" s="74"/>
      <c r="I19" s="74"/>
      <c r="J19" s="74"/>
      <c r="K19" s="74"/>
    </row>
    <row r="20" spans="1:11">
      <c r="A20" s="70"/>
      <c r="B20" s="76"/>
      <c r="C20" s="76"/>
      <c r="D20" s="76"/>
      <c r="E20" s="76"/>
      <c r="F20" s="76"/>
      <c r="G20" s="76"/>
      <c r="H20" s="76"/>
      <c r="I20" s="77"/>
      <c r="J20" s="76"/>
      <c r="K20" s="77"/>
    </row>
    <row r="21" spans="1:11">
      <c r="A21" s="70"/>
      <c r="B21" s="76"/>
      <c r="C21" s="76"/>
      <c r="D21" s="76"/>
      <c r="E21" s="76"/>
      <c r="F21" s="76"/>
      <c r="G21" s="76"/>
      <c r="H21" s="76"/>
      <c r="I21" s="76"/>
      <c r="J21" s="76"/>
      <c r="K21" s="76"/>
    </row>
    <row r="22" spans="1:11">
      <c r="A22" s="50"/>
      <c r="B22" s="76"/>
      <c r="C22" s="76"/>
      <c r="D22" s="76"/>
      <c r="E22" s="76"/>
      <c r="F22" s="76"/>
      <c r="G22" s="76"/>
      <c r="H22" s="76"/>
      <c r="I22" s="76"/>
      <c r="J22" s="76"/>
      <c r="K22" s="76"/>
    </row>
    <row r="23" spans="1:11">
      <c r="A23" s="50"/>
      <c r="B23" s="76"/>
      <c r="C23" s="76"/>
      <c r="D23" s="76"/>
      <c r="E23" s="76"/>
      <c r="F23" s="76"/>
      <c r="G23" s="76"/>
      <c r="H23" s="76"/>
      <c r="I23" s="76"/>
      <c r="J23" s="76"/>
      <c r="K23" s="76"/>
    </row>
    <row r="25" spans="1:11">
      <c r="D25" s="78"/>
      <c r="E25" s="65"/>
      <c r="F25" s="65"/>
      <c r="G25" s="65"/>
      <c r="H25" s="65"/>
      <c r="I25" s="65"/>
      <c r="J25" s="65"/>
      <c r="K25" s="65"/>
    </row>
    <row r="26" spans="1:11">
      <c r="D26" s="23"/>
      <c r="E26" s="65"/>
      <c r="F26" s="65"/>
      <c r="G26" s="65"/>
      <c r="H26" s="65"/>
      <c r="I26" s="65"/>
      <c r="J26" s="65"/>
      <c r="K26" s="65"/>
    </row>
    <row r="27" spans="1:11">
      <c r="D27" s="79"/>
      <c r="E27" s="79"/>
      <c r="F27" s="79"/>
      <c r="G27" s="79"/>
      <c r="H27" s="79"/>
      <c r="I27" s="79"/>
      <c r="J27" s="79"/>
      <c r="K27" s="79"/>
    </row>
  </sheetData>
  <mergeCells count="7">
    <mergeCell ref="J2:K2"/>
    <mergeCell ref="A1:I1"/>
    <mergeCell ref="A2:A3"/>
    <mergeCell ref="B2:C2"/>
    <mergeCell ref="D2:E2"/>
    <mergeCell ref="F2:G2"/>
    <mergeCell ref="H2:I2"/>
  </mergeCells>
  <printOptions horizontalCentered="1"/>
  <pageMargins left="0.7" right="0.7" top="0.75" bottom="0.75" header="0.3" footer="0.3"/>
  <pageSetup paperSize="9"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pageSetUpPr fitToPage="1"/>
  </sheetPr>
  <dimension ref="A1:U17"/>
  <sheetViews>
    <sheetView showGridLines="0" workbookViewId="0">
      <selection activeCell="A12" sqref="A12"/>
    </sheetView>
  </sheetViews>
  <sheetFormatPr defaultColWidth="9.140625" defaultRowHeight="15"/>
  <cols>
    <col min="1" max="2" width="14.5703125" style="80" bestFit="1" customWidth="1"/>
    <col min="3" max="3" width="15.85546875" style="80" bestFit="1" customWidth="1"/>
    <col min="4" max="4" width="14.5703125" style="80" bestFit="1" customWidth="1"/>
    <col min="5" max="5" width="15.85546875" style="80" bestFit="1" customWidth="1"/>
    <col min="6" max="6" width="14.5703125" style="80" bestFit="1" customWidth="1"/>
    <col min="7" max="7" width="15.85546875" style="80" bestFit="1" customWidth="1"/>
    <col min="8" max="8" width="9.5703125" style="80" customWidth="1"/>
    <col min="9" max="9" width="15.85546875" style="80" bestFit="1" customWidth="1"/>
    <col min="10" max="10" width="8.5703125" style="80" customWidth="1"/>
    <col min="11" max="16384" width="9.140625" style="80"/>
  </cols>
  <sheetData>
    <row r="1" spans="1:21" ht="15.75" customHeight="1">
      <c r="A1" s="1431" t="s">
        <v>702</v>
      </c>
      <c r="B1" s="1431"/>
      <c r="C1" s="1431"/>
      <c r="D1" s="1431"/>
      <c r="E1" s="1431"/>
      <c r="F1" s="1431"/>
      <c r="G1" s="1431"/>
      <c r="H1" s="1431"/>
      <c r="I1" s="1431"/>
    </row>
    <row r="2" spans="1:21" s="81" customFormat="1" ht="18" customHeight="1">
      <c r="A2" s="1432" t="s">
        <v>169</v>
      </c>
      <c r="B2" s="1434" t="s">
        <v>164</v>
      </c>
      <c r="C2" s="1435"/>
      <c r="D2" s="1434" t="s">
        <v>163</v>
      </c>
      <c r="E2" s="1435"/>
      <c r="F2" s="1434" t="s">
        <v>166</v>
      </c>
      <c r="G2" s="1435"/>
      <c r="H2" s="1434" t="s">
        <v>96</v>
      </c>
      <c r="I2" s="1435"/>
    </row>
    <row r="3" spans="1:21" s="81" customFormat="1" ht="27" customHeight="1">
      <c r="A3" s="1433"/>
      <c r="B3" s="519" t="s">
        <v>140</v>
      </c>
      <c r="C3" s="519" t="s">
        <v>1248</v>
      </c>
      <c r="D3" s="519" t="s">
        <v>140</v>
      </c>
      <c r="E3" s="519" t="s">
        <v>1248</v>
      </c>
      <c r="F3" s="519" t="s">
        <v>140</v>
      </c>
      <c r="G3" s="519" t="s">
        <v>1248</v>
      </c>
      <c r="H3" s="519" t="s">
        <v>140</v>
      </c>
      <c r="I3" s="519" t="s">
        <v>1248</v>
      </c>
    </row>
    <row r="4" spans="1:21" s="84" customFormat="1" ht="18" customHeight="1">
      <c r="A4" s="234" t="s">
        <v>505</v>
      </c>
      <c r="B4" s="201">
        <v>288</v>
      </c>
      <c r="C4" s="636">
        <v>255227.82389999996</v>
      </c>
      <c r="D4" s="201">
        <v>945</v>
      </c>
      <c r="E4" s="636">
        <v>297407.27326509001</v>
      </c>
      <c r="F4" s="201">
        <v>114</v>
      </c>
      <c r="G4" s="636">
        <v>285120.4498</v>
      </c>
      <c r="H4" s="201">
        <v>1347</v>
      </c>
      <c r="I4" s="640">
        <v>837755.54696509009</v>
      </c>
      <c r="J4" s="1297"/>
      <c r="K4" s="1297"/>
    </row>
    <row r="5" spans="1:21" s="84" customFormat="1" ht="18" customHeight="1">
      <c r="A5" s="506" t="s">
        <v>703</v>
      </c>
      <c r="B5" s="518">
        <f t="shared" ref="B5:I5" si="0">SUM(B6:B11)</f>
        <v>164</v>
      </c>
      <c r="C5" s="637">
        <f t="shared" si="0"/>
        <v>144608.32000000001</v>
      </c>
      <c r="D5" s="518">
        <f t="shared" si="0"/>
        <v>577</v>
      </c>
      <c r="E5" s="637">
        <f t="shared" si="0"/>
        <v>176359.91</v>
      </c>
      <c r="F5" s="518">
        <f t="shared" si="0"/>
        <v>76</v>
      </c>
      <c r="G5" s="637">
        <f t="shared" si="0"/>
        <v>135842.53</v>
      </c>
      <c r="H5" s="518">
        <f t="shared" si="0"/>
        <v>817</v>
      </c>
      <c r="I5" s="637">
        <f t="shared" si="0"/>
        <v>456810.76</v>
      </c>
      <c r="J5" s="1297"/>
      <c r="K5" s="1297"/>
      <c r="L5" s="85"/>
      <c r="M5" s="85"/>
      <c r="N5" s="85"/>
      <c r="O5" s="85"/>
      <c r="P5" s="85"/>
      <c r="Q5" s="85"/>
      <c r="R5" s="85"/>
      <c r="S5" s="85"/>
      <c r="T5" s="85"/>
      <c r="U5" s="85"/>
    </row>
    <row r="6" spans="1:21" s="81" customFormat="1" ht="18" customHeight="1">
      <c r="A6" s="130">
        <v>45412</v>
      </c>
      <c r="B6" s="202">
        <v>11</v>
      </c>
      <c r="C6" s="638">
        <v>9221.6200000000008</v>
      </c>
      <c r="D6" s="202">
        <v>83</v>
      </c>
      <c r="E6" s="638">
        <v>14558.02</v>
      </c>
      <c r="F6" s="202">
        <v>7</v>
      </c>
      <c r="G6" s="638">
        <v>6728.77</v>
      </c>
      <c r="H6" s="89">
        <f>SUM(B6,D6,F6)</f>
        <v>101</v>
      </c>
      <c r="I6" s="639">
        <f>SUM(C6,E6,G6)</f>
        <v>30508.41</v>
      </c>
      <c r="J6" s="1297"/>
      <c r="K6" s="1297"/>
    </row>
    <row r="7" spans="1:21" s="81" customFormat="1" ht="18" customHeight="1">
      <c r="A7" s="130">
        <v>45413</v>
      </c>
      <c r="B7" s="202">
        <v>25</v>
      </c>
      <c r="C7" s="638">
        <v>20113.97</v>
      </c>
      <c r="D7" s="202">
        <v>89</v>
      </c>
      <c r="E7" s="638">
        <v>30261.14</v>
      </c>
      <c r="F7" s="202">
        <v>9</v>
      </c>
      <c r="G7" s="638">
        <v>10852.09</v>
      </c>
      <c r="H7" s="89">
        <v>123</v>
      </c>
      <c r="I7" s="639">
        <v>61227.199999999997</v>
      </c>
      <c r="J7" s="1297"/>
      <c r="K7" s="1297"/>
    </row>
    <row r="8" spans="1:21" s="81" customFormat="1" ht="18" customHeight="1">
      <c r="A8" s="130">
        <v>45444</v>
      </c>
      <c r="B8" s="202">
        <v>27</v>
      </c>
      <c r="C8" s="638">
        <v>18962.73</v>
      </c>
      <c r="D8" s="202">
        <v>95</v>
      </c>
      <c r="E8" s="638">
        <v>22087.75</v>
      </c>
      <c r="F8" s="202">
        <v>9</v>
      </c>
      <c r="G8" s="638">
        <v>23246.67</v>
      </c>
      <c r="H8" s="89">
        <v>131</v>
      </c>
      <c r="I8" s="639">
        <v>64297.15</v>
      </c>
      <c r="J8" s="1297"/>
      <c r="K8" s="1297"/>
    </row>
    <row r="9" spans="1:21" s="81" customFormat="1" ht="18" customHeight="1">
      <c r="A9" s="130">
        <v>45474</v>
      </c>
      <c r="B9" s="202">
        <v>30</v>
      </c>
      <c r="C9" s="638">
        <v>32469</v>
      </c>
      <c r="D9" s="202">
        <v>88</v>
      </c>
      <c r="E9" s="638">
        <v>29477</v>
      </c>
      <c r="F9" s="202">
        <v>17</v>
      </c>
      <c r="G9" s="638">
        <v>32098</v>
      </c>
      <c r="H9" s="89">
        <v>135</v>
      </c>
      <c r="I9" s="639">
        <v>94044</v>
      </c>
      <c r="J9" s="1297"/>
      <c r="K9" s="1297"/>
    </row>
    <row r="10" spans="1:21" s="81" customFormat="1" ht="18" customHeight="1">
      <c r="A10" s="130">
        <v>45505</v>
      </c>
      <c r="B10" s="202">
        <v>28</v>
      </c>
      <c r="C10" s="638">
        <v>16580</v>
      </c>
      <c r="D10" s="202">
        <v>122</v>
      </c>
      <c r="E10" s="638">
        <v>26124</v>
      </c>
      <c r="F10" s="202">
        <v>20</v>
      </c>
      <c r="G10" s="638">
        <v>36708</v>
      </c>
      <c r="H10" s="89">
        <v>170</v>
      </c>
      <c r="I10" s="639">
        <v>79412</v>
      </c>
      <c r="J10" s="1297"/>
      <c r="K10" s="1297"/>
    </row>
    <row r="11" spans="1:21" s="81" customFormat="1" ht="18" customHeight="1">
      <c r="A11" s="130">
        <v>45536</v>
      </c>
      <c r="B11" s="202">
        <v>43</v>
      </c>
      <c r="C11" s="638">
        <v>47261</v>
      </c>
      <c r="D11" s="202">
        <v>100</v>
      </c>
      <c r="E11" s="638">
        <v>53852</v>
      </c>
      <c r="F11" s="202">
        <v>14</v>
      </c>
      <c r="G11" s="638">
        <v>26209</v>
      </c>
      <c r="H11" s="89">
        <v>157</v>
      </c>
      <c r="I11" s="639">
        <v>127322</v>
      </c>
      <c r="J11" s="1297"/>
      <c r="K11" s="1297"/>
    </row>
    <row r="12" spans="1:21" s="191" customFormat="1" ht="18" customHeight="1">
      <c r="A12" s="320" t="s">
        <v>1445</v>
      </c>
      <c r="B12" s="412"/>
      <c r="C12" s="413"/>
      <c r="D12" s="412"/>
      <c r="E12" s="413"/>
      <c r="F12" s="412"/>
      <c r="G12" s="413"/>
      <c r="H12" s="414"/>
      <c r="I12" s="209"/>
    </row>
    <row r="13" spans="1:21" s="81" customFormat="1" ht="13.5" customHeight="1">
      <c r="A13" s="1430" t="s">
        <v>172</v>
      </c>
      <c r="B13" s="1430"/>
    </row>
    <row r="14" spans="1:21">
      <c r="C14" s="91"/>
      <c r="H14" s="92"/>
      <c r="I14" s="93"/>
    </row>
    <row r="15" spans="1:21">
      <c r="I15" s="91"/>
    </row>
    <row r="16" spans="1:21" ht="0.75" customHeight="1"/>
    <row r="17" spans="2:9">
      <c r="B17" s="92"/>
      <c r="C17" s="92"/>
      <c r="D17" s="92"/>
      <c r="E17" s="92"/>
      <c r="F17" s="92"/>
      <c r="G17" s="92"/>
      <c r="H17" s="92"/>
      <c r="I17" s="92"/>
    </row>
  </sheetData>
  <mergeCells count="7">
    <mergeCell ref="A13:B13"/>
    <mergeCell ref="A1:I1"/>
    <mergeCell ref="A2:A3"/>
    <mergeCell ref="B2:C2"/>
    <mergeCell ref="D2:E2"/>
    <mergeCell ref="F2:G2"/>
    <mergeCell ref="H2:I2"/>
  </mergeCells>
  <printOptions horizontalCentered="1"/>
  <pageMargins left="0.78431372549019618" right="0.78431372549019618" top="0.98039215686274517" bottom="0.98039215686274517" header="0.50980392156862753" footer="0.50980392156862753"/>
  <pageSetup paperSize="9" scale="98" orientation="landscape" useFirstPageNumber="1"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15"/>
  <sheetViews>
    <sheetView showGridLines="0" workbookViewId="0"/>
  </sheetViews>
  <sheetFormatPr defaultRowHeight="15"/>
  <cols>
    <col min="1" max="1" width="13.140625" style="192" customWidth="1"/>
    <col min="2" max="2" width="8.7109375" style="192" customWidth="1"/>
    <col min="3" max="3" width="13.28515625" style="192" customWidth="1"/>
    <col min="4" max="6" width="8.7109375" style="192" customWidth="1"/>
    <col min="7" max="7" width="13.7109375" style="192" customWidth="1"/>
    <col min="8" max="16" width="8.7109375" style="192" customWidth="1"/>
    <col min="17" max="17" width="13.5703125" style="192" customWidth="1"/>
    <col min="18" max="16384" width="9.140625" style="192"/>
  </cols>
  <sheetData>
    <row r="1" spans="1:19">
      <c r="A1" s="137" t="s">
        <v>9</v>
      </c>
    </row>
    <row r="2" spans="1:19" ht="45" customHeight="1">
      <c r="A2" s="1437" t="s">
        <v>115</v>
      </c>
      <c r="B2" s="1436" t="s">
        <v>801</v>
      </c>
      <c r="C2" s="1436"/>
      <c r="D2" s="1436"/>
      <c r="E2" s="1436"/>
      <c r="F2" s="1438" t="s">
        <v>802</v>
      </c>
      <c r="G2" s="1438"/>
      <c r="H2" s="1438"/>
      <c r="I2" s="1438"/>
      <c r="J2" s="1407" t="s">
        <v>803</v>
      </c>
      <c r="K2" s="1407"/>
      <c r="L2" s="1407" t="s">
        <v>804</v>
      </c>
      <c r="M2" s="1407"/>
      <c r="N2" s="1407"/>
      <c r="O2" s="1407"/>
      <c r="P2" s="1407" t="s">
        <v>805</v>
      </c>
      <c r="Q2" s="1407"/>
    </row>
    <row r="3" spans="1:19">
      <c r="A3" s="1437"/>
      <c r="B3" s="1436" t="s">
        <v>806</v>
      </c>
      <c r="C3" s="1436"/>
      <c r="D3" s="1436" t="s">
        <v>807</v>
      </c>
      <c r="E3" s="1436"/>
      <c r="F3" s="1436" t="s">
        <v>806</v>
      </c>
      <c r="G3" s="1436"/>
      <c r="H3" s="1436" t="s">
        <v>807</v>
      </c>
      <c r="I3" s="1436"/>
      <c r="J3" s="1407"/>
      <c r="K3" s="1407"/>
      <c r="L3" s="1436" t="s">
        <v>806</v>
      </c>
      <c r="M3" s="1436"/>
      <c r="N3" s="1436" t="s">
        <v>807</v>
      </c>
      <c r="O3" s="1436"/>
      <c r="P3" s="1407"/>
      <c r="Q3" s="1407"/>
    </row>
    <row r="4" spans="1:19" ht="45">
      <c r="A4" s="1437"/>
      <c r="B4" s="520" t="s">
        <v>808</v>
      </c>
      <c r="C4" s="520" t="s">
        <v>123</v>
      </c>
      <c r="D4" s="520" t="s">
        <v>808</v>
      </c>
      <c r="E4" s="520" t="s">
        <v>123</v>
      </c>
      <c r="F4" s="520" t="s">
        <v>808</v>
      </c>
      <c r="G4" s="520" t="s">
        <v>123</v>
      </c>
      <c r="H4" s="520" t="s">
        <v>808</v>
      </c>
      <c r="I4" s="520" t="s">
        <v>123</v>
      </c>
      <c r="J4" s="520" t="s">
        <v>808</v>
      </c>
      <c r="K4" s="520" t="s">
        <v>123</v>
      </c>
      <c r="L4" s="520" t="s">
        <v>808</v>
      </c>
      <c r="M4" s="520" t="s">
        <v>123</v>
      </c>
      <c r="N4" s="520" t="s">
        <v>808</v>
      </c>
      <c r="O4" s="520" t="s">
        <v>123</v>
      </c>
      <c r="P4" s="520" t="s">
        <v>808</v>
      </c>
      <c r="Q4" s="520" t="s">
        <v>123</v>
      </c>
    </row>
    <row r="5" spans="1:19">
      <c r="A5" s="295" t="s">
        <v>505</v>
      </c>
      <c r="B5" s="189">
        <v>339906</v>
      </c>
      <c r="C5" s="641">
        <v>140568.51</v>
      </c>
      <c r="D5" s="189">
        <v>22123</v>
      </c>
      <c r="E5" s="641">
        <v>66811.259999999995</v>
      </c>
      <c r="F5" s="189">
        <v>751149</v>
      </c>
      <c r="G5" s="641">
        <v>1078970.79</v>
      </c>
      <c r="H5" s="189">
        <v>10683</v>
      </c>
      <c r="I5" s="641">
        <v>39274.17</v>
      </c>
      <c r="J5" s="189">
        <v>0</v>
      </c>
      <c r="K5" s="641">
        <v>0</v>
      </c>
      <c r="L5" s="189">
        <v>132578</v>
      </c>
      <c r="M5" s="641">
        <v>18900.330000000002</v>
      </c>
      <c r="N5" s="189">
        <v>34998</v>
      </c>
      <c r="O5" s="641">
        <v>28868.97</v>
      </c>
      <c r="P5" s="189">
        <v>1291437</v>
      </c>
      <c r="Q5" s="641">
        <v>1373394.02</v>
      </c>
    </row>
    <row r="6" spans="1:19">
      <c r="A6" s="521" t="s">
        <v>703</v>
      </c>
      <c r="B6" s="522">
        <f t="shared" ref="B6:P6" si="0">SUM(B7:B12)</f>
        <v>163904</v>
      </c>
      <c r="C6" s="642">
        <f t="shared" si="0"/>
        <v>60038.161771989006</v>
      </c>
      <c r="D6" s="522">
        <f t="shared" si="0"/>
        <v>12586</v>
      </c>
      <c r="E6" s="642">
        <f t="shared" si="0"/>
        <v>34892.87799198</v>
      </c>
      <c r="F6" s="522">
        <f t="shared" si="0"/>
        <v>376122</v>
      </c>
      <c r="G6" s="642">
        <f t="shared" si="0"/>
        <v>642837.95816297992</v>
      </c>
      <c r="H6" s="522">
        <f t="shared" si="0"/>
        <v>3336</v>
      </c>
      <c r="I6" s="642">
        <f t="shared" si="0"/>
        <v>21105.072334012002</v>
      </c>
      <c r="J6" s="522">
        <f t="shared" si="0"/>
        <v>0</v>
      </c>
      <c r="K6" s="642">
        <f t="shared" si="0"/>
        <v>0</v>
      </c>
      <c r="L6" s="522">
        <f t="shared" si="0"/>
        <v>12812</v>
      </c>
      <c r="M6" s="642">
        <f t="shared" si="0"/>
        <v>4812.0116292562006</v>
      </c>
      <c r="N6" s="522">
        <f t="shared" si="0"/>
        <v>16025</v>
      </c>
      <c r="O6" s="642">
        <f t="shared" si="0"/>
        <v>20322.217859997003</v>
      </c>
      <c r="P6" s="522">
        <f t="shared" si="0"/>
        <v>584785</v>
      </c>
      <c r="Q6" s="642">
        <f>SUM(Q7:Q12)</f>
        <v>784008.31685021427</v>
      </c>
      <c r="R6" s="18"/>
      <c r="S6" s="18"/>
    </row>
    <row r="7" spans="1:19">
      <c r="A7" s="130">
        <v>45412</v>
      </c>
      <c r="B7" s="189">
        <v>25903</v>
      </c>
      <c r="C7" s="641">
        <v>7415.3069999999998</v>
      </c>
      <c r="D7" s="189">
        <v>1977</v>
      </c>
      <c r="E7" s="641">
        <v>5249.3419999999996</v>
      </c>
      <c r="F7" s="189">
        <v>64127</v>
      </c>
      <c r="G7" s="641">
        <v>78200.87</v>
      </c>
      <c r="H7" s="189">
        <v>610</v>
      </c>
      <c r="I7" s="641">
        <v>4241.9880000000003</v>
      </c>
      <c r="J7" s="189">
        <v>0</v>
      </c>
      <c r="K7" s="641">
        <v>0</v>
      </c>
      <c r="L7" s="189">
        <v>2555</v>
      </c>
      <c r="M7" s="641">
        <v>1011.408</v>
      </c>
      <c r="N7" s="189">
        <v>2836</v>
      </c>
      <c r="O7" s="641">
        <v>2708.5230000000001</v>
      </c>
      <c r="P7" s="189">
        <v>98008</v>
      </c>
      <c r="Q7" s="641">
        <v>98827.44</v>
      </c>
      <c r="R7" s="18"/>
      <c r="S7" s="18"/>
    </row>
    <row r="8" spans="1:19">
      <c r="A8" s="130">
        <v>45443</v>
      </c>
      <c r="B8" s="189">
        <v>27094</v>
      </c>
      <c r="C8" s="641">
        <v>10486.48</v>
      </c>
      <c r="D8" s="189">
        <v>2124</v>
      </c>
      <c r="E8" s="641">
        <v>5852.2659999999996</v>
      </c>
      <c r="F8" s="189">
        <v>61350</v>
      </c>
      <c r="G8" s="641">
        <v>101645.8</v>
      </c>
      <c r="H8" s="189">
        <v>582</v>
      </c>
      <c r="I8" s="641">
        <v>6548.7650000000003</v>
      </c>
      <c r="J8" s="189">
        <v>0</v>
      </c>
      <c r="K8" s="641">
        <v>0</v>
      </c>
      <c r="L8" s="189">
        <v>2280</v>
      </c>
      <c r="M8" s="641">
        <v>915.93489999999997</v>
      </c>
      <c r="N8" s="189">
        <v>2479</v>
      </c>
      <c r="O8" s="641">
        <v>4802.7709999999997</v>
      </c>
      <c r="P8" s="189">
        <v>95909</v>
      </c>
      <c r="Q8" s="641">
        <v>130252</v>
      </c>
      <c r="R8" s="18"/>
      <c r="S8" s="18"/>
    </row>
    <row r="9" spans="1:19">
      <c r="A9" s="130">
        <v>45473</v>
      </c>
      <c r="B9" s="189">
        <v>24202</v>
      </c>
      <c r="C9" s="641">
        <v>11080.92</v>
      </c>
      <c r="D9" s="189">
        <v>1708</v>
      </c>
      <c r="E9" s="641">
        <v>5762.8289999999997</v>
      </c>
      <c r="F9" s="189">
        <v>54517</v>
      </c>
      <c r="G9" s="641">
        <v>95480.17</v>
      </c>
      <c r="H9" s="189">
        <v>474</v>
      </c>
      <c r="I9" s="641">
        <v>3057.8670000000002</v>
      </c>
      <c r="J9" s="189">
        <v>0</v>
      </c>
      <c r="K9" s="641">
        <v>0</v>
      </c>
      <c r="L9" s="189">
        <v>1669</v>
      </c>
      <c r="M9" s="641">
        <v>733.38300000000004</v>
      </c>
      <c r="N9" s="189">
        <v>2562</v>
      </c>
      <c r="O9" s="641">
        <v>2355.4989999999998</v>
      </c>
      <c r="P9" s="189">
        <v>85132</v>
      </c>
      <c r="Q9" s="641">
        <v>118470.7</v>
      </c>
      <c r="R9" s="18"/>
      <c r="S9" s="18"/>
    </row>
    <row r="10" spans="1:19">
      <c r="A10" s="130">
        <v>45504</v>
      </c>
      <c r="B10" s="189">
        <v>28608</v>
      </c>
      <c r="C10" s="641">
        <v>9718.8383048229989</v>
      </c>
      <c r="D10" s="189">
        <v>2183</v>
      </c>
      <c r="E10" s="641">
        <v>6773.3219200819995</v>
      </c>
      <c r="F10" s="189">
        <v>63631</v>
      </c>
      <c r="G10" s="641">
        <v>118028.842371359</v>
      </c>
      <c r="H10" s="189">
        <v>522</v>
      </c>
      <c r="I10" s="641">
        <v>2735.7882574239989</v>
      </c>
      <c r="J10" s="189">
        <v>0</v>
      </c>
      <c r="K10" s="641">
        <v>0</v>
      </c>
      <c r="L10" s="189">
        <v>1949</v>
      </c>
      <c r="M10" s="641">
        <v>940.16475554740009</v>
      </c>
      <c r="N10" s="189">
        <v>3130</v>
      </c>
      <c r="O10" s="641">
        <v>2225.5902979999992</v>
      </c>
      <c r="P10" s="189">
        <v>100023</v>
      </c>
      <c r="Q10" s="641">
        <v>140422.54590723538</v>
      </c>
      <c r="R10" s="18"/>
      <c r="S10" s="18"/>
    </row>
    <row r="11" spans="1:19">
      <c r="A11" s="130">
        <v>45535</v>
      </c>
      <c r="B11" s="189">
        <v>28080</v>
      </c>
      <c r="C11" s="641">
        <v>9783.3579771769982</v>
      </c>
      <c r="D11" s="189">
        <v>1989</v>
      </c>
      <c r="E11" s="641">
        <v>5244.374219485001</v>
      </c>
      <c r="F11" s="189">
        <v>63748</v>
      </c>
      <c r="G11" s="641">
        <v>122629.80579162098</v>
      </c>
      <c r="H11" s="189">
        <v>408</v>
      </c>
      <c r="I11" s="641">
        <v>2319.654076588</v>
      </c>
      <c r="J11" s="189">
        <v>0</v>
      </c>
      <c r="K11" s="641">
        <v>0</v>
      </c>
      <c r="L11" s="189">
        <v>2323</v>
      </c>
      <c r="M11" s="641">
        <v>695.39380857380002</v>
      </c>
      <c r="N11" s="189">
        <v>2349</v>
      </c>
      <c r="O11" s="641">
        <v>1305.2885482999995</v>
      </c>
      <c r="P11" s="189">
        <v>98897</v>
      </c>
      <c r="Q11" s="641">
        <v>141977.87442174478</v>
      </c>
    </row>
    <row r="12" spans="1:19">
      <c r="A12" s="130">
        <v>45565</v>
      </c>
      <c r="B12" s="189">
        <v>30017</v>
      </c>
      <c r="C12" s="641">
        <v>11553.258489989004</v>
      </c>
      <c r="D12" s="189">
        <v>2605</v>
      </c>
      <c r="E12" s="641">
        <v>6010.7448524129995</v>
      </c>
      <c r="F12" s="189">
        <v>68749</v>
      </c>
      <c r="G12" s="641">
        <v>126852.46999999999</v>
      </c>
      <c r="H12" s="189">
        <v>740</v>
      </c>
      <c r="I12" s="641">
        <v>2201.0100000000002</v>
      </c>
      <c r="J12" s="189">
        <v>0</v>
      </c>
      <c r="K12" s="641">
        <v>0</v>
      </c>
      <c r="L12" s="189">
        <v>2036</v>
      </c>
      <c r="M12" s="641">
        <v>515.72716513499995</v>
      </c>
      <c r="N12" s="189">
        <v>2669</v>
      </c>
      <c r="O12" s="641">
        <v>6924.5460136970059</v>
      </c>
      <c r="P12" s="189">
        <v>106816</v>
      </c>
      <c r="Q12" s="641">
        <v>154057.756521234</v>
      </c>
    </row>
    <row r="13" spans="1:19">
      <c r="A13" s="320" t="s">
        <v>1373</v>
      </c>
    </row>
    <row r="14" spans="1:19" s="191" customFormat="1">
      <c r="A14" s="122" t="s">
        <v>809</v>
      </c>
      <c r="B14" s="122"/>
      <c r="C14" s="286"/>
      <c r="D14" s="286"/>
      <c r="E14" s="286"/>
    </row>
    <row r="15" spans="1:19" s="191" customFormat="1">
      <c r="B15" s="92"/>
      <c r="C15" s="92"/>
      <c r="D15" s="92"/>
      <c r="E15" s="92"/>
      <c r="F15" s="92"/>
      <c r="G15" s="92"/>
      <c r="H15" s="92"/>
      <c r="I15" s="92"/>
      <c r="J15" s="92"/>
    </row>
  </sheetData>
  <mergeCells count="12">
    <mergeCell ref="A2:A4"/>
    <mergeCell ref="B2:E2"/>
    <mergeCell ref="F2:I2"/>
    <mergeCell ref="J2:K3"/>
    <mergeCell ref="L2:O2"/>
    <mergeCell ref="P2:Q3"/>
    <mergeCell ref="B3:C3"/>
    <mergeCell ref="D3:E3"/>
    <mergeCell ref="F3:G3"/>
    <mergeCell ref="H3:I3"/>
    <mergeCell ref="L3:M3"/>
    <mergeCell ref="N3:O3"/>
  </mergeCells>
  <pageMargins left="0.7" right="0.7" top="0.75" bottom="0.75" header="0.3" footer="0.3"/>
  <pageSetup paperSize="9" scale="85" orientation="landscape"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pageSetUpPr fitToPage="1"/>
  </sheetPr>
  <dimension ref="A1:Z23"/>
  <sheetViews>
    <sheetView showGridLines="0" workbookViewId="0">
      <selection sqref="A1:M1"/>
    </sheetView>
  </sheetViews>
  <sheetFormatPr defaultColWidth="9.140625" defaultRowHeight="15"/>
  <cols>
    <col min="1" max="1" width="10.5703125" style="80" bestFit="1" customWidth="1"/>
    <col min="2" max="2" width="14.5703125" style="80" bestFit="1" customWidth="1"/>
    <col min="3" max="3" width="15.7109375" style="80" bestFit="1" customWidth="1"/>
    <col min="4" max="4" width="14.5703125" style="80" bestFit="1" customWidth="1"/>
    <col min="5" max="5" width="14.85546875" style="80" bestFit="1" customWidth="1"/>
    <col min="6" max="12" width="14.5703125" style="80" bestFit="1" customWidth="1"/>
    <col min="13" max="13" width="15.7109375" style="80" bestFit="1" customWidth="1"/>
    <col min="14" max="14" width="5.42578125" style="80" bestFit="1" customWidth="1"/>
    <col min="15" max="16384" width="9.140625" style="80"/>
  </cols>
  <sheetData>
    <row r="1" spans="1:26" ht="16.5" customHeight="1">
      <c r="A1" s="1439" t="s">
        <v>173</v>
      </c>
      <c r="B1" s="1439"/>
      <c r="C1" s="1439"/>
      <c r="D1" s="1439"/>
      <c r="E1" s="1439"/>
      <c r="F1" s="1439"/>
      <c r="G1" s="1439"/>
      <c r="H1" s="1439"/>
      <c r="I1" s="1439"/>
      <c r="J1" s="1439"/>
      <c r="K1" s="1439"/>
      <c r="L1" s="1439"/>
      <c r="M1" s="1439"/>
    </row>
    <row r="2" spans="1:26" s="81" customFormat="1" ht="18" customHeight="1">
      <c r="A2" s="1432" t="s">
        <v>174</v>
      </c>
      <c r="B2" s="1434" t="s">
        <v>175</v>
      </c>
      <c r="C2" s="1440"/>
      <c r="D2" s="1440"/>
      <c r="E2" s="1440"/>
      <c r="F2" s="1440"/>
      <c r="G2" s="1440"/>
      <c r="H2" s="1440"/>
      <c r="I2" s="1435"/>
      <c r="J2" s="1441" t="s">
        <v>176</v>
      </c>
      <c r="K2" s="1442"/>
      <c r="L2" s="1441" t="s">
        <v>96</v>
      </c>
      <c r="M2" s="1442"/>
    </row>
    <row r="3" spans="1:26" s="81" customFormat="1" ht="18" customHeight="1">
      <c r="A3" s="1433"/>
      <c r="B3" s="1434" t="s">
        <v>177</v>
      </c>
      <c r="C3" s="1435"/>
      <c r="D3" s="1434" t="s">
        <v>178</v>
      </c>
      <c r="E3" s="1435"/>
      <c r="F3" s="1434" t="s">
        <v>179</v>
      </c>
      <c r="G3" s="1435"/>
      <c r="H3" s="1434" t="s">
        <v>180</v>
      </c>
      <c r="I3" s="1435"/>
      <c r="J3" s="1443"/>
      <c r="K3" s="1444"/>
      <c r="L3" s="1443"/>
      <c r="M3" s="1444"/>
    </row>
    <row r="4" spans="1:26" s="81" customFormat="1" ht="27" customHeight="1">
      <c r="A4" s="525" t="s">
        <v>181</v>
      </c>
      <c r="B4" s="519" t="s">
        <v>133</v>
      </c>
      <c r="C4" s="519" t="s">
        <v>1248</v>
      </c>
      <c r="D4" s="519" t="s">
        <v>133</v>
      </c>
      <c r="E4" s="519" t="s">
        <v>1248</v>
      </c>
      <c r="F4" s="519" t="s">
        <v>133</v>
      </c>
      <c r="G4" s="519" t="s">
        <v>1248</v>
      </c>
      <c r="H4" s="519" t="s">
        <v>133</v>
      </c>
      <c r="I4" s="519" t="s">
        <v>1248</v>
      </c>
      <c r="J4" s="519" t="s">
        <v>133</v>
      </c>
      <c r="K4" s="519" t="s">
        <v>1248</v>
      </c>
      <c r="L4" s="519" t="s">
        <v>133</v>
      </c>
      <c r="M4" s="519" t="s">
        <v>1248</v>
      </c>
    </row>
    <row r="5" spans="1:26" s="84" customFormat="1" ht="18" customHeight="1">
      <c r="A5" s="82" t="s">
        <v>71</v>
      </c>
      <c r="B5" s="83">
        <v>266</v>
      </c>
      <c r="C5" s="643">
        <v>2019875.8160000001</v>
      </c>
      <c r="D5" s="83">
        <v>409</v>
      </c>
      <c r="E5" s="643">
        <v>372534.52</v>
      </c>
      <c r="F5" s="83">
        <v>372</v>
      </c>
      <c r="G5" s="643">
        <v>61654.900000000009</v>
      </c>
      <c r="H5" s="83">
        <v>200</v>
      </c>
      <c r="I5" s="643">
        <v>18194.870000000003</v>
      </c>
      <c r="J5" s="83">
        <v>72</v>
      </c>
      <c r="K5" s="643">
        <v>17535.12</v>
      </c>
      <c r="L5" s="94">
        <v>1319</v>
      </c>
      <c r="M5" s="643">
        <v>2489794.716</v>
      </c>
    </row>
    <row r="6" spans="1:26" s="96" customFormat="1" ht="18" customHeight="1">
      <c r="A6" s="523" t="s">
        <v>72</v>
      </c>
      <c r="B6" s="524">
        <f>SUM(B7:B10)</f>
        <v>127</v>
      </c>
      <c r="C6" s="644">
        <f t="shared" ref="C6:M6" si="0">SUM(C7:C10)</f>
        <v>1269289.92</v>
      </c>
      <c r="D6" s="524">
        <f t="shared" si="0"/>
        <v>165</v>
      </c>
      <c r="E6" s="644">
        <f t="shared" si="0"/>
        <v>153963.38</v>
      </c>
      <c r="F6" s="524">
        <f t="shared" si="0"/>
        <v>129</v>
      </c>
      <c r="G6" s="644">
        <f t="shared" si="0"/>
        <v>20557.36</v>
      </c>
      <c r="H6" s="524">
        <f t="shared" si="0"/>
        <v>62</v>
      </c>
      <c r="I6" s="644">
        <f t="shared" si="0"/>
        <v>20601.649999999998</v>
      </c>
      <c r="J6" s="524">
        <f t="shared" si="0"/>
        <v>19</v>
      </c>
      <c r="K6" s="644">
        <f t="shared" si="0"/>
        <v>5873</v>
      </c>
      <c r="L6" s="524">
        <f t="shared" si="0"/>
        <v>502</v>
      </c>
      <c r="M6" s="644">
        <f t="shared" si="0"/>
        <v>1470285.31</v>
      </c>
      <c r="N6" s="95"/>
      <c r="O6" s="95"/>
      <c r="P6" s="95"/>
      <c r="Q6" s="95"/>
      <c r="R6" s="95"/>
      <c r="S6" s="95"/>
      <c r="T6" s="95"/>
      <c r="U6" s="95"/>
      <c r="V6" s="95"/>
      <c r="W6" s="95"/>
      <c r="X6" s="95"/>
      <c r="Y6" s="95"/>
      <c r="Z6" s="95"/>
    </row>
    <row r="7" spans="1:26" s="81" customFormat="1" ht="18" customHeight="1">
      <c r="A7" s="86" t="s">
        <v>124</v>
      </c>
      <c r="B7" s="87">
        <v>16</v>
      </c>
      <c r="C7" s="645">
        <v>96343.84</v>
      </c>
      <c r="D7" s="87">
        <v>21</v>
      </c>
      <c r="E7" s="646">
        <v>8364.25</v>
      </c>
      <c r="F7" s="87">
        <v>25</v>
      </c>
      <c r="G7" s="646">
        <v>920.49</v>
      </c>
      <c r="H7" s="87">
        <v>10</v>
      </c>
      <c r="I7" s="646">
        <v>1702.58</v>
      </c>
      <c r="J7" s="87">
        <v>3</v>
      </c>
      <c r="K7" s="646">
        <v>554</v>
      </c>
      <c r="L7" s="87">
        <v>75</v>
      </c>
      <c r="M7" s="645">
        <v>107885.16</v>
      </c>
      <c r="N7" s="90"/>
      <c r="O7" s="90"/>
    </row>
    <row r="8" spans="1:26" s="81" customFormat="1" ht="18" customHeight="1">
      <c r="A8" s="86" t="s">
        <v>125</v>
      </c>
      <c r="B8" s="87">
        <v>29</v>
      </c>
      <c r="C8" s="645">
        <v>188112.1</v>
      </c>
      <c r="D8" s="87">
        <v>44</v>
      </c>
      <c r="E8" s="646">
        <v>27924.79</v>
      </c>
      <c r="F8" s="87">
        <v>20</v>
      </c>
      <c r="G8" s="646">
        <v>2802.42</v>
      </c>
      <c r="H8" s="87">
        <v>24</v>
      </c>
      <c r="I8" s="646">
        <v>1864.4499999999998</v>
      </c>
      <c r="J8" s="87">
        <v>10</v>
      </c>
      <c r="K8" s="646">
        <v>4900</v>
      </c>
      <c r="L8" s="87">
        <v>127</v>
      </c>
      <c r="M8" s="645">
        <v>225603.76</v>
      </c>
      <c r="N8" s="90"/>
      <c r="O8" s="90"/>
    </row>
    <row r="9" spans="1:26" s="81" customFormat="1" ht="18" customHeight="1">
      <c r="A9" s="86" t="s">
        <v>182</v>
      </c>
      <c r="B9" s="88">
        <v>40</v>
      </c>
      <c r="C9" s="645">
        <v>292428.78000000003</v>
      </c>
      <c r="D9" s="88">
        <v>64</v>
      </c>
      <c r="E9" s="645">
        <v>71403.790000000008</v>
      </c>
      <c r="F9" s="88">
        <v>50</v>
      </c>
      <c r="G9" s="645">
        <v>9645.9500000000007</v>
      </c>
      <c r="H9" s="88">
        <v>19</v>
      </c>
      <c r="I9" s="645">
        <v>16207.8</v>
      </c>
      <c r="J9" s="88">
        <v>2</v>
      </c>
      <c r="K9" s="645">
        <v>275</v>
      </c>
      <c r="L9" s="88">
        <v>175</v>
      </c>
      <c r="M9" s="645">
        <v>389961.32</v>
      </c>
      <c r="N9" s="90"/>
      <c r="O9" s="90"/>
    </row>
    <row r="10" spans="1:26" s="81" customFormat="1" ht="18" customHeight="1">
      <c r="A10" s="86" t="s">
        <v>183</v>
      </c>
      <c r="B10" s="88">
        <v>42</v>
      </c>
      <c r="C10" s="645">
        <v>692405.2</v>
      </c>
      <c r="D10" s="88">
        <v>36</v>
      </c>
      <c r="E10" s="645">
        <v>46270.55</v>
      </c>
      <c r="F10" s="88">
        <v>34</v>
      </c>
      <c r="G10" s="645">
        <v>7188.5</v>
      </c>
      <c r="H10" s="88">
        <v>9</v>
      </c>
      <c r="I10" s="645">
        <v>826.81999999999994</v>
      </c>
      <c r="J10" s="88">
        <v>4</v>
      </c>
      <c r="K10" s="645">
        <v>144</v>
      </c>
      <c r="L10" s="88">
        <v>125</v>
      </c>
      <c r="M10" s="645">
        <v>746835.07</v>
      </c>
      <c r="N10" s="90"/>
      <c r="O10" s="90"/>
    </row>
    <row r="11" spans="1:26" s="81" customFormat="1" ht="15" customHeight="1">
      <c r="A11" s="1430" t="s">
        <v>128</v>
      </c>
      <c r="B11" s="1430"/>
      <c r="C11" s="1430"/>
      <c r="D11" s="1430"/>
      <c r="E11" s="1430"/>
      <c r="F11" s="1430"/>
      <c r="G11" s="1430"/>
      <c r="H11" s="1430"/>
      <c r="I11" s="1430"/>
      <c r="J11" s="1430"/>
      <c r="K11" s="1430"/>
    </row>
    <row r="12" spans="1:26" s="81" customFormat="1" ht="15" customHeight="1">
      <c r="A12" s="97" t="s">
        <v>184</v>
      </c>
      <c r="B12" s="97"/>
      <c r="C12" s="97"/>
      <c r="D12" s="97"/>
      <c r="E12" s="97"/>
      <c r="F12" s="97"/>
      <c r="G12" s="97"/>
      <c r="H12" s="97"/>
      <c r="I12" s="97"/>
      <c r="J12" s="97"/>
      <c r="K12" s="97"/>
    </row>
    <row r="13" spans="1:26" s="81" customFormat="1" ht="15" customHeight="1">
      <c r="A13" s="235" t="s">
        <v>185</v>
      </c>
      <c r="B13" s="235"/>
      <c r="C13" s="235"/>
      <c r="D13" s="235"/>
      <c r="E13" s="235"/>
      <c r="F13" s="235"/>
    </row>
    <row r="14" spans="1:26" ht="15" customHeight="1">
      <c r="A14" s="238" t="s">
        <v>793</v>
      </c>
      <c r="B14" s="235"/>
      <c r="C14" s="235"/>
      <c r="D14" s="235"/>
      <c r="E14" s="235"/>
      <c r="F14" s="235"/>
      <c r="G14" s="91"/>
      <c r="H14" s="91"/>
      <c r="I14" s="91"/>
      <c r="J14" s="91"/>
      <c r="K14" s="91"/>
      <c r="L14" s="91"/>
      <c r="M14" s="91"/>
    </row>
    <row r="15" spans="1:26" ht="15" customHeight="1">
      <c r="L15" s="91"/>
      <c r="M15" s="91"/>
    </row>
    <row r="16" spans="1:26" ht="15" customHeight="1"/>
    <row r="23" spans="3:13">
      <c r="C23" s="98"/>
      <c r="D23" s="98"/>
      <c r="E23" s="98"/>
      <c r="F23" s="98"/>
      <c r="G23" s="98"/>
      <c r="H23" s="98"/>
      <c r="I23" s="98"/>
      <c r="J23" s="98"/>
      <c r="K23" s="98"/>
      <c r="L23" s="98"/>
      <c r="M23" s="98"/>
    </row>
  </sheetData>
  <mergeCells count="10">
    <mergeCell ref="A11:K11"/>
    <mergeCell ref="A1:M1"/>
    <mergeCell ref="A2:A3"/>
    <mergeCell ref="B2:I2"/>
    <mergeCell ref="J2:K3"/>
    <mergeCell ref="L2:M3"/>
    <mergeCell ref="B3:C3"/>
    <mergeCell ref="D3:E3"/>
    <mergeCell ref="F3:G3"/>
    <mergeCell ref="H3:I3"/>
  </mergeCells>
  <printOptions horizontalCentered="1"/>
  <pageMargins left="0.78431372549019618" right="0.78431372549019618" top="0.98039215686274517" bottom="0.98039215686274517" header="0.50980392156862753" footer="0.50980392156862753"/>
  <pageSetup paperSize="9" scale="69" orientation="landscape" useFirstPageNumber="1"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pageSetUpPr fitToPage="1"/>
  </sheetPr>
  <dimension ref="A1:U14"/>
  <sheetViews>
    <sheetView showGridLines="0" workbookViewId="0">
      <selection sqref="A1:K1"/>
    </sheetView>
  </sheetViews>
  <sheetFormatPr defaultColWidth="9.140625" defaultRowHeight="15"/>
  <cols>
    <col min="1" max="2" width="14.5703125" style="80" bestFit="1" customWidth="1"/>
    <col min="3" max="3" width="14.85546875" style="80" bestFit="1" customWidth="1"/>
    <col min="4" max="6" width="14.5703125" style="80" bestFit="1" customWidth="1"/>
    <col min="7" max="7" width="16.42578125" style="80" bestFit="1" customWidth="1"/>
    <col min="8" max="10" width="14.5703125" style="80" bestFit="1" customWidth="1"/>
    <col min="11" max="11" width="14.85546875" style="80" bestFit="1" customWidth="1"/>
    <col min="12" max="12" width="5.42578125" style="80" bestFit="1" customWidth="1"/>
    <col min="13" max="16384" width="9.140625" style="80"/>
  </cols>
  <sheetData>
    <row r="1" spans="1:21" ht="19.5" customHeight="1">
      <c r="A1" s="1439" t="s">
        <v>186</v>
      </c>
      <c r="B1" s="1439"/>
      <c r="C1" s="1439"/>
      <c r="D1" s="1439"/>
      <c r="E1" s="1439"/>
      <c r="F1" s="1439"/>
      <c r="G1" s="1439"/>
      <c r="H1" s="1439"/>
      <c r="I1" s="1439"/>
      <c r="J1" s="1439"/>
      <c r="K1" s="1439"/>
    </row>
    <row r="2" spans="1:21" s="81" customFormat="1" ht="18" customHeight="1">
      <c r="A2" s="526" t="s">
        <v>174</v>
      </c>
      <c r="B2" s="1446" t="s">
        <v>187</v>
      </c>
      <c r="C2" s="1447"/>
      <c r="D2" s="1446" t="s">
        <v>188</v>
      </c>
      <c r="E2" s="1447"/>
      <c r="F2" s="1446" t="s">
        <v>189</v>
      </c>
      <c r="G2" s="1447"/>
      <c r="H2" s="1434" t="s">
        <v>190</v>
      </c>
      <c r="I2" s="1435"/>
      <c r="J2" s="1446" t="s">
        <v>191</v>
      </c>
      <c r="K2" s="1447"/>
    </row>
    <row r="3" spans="1:21" s="81" customFormat="1" ht="27" customHeight="1">
      <c r="A3" s="525" t="s">
        <v>181</v>
      </c>
      <c r="B3" s="519" t="s">
        <v>140</v>
      </c>
      <c r="C3" s="519" t="s">
        <v>1248</v>
      </c>
      <c r="D3" s="519" t="s">
        <v>140</v>
      </c>
      <c r="E3" s="519" t="s">
        <v>1248</v>
      </c>
      <c r="F3" s="519" t="s">
        <v>140</v>
      </c>
      <c r="G3" s="519" t="s">
        <v>1248</v>
      </c>
      <c r="H3" s="519" t="s">
        <v>140</v>
      </c>
      <c r="I3" s="519" t="s">
        <v>1248</v>
      </c>
      <c r="J3" s="519" t="s">
        <v>140</v>
      </c>
      <c r="K3" s="519" t="s">
        <v>1248</v>
      </c>
    </row>
    <row r="4" spans="1:21" s="84" customFormat="1" ht="18" customHeight="1">
      <c r="A4" s="82" t="s">
        <v>71</v>
      </c>
      <c r="B4" s="83">
        <v>460</v>
      </c>
      <c r="C4" s="643">
        <v>269687.23</v>
      </c>
      <c r="D4" s="99">
        <v>251</v>
      </c>
      <c r="E4" s="649">
        <v>107880.65</v>
      </c>
      <c r="F4" s="83">
        <v>7153</v>
      </c>
      <c r="G4" s="643">
        <v>18110492.603</v>
      </c>
      <c r="H4" s="83">
        <v>135</v>
      </c>
      <c r="I4" s="649">
        <v>34838.31</v>
      </c>
      <c r="J4" s="83">
        <v>1041</v>
      </c>
      <c r="K4" s="643">
        <v>454662.93260000006</v>
      </c>
    </row>
    <row r="5" spans="1:21" s="84" customFormat="1" ht="18" customHeight="1">
      <c r="A5" s="523" t="s">
        <v>72</v>
      </c>
      <c r="B5" s="524">
        <f>SUM(B6:B9)</f>
        <v>266</v>
      </c>
      <c r="C5" s="644">
        <f t="shared" ref="C5:J5" si="0">SUM(C6:C9)</f>
        <v>120177.50999999998</v>
      </c>
      <c r="D5" s="524">
        <f t="shared" si="0"/>
        <v>70</v>
      </c>
      <c r="E5" s="644">
        <f t="shared" si="0"/>
        <v>24472.11</v>
      </c>
      <c r="F5" s="524">
        <f t="shared" si="0"/>
        <v>2671</v>
      </c>
      <c r="G5" s="644">
        <f t="shared" si="0"/>
        <v>8792511.5950000007</v>
      </c>
      <c r="H5" s="524">
        <f t="shared" si="0"/>
        <v>58</v>
      </c>
      <c r="I5" s="644">
        <f t="shared" si="0"/>
        <v>18517.46</v>
      </c>
      <c r="J5" s="524">
        <f t="shared" si="0"/>
        <v>465</v>
      </c>
      <c r="K5" s="644">
        <v>846860.17500000005</v>
      </c>
      <c r="L5" s="85"/>
      <c r="M5" s="85"/>
      <c r="N5" s="85"/>
      <c r="O5" s="85"/>
      <c r="P5" s="85"/>
      <c r="Q5" s="85"/>
      <c r="R5" s="85"/>
      <c r="S5" s="85"/>
      <c r="T5" s="85"/>
      <c r="U5" s="85"/>
    </row>
    <row r="6" spans="1:21" s="81" customFormat="1" ht="18" customHeight="1">
      <c r="A6" s="86" t="s">
        <v>124</v>
      </c>
      <c r="B6" s="100">
        <v>17</v>
      </c>
      <c r="C6" s="647">
        <v>6525.88</v>
      </c>
      <c r="D6" s="101">
        <v>16</v>
      </c>
      <c r="E6" s="647">
        <v>4839.68</v>
      </c>
      <c r="F6" s="100">
        <v>563</v>
      </c>
      <c r="G6" s="647">
        <v>1938191.2200000002</v>
      </c>
      <c r="H6" s="100">
        <v>36</v>
      </c>
      <c r="I6" s="647">
        <v>13100</v>
      </c>
      <c r="J6" s="100">
        <v>77</v>
      </c>
      <c r="K6" s="645">
        <v>48942.77</v>
      </c>
    </row>
    <row r="7" spans="1:21" s="81" customFormat="1" ht="18" customHeight="1">
      <c r="A7" s="86" t="s">
        <v>125</v>
      </c>
      <c r="B7" s="100">
        <v>101</v>
      </c>
      <c r="C7" s="647">
        <v>67452.919999999984</v>
      </c>
      <c r="D7" s="101">
        <v>21</v>
      </c>
      <c r="E7" s="647">
        <v>8500.23</v>
      </c>
      <c r="F7" s="100">
        <v>584</v>
      </c>
      <c r="G7" s="647">
        <v>2215716.111</v>
      </c>
      <c r="H7" s="100">
        <v>12</v>
      </c>
      <c r="I7" s="647">
        <v>2298</v>
      </c>
      <c r="J7" s="100">
        <v>96</v>
      </c>
      <c r="K7" s="645">
        <v>41223.199999999997</v>
      </c>
    </row>
    <row r="8" spans="1:21" s="81" customFormat="1" ht="18" customHeight="1">
      <c r="A8" s="86" t="s">
        <v>182</v>
      </c>
      <c r="B8" s="102">
        <v>113</v>
      </c>
      <c r="C8" s="648">
        <v>30889.09</v>
      </c>
      <c r="D8" s="103">
        <v>12</v>
      </c>
      <c r="E8" s="648">
        <v>3333</v>
      </c>
      <c r="F8" s="102">
        <v>878</v>
      </c>
      <c r="G8" s="648">
        <v>2381727.5290000001</v>
      </c>
      <c r="H8" s="102">
        <v>3</v>
      </c>
      <c r="I8" s="648">
        <v>850</v>
      </c>
      <c r="J8" s="102">
        <v>150</v>
      </c>
      <c r="K8" s="645">
        <v>65287.715000000004</v>
      </c>
    </row>
    <row r="9" spans="1:21" s="81" customFormat="1" ht="18" customHeight="1">
      <c r="A9" s="86" t="s">
        <v>183</v>
      </c>
      <c r="B9" s="102">
        <v>35</v>
      </c>
      <c r="C9" s="648">
        <v>15309.619999999999</v>
      </c>
      <c r="D9" s="103">
        <v>21</v>
      </c>
      <c r="E9" s="648">
        <v>7799.2</v>
      </c>
      <c r="F9" s="102">
        <v>646</v>
      </c>
      <c r="G9" s="648">
        <v>2256876.7349999999</v>
      </c>
      <c r="H9" s="102">
        <v>7</v>
      </c>
      <c r="I9" s="648">
        <v>2269.46</v>
      </c>
      <c r="J9" s="102">
        <v>142</v>
      </c>
      <c r="K9" s="645" t="s">
        <v>644</v>
      </c>
    </row>
    <row r="10" spans="1:21" s="81" customFormat="1" ht="18" customHeight="1">
      <c r="A10" s="1430" t="s">
        <v>192</v>
      </c>
      <c r="B10" s="1430"/>
      <c r="C10" s="1430"/>
      <c r="D10" s="1430"/>
      <c r="E10" s="1430"/>
      <c r="F10" s="1430"/>
      <c r="G10" s="1430"/>
      <c r="H10" s="1430"/>
      <c r="I10" s="1430"/>
      <c r="J10" s="1430"/>
      <c r="K10" s="1430"/>
    </row>
    <row r="11" spans="1:21" s="81" customFormat="1" ht="18" customHeight="1">
      <c r="A11" s="97" t="s">
        <v>184</v>
      </c>
      <c r="B11" s="97"/>
      <c r="C11" s="97"/>
      <c r="D11" s="97"/>
      <c r="E11" s="97"/>
      <c r="F11" s="97"/>
      <c r="G11" s="97"/>
      <c r="H11" s="97"/>
      <c r="I11" s="97"/>
      <c r="J11" s="97"/>
      <c r="K11" s="97"/>
    </row>
    <row r="12" spans="1:21" s="81" customFormat="1" ht="27.75" customHeight="1">
      <c r="A12" s="1448" t="s">
        <v>645</v>
      </c>
      <c r="B12" s="1448"/>
      <c r="C12" s="1448"/>
      <c r="D12" s="1448"/>
      <c r="E12" s="1448"/>
      <c r="F12" s="1448"/>
      <c r="G12" s="1448"/>
      <c r="H12" s="1448"/>
      <c r="I12" s="1448"/>
      <c r="J12" s="1448"/>
      <c r="K12" s="1448"/>
    </row>
    <row r="13" spans="1:21" s="81" customFormat="1" ht="19.5" customHeight="1">
      <c r="A13" s="1445" t="s">
        <v>185</v>
      </c>
      <c r="B13" s="1445"/>
      <c r="C13" s="1445"/>
      <c r="D13" s="1445"/>
      <c r="E13" s="1445"/>
      <c r="F13" s="1445"/>
      <c r="G13" s="1445"/>
      <c r="H13" s="1445"/>
      <c r="I13" s="1445"/>
      <c r="J13" s="1445"/>
      <c r="K13" s="1445"/>
    </row>
    <row r="14" spans="1:21">
      <c r="A14" s="238" t="s">
        <v>793</v>
      </c>
      <c r="B14" s="91"/>
      <c r="C14" s="91"/>
      <c r="D14" s="91"/>
      <c r="E14" s="91"/>
      <c r="F14" s="91"/>
      <c r="G14" s="91"/>
      <c r="H14" s="91"/>
      <c r="I14" s="91"/>
      <c r="J14" s="91"/>
      <c r="K14" s="91"/>
    </row>
  </sheetData>
  <mergeCells count="9">
    <mergeCell ref="A10:K10"/>
    <mergeCell ref="A13:K13"/>
    <mergeCell ref="A1:K1"/>
    <mergeCell ref="B2:C2"/>
    <mergeCell ref="D2:E2"/>
    <mergeCell ref="F2:G2"/>
    <mergeCell ref="H2:I2"/>
    <mergeCell ref="J2:K2"/>
    <mergeCell ref="A12:K12"/>
  </mergeCells>
  <printOptions horizontalCentered="1"/>
  <pageMargins left="0.78431372549019618" right="0.78431372549019618" top="0.98039215686274517" bottom="0.98039215686274517" header="0.50980392156862753" footer="0.50980392156862753"/>
  <pageSetup paperSize="9" scale="80" orientation="landscape" useFirstPageNumber="1"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9"/>
  <sheetViews>
    <sheetView showGridLines="0" workbookViewId="0">
      <selection sqref="A1:D1"/>
    </sheetView>
  </sheetViews>
  <sheetFormatPr defaultColWidth="9.140625" defaultRowHeight="15"/>
  <cols>
    <col min="1" max="1" width="17.5703125" style="80" customWidth="1"/>
    <col min="2" max="3" width="14.5703125" style="80" bestFit="1" customWidth="1"/>
    <col min="4" max="4" width="14.5703125" style="80" customWidth="1"/>
    <col min="5" max="5" width="13.5703125" style="80" customWidth="1"/>
    <col min="6" max="6" width="6.85546875" style="80" customWidth="1"/>
    <col min="7" max="16384" width="9.140625" style="80"/>
  </cols>
  <sheetData>
    <row r="1" spans="1:5" ht="31.5" customHeight="1">
      <c r="A1" s="1449" t="s">
        <v>810</v>
      </c>
      <c r="B1" s="1449"/>
      <c r="C1" s="1449"/>
      <c r="D1" s="1449"/>
      <c r="E1" s="287"/>
    </row>
    <row r="2" spans="1:5" s="191" customFormat="1" ht="18" customHeight="1">
      <c r="A2" s="527" t="s">
        <v>234</v>
      </c>
      <c r="B2" s="528" t="s">
        <v>505</v>
      </c>
      <c r="C2" s="529" t="s">
        <v>703</v>
      </c>
      <c r="D2" s="530">
        <f>'1'!C2</f>
        <v>45565</v>
      </c>
    </row>
    <row r="3" spans="1:5" s="191" customFormat="1" ht="18" customHeight="1">
      <c r="A3" s="298" t="s">
        <v>74</v>
      </c>
      <c r="B3" s="650">
        <f>'18'!$H$4</f>
        <v>20103439.399999999</v>
      </c>
      <c r="C3" s="650">
        <v>15752473.18</v>
      </c>
      <c r="D3" s="650">
        <v>2559376.04</v>
      </c>
      <c r="E3" s="107"/>
    </row>
    <row r="4" spans="1:5" s="191" customFormat="1" ht="18" customHeight="1">
      <c r="A4" s="298" t="s">
        <v>73</v>
      </c>
      <c r="B4" s="650">
        <f>'17'!$H$4</f>
        <v>1629038.3499999999</v>
      </c>
      <c r="C4" s="650">
        <v>1174539.1199999999</v>
      </c>
      <c r="D4" s="650">
        <v>180681.74999999997</v>
      </c>
    </row>
    <row r="5" spans="1:5" s="191" customFormat="1" ht="18" customHeight="1">
      <c r="A5" s="298" t="s">
        <v>75</v>
      </c>
      <c r="B5" s="650">
        <f>'19'!$H$4</f>
        <v>29.338079719999996</v>
      </c>
      <c r="C5" s="650">
        <v>13.790631524999998</v>
      </c>
      <c r="D5" s="650">
        <v>7.2763273999999996</v>
      </c>
    </row>
    <row r="6" spans="1:5" s="191" customFormat="1">
      <c r="A6" s="231" t="s">
        <v>1373</v>
      </c>
      <c r="B6" s="193"/>
      <c r="C6" s="193"/>
      <c r="D6" s="193"/>
    </row>
    <row r="7" spans="1:5" s="191" customFormat="1">
      <c r="A7" s="671" t="s">
        <v>1355</v>
      </c>
      <c r="B7" s="286"/>
      <c r="C7" s="286"/>
      <c r="D7" s="286"/>
    </row>
    <row r="8" spans="1:5" s="191" customFormat="1">
      <c r="A8" s="231" t="s">
        <v>168</v>
      </c>
      <c r="B8" s="80"/>
      <c r="C8" s="80"/>
      <c r="D8" s="80"/>
    </row>
    <row r="9" spans="1:5" ht="28.35" customHeight="1">
      <c r="D9" s="299"/>
    </row>
  </sheetData>
  <sortState ref="A3:D5">
    <sortCondition descending="1" ref="B3:B5"/>
  </sortState>
  <mergeCells count="1">
    <mergeCell ref="A1:D1"/>
  </mergeCells>
  <printOptions horizontalCentered="1"/>
  <pageMargins left="0.78431372549019618" right="0.78431372549019618" top="0.98039215686274517" bottom="0.98039215686274517" header="0.50980392156862753" footer="0.50980392156862753"/>
  <pageSetup paperSize="9" orientation="portrait" useFirstPageNumber="1" r:id="rId1"/>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15"/>
  <sheetViews>
    <sheetView showGridLines="0" workbookViewId="0"/>
  </sheetViews>
  <sheetFormatPr defaultColWidth="9.140625" defaultRowHeight="15"/>
  <cols>
    <col min="1" max="7" width="14.5703125" style="80" bestFit="1" customWidth="1"/>
    <col min="8" max="8" width="15.7109375" style="80" bestFit="1" customWidth="1"/>
    <col min="9" max="10" width="14.7109375" style="80" bestFit="1" customWidth="1"/>
    <col min="11" max="11" width="14.5703125" style="80" bestFit="1" customWidth="1"/>
    <col min="12" max="12" width="15.7109375" style="80" bestFit="1" customWidth="1"/>
    <col min="13" max="13" width="16.85546875" style="80" bestFit="1" customWidth="1"/>
    <col min="14" max="16" width="14.5703125" style="80" bestFit="1" customWidth="1"/>
    <col min="17" max="17" width="13" style="80" customWidth="1"/>
    <col min="18" max="16384" width="9.140625" style="80"/>
  </cols>
  <sheetData>
    <row r="1" spans="1:18" ht="18.75" customHeight="1">
      <c r="A1" s="154" t="s">
        <v>235</v>
      </c>
      <c r="B1" s="154"/>
      <c r="C1" s="154"/>
      <c r="D1" s="154"/>
      <c r="E1" s="154"/>
      <c r="F1" s="154"/>
      <c r="G1" s="154"/>
      <c r="H1" s="154"/>
      <c r="I1" s="154"/>
      <c r="J1" s="154"/>
      <c r="K1" s="154"/>
      <c r="L1" s="154"/>
      <c r="M1" s="154"/>
      <c r="N1" s="154"/>
      <c r="O1" s="154"/>
      <c r="P1" s="154"/>
    </row>
    <row r="2" spans="1:18" s="191" customFormat="1" ht="18" customHeight="1">
      <c r="A2" s="1450" t="s">
        <v>115</v>
      </c>
      <c r="B2" s="1450" t="s">
        <v>236</v>
      </c>
      <c r="C2" s="1450" t="s">
        <v>237</v>
      </c>
      <c r="D2" s="1450" t="s">
        <v>238</v>
      </c>
      <c r="E2" s="1450" t="s">
        <v>239</v>
      </c>
      <c r="F2" s="1450" t="s">
        <v>240</v>
      </c>
      <c r="G2" s="1450" t="s">
        <v>241</v>
      </c>
      <c r="H2" s="1450" t="s">
        <v>1344</v>
      </c>
      <c r="I2" s="1450" t="s">
        <v>1345</v>
      </c>
      <c r="J2" s="1450" t="s">
        <v>1346</v>
      </c>
      <c r="K2" s="1450" t="s">
        <v>242</v>
      </c>
      <c r="L2" s="1450" t="s">
        <v>1347</v>
      </c>
      <c r="M2" s="1450" t="s">
        <v>261</v>
      </c>
      <c r="N2" s="1452" t="s">
        <v>243</v>
      </c>
      <c r="O2" s="1453"/>
      <c r="P2" s="1454"/>
    </row>
    <row r="3" spans="1:18" s="191" customFormat="1" ht="21.75" customHeight="1">
      <c r="A3" s="1451"/>
      <c r="B3" s="1451"/>
      <c r="C3" s="1451"/>
      <c r="D3" s="1451"/>
      <c r="E3" s="1451"/>
      <c r="F3" s="1451"/>
      <c r="G3" s="1451"/>
      <c r="H3" s="1451"/>
      <c r="I3" s="1451"/>
      <c r="J3" s="1451"/>
      <c r="K3" s="1451"/>
      <c r="L3" s="1451"/>
      <c r="M3" s="1451"/>
      <c r="N3" s="531" t="s">
        <v>244</v>
      </c>
      <c r="O3" s="531" t="s">
        <v>245</v>
      </c>
      <c r="P3" s="531" t="s">
        <v>246</v>
      </c>
    </row>
    <row r="4" spans="1:18" s="84" customFormat="1" ht="18" customHeight="1">
      <c r="A4" s="267" t="s">
        <v>505</v>
      </c>
      <c r="B4" s="269">
        <v>5252</v>
      </c>
      <c r="C4" s="269">
        <v>25</v>
      </c>
      <c r="D4" s="269">
        <v>4295</v>
      </c>
      <c r="E4" s="300">
        <v>246</v>
      </c>
      <c r="F4" s="269">
        <v>8263.4500000000007</v>
      </c>
      <c r="G4" s="270">
        <v>2120712.34</v>
      </c>
      <c r="H4" s="651">
        <v>1629038.3499999999</v>
      </c>
      <c r="I4" s="651">
        <v>6622.1071138211373</v>
      </c>
      <c r="J4" s="651">
        <v>19713.77995873394</v>
      </c>
      <c r="K4" s="270">
        <v>2120712.34</v>
      </c>
      <c r="L4" s="651">
        <v>1629038.25</v>
      </c>
      <c r="M4" s="651">
        <v>38697099.770000003</v>
      </c>
      <c r="N4" s="269">
        <v>74245.17</v>
      </c>
      <c r="O4" s="269">
        <v>58793.08</v>
      </c>
      <c r="P4" s="269">
        <v>73651.350000000006</v>
      </c>
    </row>
    <row r="5" spans="1:18" s="84" customFormat="1" ht="18" customHeight="1">
      <c r="A5" s="532" t="s">
        <v>703</v>
      </c>
      <c r="B5" s="533">
        <v>5347</v>
      </c>
      <c r="C5" s="533">
        <v>25</v>
      </c>
      <c r="D5" s="534">
        <v>4319</v>
      </c>
      <c r="E5" s="533">
        <v>125</v>
      </c>
      <c r="F5" s="533">
        <v>5911.6</v>
      </c>
      <c r="G5" s="533">
        <v>1169433.4900000002</v>
      </c>
      <c r="H5" s="652">
        <v>1174539.1199999999</v>
      </c>
      <c r="I5" s="653">
        <v>9396.3129599999993</v>
      </c>
      <c r="J5" s="652">
        <v>19868.379457338109</v>
      </c>
      <c r="K5" s="533">
        <v>1169433.4900000002</v>
      </c>
      <c r="L5" s="652">
        <v>1174539.06</v>
      </c>
      <c r="M5" s="652">
        <v>47435137.149999999</v>
      </c>
      <c r="N5" s="533">
        <v>85978.25</v>
      </c>
      <c r="O5" s="533">
        <v>70234.429999999993</v>
      </c>
      <c r="P5" s="533">
        <v>84299.78</v>
      </c>
    </row>
    <row r="6" spans="1:18" s="191" customFormat="1" ht="18" customHeight="1">
      <c r="A6" s="130">
        <v>45412</v>
      </c>
      <c r="B6" s="190">
        <v>5264</v>
      </c>
      <c r="C6" s="190">
        <v>26</v>
      </c>
      <c r="D6" s="190">
        <v>4153</v>
      </c>
      <c r="E6" s="187">
        <v>20</v>
      </c>
      <c r="F6" s="190">
        <v>766.49</v>
      </c>
      <c r="G6" s="190">
        <v>188397.56</v>
      </c>
      <c r="H6" s="654">
        <v>152767.43</v>
      </c>
      <c r="I6" s="654">
        <v>7638.3714999999993</v>
      </c>
      <c r="J6" s="654">
        <v>19930.779266526635</v>
      </c>
      <c r="K6" s="190">
        <v>188397.56</v>
      </c>
      <c r="L6" s="654">
        <v>152767.43</v>
      </c>
      <c r="M6" s="654">
        <v>40655851.939999998</v>
      </c>
      <c r="N6" s="190">
        <v>75111.39</v>
      </c>
      <c r="O6" s="190">
        <v>74346.399999999994</v>
      </c>
      <c r="P6" s="190">
        <v>74482.78</v>
      </c>
      <c r="Q6" s="90"/>
    </row>
    <row r="7" spans="1:18" s="191" customFormat="1" ht="18" customHeight="1">
      <c r="A7" s="130">
        <v>45443</v>
      </c>
      <c r="B7" s="190">
        <v>5274</v>
      </c>
      <c r="C7" s="190">
        <v>26</v>
      </c>
      <c r="D7" s="190">
        <v>4170</v>
      </c>
      <c r="E7" s="187">
        <v>22</v>
      </c>
      <c r="F7" s="190">
        <v>871.14</v>
      </c>
      <c r="G7" s="190">
        <v>176258.29000000004</v>
      </c>
      <c r="H7" s="654">
        <v>169592.24000000002</v>
      </c>
      <c r="I7" s="654">
        <v>7708.738181818183</v>
      </c>
      <c r="J7" s="654">
        <v>19467.851321257207</v>
      </c>
      <c r="K7" s="190">
        <v>176258.29000000004</v>
      </c>
      <c r="L7" s="654">
        <v>169592.23</v>
      </c>
      <c r="M7" s="654">
        <v>41212881.140000001</v>
      </c>
      <c r="N7" s="190">
        <v>76009.679999999993</v>
      </c>
      <c r="O7" s="190">
        <v>71866.009999999995</v>
      </c>
      <c r="P7" s="190">
        <v>73961.31</v>
      </c>
      <c r="Q7" s="90"/>
    </row>
    <row r="8" spans="1:18" s="191" customFormat="1" ht="18" customHeight="1">
      <c r="A8" s="130">
        <v>45473</v>
      </c>
      <c r="B8" s="190">
        <v>5293</v>
      </c>
      <c r="C8" s="190">
        <v>26</v>
      </c>
      <c r="D8" s="190">
        <v>4200</v>
      </c>
      <c r="E8" s="187">
        <v>19</v>
      </c>
      <c r="F8" s="190">
        <v>1080.27</v>
      </c>
      <c r="G8" s="190">
        <v>201460.99999999997</v>
      </c>
      <c r="H8" s="654">
        <v>227001.57</v>
      </c>
      <c r="I8" s="654">
        <f>H8/E8</f>
        <v>11947.451052631579</v>
      </c>
      <c r="J8" s="654">
        <f>100*H8/F8</f>
        <v>21013.410536254825</v>
      </c>
      <c r="K8" s="190">
        <v>201460.99999999997</v>
      </c>
      <c r="L8" s="654">
        <v>227001.56</v>
      </c>
      <c r="M8" s="654">
        <v>43924743.630000003</v>
      </c>
      <c r="N8" s="190">
        <v>79671.58</v>
      </c>
      <c r="O8" s="190">
        <v>70234.429999999993</v>
      </c>
      <c r="P8" s="190">
        <v>79032.73</v>
      </c>
      <c r="R8" s="232"/>
    </row>
    <row r="9" spans="1:18" s="191" customFormat="1" ht="18" customHeight="1">
      <c r="A9" s="130">
        <v>45504</v>
      </c>
      <c r="B9" s="190">
        <v>5307</v>
      </c>
      <c r="C9" s="190">
        <v>26</v>
      </c>
      <c r="D9" s="190">
        <v>4208</v>
      </c>
      <c r="E9" s="190">
        <v>22</v>
      </c>
      <c r="F9" s="190">
        <v>1210.2900000000004</v>
      </c>
      <c r="G9" s="190">
        <v>242537.23000000004</v>
      </c>
      <c r="H9" s="654">
        <v>235148.12</v>
      </c>
      <c r="I9" s="654">
        <v>10688.550909090909</v>
      </c>
      <c r="J9" s="654">
        <v>19429.07237108461</v>
      </c>
      <c r="K9" s="190">
        <v>242537.23000000004</v>
      </c>
      <c r="L9" s="654">
        <v>235148.1</v>
      </c>
      <c r="M9" s="654">
        <v>46238008.350000001</v>
      </c>
      <c r="N9" s="190">
        <v>81908.429999999993</v>
      </c>
      <c r="O9" s="190">
        <v>78971.789999999994</v>
      </c>
      <c r="P9" s="190">
        <v>81741.34</v>
      </c>
    </row>
    <row r="10" spans="1:18" s="191" customFormat="1" ht="18" customHeight="1">
      <c r="A10" s="130">
        <v>45535</v>
      </c>
      <c r="B10" s="190">
        <v>5316</v>
      </c>
      <c r="C10" s="190">
        <v>25</v>
      </c>
      <c r="D10" s="190">
        <v>4227</v>
      </c>
      <c r="E10" s="190">
        <v>21</v>
      </c>
      <c r="F10" s="190">
        <v>1043.21</v>
      </c>
      <c r="G10" s="190">
        <v>185416.31000000003</v>
      </c>
      <c r="H10" s="654">
        <v>209348.01</v>
      </c>
      <c r="I10" s="654">
        <v>9968.9528571428582</v>
      </c>
      <c r="J10" s="654">
        <v>20067.676690215776</v>
      </c>
      <c r="K10" s="190">
        <v>185416.31000000003</v>
      </c>
      <c r="L10" s="654">
        <v>209348</v>
      </c>
      <c r="M10" s="654">
        <v>46439993.770000003</v>
      </c>
      <c r="N10" s="190">
        <v>82637.03</v>
      </c>
      <c r="O10" s="190">
        <v>78295.86</v>
      </c>
      <c r="P10" s="190">
        <v>82365.77</v>
      </c>
    </row>
    <row r="11" spans="1:18" s="191" customFormat="1" ht="19.5" customHeight="1">
      <c r="A11" s="130">
        <v>45565</v>
      </c>
      <c r="B11" s="190">
        <v>5347</v>
      </c>
      <c r="C11" s="190">
        <v>25</v>
      </c>
      <c r="D11" s="190">
        <v>4247</v>
      </c>
      <c r="E11" s="187">
        <v>21</v>
      </c>
      <c r="F11" s="190">
        <v>940.19999999999993</v>
      </c>
      <c r="G11" s="190">
        <v>175363.09999999998</v>
      </c>
      <c r="H11" s="654">
        <v>180681.74999999997</v>
      </c>
      <c r="I11" s="654">
        <v>8603.8928571428551</v>
      </c>
      <c r="J11" s="654">
        <v>19217.373962986596</v>
      </c>
      <c r="K11" s="190">
        <v>175363.09999999998</v>
      </c>
      <c r="L11" s="654">
        <v>180681.74</v>
      </c>
      <c r="M11" s="654">
        <v>47435137.149999999</v>
      </c>
      <c r="N11" s="190">
        <v>85978.25</v>
      </c>
      <c r="O11" s="190">
        <v>80895.05</v>
      </c>
      <c r="P11" s="190">
        <v>84299.78</v>
      </c>
    </row>
    <row r="12" spans="1:18" s="191" customFormat="1">
      <c r="A12" s="320" t="s">
        <v>1373</v>
      </c>
      <c r="C12" s="193"/>
      <c r="D12" s="193"/>
      <c r="E12" s="193"/>
      <c r="F12" s="193"/>
      <c r="G12" s="193"/>
      <c r="H12" s="193"/>
      <c r="I12" s="193"/>
      <c r="J12" s="193"/>
      <c r="K12" s="193"/>
      <c r="L12" s="193"/>
      <c r="M12" s="193"/>
      <c r="N12" s="193"/>
      <c r="O12" s="193"/>
      <c r="P12" s="193"/>
    </row>
    <row r="13" spans="1:18" s="191" customFormat="1">
      <c r="A13" s="109" t="s">
        <v>247</v>
      </c>
      <c r="B13" s="286"/>
      <c r="C13" s="286"/>
      <c r="D13" s="286"/>
      <c r="E13" s="286"/>
      <c r="F13" s="286"/>
      <c r="G13" s="286"/>
      <c r="H13" s="286"/>
      <c r="O13" s="90"/>
    </row>
    <row r="14" spans="1:18" s="191" customFormat="1">
      <c r="A14" s="108" t="s">
        <v>248</v>
      </c>
      <c r="B14" s="286"/>
      <c r="C14" s="286"/>
      <c r="D14" s="286"/>
      <c r="E14" s="286"/>
      <c r="F14" s="286"/>
      <c r="G14" s="286"/>
      <c r="H14" s="286"/>
      <c r="O14" s="90"/>
    </row>
    <row r="15" spans="1:18" s="191" customFormat="1">
      <c r="A15" s="1430" t="s">
        <v>249</v>
      </c>
      <c r="B15" s="1430"/>
      <c r="C15" s="1430"/>
      <c r="D15" s="1430"/>
      <c r="E15" s="1430"/>
      <c r="F15" s="1430"/>
      <c r="G15" s="1430"/>
      <c r="H15" s="1430"/>
    </row>
  </sheetData>
  <mergeCells count="15">
    <mergeCell ref="M2:M3"/>
    <mergeCell ref="N2:P2"/>
    <mergeCell ref="A15:H15"/>
    <mergeCell ref="G2:G3"/>
    <mergeCell ref="H2:H3"/>
    <mergeCell ref="I2:I3"/>
    <mergeCell ref="J2:J3"/>
    <mergeCell ref="K2:K3"/>
    <mergeCell ref="L2:L3"/>
    <mergeCell ref="A2:A3"/>
    <mergeCell ref="B2:B3"/>
    <mergeCell ref="C2:C3"/>
    <mergeCell ref="D2:D3"/>
    <mergeCell ref="E2:E3"/>
    <mergeCell ref="F2:F3"/>
  </mergeCells>
  <printOptions horizontalCentered="1"/>
  <pageMargins left="0.78431372549019618" right="0.78431372549019618" top="0.98039215686274517" bottom="0.98039215686274517" header="0.50980392156862753" footer="0.50980392156862753"/>
  <pageSetup paperSize="9" scale="55" orientation="landscape" useFirstPageNumber="1"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P23"/>
  <sheetViews>
    <sheetView showGridLines="0" workbookViewId="0"/>
  </sheetViews>
  <sheetFormatPr defaultColWidth="9.140625" defaultRowHeight="15"/>
  <cols>
    <col min="1" max="11" width="14.5703125" style="80" bestFit="1" customWidth="1"/>
    <col min="12" max="12" width="16.7109375" style="80" bestFit="1" customWidth="1"/>
    <col min="13" max="13" width="14.28515625" style="80" customWidth="1"/>
    <col min="14" max="16" width="14.5703125" style="80" bestFit="1" customWidth="1"/>
    <col min="17" max="17" width="4.5703125" style="80" bestFit="1" customWidth="1"/>
    <col min="18" max="16384" width="9.140625" style="80"/>
  </cols>
  <sheetData>
    <row r="1" spans="1:16">
      <c r="A1" s="154" t="s">
        <v>250</v>
      </c>
      <c r="B1" s="154"/>
      <c r="C1" s="154"/>
      <c r="D1" s="154"/>
      <c r="E1" s="154"/>
      <c r="F1" s="154"/>
      <c r="G1" s="154"/>
      <c r="H1" s="154"/>
      <c r="I1" s="154"/>
      <c r="J1" s="154"/>
      <c r="K1" s="154"/>
      <c r="L1" s="154"/>
      <c r="M1" s="154"/>
      <c r="N1" s="154"/>
      <c r="O1" s="154"/>
      <c r="P1" s="154"/>
    </row>
    <row r="2" spans="1:16" s="191" customFormat="1">
      <c r="A2" s="1450" t="s">
        <v>115</v>
      </c>
      <c r="B2" s="1450" t="s">
        <v>236</v>
      </c>
      <c r="C2" s="1450" t="s">
        <v>237</v>
      </c>
      <c r="D2" s="1450" t="s">
        <v>251</v>
      </c>
      <c r="E2" s="1450" t="s">
        <v>239</v>
      </c>
      <c r="F2" s="1450" t="s">
        <v>240</v>
      </c>
      <c r="G2" s="1450" t="s">
        <v>241</v>
      </c>
      <c r="H2" s="1450" t="s">
        <v>258</v>
      </c>
      <c r="I2" s="1450" t="s">
        <v>259</v>
      </c>
      <c r="J2" s="1450" t="s">
        <v>646</v>
      </c>
      <c r="K2" s="1450" t="s">
        <v>242</v>
      </c>
      <c r="L2" s="1450" t="s">
        <v>260</v>
      </c>
      <c r="M2" s="1450" t="s">
        <v>1348</v>
      </c>
      <c r="N2" s="1452" t="s">
        <v>252</v>
      </c>
      <c r="O2" s="1453"/>
      <c r="P2" s="1454"/>
    </row>
    <row r="3" spans="1:16" s="191" customFormat="1" ht="30.75" customHeight="1">
      <c r="A3" s="1451"/>
      <c r="B3" s="1451"/>
      <c r="C3" s="1451"/>
      <c r="D3" s="1451"/>
      <c r="E3" s="1451"/>
      <c r="F3" s="1451"/>
      <c r="G3" s="1451"/>
      <c r="H3" s="1451"/>
      <c r="I3" s="1451"/>
      <c r="J3" s="1451"/>
      <c r="K3" s="1451"/>
      <c r="L3" s="1451"/>
      <c r="M3" s="1451"/>
      <c r="N3" s="531" t="s">
        <v>244</v>
      </c>
      <c r="O3" s="531" t="s">
        <v>245</v>
      </c>
      <c r="P3" s="531" t="s">
        <v>246</v>
      </c>
    </row>
    <row r="4" spans="1:16" s="84" customFormat="1">
      <c r="A4" s="267" t="s">
        <v>505</v>
      </c>
      <c r="B4" s="269">
        <v>2439</v>
      </c>
      <c r="C4" s="269">
        <v>3</v>
      </c>
      <c r="D4" s="269">
        <v>2985</v>
      </c>
      <c r="E4" s="300">
        <v>246</v>
      </c>
      <c r="F4" s="269">
        <v>68124.680000000008</v>
      </c>
      <c r="G4" s="655">
        <v>10179860.869999999</v>
      </c>
      <c r="H4" s="656">
        <v>20103439.399999999</v>
      </c>
      <c r="I4" s="655">
        <v>81721.298373983736</v>
      </c>
      <c r="J4" s="655">
        <v>29509.774431234018</v>
      </c>
      <c r="K4" s="270">
        <v>10179860.869999999</v>
      </c>
      <c r="L4" s="651">
        <v>20103439.399999999</v>
      </c>
      <c r="M4" s="651">
        <v>38421667.5427958</v>
      </c>
      <c r="N4" s="269">
        <v>22526.6</v>
      </c>
      <c r="O4" s="269">
        <v>17312.75</v>
      </c>
      <c r="P4" s="269">
        <v>22326.9</v>
      </c>
    </row>
    <row r="5" spans="1:16" s="84" customFormat="1">
      <c r="A5" s="532" t="s">
        <v>703</v>
      </c>
      <c r="B5" s="533">
        <v>2604</v>
      </c>
      <c r="C5" s="533">
        <v>3</v>
      </c>
      <c r="D5" s="533">
        <v>3566</v>
      </c>
      <c r="E5" s="533">
        <v>125</v>
      </c>
      <c r="F5" s="533">
        <v>50421.9</v>
      </c>
      <c r="G5" s="556">
        <v>6233030.3799999999</v>
      </c>
      <c r="H5" s="556">
        <v>15752473.170000002</v>
      </c>
      <c r="I5" s="657">
        <v>126019.78536000001</v>
      </c>
      <c r="J5" s="556">
        <v>31241.331980746465</v>
      </c>
      <c r="K5" s="533">
        <v>6233030.3799999999</v>
      </c>
      <c r="L5" s="652">
        <v>15752473.170000002</v>
      </c>
      <c r="M5" s="652">
        <v>47064725.361702502</v>
      </c>
      <c r="N5" s="533">
        <v>26277.35</v>
      </c>
      <c r="O5" s="533">
        <v>21281.45</v>
      </c>
      <c r="P5" s="533">
        <v>25810.85</v>
      </c>
    </row>
    <row r="6" spans="1:16" s="191" customFormat="1">
      <c r="A6" s="130">
        <v>45412</v>
      </c>
      <c r="B6" s="190">
        <v>2464</v>
      </c>
      <c r="C6" s="190">
        <v>3</v>
      </c>
      <c r="D6" s="190">
        <v>2625</v>
      </c>
      <c r="E6" s="187">
        <v>20</v>
      </c>
      <c r="F6" s="190">
        <v>6810.19</v>
      </c>
      <c r="G6" s="451">
        <v>990584.38</v>
      </c>
      <c r="H6" s="451">
        <v>2120195.52</v>
      </c>
      <c r="I6" s="451">
        <v>106009.78</v>
      </c>
      <c r="J6" s="451">
        <v>31132.69</v>
      </c>
      <c r="K6" s="190">
        <v>990584.38</v>
      </c>
      <c r="L6" s="654">
        <v>2120195.52</v>
      </c>
      <c r="M6" s="654">
        <v>40304405.9649911</v>
      </c>
      <c r="N6" s="190">
        <v>22526.6</v>
      </c>
      <c r="O6" s="190">
        <v>21710.2</v>
      </c>
      <c r="P6" s="190">
        <v>22604.85</v>
      </c>
    </row>
    <row r="7" spans="1:16" s="191" customFormat="1">
      <c r="A7" s="130">
        <v>45443</v>
      </c>
      <c r="B7" s="190">
        <v>2482</v>
      </c>
      <c r="C7" s="190">
        <v>3</v>
      </c>
      <c r="D7" s="190">
        <v>2995</v>
      </c>
      <c r="E7" s="187">
        <v>22</v>
      </c>
      <c r="F7" s="190">
        <v>7680.33</v>
      </c>
      <c r="G7" s="451">
        <v>924888.14</v>
      </c>
      <c r="H7" s="451">
        <v>2467941.4300000002</v>
      </c>
      <c r="I7" s="451">
        <v>112179.16</v>
      </c>
      <c r="J7" s="451">
        <v>32133.27</v>
      </c>
      <c r="K7" s="190">
        <v>924888.14</v>
      </c>
      <c r="L7" s="654">
        <v>2467941.4300000002</v>
      </c>
      <c r="M7" s="654">
        <v>40880529.739361502</v>
      </c>
      <c r="N7" s="190">
        <v>23110.799999999999</v>
      </c>
      <c r="O7" s="190">
        <v>21821.05</v>
      </c>
      <c r="P7" s="190">
        <v>22530.7</v>
      </c>
    </row>
    <row r="8" spans="1:16" s="191" customFormat="1">
      <c r="A8" s="130">
        <v>45473</v>
      </c>
      <c r="B8" s="190">
        <v>2499</v>
      </c>
      <c r="C8" s="190">
        <v>3</v>
      </c>
      <c r="D8" s="190">
        <v>2998</v>
      </c>
      <c r="E8" s="187">
        <v>19</v>
      </c>
      <c r="F8" s="190">
        <v>8709.81</v>
      </c>
      <c r="G8" s="451">
        <v>1157608.3700000001</v>
      </c>
      <c r="H8" s="451">
        <v>2905226.46</v>
      </c>
      <c r="I8" s="451">
        <v>152906.66</v>
      </c>
      <c r="J8" s="451">
        <v>33355.800000000003</v>
      </c>
      <c r="K8" s="190">
        <v>1157608.3700000001</v>
      </c>
      <c r="L8" s="654">
        <v>2905226.46</v>
      </c>
      <c r="M8" s="654">
        <v>43573919.231727503</v>
      </c>
      <c r="N8" s="190">
        <v>24174</v>
      </c>
      <c r="O8" s="190">
        <v>21281.45</v>
      </c>
      <c r="P8" s="190">
        <v>24010.6</v>
      </c>
    </row>
    <row r="9" spans="1:16" s="191" customFormat="1">
      <c r="A9" s="130">
        <v>45504</v>
      </c>
      <c r="B9" s="190">
        <v>2529</v>
      </c>
      <c r="C9" s="190">
        <v>3</v>
      </c>
      <c r="D9" s="190">
        <v>3093</v>
      </c>
      <c r="E9" s="190">
        <v>22</v>
      </c>
      <c r="F9" s="190">
        <v>9850.42</v>
      </c>
      <c r="G9" s="451">
        <v>1185106.55</v>
      </c>
      <c r="H9" s="451">
        <v>3061576.73</v>
      </c>
      <c r="I9" s="451">
        <v>139162.57999999999</v>
      </c>
      <c r="J9" s="451">
        <v>31080.67</v>
      </c>
      <c r="K9" s="190">
        <v>1185106.55</v>
      </c>
      <c r="L9" s="654">
        <v>3061576.73</v>
      </c>
      <c r="M9" s="654">
        <v>45865877.613030799</v>
      </c>
      <c r="N9" s="190">
        <v>24999</v>
      </c>
      <c r="O9" s="190">
        <v>23992</v>
      </c>
      <c r="P9" s="190">
        <v>24951</v>
      </c>
    </row>
    <row r="10" spans="1:16" s="191" customFormat="1">
      <c r="A10" s="130">
        <v>45535</v>
      </c>
      <c r="B10" s="190">
        <v>2559</v>
      </c>
      <c r="C10" s="190">
        <v>3</v>
      </c>
      <c r="D10" s="190">
        <v>3077</v>
      </c>
      <c r="E10" s="187">
        <v>21</v>
      </c>
      <c r="F10" s="190">
        <v>8884.16</v>
      </c>
      <c r="G10" s="451">
        <v>1005099.39</v>
      </c>
      <c r="H10" s="451">
        <v>2638156.9900000002</v>
      </c>
      <c r="I10" s="451">
        <v>125626.52</v>
      </c>
      <c r="J10" s="451">
        <v>29695.06</v>
      </c>
      <c r="K10" s="190">
        <v>1005099.39</v>
      </c>
      <c r="L10" s="654">
        <v>2638156.9900000002</v>
      </c>
      <c r="M10" s="654">
        <v>46109615.540309303</v>
      </c>
      <c r="N10" s="190">
        <v>25268.35</v>
      </c>
      <c r="O10" s="190">
        <v>23893.7</v>
      </c>
      <c r="P10" s="190">
        <v>25235.9</v>
      </c>
    </row>
    <row r="11" spans="1:16" s="191" customFormat="1">
      <c r="A11" s="130">
        <v>45565</v>
      </c>
      <c r="B11" s="190">
        <v>2604</v>
      </c>
      <c r="C11" s="190">
        <v>3</v>
      </c>
      <c r="D11" s="190">
        <v>3131</v>
      </c>
      <c r="E11" s="187">
        <v>21</v>
      </c>
      <c r="F11" s="190">
        <v>8486.99</v>
      </c>
      <c r="G11" s="451">
        <v>969743.55</v>
      </c>
      <c r="H11" s="451">
        <v>2559376.04</v>
      </c>
      <c r="I11" s="451">
        <v>121875.05</v>
      </c>
      <c r="J11" s="451">
        <v>30156.46</v>
      </c>
      <c r="K11" s="190">
        <v>969743.55</v>
      </c>
      <c r="L11" s="654">
        <v>2559376.04</v>
      </c>
      <c r="M11" s="654">
        <v>47064725.361702502</v>
      </c>
      <c r="N11" s="190">
        <v>26277.35</v>
      </c>
      <c r="O11" s="190">
        <v>24753.15</v>
      </c>
      <c r="P11" s="190">
        <v>25810.85</v>
      </c>
    </row>
    <row r="12" spans="1:16" s="191" customFormat="1">
      <c r="A12" s="320" t="s">
        <v>1373</v>
      </c>
      <c r="B12" s="193"/>
      <c r="C12" s="193"/>
      <c r="D12" s="193"/>
      <c r="E12" s="203"/>
      <c r="F12" s="193"/>
      <c r="G12" s="193"/>
      <c r="H12" s="193"/>
      <c r="I12" s="193"/>
      <c r="J12" s="193"/>
      <c r="K12" s="193"/>
      <c r="L12" s="193"/>
      <c r="M12" s="204"/>
      <c r="N12" s="193"/>
      <c r="O12" s="193"/>
      <c r="P12" s="193"/>
    </row>
    <row r="13" spans="1:16" s="191" customFormat="1" ht="13.5" customHeight="1">
      <c r="A13" s="108" t="s">
        <v>253</v>
      </c>
      <c r="B13" s="108"/>
      <c r="C13" s="108"/>
      <c r="D13" s="108"/>
      <c r="E13" s="108"/>
      <c r="F13" s="108"/>
      <c r="G13" s="108"/>
      <c r="H13" s="108"/>
      <c r="J13" s="90"/>
      <c r="M13" s="110"/>
    </row>
    <row r="14" spans="1:16" s="191" customFormat="1" ht="13.5" customHeight="1">
      <c r="A14" s="108" t="s">
        <v>248</v>
      </c>
      <c r="B14" s="288"/>
      <c r="C14" s="288"/>
      <c r="D14" s="288"/>
      <c r="E14" s="288"/>
      <c r="F14" s="288"/>
      <c r="G14" s="288"/>
      <c r="H14" s="288"/>
      <c r="J14" s="90"/>
    </row>
    <row r="15" spans="1:16" s="191" customFormat="1">
      <c r="A15" s="1455" t="s">
        <v>254</v>
      </c>
      <c r="B15" s="1456"/>
      <c r="C15" s="1456"/>
      <c r="D15" s="1456"/>
      <c r="E15" s="1456"/>
      <c r="F15" s="1456"/>
      <c r="G15" s="1456"/>
      <c r="H15" s="1456"/>
      <c r="I15" s="1456"/>
      <c r="J15" s="1456"/>
    </row>
    <row r="16" spans="1:16" s="191" customFormat="1" ht="15" customHeight="1">
      <c r="A16" s="1457" t="s">
        <v>255</v>
      </c>
      <c r="B16" s="1457"/>
      <c r="C16" s="1457"/>
      <c r="D16" s="1457"/>
      <c r="E16" s="1457"/>
      <c r="F16" s="1457"/>
      <c r="G16" s="1457"/>
      <c r="H16" s="1457"/>
    </row>
    <row r="17" spans="1:10" s="191" customFormat="1">
      <c r="A17" s="231"/>
      <c r="B17" s="80"/>
      <c r="C17" s="80"/>
      <c r="D17" s="80"/>
      <c r="E17" s="80"/>
      <c r="F17" s="80"/>
      <c r="G17" s="80"/>
      <c r="H17" s="80"/>
    </row>
    <row r="19" spans="1:10">
      <c r="G19" s="111"/>
      <c r="J19" s="131"/>
    </row>
    <row r="20" spans="1:10">
      <c r="H20" s="111"/>
      <c r="J20" s="131"/>
    </row>
    <row r="21" spans="1:10">
      <c r="H21" s="111"/>
      <c r="J21" s="131"/>
    </row>
    <row r="22" spans="1:10">
      <c r="H22" s="111"/>
      <c r="J22" s="131"/>
    </row>
    <row r="23" spans="1:10">
      <c r="H23" s="111"/>
    </row>
  </sheetData>
  <mergeCells count="16">
    <mergeCell ref="M2:M3"/>
    <mergeCell ref="N2:P2"/>
    <mergeCell ref="A15:J15"/>
    <mergeCell ref="A16:H16"/>
    <mergeCell ref="G2:G3"/>
    <mergeCell ref="H2:H3"/>
    <mergeCell ref="I2:I3"/>
    <mergeCell ref="J2:J3"/>
    <mergeCell ref="K2:K3"/>
    <mergeCell ref="L2:L3"/>
    <mergeCell ref="A2:A3"/>
    <mergeCell ref="B2:B3"/>
    <mergeCell ref="C2:C3"/>
    <mergeCell ref="D2:D3"/>
    <mergeCell ref="E2:E3"/>
    <mergeCell ref="F2:F3"/>
  </mergeCells>
  <printOptions horizontalCentered="1"/>
  <pageMargins left="0.78431372549019618" right="0.78431372549019618" top="0.98039215686274517" bottom="0.98039215686274517" header="0.50980392156862753" footer="0.50980392156862753"/>
  <pageSetup paperSize="9" scale="54" fitToHeight="0" orientation="landscape" useFirstPageNumber="1"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20"/>
  <sheetViews>
    <sheetView showGridLines="0" workbookViewId="0"/>
  </sheetViews>
  <sheetFormatPr defaultColWidth="9.140625" defaultRowHeight="15"/>
  <cols>
    <col min="1" max="1" width="13" style="80" customWidth="1"/>
    <col min="2" max="4" width="14.5703125" style="80" bestFit="1" customWidth="1"/>
    <col min="5" max="5" width="10.140625" style="80" customWidth="1"/>
    <col min="6" max="6" width="9.42578125" style="80" customWidth="1"/>
    <col min="7" max="7" width="10.42578125" style="80" customWidth="1"/>
    <col min="8" max="8" width="11.7109375" style="80" bestFit="1" customWidth="1"/>
    <col min="9" max="10" width="15.7109375" style="80" customWidth="1"/>
    <col min="11" max="11" width="14.5703125" style="80" bestFit="1" customWidth="1"/>
    <col min="12" max="12" width="9.85546875" style="80" customWidth="1"/>
    <col min="13" max="13" width="16.5703125" style="80" customWidth="1"/>
    <col min="14" max="16" width="10.7109375" style="80" customWidth="1"/>
    <col min="17" max="17" width="14.5703125" style="80" bestFit="1" customWidth="1"/>
    <col min="18" max="16384" width="9.140625" style="80"/>
  </cols>
  <sheetData>
    <row r="1" spans="1:17">
      <c r="A1" s="137" t="s">
        <v>15</v>
      </c>
      <c r="B1" s="137"/>
      <c r="C1" s="137"/>
    </row>
    <row r="2" spans="1:17" s="191" customFormat="1">
      <c r="A2" s="1450" t="s">
        <v>169</v>
      </c>
      <c r="B2" s="1450" t="s">
        <v>236</v>
      </c>
      <c r="C2" s="1450" t="s">
        <v>256</v>
      </c>
      <c r="D2" s="1450" t="s">
        <v>257</v>
      </c>
      <c r="E2" s="1450" t="s">
        <v>239</v>
      </c>
      <c r="F2" s="1450" t="s">
        <v>240</v>
      </c>
      <c r="G2" s="1450" t="s">
        <v>241</v>
      </c>
      <c r="H2" s="1450" t="s">
        <v>258</v>
      </c>
      <c r="I2" s="1450" t="s">
        <v>259</v>
      </c>
      <c r="J2" s="1450" t="s">
        <v>646</v>
      </c>
      <c r="K2" s="1450" t="s">
        <v>242</v>
      </c>
      <c r="L2" s="1450" t="s">
        <v>260</v>
      </c>
      <c r="M2" s="1450" t="s">
        <v>261</v>
      </c>
      <c r="N2" s="1452" t="s">
        <v>262</v>
      </c>
      <c r="O2" s="1453"/>
      <c r="P2" s="1454"/>
    </row>
    <row r="3" spans="1:17" s="191" customFormat="1" ht="32.25" customHeight="1">
      <c r="A3" s="1451"/>
      <c r="B3" s="1451"/>
      <c r="C3" s="1451"/>
      <c r="D3" s="1451"/>
      <c r="E3" s="1451"/>
      <c r="F3" s="1451"/>
      <c r="G3" s="1451"/>
      <c r="H3" s="1451"/>
      <c r="I3" s="1451"/>
      <c r="J3" s="1451"/>
      <c r="K3" s="1451"/>
      <c r="L3" s="1451"/>
      <c r="M3" s="1451"/>
      <c r="N3" s="531" t="s">
        <v>244</v>
      </c>
      <c r="O3" s="531" t="s">
        <v>245</v>
      </c>
      <c r="P3" s="531" t="s">
        <v>246</v>
      </c>
    </row>
    <row r="4" spans="1:17" s="84" customFormat="1">
      <c r="A4" s="267" t="s">
        <v>505</v>
      </c>
      <c r="B4" s="301">
        <v>266</v>
      </c>
      <c r="C4" s="301">
        <v>1705</v>
      </c>
      <c r="D4" s="301">
        <v>10</v>
      </c>
      <c r="E4" s="301">
        <v>246</v>
      </c>
      <c r="F4" s="301">
        <v>3.5100000000000001E-3</v>
      </c>
      <c r="G4" s="658">
        <v>20.224450000000001</v>
      </c>
      <c r="H4" s="658">
        <v>29.338079719999996</v>
      </c>
      <c r="I4" s="658">
        <v>0.11926048666666665</v>
      </c>
      <c r="J4" s="658">
        <v>835842.72706552688</v>
      </c>
      <c r="K4" s="301" t="s">
        <v>221</v>
      </c>
      <c r="L4" s="301" t="s">
        <v>221</v>
      </c>
      <c r="M4" s="659">
        <v>38356305.409999996</v>
      </c>
      <c r="N4" s="301">
        <v>42685.19</v>
      </c>
      <c r="O4" s="301">
        <v>33552.300000000003</v>
      </c>
      <c r="P4" s="301">
        <v>42417.24</v>
      </c>
    </row>
    <row r="5" spans="1:17" s="191" customFormat="1">
      <c r="A5" s="532" t="s">
        <v>703</v>
      </c>
      <c r="B5" s="533">
        <v>266</v>
      </c>
      <c r="C5" s="533">
        <v>1771</v>
      </c>
      <c r="D5" s="533">
        <v>7</v>
      </c>
      <c r="E5" s="533">
        <v>125</v>
      </c>
      <c r="F5" s="533">
        <v>2.8400000000000001E-3</v>
      </c>
      <c r="G5" s="556">
        <v>22.733179999999997</v>
      </c>
      <c r="H5" s="556">
        <v>13.790631524999998</v>
      </c>
      <c r="I5" s="657">
        <v>0.11032505219999998</v>
      </c>
      <c r="J5" s="556">
        <v>485585.61707746476</v>
      </c>
      <c r="K5" s="533" t="s">
        <v>221</v>
      </c>
      <c r="L5" s="533" t="s">
        <v>221</v>
      </c>
      <c r="M5" s="652">
        <v>48535729.219999999</v>
      </c>
      <c r="N5" s="533">
        <v>49669.06</v>
      </c>
      <c r="O5" s="533">
        <v>41588.01</v>
      </c>
      <c r="P5" s="533">
        <v>48974.44</v>
      </c>
    </row>
    <row r="6" spans="1:17" s="191" customFormat="1">
      <c r="A6" s="130">
        <v>45412</v>
      </c>
      <c r="B6" s="190">
        <v>266</v>
      </c>
      <c r="C6" s="190">
        <v>1704</v>
      </c>
      <c r="D6" s="190">
        <v>1</v>
      </c>
      <c r="E6" s="190">
        <v>20</v>
      </c>
      <c r="F6" s="190">
        <v>2.3000000000000001E-4</v>
      </c>
      <c r="G6" s="451">
        <v>0.76</v>
      </c>
      <c r="H6" s="451">
        <v>0.56713574999999994</v>
      </c>
      <c r="I6" s="451">
        <v>2.8356787499999998E-2</v>
      </c>
      <c r="J6" s="451">
        <v>246580.76086956519</v>
      </c>
      <c r="K6" s="190" t="s">
        <v>221</v>
      </c>
      <c r="L6" s="190" t="s">
        <v>221</v>
      </c>
      <c r="M6" s="654">
        <v>40187325.409999996</v>
      </c>
      <c r="N6" s="190">
        <v>43265.36</v>
      </c>
      <c r="O6" s="190">
        <v>41843.949999999997</v>
      </c>
      <c r="P6" s="190">
        <v>42994.7</v>
      </c>
    </row>
    <row r="7" spans="1:17" s="191" customFormat="1">
      <c r="A7" s="130">
        <v>45443</v>
      </c>
      <c r="B7" s="190">
        <v>266</v>
      </c>
      <c r="C7" s="190">
        <v>1771</v>
      </c>
      <c r="D7" s="190">
        <v>2</v>
      </c>
      <c r="E7" s="190">
        <v>22</v>
      </c>
      <c r="F7" s="190">
        <v>3.6000000000000002E-4</v>
      </c>
      <c r="G7" s="451">
        <v>0.96831999999999996</v>
      </c>
      <c r="H7" s="451">
        <v>0.73166049999999994</v>
      </c>
      <c r="I7" s="451">
        <v>3.3257295454545449E-2</v>
      </c>
      <c r="J7" s="451">
        <v>203239.02777777775</v>
      </c>
      <c r="K7" s="190" t="s">
        <v>221</v>
      </c>
      <c r="L7" s="190" t="s">
        <v>221</v>
      </c>
      <c r="M7" s="654">
        <v>41477459.560000002</v>
      </c>
      <c r="N7" s="190">
        <v>43643.65</v>
      </c>
      <c r="O7" s="190">
        <v>41779.14</v>
      </c>
      <c r="P7" s="190">
        <v>42784.29</v>
      </c>
    </row>
    <row r="8" spans="1:17" s="191" customFormat="1">
      <c r="A8" s="130">
        <v>45473</v>
      </c>
      <c r="B8" s="190">
        <v>266</v>
      </c>
      <c r="C8" s="190">
        <v>1840</v>
      </c>
      <c r="D8" s="190">
        <v>5</v>
      </c>
      <c r="E8" s="190">
        <v>19</v>
      </c>
      <c r="F8" s="190">
        <v>6.2E-4</v>
      </c>
      <c r="G8" s="451">
        <v>0.83760000000000001</v>
      </c>
      <c r="H8" s="451">
        <v>0.2662195</v>
      </c>
      <c r="I8" s="451">
        <v>1.4011552631578947E-2</v>
      </c>
      <c r="J8" s="451">
        <v>42938.629032258068</v>
      </c>
      <c r="K8" s="190" t="s">
        <v>221</v>
      </c>
      <c r="L8" s="190" t="s">
        <v>221</v>
      </c>
      <c r="M8" s="654">
        <v>45649187.890000001</v>
      </c>
      <c r="N8" s="190">
        <v>45764.87</v>
      </c>
      <c r="O8" s="190">
        <v>41588.01</v>
      </c>
      <c r="P8" s="190">
        <v>45686.35</v>
      </c>
    </row>
    <row r="9" spans="1:17" s="191" customFormat="1">
      <c r="A9" s="130">
        <v>45504</v>
      </c>
      <c r="B9" s="190">
        <v>266</v>
      </c>
      <c r="C9" s="190">
        <v>1837</v>
      </c>
      <c r="D9" s="190">
        <v>5</v>
      </c>
      <c r="E9" s="190">
        <v>22</v>
      </c>
      <c r="F9" s="190">
        <v>2.7E-4</v>
      </c>
      <c r="G9" s="451">
        <v>5.0656600000000003</v>
      </c>
      <c r="H9" s="451">
        <v>0.51822155000000003</v>
      </c>
      <c r="I9" s="451">
        <v>2.3555525000000001E-2</v>
      </c>
      <c r="J9" s="451">
        <v>191933.90740740742</v>
      </c>
      <c r="K9" s="190" t="s">
        <v>221</v>
      </c>
      <c r="L9" s="190" t="s">
        <v>221</v>
      </c>
      <c r="M9" s="654">
        <v>47610230.490000002</v>
      </c>
      <c r="N9" s="190">
        <v>47309.14</v>
      </c>
      <c r="O9" s="190">
        <v>45686.35</v>
      </c>
      <c r="P9" s="190">
        <v>47309.14</v>
      </c>
    </row>
    <row r="10" spans="1:17" s="191" customFormat="1">
      <c r="A10" s="130">
        <v>45535</v>
      </c>
      <c r="B10" s="190">
        <v>265</v>
      </c>
      <c r="C10" s="190">
        <v>1834</v>
      </c>
      <c r="D10" s="190">
        <v>2</v>
      </c>
      <c r="E10" s="190">
        <v>21</v>
      </c>
      <c r="F10" s="190">
        <v>4.2000000000000002E-4</v>
      </c>
      <c r="G10" s="451">
        <v>5.3781999999999996</v>
      </c>
      <c r="H10" s="451">
        <v>4.4310668249999994</v>
      </c>
      <c r="I10" s="451">
        <v>0.21100318214285713</v>
      </c>
      <c r="J10" s="451">
        <v>1055015.9107142854</v>
      </c>
      <c r="K10" s="190" t="s">
        <v>221</v>
      </c>
      <c r="L10" s="190" t="s">
        <v>221</v>
      </c>
      <c r="M10" s="654">
        <v>47702106.850000001</v>
      </c>
      <c r="N10" s="190">
        <v>47831.79</v>
      </c>
      <c r="O10" s="190">
        <v>45427.65</v>
      </c>
      <c r="P10" s="190">
        <v>47831.79</v>
      </c>
    </row>
    <row r="11" spans="1:17" s="191" customFormat="1">
      <c r="A11" s="130">
        <v>45565</v>
      </c>
      <c r="B11" s="190">
        <v>264</v>
      </c>
      <c r="C11" s="190">
        <v>1833</v>
      </c>
      <c r="D11" s="190">
        <v>2</v>
      </c>
      <c r="E11" s="190">
        <v>21</v>
      </c>
      <c r="F11" s="190">
        <v>9.3999999999999997E-4</v>
      </c>
      <c r="G11" s="451">
        <v>9.7233999999999998</v>
      </c>
      <c r="H11" s="451">
        <v>7.2763273999999996</v>
      </c>
      <c r="I11" s="451">
        <v>0.34649178095238092</v>
      </c>
      <c r="J11" s="451">
        <v>774077.38297872338</v>
      </c>
      <c r="K11" s="190" t="s">
        <v>221</v>
      </c>
      <c r="L11" s="190" t="s">
        <v>221</v>
      </c>
      <c r="M11" s="654">
        <v>48535729.219999999</v>
      </c>
      <c r="N11" s="190">
        <v>49669.06</v>
      </c>
      <c r="O11" s="190">
        <v>48974.44</v>
      </c>
      <c r="P11" s="190">
        <v>48974.44</v>
      </c>
    </row>
    <row r="12" spans="1:17" s="191" customFormat="1">
      <c r="A12" s="320" t="s">
        <v>1373</v>
      </c>
      <c r="B12" s="193"/>
      <c r="C12" s="193"/>
      <c r="D12" s="193"/>
      <c r="E12" s="193"/>
      <c r="F12" s="193"/>
      <c r="G12" s="193"/>
      <c r="H12" s="193"/>
      <c r="I12" s="193"/>
      <c r="J12" s="193"/>
      <c r="K12" s="193"/>
      <c r="L12" s="193"/>
      <c r="M12" s="204"/>
      <c r="N12" s="193"/>
      <c r="O12" s="193"/>
      <c r="P12" s="193"/>
    </row>
    <row r="13" spans="1:17" s="191" customFormat="1">
      <c r="A13" s="191" t="s">
        <v>263</v>
      </c>
      <c r="B13" s="193"/>
      <c r="C13" s="193"/>
      <c r="D13" s="193"/>
      <c r="E13" s="193"/>
      <c r="F13" s="193"/>
      <c r="G13" s="193"/>
      <c r="H13" s="193"/>
      <c r="I13" s="193"/>
      <c r="J13" s="193"/>
      <c r="K13" s="193"/>
      <c r="L13" s="193"/>
      <c r="M13" s="193"/>
      <c r="N13" s="193"/>
      <c r="O13" s="193"/>
      <c r="P13" s="193"/>
      <c r="Q13" s="193"/>
    </row>
    <row r="14" spans="1:17" s="191" customFormat="1">
      <c r="A14" s="105" t="s">
        <v>264</v>
      </c>
      <c r="B14" s="193"/>
      <c r="C14" s="193"/>
      <c r="D14" s="193"/>
      <c r="E14" s="193"/>
      <c r="F14" s="193"/>
      <c r="G14" s="193"/>
      <c r="H14" s="193"/>
      <c r="I14" s="193"/>
      <c r="J14" s="193"/>
      <c r="K14" s="193"/>
      <c r="L14" s="193"/>
      <c r="M14" s="193"/>
      <c r="N14" s="193"/>
      <c r="O14" s="193"/>
      <c r="P14" s="193"/>
      <c r="Q14" s="193"/>
    </row>
    <row r="15" spans="1:17" s="191" customFormat="1">
      <c r="A15" s="1430" t="s">
        <v>265</v>
      </c>
      <c r="B15" s="1430"/>
      <c r="C15" s="1430"/>
      <c r="D15" s="1430"/>
      <c r="E15" s="1430"/>
      <c r="F15" s="1430"/>
      <c r="G15" s="1430"/>
      <c r="H15" s="1430"/>
      <c r="I15" s="1430"/>
      <c r="J15" s="1430"/>
      <c r="K15" s="1430"/>
      <c r="L15" s="1430"/>
      <c r="M15" s="1430"/>
      <c r="N15" s="1430"/>
      <c r="O15" s="1430"/>
      <c r="P15" s="1430"/>
      <c r="Q15" s="1430"/>
    </row>
    <row r="16" spans="1:17" s="191" customFormat="1">
      <c r="A16" s="231"/>
      <c r="B16" s="80"/>
      <c r="C16" s="80"/>
      <c r="D16" s="80"/>
      <c r="E16" s="80"/>
      <c r="F16" s="80"/>
      <c r="G16" s="112"/>
      <c r="H16" s="80"/>
      <c r="I16" s="91"/>
      <c r="J16" s="131"/>
      <c r="K16" s="80"/>
      <c r="L16" s="80"/>
      <c r="M16" s="80"/>
      <c r="N16" s="80"/>
      <c r="O16" s="80"/>
      <c r="P16" s="80"/>
      <c r="Q16" s="80"/>
    </row>
    <row r="17" spans="9:10">
      <c r="I17" s="91"/>
      <c r="J17" s="131"/>
    </row>
    <row r="18" spans="9:10">
      <c r="I18" s="91"/>
      <c r="J18" s="131"/>
    </row>
    <row r="19" spans="9:10">
      <c r="I19" s="91"/>
      <c r="J19" s="131"/>
    </row>
    <row r="20" spans="9:10">
      <c r="I20" s="91"/>
      <c r="J20" s="131"/>
    </row>
  </sheetData>
  <mergeCells count="15">
    <mergeCell ref="M2:M3"/>
    <mergeCell ref="N2:P2"/>
    <mergeCell ref="A15:Q15"/>
    <mergeCell ref="G2:G3"/>
    <mergeCell ref="H2:H3"/>
    <mergeCell ref="I2:I3"/>
    <mergeCell ref="J2:J3"/>
    <mergeCell ref="K2:K3"/>
    <mergeCell ref="L2:L3"/>
    <mergeCell ref="A2:A3"/>
    <mergeCell ref="B2:B3"/>
    <mergeCell ref="C2:C3"/>
    <mergeCell ref="D2:D3"/>
    <mergeCell ref="E2:E3"/>
    <mergeCell ref="F2:F3"/>
  </mergeCells>
  <printOptions horizontalCentered="1"/>
  <pageMargins left="0.78431372549019618" right="0.78431372549019618" top="0.98039215686274517" bottom="0.98039215686274517" header="0.50980392156862753" footer="0.50980392156862753"/>
  <pageSetup paperSize="9" scale="64" orientation="landscape" useFirstPageNumber="1"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31"/>
  <sheetViews>
    <sheetView showGridLines="0" workbookViewId="0"/>
  </sheetViews>
  <sheetFormatPr defaultColWidth="9.140625" defaultRowHeight="15"/>
  <cols>
    <col min="1" max="1" width="6.42578125" style="80" bestFit="1" customWidth="1"/>
    <col min="2" max="2" width="36.42578125" style="80" bestFit="1" customWidth="1"/>
    <col min="3" max="8" width="13.5703125" style="80" bestFit="1" customWidth="1"/>
    <col min="9" max="16384" width="9.140625" style="80"/>
  </cols>
  <sheetData>
    <row r="1" spans="1:8" ht="20.25" customHeight="1">
      <c r="A1" s="260" t="s">
        <v>266</v>
      </c>
      <c r="B1" s="261"/>
      <c r="C1" s="261"/>
      <c r="D1" s="261"/>
      <c r="E1" s="261"/>
      <c r="F1" s="261"/>
      <c r="G1" s="261"/>
      <c r="H1" s="261"/>
    </row>
    <row r="2" spans="1:8" s="191" customFormat="1" ht="19.5" customHeight="1">
      <c r="A2" s="1460" t="s">
        <v>267</v>
      </c>
      <c r="B2" s="1461"/>
      <c r="C2" s="1461"/>
      <c r="D2" s="1461"/>
      <c r="E2" s="1461"/>
      <c r="F2" s="1461"/>
      <c r="G2" s="1461"/>
      <c r="H2" s="1462"/>
    </row>
    <row r="3" spans="1:8" s="191" customFormat="1" ht="15" customHeight="1">
      <c r="A3" s="1463" t="s">
        <v>268</v>
      </c>
      <c r="B3" s="1463" t="s">
        <v>269</v>
      </c>
      <c r="C3" s="1465" t="s">
        <v>73</v>
      </c>
      <c r="D3" s="1466"/>
      <c r="E3" s="1465" t="s">
        <v>74</v>
      </c>
      <c r="F3" s="1466"/>
      <c r="G3" s="1467" t="s">
        <v>75</v>
      </c>
      <c r="H3" s="1468"/>
    </row>
    <row r="4" spans="1:8" s="191" customFormat="1" ht="15" customHeight="1">
      <c r="A4" s="1464"/>
      <c r="B4" s="1464"/>
      <c r="C4" s="535" t="s">
        <v>703</v>
      </c>
      <c r="D4" s="536">
        <v>45565</v>
      </c>
      <c r="E4" s="535" t="s">
        <v>703</v>
      </c>
      <c r="F4" s="536">
        <v>45565</v>
      </c>
      <c r="G4" s="535" t="s">
        <v>703</v>
      </c>
      <c r="H4" s="536">
        <v>45565</v>
      </c>
    </row>
    <row r="5" spans="1:8" s="191" customFormat="1" ht="15" customHeight="1">
      <c r="A5" s="420">
        <v>1</v>
      </c>
      <c r="B5" s="302" t="s">
        <v>270</v>
      </c>
      <c r="C5" s="303">
        <v>25.240306668641711</v>
      </c>
      <c r="D5" s="303">
        <v>25.096476323951588</v>
      </c>
      <c r="E5" s="303">
        <v>16.64</v>
      </c>
      <c r="F5" s="303">
        <v>16.899999999999999</v>
      </c>
      <c r="G5" s="303">
        <v>0</v>
      </c>
      <c r="H5" s="303">
        <v>0</v>
      </c>
    </row>
    <row r="6" spans="1:8" s="191" customFormat="1" ht="15" customHeight="1">
      <c r="A6" s="420">
        <v>2</v>
      </c>
      <c r="B6" s="302" t="s">
        <v>271</v>
      </c>
      <c r="C6" s="303">
        <v>0.36232668743643709</v>
      </c>
      <c r="D6" s="303">
        <v>0.14240741716971661</v>
      </c>
      <c r="E6" s="303">
        <v>2.86</v>
      </c>
      <c r="F6" s="303">
        <v>3.53</v>
      </c>
      <c r="G6" s="303">
        <v>0</v>
      </c>
      <c r="H6" s="303">
        <v>0</v>
      </c>
    </row>
    <row r="7" spans="1:8" s="191" customFormat="1" ht="15" customHeight="1">
      <c r="A7" s="420">
        <v>3</v>
      </c>
      <c r="B7" s="302" t="s">
        <v>272</v>
      </c>
      <c r="C7" s="303">
        <v>0.25227083853979038</v>
      </c>
      <c r="D7" s="303">
        <v>0.21883493414283378</v>
      </c>
      <c r="E7" s="303">
        <v>0.1</v>
      </c>
      <c r="F7" s="303">
        <v>0.1</v>
      </c>
      <c r="G7" s="303">
        <v>0</v>
      </c>
      <c r="H7" s="303">
        <v>0</v>
      </c>
    </row>
    <row r="8" spans="1:8" s="191" customFormat="1" ht="15" customHeight="1">
      <c r="A8" s="420">
        <v>4</v>
      </c>
      <c r="B8" s="302" t="s">
        <v>273</v>
      </c>
      <c r="C8" s="303">
        <v>4.8443636318564378E-3</v>
      </c>
      <c r="D8" s="303">
        <v>5.5179195854851175E-3</v>
      </c>
      <c r="E8" s="303">
        <v>0</v>
      </c>
      <c r="F8" s="303">
        <v>0</v>
      </c>
      <c r="G8" s="303">
        <v>0</v>
      </c>
      <c r="H8" s="303">
        <v>0</v>
      </c>
    </row>
    <row r="9" spans="1:8" s="191" customFormat="1" ht="15" customHeight="1">
      <c r="A9" s="420">
        <v>5</v>
      </c>
      <c r="B9" s="302" t="s">
        <v>274</v>
      </c>
      <c r="C9" s="303">
        <v>0.3077586240784706</v>
      </c>
      <c r="D9" s="303">
        <v>0.38969730030049471</v>
      </c>
      <c r="E9" s="303">
        <v>0.96</v>
      </c>
      <c r="F9" s="303">
        <v>0.61</v>
      </c>
      <c r="G9" s="303">
        <v>0</v>
      </c>
      <c r="H9" s="303">
        <v>0</v>
      </c>
    </row>
    <row r="10" spans="1:8" s="191" customFormat="1" ht="15" customHeight="1">
      <c r="A10" s="420">
        <v>6</v>
      </c>
      <c r="B10" s="302" t="s">
        <v>275</v>
      </c>
      <c r="C10" s="303">
        <v>3.0208054678233467E-2</v>
      </c>
      <c r="D10" s="303">
        <v>1.9546078934549453E-2</v>
      </c>
      <c r="E10" s="303">
        <v>0.27</v>
      </c>
      <c r="F10" s="303">
        <v>0.24</v>
      </c>
      <c r="G10" s="303">
        <v>0</v>
      </c>
      <c r="H10" s="303">
        <v>0</v>
      </c>
    </row>
    <row r="11" spans="1:8" s="191" customFormat="1" ht="15" customHeight="1">
      <c r="A11" s="420">
        <v>7</v>
      </c>
      <c r="B11" s="302" t="s">
        <v>276</v>
      </c>
      <c r="C11" s="303">
        <v>1.4902240954237393E-2</v>
      </c>
      <c r="D11" s="303">
        <v>2.9448941771279165E-2</v>
      </c>
      <c r="E11" s="303">
        <v>0.05</v>
      </c>
      <c r="F11" s="303">
        <v>0.04</v>
      </c>
      <c r="G11" s="303">
        <v>0</v>
      </c>
      <c r="H11" s="303">
        <v>0</v>
      </c>
    </row>
    <row r="12" spans="1:8" s="191" customFormat="1" ht="15" customHeight="1">
      <c r="A12" s="420">
        <v>8</v>
      </c>
      <c r="B12" s="302" t="s">
        <v>277</v>
      </c>
      <c r="C12" s="303">
        <v>0.93147236658392352</v>
      </c>
      <c r="D12" s="303">
        <v>0.97823079533986024</v>
      </c>
      <c r="E12" s="303">
        <v>2.2200000000000002</v>
      </c>
      <c r="F12" s="303">
        <v>2.13</v>
      </c>
      <c r="G12" s="303">
        <v>34.68673479795909</v>
      </c>
      <c r="H12" s="303">
        <v>50</v>
      </c>
    </row>
    <row r="13" spans="1:8" s="191" customFormat="1" ht="15" customHeight="1">
      <c r="A13" s="420">
        <v>9</v>
      </c>
      <c r="B13" s="302" t="s">
        <v>278</v>
      </c>
      <c r="C13" s="303">
        <v>2.1708061009228872E-2</v>
      </c>
      <c r="D13" s="303">
        <v>1.7242315184196715E-2</v>
      </c>
      <c r="E13" s="303">
        <v>0</v>
      </c>
      <c r="F13" s="303">
        <v>0</v>
      </c>
      <c r="G13" s="303">
        <v>0</v>
      </c>
      <c r="H13" s="303">
        <v>0</v>
      </c>
    </row>
    <row r="14" spans="1:8" s="191" customFormat="1" ht="15" customHeight="1">
      <c r="A14" s="420">
        <v>10</v>
      </c>
      <c r="B14" s="302" t="s">
        <v>279</v>
      </c>
      <c r="C14" s="303">
        <v>0.11586214108494286</v>
      </c>
      <c r="D14" s="303">
        <v>0.11221295936847074</v>
      </c>
      <c r="E14" s="303">
        <v>2.64</v>
      </c>
      <c r="F14" s="303">
        <v>2.33</v>
      </c>
      <c r="G14" s="303">
        <v>0</v>
      </c>
      <c r="H14" s="303">
        <v>0</v>
      </c>
    </row>
    <row r="15" spans="1:8" s="191" customFormat="1" ht="15" customHeight="1">
      <c r="A15" s="420">
        <v>11</v>
      </c>
      <c r="B15" s="302" t="s">
        <v>280</v>
      </c>
      <c r="C15" s="303">
        <v>0.31015805234854515</v>
      </c>
      <c r="D15" s="303">
        <v>0.28292119759359091</v>
      </c>
      <c r="E15" s="303">
        <v>0.2</v>
      </c>
      <c r="F15" s="303">
        <v>0.21</v>
      </c>
      <c r="G15" s="303">
        <v>0</v>
      </c>
      <c r="H15" s="303">
        <v>0</v>
      </c>
    </row>
    <row r="16" spans="1:8" s="191" customFormat="1" ht="15" customHeight="1">
      <c r="A16" s="420">
        <v>12</v>
      </c>
      <c r="B16" s="302" t="s">
        <v>281</v>
      </c>
      <c r="C16" s="303">
        <v>0.37213373892862572</v>
      </c>
      <c r="D16" s="303">
        <v>0.2850310840326562</v>
      </c>
      <c r="E16" s="303">
        <v>0.17</v>
      </c>
      <c r="F16" s="303">
        <v>0.17</v>
      </c>
      <c r="G16" s="303">
        <v>0</v>
      </c>
      <c r="H16" s="303">
        <v>0</v>
      </c>
    </row>
    <row r="17" spans="1:8" s="191" customFormat="1" ht="15" customHeight="1">
      <c r="A17" s="420">
        <v>13</v>
      </c>
      <c r="B17" s="302" t="s">
        <v>282</v>
      </c>
      <c r="C17" s="303">
        <v>7.8400757296462967E-2</v>
      </c>
      <c r="D17" s="303">
        <v>8.5829479971553685E-2</v>
      </c>
      <c r="E17" s="303">
        <v>0.16</v>
      </c>
      <c r="F17" s="303">
        <v>0.16</v>
      </c>
      <c r="G17" s="303">
        <v>0</v>
      </c>
      <c r="H17" s="303">
        <v>0</v>
      </c>
    </row>
    <row r="18" spans="1:8" s="191" customFormat="1" ht="15" customHeight="1">
      <c r="A18" s="420">
        <v>14</v>
      </c>
      <c r="B18" s="302" t="s">
        <v>283</v>
      </c>
      <c r="C18" s="303">
        <v>2.7392263647299604</v>
      </c>
      <c r="D18" s="303">
        <v>2.5896018726675667</v>
      </c>
      <c r="E18" s="303">
        <v>1.54</v>
      </c>
      <c r="F18" s="303">
        <v>1.46</v>
      </c>
      <c r="G18" s="303">
        <v>0</v>
      </c>
      <c r="H18" s="303">
        <v>0</v>
      </c>
    </row>
    <row r="19" spans="1:8" s="191" customFormat="1" ht="15" customHeight="1">
      <c r="A19" s="420">
        <v>15</v>
      </c>
      <c r="B19" s="302" t="s">
        <v>284</v>
      </c>
      <c r="C19" s="303">
        <v>6.2757630921880816E-2</v>
      </c>
      <c r="D19" s="303">
        <v>5.4890561864200528E-2</v>
      </c>
      <c r="E19" s="303">
        <v>0.03</v>
      </c>
      <c r="F19" s="303">
        <v>0.03</v>
      </c>
      <c r="G19" s="303">
        <v>0</v>
      </c>
      <c r="H19" s="303">
        <v>0</v>
      </c>
    </row>
    <row r="20" spans="1:8" s="191" customFormat="1" ht="15" customHeight="1">
      <c r="A20" s="420">
        <v>16</v>
      </c>
      <c r="B20" s="302" t="s">
        <v>285</v>
      </c>
      <c r="C20" s="303">
        <v>9.4868865424982008E-3</v>
      </c>
      <c r="D20" s="303">
        <v>1.02129555875114E-2</v>
      </c>
      <c r="E20" s="303">
        <v>0</v>
      </c>
      <c r="F20" s="303">
        <v>0</v>
      </c>
      <c r="G20" s="303">
        <v>0</v>
      </c>
      <c r="H20" s="303">
        <v>0</v>
      </c>
    </row>
    <row r="21" spans="1:8" s="191" customFormat="1" ht="15" customHeight="1">
      <c r="A21" s="420">
        <v>17</v>
      </c>
      <c r="B21" s="302" t="s">
        <v>286</v>
      </c>
      <c r="C21" s="303">
        <v>31.256174930486203</v>
      </c>
      <c r="D21" s="303">
        <v>31.419058210213439</v>
      </c>
      <c r="E21" s="303">
        <v>63.64</v>
      </c>
      <c r="F21" s="303">
        <v>64.09</v>
      </c>
      <c r="G21" s="303">
        <v>19.508430280861994</v>
      </c>
      <c r="H21" s="303">
        <v>42.776559229591562</v>
      </c>
    </row>
    <row r="22" spans="1:8" s="191" customFormat="1" ht="15" customHeight="1">
      <c r="A22" s="420">
        <v>18</v>
      </c>
      <c r="B22" s="302" t="s">
        <v>287</v>
      </c>
      <c r="C22" s="303">
        <v>1.0536910258903446E-2</v>
      </c>
      <c r="D22" s="303">
        <v>1.0036464731654126E-2</v>
      </c>
      <c r="E22" s="303">
        <v>0</v>
      </c>
      <c r="F22" s="303">
        <v>0</v>
      </c>
      <c r="G22" s="303">
        <v>0</v>
      </c>
      <c r="H22" s="303">
        <v>0</v>
      </c>
    </row>
    <row r="23" spans="1:8" s="191" customFormat="1" ht="15" customHeight="1">
      <c r="A23" s="420">
        <v>19</v>
      </c>
      <c r="B23" s="302" t="s">
        <v>288</v>
      </c>
      <c r="C23" s="303">
        <v>0.18834108392628809</v>
      </c>
      <c r="D23" s="303">
        <v>0.18380944154918646</v>
      </c>
      <c r="E23" s="303">
        <v>0.38</v>
      </c>
      <c r="F23" s="303">
        <v>0.4</v>
      </c>
      <c r="G23" s="303">
        <v>0</v>
      </c>
      <c r="H23" s="303">
        <v>0</v>
      </c>
    </row>
    <row r="24" spans="1:8" s="191" customFormat="1" ht="15" customHeight="1">
      <c r="A24" s="420">
        <v>20</v>
      </c>
      <c r="B24" s="302" t="s">
        <v>289</v>
      </c>
      <c r="C24" s="303">
        <v>1.3088107394871749</v>
      </c>
      <c r="D24" s="303">
        <v>0.88940055003692042</v>
      </c>
      <c r="E24" s="303">
        <v>0.54</v>
      </c>
      <c r="F24" s="303">
        <v>0.56999999999999995</v>
      </c>
      <c r="G24" s="303">
        <v>0</v>
      </c>
      <c r="H24" s="303">
        <v>0</v>
      </c>
    </row>
    <row r="25" spans="1:8" s="191" customFormat="1" ht="15" customHeight="1">
      <c r="A25" s="420">
        <v>21</v>
      </c>
      <c r="B25" s="302" t="s">
        <v>290</v>
      </c>
      <c r="C25" s="303">
        <v>36.382312858434624</v>
      </c>
      <c r="D25" s="303">
        <v>37.179593196003246</v>
      </c>
      <c r="E25" s="303">
        <v>7.6</v>
      </c>
      <c r="F25" s="303">
        <v>7.03</v>
      </c>
      <c r="G25" s="303">
        <v>45.804834921178916</v>
      </c>
      <c r="H25" s="303">
        <v>7.2234407704084349</v>
      </c>
    </row>
    <row r="26" spans="1:8" s="191" customFormat="1" ht="13.5" customHeight="1">
      <c r="A26" s="537"/>
      <c r="B26" s="537" t="s">
        <v>96</v>
      </c>
      <c r="C26" s="538">
        <v>100</v>
      </c>
      <c r="D26" s="538">
        <v>100</v>
      </c>
      <c r="E26" s="538">
        <f>SUM(E5:E25)</f>
        <v>100</v>
      </c>
      <c r="F26" s="538">
        <v>100</v>
      </c>
      <c r="G26" s="538">
        <v>100</v>
      </c>
      <c r="H26" s="538">
        <v>100</v>
      </c>
    </row>
    <row r="27" spans="1:8" s="191" customFormat="1" ht="13.5" customHeight="1">
      <c r="A27" s="105"/>
      <c r="B27" s="105"/>
      <c r="C27" s="113"/>
      <c r="D27" s="113"/>
      <c r="E27" s="113"/>
      <c r="F27" s="114"/>
      <c r="G27" s="114"/>
      <c r="H27" s="113"/>
    </row>
    <row r="28" spans="1:8" s="191" customFormat="1" ht="14.25" customHeight="1">
      <c r="A28" s="1458" t="s">
        <v>81</v>
      </c>
      <c r="B28" s="1458"/>
      <c r="C28" s="1458"/>
      <c r="D28" s="1458"/>
      <c r="E28" s="1458"/>
      <c r="F28" s="1458"/>
      <c r="G28" s="1458"/>
      <c r="H28" s="1458"/>
    </row>
    <row r="29" spans="1:8">
      <c r="A29" s="1459" t="s">
        <v>1373</v>
      </c>
      <c r="B29" s="1459"/>
      <c r="C29" s="1459"/>
      <c r="D29" s="1459"/>
      <c r="E29" s="1459"/>
      <c r="F29" s="1459"/>
      <c r="G29" s="1459"/>
      <c r="H29" s="1459"/>
    </row>
    <row r="30" spans="1:8" s="191" customFormat="1" ht="32.25" customHeight="1">
      <c r="A30" s="1459" t="s">
        <v>1234</v>
      </c>
      <c r="B30" s="1459"/>
      <c r="C30" s="1459"/>
      <c r="D30" s="1459"/>
      <c r="E30" s="1459"/>
      <c r="F30" s="1459"/>
      <c r="G30" s="1459"/>
      <c r="H30" s="1459"/>
    </row>
    <row r="31" spans="1:8" s="191" customFormat="1" ht="13.5" customHeight="1">
      <c r="A31" s="1458" t="s">
        <v>168</v>
      </c>
      <c r="B31" s="1458"/>
      <c r="C31" s="1458"/>
      <c r="D31" s="1458"/>
      <c r="E31" s="1458"/>
      <c r="F31" s="1458"/>
      <c r="G31" s="1458"/>
      <c r="H31" s="1458"/>
    </row>
  </sheetData>
  <mergeCells count="10">
    <mergeCell ref="A28:H28"/>
    <mergeCell ref="A30:H30"/>
    <mergeCell ref="A31:H31"/>
    <mergeCell ref="A2:H2"/>
    <mergeCell ref="A3:A4"/>
    <mergeCell ref="B3:B4"/>
    <mergeCell ref="C3:D3"/>
    <mergeCell ref="E3:F3"/>
    <mergeCell ref="G3:H3"/>
    <mergeCell ref="A29:H29"/>
  </mergeCells>
  <printOptions horizontalCentered="1"/>
  <pageMargins left="0.78431372549019618" right="0.78431372549019618" top="0.98039215686274517" bottom="0.98039215686274517" header="0.50980392156862753" footer="0.50980392156862753"/>
  <pageSetup paperSize="9" scale="93" orientation="landscape" useFirstPageNumber="1" r:id="rId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15"/>
  <sheetViews>
    <sheetView showGridLines="0" workbookViewId="0"/>
  </sheetViews>
  <sheetFormatPr defaultColWidth="9.140625" defaultRowHeight="15"/>
  <cols>
    <col min="1" max="6" width="14.5703125" style="80" bestFit="1" customWidth="1"/>
    <col min="7" max="7" width="5.42578125" style="80" bestFit="1" customWidth="1"/>
    <col min="8" max="16384" width="9.140625" style="80"/>
  </cols>
  <sheetData>
    <row r="1" spans="1:7">
      <c r="A1" s="154" t="s">
        <v>17</v>
      </c>
      <c r="B1" s="154"/>
      <c r="C1" s="154"/>
      <c r="D1" s="154"/>
      <c r="E1" s="154"/>
      <c r="F1" s="154"/>
    </row>
    <row r="2" spans="1:7" s="191" customFormat="1" ht="18" customHeight="1">
      <c r="A2" s="1463" t="s">
        <v>115</v>
      </c>
      <c r="B2" s="1467" t="s">
        <v>291</v>
      </c>
      <c r="C2" s="1469"/>
      <c r="D2" s="1469"/>
      <c r="E2" s="1469"/>
      <c r="F2" s="1468"/>
    </row>
    <row r="3" spans="1:7" s="191" customFormat="1" ht="18" customHeight="1">
      <c r="A3" s="1464"/>
      <c r="B3" s="535" t="s">
        <v>292</v>
      </c>
      <c r="C3" s="535" t="s">
        <v>293</v>
      </c>
      <c r="D3" s="535" t="s">
        <v>80</v>
      </c>
      <c r="E3" s="535" t="s">
        <v>294</v>
      </c>
      <c r="F3" s="535" t="s">
        <v>290</v>
      </c>
    </row>
    <row r="4" spans="1:7" s="84" customFormat="1" ht="18" customHeight="1">
      <c r="A4" s="267" t="s">
        <v>505</v>
      </c>
      <c r="B4" s="466">
        <v>34.431982336452869</v>
      </c>
      <c r="C4" s="466">
        <v>13.0199984621889</v>
      </c>
      <c r="D4" s="466">
        <v>3.2849058607471351</v>
      </c>
      <c r="E4" s="466">
        <v>0.13515121235006566</v>
      </c>
      <c r="F4" s="466">
        <v>49.127962128261025</v>
      </c>
    </row>
    <row r="5" spans="1:7" s="84" customFormat="1" ht="18" customHeight="1">
      <c r="A5" s="532" t="s">
        <v>703</v>
      </c>
      <c r="B5" s="539">
        <v>36.906179002071099</v>
      </c>
      <c r="C5" s="539">
        <v>7.4113654079909743</v>
      </c>
      <c r="D5" s="539">
        <v>3.1525648023792407</v>
      </c>
      <c r="E5" s="539">
        <v>4.3444006939109749E-2</v>
      </c>
      <c r="F5" s="539">
        <v>52.486446780619609</v>
      </c>
      <c r="G5" s="115"/>
    </row>
    <row r="6" spans="1:7" s="191" customFormat="1" ht="18" customHeight="1">
      <c r="A6" s="130">
        <v>45412</v>
      </c>
      <c r="B6" s="305">
        <v>38.581507405826095</v>
      </c>
      <c r="C6" s="305">
        <v>6.1647818120874911</v>
      </c>
      <c r="D6" s="305">
        <v>2.7451590559904235</v>
      </c>
      <c r="E6" s="305">
        <v>5.6915565716708369E-3</v>
      </c>
      <c r="F6" s="305">
        <v>52.502860169524311</v>
      </c>
    </row>
    <row r="7" spans="1:7" s="191" customFormat="1" ht="18" customHeight="1">
      <c r="A7" s="130">
        <v>45443</v>
      </c>
      <c r="B7" s="305">
        <v>38.793481223311346</v>
      </c>
      <c r="C7" s="305">
        <v>6.4085656478851396</v>
      </c>
      <c r="D7" s="305">
        <v>3.7494118401991301</v>
      </c>
      <c r="E7" s="305">
        <v>0.16447709273690175</v>
      </c>
      <c r="F7" s="305">
        <v>50.884064195867481</v>
      </c>
    </row>
    <row r="8" spans="1:7" s="191" customFormat="1" ht="18" customHeight="1">
      <c r="A8" s="130">
        <v>45473</v>
      </c>
      <c r="B8" s="305">
        <v>37.024266733175502</v>
      </c>
      <c r="C8" s="305">
        <v>7.8948549022786887</v>
      </c>
      <c r="D8" s="305">
        <v>2.9717587175929077</v>
      </c>
      <c r="E8" s="305">
        <v>3.771359293089252E-2</v>
      </c>
      <c r="F8" s="305">
        <v>52.07140605402202</v>
      </c>
    </row>
    <row r="9" spans="1:7" s="191" customFormat="1" ht="18" customHeight="1">
      <c r="A9" s="130">
        <v>45504</v>
      </c>
      <c r="B9" s="305">
        <v>37.377336019145311</v>
      </c>
      <c r="C9" s="305">
        <v>4.6951793483689039</v>
      </c>
      <c r="D9" s="305">
        <v>3.9112741536855991</v>
      </c>
      <c r="E9" s="305">
        <v>3.2679896316554324E-2</v>
      </c>
      <c r="F9" s="305">
        <v>53.983530582483638</v>
      </c>
    </row>
    <row r="10" spans="1:7" s="191" customFormat="1" ht="18" customHeight="1">
      <c r="A10" s="130">
        <v>45535</v>
      </c>
      <c r="B10" s="305">
        <v>34.007463860208581</v>
      </c>
      <c r="C10" s="305">
        <v>11.888580201969013</v>
      </c>
      <c r="D10" s="305">
        <v>2.7633951024876922</v>
      </c>
      <c r="E10" s="305">
        <v>1.4040711160935838E-2</v>
      </c>
      <c r="F10" s="305">
        <v>51.326520124173783</v>
      </c>
    </row>
    <row r="11" spans="1:7" s="191" customFormat="1" ht="13.5" customHeight="1">
      <c r="A11" s="130">
        <v>45565</v>
      </c>
      <c r="B11" s="305">
        <v>36.31527844044728</v>
      </c>
      <c r="C11" s="305">
        <v>7.1465991817163648</v>
      </c>
      <c r="D11" s="305">
        <v>2.6274636635012896</v>
      </c>
      <c r="E11" s="305">
        <v>1.7036069956296404E-2</v>
      </c>
      <c r="F11" s="305">
        <v>53.893622644378759</v>
      </c>
    </row>
    <row r="12" spans="1:7" s="191" customFormat="1" ht="15" customHeight="1">
      <c r="A12" s="320" t="s">
        <v>1373</v>
      </c>
      <c r="B12" s="205"/>
      <c r="C12" s="205"/>
      <c r="D12" s="205"/>
      <c r="E12" s="205"/>
      <c r="F12" s="205"/>
    </row>
    <row r="13" spans="1:7" s="191" customFormat="1">
      <c r="A13" s="1430" t="s">
        <v>295</v>
      </c>
      <c r="B13" s="1430"/>
      <c r="C13" s="1430"/>
      <c r="D13" s="1430"/>
      <c r="E13" s="1430"/>
    </row>
    <row r="14" spans="1:7" s="191" customFormat="1">
      <c r="A14" s="231"/>
    </row>
    <row r="15" spans="1:7" s="191" customFormat="1">
      <c r="A15" s="80"/>
      <c r="B15" s="80"/>
      <c r="C15" s="80"/>
      <c r="D15" s="80"/>
      <c r="E15" s="80"/>
    </row>
  </sheetData>
  <mergeCells count="3">
    <mergeCell ref="A2:A3"/>
    <mergeCell ref="B2:F2"/>
    <mergeCell ref="A13:E13"/>
  </mergeCells>
  <printOptions horizontalCentered="1"/>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15"/>
  <sheetViews>
    <sheetView showGridLines="0" workbookViewId="0"/>
  </sheetViews>
  <sheetFormatPr defaultColWidth="9.140625" defaultRowHeight="15"/>
  <cols>
    <col min="1" max="6" width="14.5703125" style="80" bestFit="1" customWidth="1"/>
    <col min="7" max="7" width="4.5703125" style="80" bestFit="1" customWidth="1"/>
    <col min="8" max="16384" width="9.140625" style="80"/>
  </cols>
  <sheetData>
    <row r="1" spans="1:6" ht="18" customHeight="1">
      <c r="A1" s="154" t="s">
        <v>18</v>
      </c>
      <c r="B1" s="154"/>
      <c r="C1" s="154"/>
      <c r="D1" s="154"/>
      <c r="E1" s="154"/>
      <c r="F1" s="154"/>
    </row>
    <row r="2" spans="1:6" s="191" customFormat="1" ht="18" customHeight="1">
      <c r="A2" s="540" t="s">
        <v>296</v>
      </c>
      <c r="B2" s="1465" t="s">
        <v>291</v>
      </c>
      <c r="C2" s="1470"/>
      <c r="D2" s="1470"/>
      <c r="E2" s="1470"/>
      <c r="F2" s="1471"/>
    </row>
    <row r="3" spans="1:6" s="191" customFormat="1" ht="18" customHeight="1">
      <c r="A3" s="541"/>
      <c r="B3" s="535" t="s">
        <v>292</v>
      </c>
      <c r="C3" s="535" t="s">
        <v>293</v>
      </c>
      <c r="D3" s="535" t="s">
        <v>80</v>
      </c>
      <c r="E3" s="535" t="s">
        <v>294</v>
      </c>
      <c r="F3" s="535" t="s">
        <v>290</v>
      </c>
    </row>
    <row r="4" spans="1:6" s="84" customFormat="1" ht="18" customHeight="1">
      <c r="A4" s="267" t="s">
        <v>505</v>
      </c>
      <c r="B4" s="466">
        <v>28.24</v>
      </c>
      <c r="C4" s="466">
        <v>14.43</v>
      </c>
      <c r="D4" s="466">
        <v>7.78</v>
      </c>
      <c r="E4" s="466">
        <v>0.24</v>
      </c>
      <c r="F4" s="466">
        <v>49.31</v>
      </c>
    </row>
    <row r="5" spans="1:6" s="84" customFormat="1" ht="18" customHeight="1">
      <c r="A5" s="532" t="s">
        <v>703</v>
      </c>
      <c r="B5" s="539">
        <v>29.03</v>
      </c>
      <c r="C5" s="539">
        <v>14.07</v>
      </c>
      <c r="D5" s="539">
        <v>8.51</v>
      </c>
      <c r="E5" s="539">
        <v>0.21</v>
      </c>
      <c r="F5" s="539">
        <v>48.18</v>
      </c>
    </row>
    <row r="6" spans="1:6" s="191" customFormat="1" ht="18" customHeight="1">
      <c r="A6" s="130">
        <v>45412</v>
      </c>
      <c r="B6" s="305">
        <v>29.27</v>
      </c>
      <c r="C6" s="305">
        <v>13.71</v>
      </c>
      <c r="D6" s="305">
        <v>8.48</v>
      </c>
      <c r="E6" s="305">
        <v>0.16</v>
      </c>
      <c r="F6" s="305">
        <v>48.39</v>
      </c>
    </row>
    <row r="7" spans="1:6" s="191" customFormat="1" ht="18" customHeight="1">
      <c r="A7" s="130">
        <v>45443</v>
      </c>
      <c r="B7" s="305">
        <v>29.15</v>
      </c>
      <c r="C7" s="305">
        <v>16.100000000000001</v>
      </c>
      <c r="D7" s="305">
        <v>8.5500000000000007</v>
      </c>
      <c r="E7" s="305">
        <v>0.19</v>
      </c>
      <c r="F7" s="305">
        <v>46.01</v>
      </c>
    </row>
    <row r="8" spans="1:6" s="191" customFormat="1" ht="18" customHeight="1">
      <c r="A8" s="130">
        <v>45473</v>
      </c>
      <c r="B8" s="305">
        <v>30.07</v>
      </c>
      <c r="C8" s="305">
        <v>13.22</v>
      </c>
      <c r="D8" s="305">
        <v>8.7100000000000009</v>
      </c>
      <c r="E8" s="305">
        <v>0.18</v>
      </c>
      <c r="F8" s="305">
        <v>47.82</v>
      </c>
    </row>
    <row r="9" spans="1:6" s="191" customFormat="1" ht="18" customHeight="1">
      <c r="A9" s="130">
        <v>45504</v>
      </c>
      <c r="B9" s="305">
        <v>29.26</v>
      </c>
      <c r="C9" s="305">
        <v>11.53</v>
      </c>
      <c r="D9" s="305">
        <v>8.19</v>
      </c>
      <c r="E9" s="305">
        <v>0.2</v>
      </c>
      <c r="F9" s="305">
        <v>50.82</v>
      </c>
    </row>
    <row r="10" spans="1:6" s="191" customFormat="1" ht="18" customHeight="1">
      <c r="A10" s="130">
        <v>45535</v>
      </c>
      <c r="B10" s="305">
        <v>28.29</v>
      </c>
      <c r="C10" s="305">
        <v>15.24</v>
      </c>
      <c r="D10" s="305">
        <v>8.0299999999999994</v>
      </c>
      <c r="E10" s="305">
        <v>0.23</v>
      </c>
      <c r="F10" s="305">
        <v>48.2</v>
      </c>
    </row>
    <row r="11" spans="1:6" s="191" customFormat="1" ht="18" customHeight="1">
      <c r="A11" s="130">
        <v>45565</v>
      </c>
      <c r="B11" s="305">
        <v>28.03</v>
      </c>
      <c r="C11" s="305">
        <v>15.21</v>
      </c>
      <c r="D11" s="305">
        <v>9.16</v>
      </c>
      <c r="E11" s="305">
        <v>0.28000000000000003</v>
      </c>
      <c r="F11" s="305">
        <v>47.32</v>
      </c>
    </row>
    <row r="12" spans="1:6" s="191" customFormat="1">
      <c r="A12" s="320" t="s">
        <v>1373</v>
      </c>
      <c r="B12" s="205"/>
      <c r="C12" s="205"/>
      <c r="D12" s="205"/>
      <c r="E12" s="205"/>
      <c r="F12" s="205"/>
    </row>
    <row r="13" spans="1:6" s="191" customFormat="1">
      <c r="A13" s="1430" t="s">
        <v>297</v>
      </c>
      <c r="B13" s="1430"/>
      <c r="C13" s="1430"/>
      <c r="D13" s="1430"/>
      <c r="E13" s="1430"/>
      <c r="F13" s="1430"/>
    </row>
    <row r="14" spans="1:6" s="191" customFormat="1">
      <c r="A14" s="231"/>
    </row>
    <row r="15" spans="1:6" s="191" customFormat="1">
      <c r="A15" s="80"/>
      <c r="B15" s="80"/>
      <c r="C15" s="80"/>
      <c r="D15" s="80"/>
      <c r="E15" s="80"/>
      <c r="F15" s="80"/>
    </row>
  </sheetData>
  <mergeCells count="2">
    <mergeCell ref="B2:F2"/>
    <mergeCell ref="A13:F13"/>
  </mergeCells>
  <printOptions horizontalCentered="1"/>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14"/>
  <sheetViews>
    <sheetView showGridLines="0" workbookViewId="0"/>
  </sheetViews>
  <sheetFormatPr defaultColWidth="9.140625" defaultRowHeight="15"/>
  <cols>
    <col min="1" max="6" width="14.5703125" style="80" bestFit="1" customWidth="1"/>
    <col min="7" max="7" width="4.5703125" style="80" bestFit="1" customWidth="1"/>
    <col min="8" max="16384" width="9.140625" style="80"/>
  </cols>
  <sheetData>
    <row r="1" spans="1:6" ht="21" customHeight="1">
      <c r="A1" s="260" t="s">
        <v>19</v>
      </c>
      <c r="B1" s="260"/>
      <c r="C1" s="260"/>
      <c r="D1" s="260"/>
      <c r="E1" s="260"/>
    </row>
    <row r="2" spans="1:6" s="191" customFormat="1" ht="18.75" customHeight="1">
      <c r="A2" s="1472" t="s">
        <v>115</v>
      </c>
      <c r="B2" s="1465" t="s">
        <v>291</v>
      </c>
      <c r="C2" s="1474"/>
      <c r="D2" s="1474"/>
      <c r="E2" s="1474"/>
      <c r="F2" s="1466"/>
    </row>
    <row r="3" spans="1:6" s="191" customFormat="1" ht="18" customHeight="1">
      <c r="A3" s="1473"/>
      <c r="B3" s="535" t="s">
        <v>292</v>
      </c>
      <c r="C3" s="535" t="s">
        <v>293</v>
      </c>
      <c r="D3" s="535" t="s">
        <v>80</v>
      </c>
      <c r="E3" s="535" t="s">
        <v>294</v>
      </c>
      <c r="F3" s="535" t="s">
        <v>290</v>
      </c>
    </row>
    <row r="4" spans="1:6" s="84" customFormat="1" ht="18" customHeight="1">
      <c r="A4" s="267" t="s">
        <v>505</v>
      </c>
      <c r="B4" s="660">
        <v>0</v>
      </c>
      <c r="C4" s="660">
        <v>0</v>
      </c>
      <c r="D4" s="660">
        <v>0</v>
      </c>
      <c r="E4" s="660">
        <v>0</v>
      </c>
      <c r="F4" s="660">
        <v>100</v>
      </c>
    </row>
    <row r="5" spans="1:6" s="84" customFormat="1" ht="18" customHeight="1">
      <c r="A5" s="532" t="s">
        <v>703</v>
      </c>
      <c r="B5" s="661">
        <v>0.41</v>
      </c>
      <c r="C5" s="661">
        <v>0</v>
      </c>
      <c r="D5" s="661">
        <v>0</v>
      </c>
      <c r="E5" s="661">
        <v>0</v>
      </c>
      <c r="F5" s="661">
        <v>99.6</v>
      </c>
    </row>
    <row r="6" spans="1:6" s="191" customFormat="1" ht="18" customHeight="1">
      <c r="A6" s="130">
        <v>45412</v>
      </c>
      <c r="B6" s="662">
        <v>0</v>
      </c>
      <c r="C6" s="662">
        <v>0</v>
      </c>
      <c r="D6" s="662">
        <v>0</v>
      </c>
      <c r="E6" s="662">
        <v>0</v>
      </c>
      <c r="F6" s="662">
        <v>100</v>
      </c>
    </row>
    <row r="7" spans="1:6" s="191" customFormat="1" ht="18" customHeight="1">
      <c r="A7" s="130">
        <v>45443</v>
      </c>
      <c r="B7" s="662">
        <v>0.74177162768797822</v>
      </c>
      <c r="C7" s="662">
        <v>0</v>
      </c>
      <c r="D7" s="662">
        <v>0</v>
      </c>
      <c r="E7" s="662">
        <v>0</v>
      </c>
      <c r="F7" s="662">
        <v>99.258228372312018</v>
      </c>
    </row>
    <row r="8" spans="1:6" s="191" customFormat="1" ht="18" customHeight="1">
      <c r="A8" s="130">
        <v>45473</v>
      </c>
      <c r="B8" s="662">
        <v>0</v>
      </c>
      <c r="C8" s="662">
        <v>0</v>
      </c>
      <c r="D8" s="662">
        <v>0</v>
      </c>
      <c r="E8" s="662">
        <v>0</v>
      </c>
      <c r="F8" s="662">
        <v>100</v>
      </c>
    </row>
    <row r="9" spans="1:6" s="191" customFormat="1" ht="18" customHeight="1">
      <c r="A9" s="130">
        <v>45504</v>
      </c>
      <c r="B9" s="662">
        <v>0</v>
      </c>
      <c r="C9" s="662">
        <v>0</v>
      </c>
      <c r="D9" s="662">
        <v>0</v>
      </c>
      <c r="E9" s="662">
        <v>0</v>
      </c>
      <c r="F9" s="662">
        <v>100</v>
      </c>
    </row>
    <row r="10" spans="1:6" s="191" customFormat="1" ht="18" customHeight="1">
      <c r="A10" s="130">
        <v>45535</v>
      </c>
      <c r="B10" s="662">
        <v>0</v>
      </c>
      <c r="C10" s="662">
        <v>0</v>
      </c>
      <c r="D10" s="662">
        <v>0</v>
      </c>
      <c r="E10" s="662">
        <v>0</v>
      </c>
      <c r="F10" s="662">
        <v>100</v>
      </c>
    </row>
    <row r="11" spans="1:6" s="191" customFormat="1" ht="18" customHeight="1">
      <c r="A11" s="130">
        <v>45565</v>
      </c>
      <c r="B11" s="662">
        <v>0</v>
      </c>
      <c r="C11" s="662">
        <v>0</v>
      </c>
      <c r="D11" s="662">
        <v>0</v>
      </c>
      <c r="E11" s="662">
        <v>0</v>
      </c>
      <c r="F11" s="662">
        <v>100</v>
      </c>
    </row>
    <row r="12" spans="1:6" s="191" customFormat="1">
      <c r="A12" s="320" t="s">
        <v>1373</v>
      </c>
      <c r="B12" s="206"/>
      <c r="C12" s="206"/>
      <c r="D12" s="206"/>
      <c r="E12" s="206"/>
      <c r="F12" s="206"/>
    </row>
    <row r="13" spans="1:6" s="191" customFormat="1">
      <c r="A13" s="1475" t="s">
        <v>298</v>
      </c>
      <c r="B13" s="1475"/>
      <c r="C13" s="1475"/>
      <c r="D13" s="1475"/>
      <c r="E13" s="1475"/>
      <c r="F13" s="1475"/>
    </row>
    <row r="14" spans="1:6" s="191" customFormat="1">
      <c r="A14" s="231"/>
      <c r="B14" s="80"/>
      <c r="C14" s="80"/>
      <c r="D14" s="80"/>
      <c r="E14" s="80"/>
      <c r="F14" s="80"/>
    </row>
  </sheetData>
  <mergeCells count="3">
    <mergeCell ref="A2:A3"/>
    <mergeCell ref="B2:F2"/>
    <mergeCell ref="A13:F13"/>
  </mergeCells>
  <printOptions horizontalCentered="1"/>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40"/>
  <sheetViews>
    <sheetView showGridLines="0" workbookViewId="0"/>
  </sheetViews>
  <sheetFormatPr defaultColWidth="9.140625" defaultRowHeight="15"/>
  <cols>
    <col min="1" max="1" width="6.42578125" style="116" bestFit="1" customWidth="1"/>
    <col min="2" max="2" width="20.5703125" style="116" bestFit="1" customWidth="1"/>
    <col min="3" max="3" width="10" style="116" bestFit="1" customWidth="1"/>
    <col min="4" max="4" width="13.85546875" style="116" bestFit="1" customWidth="1"/>
    <col min="5" max="5" width="9.5703125" style="116" customWidth="1"/>
    <col min="6" max="7" width="6" style="116" bestFit="1" customWidth="1"/>
    <col min="8" max="8" width="9.5703125" style="116" bestFit="1" customWidth="1"/>
    <col min="9" max="9" width="10.5703125" style="116" bestFit="1" customWidth="1"/>
    <col min="10" max="11" width="10" style="116" bestFit="1" customWidth="1"/>
    <col min="12" max="16384" width="9.140625" style="116"/>
  </cols>
  <sheetData>
    <row r="1" spans="1:11" ht="15.75" customHeight="1">
      <c r="A1" s="170" t="s">
        <v>1322</v>
      </c>
      <c r="B1" s="170"/>
      <c r="C1" s="170"/>
      <c r="D1" s="170"/>
      <c r="E1" s="170"/>
      <c r="F1" s="170"/>
      <c r="G1" s="170"/>
      <c r="H1" s="170"/>
      <c r="I1" s="170"/>
      <c r="J1" s="170"/>
    </row>
    <row r="2" spans="1:11" s="167" customFormat="1" ht="60">
      <c r="A2" s="542" t="s">
        <v>105</v>
      </c>
      <c r="B2" s="542" t="s">
        <v>299</v>
      </c>
      <c r="C2" s="543" t="s">
        <v>300</v>
      </c>
      <c r="D2" s="543" t="s">
        <v>301</v>
      </c>
      <c r="E2" s="544" t="s">
        <v>302</v>
      </c>
      <c r="F2" s="544" t="s">
        <v>303</v>
      </c>
      <c r="G2" s="544" t="s">
        <v>304</v>
      </c>
      <c r="H2" s="543" t="s">
        <v>305</v>
      </c>
      <c r="I2" s="543" t="s">
        <v>306</v>
      </c>
      <c r="J2" s="543" t="s">
        <v>307</v>
      </c>
    </row>
    <row r="3" spans="1:11" s="167" customFormat="1" ht="15" customHeight="1">
      <c r="A3" s="177">
        <v>1</v>
      </c>
      <c r="B3" s="304" t="s">
        <v>308</v>
      </c>
      <c r="C3" s="305">
        <v>123.8</v>
      </c>
      <c r="D3" s="305">
        <v>214535.03815800001</v>
      </c>
      <c r="E3" s="305">
        <v>2.2079622481517736</v>
      </c>
      <c r="F3" s="305">
        <v>1.05</v>
      </c>
      <c r="G3" s="305">
        <v>0.31411299999999998</v>
      </c>
      <c r="H3" s="305">
        <v>1.59</v>
      </c>
      <c r="I3" s="305">
        <v>6.8795400000000004</v>
      </c>
      <c r="J3" s="305">
        <v>0.02</v>
      </c>
      <c r="K3" s="117"/>
    </row>
    <row r="4" spans="1:11" s="167" customFormat="1" ht="15" customHeight="1">
      <c r="A4" s="177">
        <v>2</v>
      </c>
      <c r="B4" s="304" t="s">
        <v>309</v>
      </c>
      <c r="C4" s="305">
        <v>892.46</v>
      </c>
      <c r="D4" s="305">
        <v>302248.04968200001</v>
      </c>
      <c r="E4" s="305">
        <v>3.1106913304477026</v>
      </c>
      <c r="F4" s="305">
        <v>1.5</v>
      </c>
      <c r="G4" s="305">
        <v>0.49324800000000002</v>
      </c>
      <c r="H4" s="305">
        <v>1.82</v>
      </c>
      <c r="I4" s="305">
        <v>-3.4389750000000001</v>
      </c>
      <c r="J4" s="305">
        <v>0.02</v>
      </c>
    </row>
    <row r="5" spans="1:11" s="167" customFormat="1" ht="15" customHeight="1">
      <c r="A5" s="177">
        <v>3</v>
      </c>
      <c r="B5" s="304" t="s">
        <v>310</v>
      </c>
      <c r="C5" s="305">
        <v>88.78</v>
      </c>
      <c r="D5" s="305">
        <v>159459.85994699999</v>
      </c>
      <c r="E5" s="305">
        <v>1.6411368225979266</v>
      </c>
      <c r="F5" s="305">
        <v>0.66</v>
      </c>
      <c r="G5" s="305">
        <v>0.15993599999999999</v>
      </c>
      <c r="H5" s="305">
        <v>1.4</v>
      </c>
      <c r="I5" s="305">
        <v>7.1331449999999998</v>
      </c>
      <c r="J5" s="305">
        <v>0.02</v>
      </c>
    </row>
    <row r="6" spans="1:11" s="167" customFormat="1" ht="15" customHeight="1">
      <c r="A6" s="177">
        <v>4</v>
      </c>
      <c r="B6" s="304" t="s">
        <v>311</v>
      </c>
      <c r="C6" s="305">
        <v>762.86</v>
      </c>
      <c r="D6" s="305">
        <v>1306479.6783720001</v>
      </c>
      <c r="E6" s="305">
        <v>13.446091755409968</v>
      </c>
      <c r="F6" s="305">
        <v>1.03</v>
      </c>
      <c r="G6" s="305">
        <v>0.42333399999999999</v>
      </c>
      <c r="H6" s="305">
        <v>1.35</v>
      </c>
      <c r="I6" s="305">
        <v>6.065709</v>
      </c>
      <c r="J6" s="305">
        <v>0.01</v>
      </c>
    </row>
    <row r="7" spans="1:11" s="167" customFormat="1" ht="15" customHeight="1">
      <c r="A7" s="177">
        <v>5</v>
      </c>
      <c r="B7" s="304" t="s">
        <v>312</v>
      </c>
      <c r="C7" s="305">
        <v>2076.0700000000002</v>
      </c>
      <c r="D7" s="305">
        <v>677674.99338</v>
      </c>
      <c r="E7" s="305">
        <v>6.9745287984033988</v>
      </c>
      <c r="F7" s="305">
        <v>0.82</v>
      </c>
      <c r="G7" s="305">
        <v>0.24594099999999999</v>
      </c>
      <c r="H7" s="305">
        <v>1.4</v>
      </c>
      <c r="I7" s="305">
        <v>-3.4631810000000001</v>
      </c>
      <c r="J7" s="305">
        <v>0.02</v>
      </c>
    </row>
    <row r="8" spans="1:11" s="167" customFormat="1" ht="15" customHeight="1">
      <c r="A8" s="177">
        <v>6</v>
      </c>
      <c r="B8" s="304" t="s">
        <v>647</v>
      </c>
      <c r="C8" s="305">
        <v>244.55</v>
      </c>
      <c r="D8" s="305">
        <v>98233.887180000005</v>
      </c>
      <c r="E8" s="305">
        <v>1.0110083473772762</v>
      </c>
      <c r="F8" s="305">
        <v>1.31</v>
      </c>
      <c r="G8" s="305">
        <v>0.452038</v>
      </c>
      <c r="H8" s="305">
        <v>1.65</v>
      </c>
      <c r="I8" s="305">
        <v>9.4638390000000001</v>
      </c>
      <c r="J8" s="305">
        <v>0.04</v>
      </c>
    </row>
    <row r="9" spans="1:11" s="167" customFormat="1" ht="15" customHeight="1">
      <c r="A9" s="177">
        <v>7</v>
      </c>
      <c r="B9" s="304" t="s">
        <v>313</v>
      </c>
      <c r="C9" s="305">
        <v>994.06</v>
      </c>
      <c r="D9" s="305">
        <v>272526.71811199997</v>
      </c>
      <c r="E9" s="305">
        <v>2.8048038696636453</v>
      </c>
      <c r="F9" s="305">
        <v>0.88</v>
      </c>
      <c r="G9" s="305">
        <v>0.27218799999999999</v>
      </c>
      <c r="H9" s="305">
        <v>1.43</v>
      </c>
      <c r="I9" s="305">
        <v>3.9973049999999999</v>
      </c>
      <c r="J9" s="305">
        <v>0.02</v>
      </c>
    </row>
    <row r="10" spans="1:11" s="167" customFormat="1" ht="15" customHeight="1">
      <c r="A10" s="177">
        <v>8</v>
      </c>
      <c r="B10" s="304" t="s">
        <v>314</v>
      </c>
      <c r="C10" s="305">
        <v>6765.87</v>
      </c>
      <c r="D10" s="305">
        <v>999243.21735000005</v>
      </c>
      <c r="E10" s="305">
        <v>10.284060447998408</v>
      </c>
      <c r="F10" s="305">
        <v>1.17</v>
      </c>
      <c r="G10" s="305">
        <v>0.54709799999999997</v>
      </c>
      <c r="H10" s="305">
        <v>1.34</v>
      </c>
      <c r="I10" s="305">
        <v>-2.1839550000000001</v>
      </c>
      <c r="J10" s="305">
        <v>0.01</v>
      </c>
    </row>
    <row r="11" spans="1:11" s="167" customFormat="1" ht="15" customHeight="1">
      <c r="A11" s="177">
        <v>9</v>
      </c>
      <c r="B11" s="304" t="s">
        <v>315</v>
      </c>
      <c r="C11" s="305">
        <v>1248.3399999999999</v>
      </c>
      <c r="D11" s="305">
        <v>138787.174241</v>
      </c>
      <c r="E11" s="305">
        <v>1.4283766599752661</v>
      </c>
      <c r="F11" s="305">
        <v>1.47</v>
      </c>
      <c r="G11" s="305">
        <v>0.45826</v>
      </c>
      <c r="H11" s="305">
        <v>1.84</v>
      </c>
      <c r="I11" s="305">
        <v>10.242146</v>
      </c>
      <c r="J11" s="305">
        <v>0.03</v>
      </c>
    </row>
    <row r="12" spans="1:11" s="167" customFormat="1" ht="15" customHeight="1">
      <c r="A12" s="177">
        <v>10</v>
      </c>
      <c r="B12" s="304" t="s">
        <v>316</v>
      </c>
      <c r="C12" s="305">
        <v>275</v>
      </c>
      <c r="D12" s="305">
        <v>429572.500413</v>
      </c>
      <c r="E12" s="305">
        <v>4.4210953693146058</v>
      </c>
      <c r="F12" s="305">
        <v>1.42</v>
      </c>
      <c r="G12" s="305">
        <v>0.49965500000000002</v>
      </c>
      <c r="H12" s="305">
        <v>1.71</v>
      </c>
      <c r="I12" s="305">
        <v>-0.74532100000000001</v>
      </c>
      <c r="J12" s="305">
        <v>0.02</v>
      </c>
    </row>
    <row r="13" spans="1:11" s="167" customFormat="1" ht="15" customHeight="1">
      <c r="A13" s="177">
        <v>11</v>
      </c>
      <c r="B13" s="304" t="s">
        <v>317</v>
      </c>
      <c r="C13" s="305">
        <v>621.76</v>
      </c>
      <c r="D13" s="305">
        <v>300316.73020400002</v>
      </c>
      <c r="E13" s="305">
        <v>3.0908144817373131</v>
      </c>
      <c r="F13" s="305">
        <v>1.21</v>
      </c>
      <c r="G13" s="305">
        <v>0.30279</v>
      </c>
      <c r="H13" s="305">
        <v>1.86</v>
      </c>
      <c r="I13" s="305">
        <v>10.338191</v>
      </c>
      <c r="J13" s="305">
        <v>0.02</v>
      </c>
    </row>
    <row r="14" spans="1:11" s="167" customFormat="1" ht="15" customHeight="1">
      <c r="A14" s="177">
        <v>12</v>
      </c>
      <c r="B14" s="304" t="s">
        <v>318</v>
      </c>
      <c r="C14" s="305">
        <v>736.18</v>
      </c>
      <c r="D14" s="305">
        <v>204435.90460899999</v>
      </c>
      <c r="E14" s="305">
        <v>2.1040234892120209</v>
      </c>
      <c r="F14" s="305">
        <v>1.04</v>
      </c>
      <c r="G14" s="305">
        <v>0.239209</v>
      </c>
      <c r="H14" s="305">
        <v>1.8</v>
      </c>
      <c r="I14" s="305">
        <v>-12.141698</v>
      </c>
      <c r="J14" s="305">
        <v>0.02</v>
      </c>
    </row>
    <row r="15" spans="1:11" s="167" customFormat="1" ht="15" customHeight="1">
      <c r="A15" s="177">
        <v>13</v>
      </c>
      <c r="B15" s="304" t="s">
        <v>319</v>
      </c>
      <c r="C15" s="305">
        <v>234.96</v>
      </c>
      <c r="D15" s="305">
        <v>264228.42500500003</v>
      </c>
      <c r="E15" s="305">
        <v>2.7193990888797246</v>
      </c>
      <c r="F15" s="305">
        <v>0.21</v>
      </c>
      <c r="G15" s="305">
        <v>2.5426000000000001E-2</v>
      </c>
      <c r="H15" s="305">
        <v>1.1399999999999999</v>
      </c>
      <c r="I15" s="305">
        <v>6.5260420000000003</v>
      </c>
      <c r="J15" s="305">
        <v>0.02</v>
      </c>
    </row>
    <row r="16" spans="1:11" s="167" customFormat="1" ht="15" customHeight="1">
      <c r="A16" s="177">
        <v>14</v>
      </c>
      <c r="B16" s="304" t="s">
        <v>320</v>
      </c>
      <c r="C16" s="305">
        <v>96.42</v>
      </c>
      <c r="D16" s="305">
        <v>95925.088711000004</v>
      </c>
      <c r="E16" s="305">
        <v>0.98724654183766902</v>
      </c>
      <c r="F16" s="305">
        <v>0.3</v>
      </c>
      <c r="G16" s="305">
        <v>4.4200999999999997E-2</v>
      </c>
      <c r="H16" s="305">
        <v>1.23</v>
      </c>
      <c r="I16" s="305">
        <v>7.377605</v>
      </c>
      <c r="J16" s="305">
        <v>0.03</v>
      </c>
    </row>
    <row r="17" spans="1:10" s="167" customFormat="1" ht="15" customHeight="1">
      <c r="A17" s="177">
        <v>15</v>
      </c>
      <c r="B17" s="304" t="s">
        <v>321</v>
      </c>
      <c r="C17" s="305">
        <v>95.92</v>
      </c>
      <c r="D17" s="305">
        <v>150051.94729000001</v>
      </c>
      <c r="E17" s="305">
        <v>1.5443120048016516</v>
      </c>
      <c r="F17" s="305">
        <v>0.47</v>
      </c>
      <c r="G17" s="305">
        <v>0.128298</v>
      </c>
      <c r="H17" s="305">
        <v>1.1299999999999999</v>
      </c>
      <c r="I17" s="305">
        <v>6.4474859999999996</v>
      </c>
      <c r="J17" s="305">
        <v>0.02</v>
      </c>
    </row>
    <row r="18" spans="1:10" s="167" customFormat="1" ht="15" customHeight="1">
      <c r="A18" s="177">
        <v>16</v>
      </c>
      <c r="B18" s="304" t="s">
        <v>322</v>
      </c>
      <c r="C18" s="305">
        <v>1250.76</v>
      </c>
      <c r="D18" s="305">
        <v>479452.79160900001</v>
      </c>
      <c r="E18" s="305">
        <v>4.9344558014062363</v>
      </c>
      <c r="F18" s="305">
        <v>0.66</v>
      </c>
      <c r="G18" s="305">
        <v>0.22230900000000001</v>
      </c>
      <c r="H18" s="305">
        <v>1.18</v>
      </c>
      <c r="I18" s="305">
        <v>3.238019</v>
      </c>
      <c r="J18" s="305">
        <v>0.02</v>
      </c>
    </row>
    <row r="19" spans="1:10" s="167" customFormat="1" ht="15" customHeight="1">
      <c r="A19" s="177">
        <v>17</v>
      </c>
      <c r="B19" s="304" t="s">
        <v>323</v>
      </c>
      <c r="C19" s="305">
        <v>239.93</v>
      </c>
      <c r="D19" s="305">
        <v>207977.64114600001</v>
      </c>
      <c r="E19" s="305">
        <v>2.1404745073475131</v>
      </c>
      <c r="F19" s="305">
        <v>0.42</v>
      </c>
      <c r="G19" s="305">
        <v>9.2261999999999997E-2</v>
      </c>
      <c r="H19" s="305">
        <v>1.17</v>
      </c>
      <c r="I19" s="305">
        <v>5.7970610000000002</v>
      </c>
      <c r="J19" s="305">
        <v>0.03</v>
      </c>
    </row>
    <row r="20" spans="1:10" s="167" customFormat="1" ht="15" customHeight="1">
      <c r="A20" s="177">
        <v>18</v>
      </c>
      <c r="B20" s="304" t="s">
        <v>324</v>
      </c>
      <c r="C20" s="305">
        <v>1409.14</v>
      </c>
      <c r="D20" s="305">
        <v>896447.38026000001</v>
      </c>
      <c r="E20" s="305">
        <v>9.2261012003592313</v>
      </c>
      <c r="F20" s="305">
        <v>1.05</v>
      </c>
      <c r="G20" s="305">
        <v>0.47989700000000002</v>
      </c>
      <c r="H20" s="305">
        <v>1.28</v>
      </c>
      <c r="I20" s="305">
        <v>3.4711210000000001</v>
      </c>
      <c r="J20" s="305">
        <v>0.02</v>
      </c>
    </row>
    <row r="21" spans="1:10" s="167" customFormat="1" ht="15" customHeight="1">
      <c r="A21" s="177">
        <v>19</v>
      </c>
      <c r="B21" s="304" t="s">
        <v>325</v>
      </c>
      <c r="C21" s="305">
        <v>778.99</v>
      </c>
      <c r="D21" s="305">
        <v>95858.273319999993</v>
      </c>
      <c r="E21" s="305">
        <v>0.98655888791320923</v>
      </c>
      <c r="F21" s="305">
        <v>1.19</v>
      </c>
      <c r="G21" s="305">
        <v>0.41658299999999998</v>
      </c>
      <c r="H21" s="305">
        <v>1.57</v>
      </c>
      <c r="I21" s="305">
        <v>1.507185</v>
      </c>
      <c r="J21" s="305">
        <v>0.03</v>
      </c>
    </row>
    <row r="22" spans="1:10" s="167" customFormat="1" ht="15" customHeight="1">
      <c r="A22" s="177">
        <v>20</v>
      </c>
      <c r="B22" s="304" t="s">
        <v>326</v>
      </c>
      <c r="C22" s="305">
        <v>618.65</v>
      </c>
      <c r="D22" s="305">
        <v>350580.74029099999</v>
      </c>
      <c r="E22" s="305">
        <v>3.6081240907676153</v>
      </c>
      <c r="F22" s="305">
        <v>1.1299999999999999</v>
      </c>
      <c r="G22" s="305">
        <v>0.39117400000000002</v>
      </c>
      <c r="H22" s="305">
        <v>1.53</v>
      </c>
      <c r="I22" s="305">
        <v>4.8447459999999998</v>
      </c>
      <c r="J22" s="305">
        <v>0.02</v>
      </c>
    </row>
    <row r="23" spans="1:10" s="167" customFormat="1" ht="15" customHeight="1">
      <c r="A23" s="177">
        <v>21</v>
      </c>
      <c r="B23" s="304" t="s">
        <v>327</v>
      </c>
      <c r="C23" s="305">
        <v>542.73</v>
      </c>
      <c r="D23" s="305">
        <v>189917.20185799999</v>
      </c>
      <c r="E23" s="305">
        <v>1.9545991907776725</v>
      </c>
      <c r="F23" s="305">
        <v>0.67</v>
      </c>
      <c r="G23" s="305">
        <v>0.157306</v>
      </c>
      <c r="H23" s="305">
        <v>1.44</v>
      </c>
      <c r="I23" s="305">
        <v>2.41703</v>
      </c>
      <c r="J23" s="305">
        <v>0.03</v>
      </c>
    </row>
    <row r="24" spans="1:10" s="167" customFormat="1" ht="15" customHeight="1">
      <c r="A24" s="177">
        <v>22</v>
      </c>
      <c r="B24" s="304" t="s">
        <v>328</v>
      </c>
      <c r="C24" s="305">
        <v>2846.58</v>
      </c>
      <c r="D24" s="305">
        <v>457518.60815099999</v>
      </c>
      <c r="E24" s="305">
        <v>4.7087124942284522</v>
      </c>
      <c r="F24" s="305">
        <v>0.86</v>
      </c>
      <c r="G24" s="305">
        <v>0.28400500000000001</v>
      </c>
      <c r="H24" s="305">
        <v>1.38</v>
      </c>
      <c r="I24" s="305">
        <v>7.6119440000000003</v>
      </c>
      <c r="J24" s="305">
        <v>0.02</v>
      </c>
    </row>
    <row r="25" spans="1:10" s="167" customFormat="1" ht="15" customHeight="1">
      <c r="A25" s="177">
        <v>23</v>
      </c>
      <c r="B25" s="304" t="s">
        <v>329</v>
      </c>
      <c r="C25" s="305">
        <v>157.19999999999999</v>
      </c>
      <c r="D25" s="305">
        <v>174677.40211299999</v>
      </c>
      <c r="E25" s="305">
        <v>1.797753470865145</v>
      </c>
      <c r="F25" s="305">
        <v>0.79</v>
      </c>
      <c r="G25" s="305">
        <v>0.248838</v>
      </c>
      <c r="H25" s="305">
        <v>1.35</v>
      </c>
      <c r="I25" s="305">
        <v>6.4965279999999996</v>
      </c>
      <c r="J25" s="305">
        <v>0.02</v>
      </c>
    </row>
    <row r="26" spans="1:10" s="167" customFormat="1" ht="15" customHeight="1">
      <c r="A26" s="177">
        <v>24</v>
      </c>
      <c r="B26" s="304" t="s">
        <v>330</v>
      </c>
      <c r="C26" s="305">
        <v>288.7</v>
      </c>
      <c r="D26" s="305">
        <v>132831.33736100001</v>
      </c>
      <c r="E26" s="305">
        <v>1.3670800852987079</v>
      </c>
      <c r="F26" s="305">
        <v>1.1100000000000001</v>
      </c>
      <c r="G26" s="305">
        <v>0.43343100000000001</v>
      </c>
      <c r="H26" s="305">
        <v>1.43</v>
      </c>
      <c r="I26" s="305">
        <v>4.3975340000000003</v>
      </c>
      <c r="J26" s="305">
        <v>0.04</v>
      </c>
    </row>
    <row r="27" spans="1:10" s="167" customFormat="1" ht="15" customHeight="1">
      <c r="A27" s="177">
        <v>25</v>
      </c>
      <c r="B27" s="304" t="s">
        <v>331</v>
      </c>
      <c r="C27" s="305">
        <v>361.81</v>
      </c>
      <c r="D27" s="305">
        <v>432416.51093799999</v>
      </c>
      <c r="E27" s="305">
        <v>4.4503654965929371</v>
      </c>
      <c r="F27" s="305">
        <v>0.62</v>
      </c>
      <c r="G27" s="305">
        <v>0.163443</v>
      </c>
      <c r="H27" s="305">
        <v>1.29</v>
      </c>
      <c r="I27" s="305">
        <v>-6.2271380000000001</v>
      </c>
      <c r="J27" s="305">
        <v>0.02</v>
      </c>
    </row>
    <row r="28" spans="1:10" s="167" customFormat="1" ht="15" customHeight="1">
      <c r="A28" s="177">
        <v>26</v>
      </c>
      <c r="B28" s="304" t="s">
        <v>332</v>
      </c>
      <c r="C28" s="305">
        <v>9696.67</v>
      </c>
      <c r="D28" s="305">
        <v>210533.042525</v>
      </c>
      <c r="E28" s="305">
        <v>2.1667743128345385</v>
      </c>
      <c r="F28" s="305">
        <v>1.54</v>
      </c>
      <c r="G28" s="305">
        <v>0.41740500000000003</v>
      </c>
      <c r="H28" s="305">
        <v>2.02</v>
      </c>
      <c r="I28" s="305">
        <v>6.4121030000000001</v>
      </c>
      <c r="J28" s="305">
        <v>0.03</v>
      </c>
    </row>
    <row r="29" spans="1:10" s="167" customFormat="1" ht="15" customHeight="1">
      <c r="A29" s="177">
        <v>27</v>
      </c>
      <c r="B29" s="304" t="s">
        <v>333</v>
      </c>
      <c r="C29" s="305">
        <v>489.17</v>
      </c>
      <c r="D29" s="305">
        <v>100214.39565799999</v>
      </c>
      <c r="E29" s="305">
        <v>1.0313914418550558</v>
      </c>
      <c r="F29" s="305">
        <v>0.91</v>
      </c>
      <c r="G29" s="305">
        <v>0.239984</v>
      </c>
      <c r="H29" s="305">
        <v>1.57</v>
      </c>
      <c r="I29" s="305">
        <v>-3.6436989999999998</v>
      </c>
      <c r="J29" s="305">
        <v>0.03</v>
      </c>
    </row>
    <row r="30" spans="1:10" s="167" customFormat="1" ht="15" customHeight="1">
      <c r="A30" s="177">
        <v>28</v>
      </c>
      <c r="B30" s="304" t="s">
        <v>334</v>
      </c>
      <c r="C30" s="305">
        <v>9300.6</v>
      </c>
      <c r="D30" s="305">
        <v>160826.97442799999</v>
      </c>
      <c r="E30" s="305">
        <v>1.65520695859467</v>
      </c>
      <c r="F30" s="305">
        <v>1.26</v>
      </c>
      <c r="G30" s="305">
        <v>0.31421300000000002</v>
      </c>
      <c r="H30" s="305">
        <v>1.91</v>
      </c>
      <c r="I30" s="305">
        <v>4.593953</v>
      </c>
      <c r="J30" s="305">
        <v>0.03</v>
      </c>
    </row>
    <row r="31" spans="1:10" s="167" customFormat="1" ht="15" customHeight="1">
      <c r="A31" s="177">
        <v>29</v>
      </c>
      <c r="B31" s="304" t="s">
        <v>797</v>
      </c>
      <c r="C31" s="305">
        <v>432.03</v>
      </c>
      <c r="D31" s="305">
        <v>106358.979957</v>
      </c>
      <c r="E31" s="305">
        <v>1.0946305764936892</v>
      </c>
      <c r="F31" s="305">
        <v>2.0499999999999998</v>
      </c>
      <c r="G31" s="305">
        <v>0.44830799999999998</v>
      </c>
      <c r="H31" s="305">
        <v>2.6</v>
      </c>
      <c r="I31" s="305">
        <v>-2.3269139999999999</v>
      </c>
      <c r="J31" s="305">
        <v>0.03</v>
      </c>
    </row>
    <row r="32" spans="1:10" s="167" customFormat="1" ht="15" customHeight="1">
      <c r="A32" s="177">
        <v>30</v>
      </c>
      <c r="B32" s="304" t="s">
        <v>335</v>
      </c>
      <c r="C32" s="305">
        <v>159.66999999999999</v>
      </c>
      <c r="D32" s="305">
        <v>107096.422982</v>
      </c>
      <c r="E32" s="305">
        <v>1.102220228856972</v>
      </c>
      <c r="F32" s="305">
        <v>0.98</v>
      </c>
      <c r="G32" s="305">
        <v>0.36162499999999997</v>
      </c>
      <c r="H32" s="305">
        <v>1.38</v>
      </c>
      <c r="I32" s="305">
        <v>10.679121</v>
      </c>
      <c r="J32" s="305">
        <v>0.02</v>
      </c>
    </row>
    <row r="33" spans="1:10" s="167" customFormat="1" ht="15" customHeight="1">
      <c r="A33" s="306"/>
      <c r="B33" s="307"/>
      <c r="C33" s="308"/>
      <c r="D33" s="308"/>
      <c r="E33" s="309"/>
      <c r="F33" s="310"/>
      <c r="G33" s="311"/>
      <c r="H33" s="311"/>
      <c r="I33" s="312"/>
      <c r="J33" s="312"/>
    </row>
    <row r="34" spans="1:10" s="167" customFormat="1">
      <c r="A34" s="1459" t="s">
        <v>798</v>
      </c>
      <c r="B34" s="1459"/>
      <c r="C34" s="1459"/>
      <c r="D34" s="1459"/>
      <c r="E34" s="1459"/>
      <c r="F34" s="1459"/>
      <c r="G34" s="1459"/>
      <c r="H34" s="1459"/>
      <c r="I34" s="1459"/>
      <c r="J34" s="1459"/>
    </row>
    <row r="35" spans="1:10" s="167" customFormat="1">
      <c r="A35" s="1459" t="s">
        <v>336</v>
      </c>
      <c r="B35" s="1459"/>
      <c r="C35" s="1459"/>
      <c r="D35" s="1459"/>
      <c r="E35" s="1459"/>
      <c r="F35" s="1459"/>
      <c r="G35" s="1459"/>
      <c r="H35" s="1459"/>
      <c r="I35" s="1459"/>
      <c r="J35" s="1459"/>
    </row>
    <row r="36" spans="1:10" s="167" customFormat="1">
      <c r="A36" s="1459" t="s">
        <v>337</v>
      </c>
      <c r="B36" s="1459"/>
      <c r="C36" s="1459"/>
      <c r="D36" s="1459"/>
      <c r="E36" s="1459"/>
      <c r="F36" s="1459"/>
      <c r="G36" s="1459"/>
      <c r="H36" s="1459"/>
      <c r="I36" s="1459"/>
      <c r="J36" s="1459"/>
    </row>
    <row r="37" spans="1:10" s="167" customFormat="1" ht="33" customHeight="1">
      <c r="A37" s="1459" t="s">
        <v>338</v>
      </c>
      <c r="B37" s="1459"/>
      <c r="C37" s="1459"/>
      <c r="D37" s="1459"/>
      <c r="E37" s="1459"/>
      <c r="F37" s="1459"/>
      <c r="G37" s="1459"/>
      <c r="H37" s="1459"/>
      <c r="I37" s="1459"/>
      <c r="J37" s="1459"/>
    </row>
    <row r="38" spans="1:10" s="167" customFormat="1">
      <c r="A38" s="1459" t="s">
        <v>339</v>
      </c>
      <c r="B38" s="1459"/>
      <c r="C38" s="1459"/>
      <c r="D38" s="1459"/>
      <c r="E38" s="1459"/>
      <c r="F38" s="1459"/>
      <c r="G38" s="1459"/>
      <c r="H38" s="1459"/>
      <c r="I38" s="1459"/>
      <c r="J38" s="1459"/>
    </row>
    <row r="39" spans="1:10" s="167" customFormat="1">
      <c r="A39" s="169" t="s">
        <v>295</v>
      </c>
      <c r="H39" s="168"/>
    </row>
    <row r="40" spans="1:10" s="167" customFormat="1"/>
  </sheetData>
  <mergeCells count="5">
    <mergeCell ref="A34:J34"/>
    <mergeCell ref="A35:J35"/>
    <mergeCell ref="A36:J36"/>
    <mergeCell ref="A37:J37"/>
    <mergeCell ref="A38:J38"/>
  </mergeCells>
  <printOptions horizontalCentered="1"/>
  <pageMargins left="0.78431372549019618" right="0.78431372549019618" top="0.98039215686274517" bottom="0.98039215686274517" header="0.50980392156862753" footer="0.50980392156862753"/>
  <pageSetup paperSize="9" fitToHeight="0" orientation="landscape" useFirstPageNumber="1"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60"/>
  <sheetViews>
    <sheetView showGridLines="0" workbookViewId="0"/>
  </sheetViews>
  <sheetFormatPr defaultColWidth="9.140625" defaultRowHeight="12"/>
  <cols>
    <col min="1" max="1" width="6.85546875" style="118" customWidth="1"/>
    <col min="2" max="2" width="39.5703125" style="118" customWidth="1"/>
    <col min="3" max="3" width="8.85546875" style="118" customWidth="1"/>
    <col min="4" max="4" width="24.140625" style="118" customWidth="1"/>
    <col min="5" max="5" width="11.7109375" style="118" customWidth="1"/>
    <col min="6" max="6" width="5.140625" style="118" customWidth="1"/>
    <col min="7" max="7" width="4.42578125" style="118" customWidth="1"/>
    <col min="8" max="8" width="10.42578125" style="118" customWidth="1"/>
    <col min="9" max="9" width="15" style="118" customWidth="1"/>
    <col min="10" max="10" width="23.42578125" style="118" customWidth="1"/>
    <col min="11" max="11" width="30.42578125" style="118" bestFit="1" customWidth="1"/>
    <col min="12" max="12" width="4.5703125" style="118" bestFit="1" customWidth="1"/>
    <col min="13" max="16384" width="9.140625" style="118"/>
  </cols>
  <sheetData>
    <row r="1" spans="1:11">
      <c r="A1" s="178" t="s">
        <v>1325</v>
      </c>
      <c r="B1" s="178"/>
      <c r="C1" s="178"/>
      <c r="D1" s="178"/>
      <c r="E1" s="178"/>
      <c r="F1" s="178"/>
      <c r="G1" s="178"/>
      <c r="H1" s="178"/>
      <c r="I1" s="178"/>
      <c r="J1" s="178"/>
      <c r="K1" s="178"/>
    </row>
    <row r="2" spans="1:11" s="119" customFormat="1" ht="45">
      <c r="A2" s="1781" t="s">
        <v>340</v>
      </c>
      <c r="B2" s="1781" t="s">
        <v>299</v>
      </c>
      <c r="C2" s="545" t="s">
        <v>1448</v>
      </c>
      <c r="D2" s="545" t="s">
        <v>1447</v>
      </c>
      <c r="E2" s="542" t="s">
        <v>302</v>
      </c>
      <c r="F2" s="542" t="s">
        <v>303</v>
      </c>
      <c r="G2" s="542" t="s">
        <v>304</v>
      </c>
      <c r="H2" s="545" t="s">
        <v>305</v>
      </c>
      <c r="I2" s="545" t="s">
        <v>306</v>
      </c>
      <c r="J2" s="545" t="s">
        <v>307</v>
      </c>
    </row>
    <row r="3" spans="1:11" s="119" customFormat="1" ht="15">
      <c r="A3" s="546">
        <v>1</v>
      </c>
      <c r="B3" s="549" t="s">
        <v>341</v>
      </c>
      <c r="C3" s="305">
        <v>114</v>
      </c>
      <c r="D3" s="305">
        <v>73694.924440899995</v>
      </c>
      <c r="E3" s="305">
        <v>0.63674006999999999</v>
      </c>
      <c r="F3" s="305">
        <v>2.04</v>
      </c>
      <c r="G3" s="305">
        <v>0.45</v>
      </c>
      <c r="H3" s="305">
        <v>0.98</v>
      </c>
      <c r="I3" s="305">
        <v>3.86</v>
      </c>
      <c r="J3" s="305">
        <v>0.02</v>
      </c>
      <c r="K3" s="192"/>
    </row>
    <row r="4" spans="1:11" s="119" customFormat="1" ht="15">
      <c r="A4" s="546">
        <v>2</v>
      </c>
      <c r="B4" s="549" t="s">
        <v>342</v>
      </c>
      <c r="C4" s="305">
        <v>432.03</v>
      </c>
      <c r="D4" s="305">
        <v>106602.90394037</v>
      </c>
      <c r="E4" s="305">
        <v>0.92107212999999999</v>
      </c>
      <c r="F4" s="305">
        <v>2.08</v>
      </c>
      <c r="G4" s="305">
        <v>0.48</v>
      </c>
      <c r="H4" s="305">
        <v>1.24</v>
      </c>
      <c r="I4" s="305">
        <v>-2.27</v>
      </c>
      <c r="J4" s="305">
        <v>0.03</v>
      </c>
      <c r="K4" s="192"/>
    </row>
    <row r="5" spans="1:11" s="119" customFormat="1" ht="15">
      <c r="A5" s="546">
        <v>3</v>
      </c>
      <c r="B5" s="549" t="s">
        <v>343</v>
      </c>
      <c r="C5" s="305">
        <v>71.89</v>
      </c>
      <c r="D5" s="305">
        <v>72787.978913850005</v>
      </c>
      <c r="E5" s="305">
        <v>0.62890387000000003</v>
      </c>
      <c r="F5" s="305">
        <v>0.53</v>
      </c>
      <c r="G5" s="305">
        <v>0.11</v>
      </c>
      <c r="H5" s="305">
        <v>0.76</v>
      </c>
      <c r="I5" s="305">
        <v>3.92</v>
      </c>
      <c r="J5" s="305">
        <v>0.01</v>
      </c>
      <c r="K5" s="192"/>
    </row>
    <row r="6" spans="1:11" s="119" customFormat="1" ht="15">
      <c r="A6" s="546">
        <v>4</v>
      </c>
      <c r="B6" s="549" t="s">
        <v>344</v>
      </c>
      <c r="C6" s="305">
        <v>95.92</v>
      </c>
      <c r="D6" s="305">
        <v>150389.38686813001</v>
      </c>
      <c r="E6" s="305">
        <v>1.2993968</v>
      </c>
      <c r="F6" s="305">
        <v>0.5</v>
      </c>
      <c r="G6" s="305">
        <v>0.14000000000000001</v>
      </c>
      <c r="H6" s="305">
        <v>0.94</v>
      </c>
      <c r="I6" s="305">
        <v>6.47</v>
      </c>
      <c r="J6" s="305">
        <v>0.02</v>
      </c>
      <c r="K6" s="192"/>
    </row>
    <row r="7" spans="1:11" s="119" customFormat="1" ht="15">
      <c r="A7" s="546">
        <v>5</v>
      </c>
      <c r="B7" s="549" t="s">
        <v>345</v>
      </c>
      <c r="C7" s="305">
        <v>618.61</v>
      </c>
      <c r="D7" s="305">
        <v>350705.09944863</v>
      </c>
      <c r="E7" s="305">
        <v>3.0301678500000002</v>
      </c>
      <c r="F7" s="305">
        <v>1.1200000000000001</v>
      </c>
      <c r="G7" s="305">
        <v>0.38</v>
      </c>
      <c r="H7" s="305">
        <v>1.2</v>
      </c>
      <c r="I7" s="305">
        <v>4.8499999999999996</v>
      </c>
      <c r="J7" s="305">
        <v>0.02</v>
      </c>
      <c r="K7" s="192"/>
    </row>
    <row r="8" spans="1:11" s="119" customFormat="1" ht="15">
      <c r="A8" s="546">
        <v>6</v>
      </c>
      <c r="B8" s="549" t="s">
        <v>346</v>
      </c>
      <c r="C8" s="305">
        <v>279.26</v>
      </c>
      <c r="D8" s="305">
        <v>136765.79545529</v>
      </c>
      <c r="E8" s="305">
        <v>1.1816860300000001</v>
      </c>
      <c r="F8" s="305">
        <v>0.55000000000000004</v>
      </c>
      <c r="G8" s="305">
        <v>0.09</v>
      </c>
      <c r="H8" s="305">
        <v>1.6</v>
      </c>
      <c r="I8" s="305">
        <v>13.35</v>
      </c>
      <c r="J8" s="305">
        <v>0.02</v>
      </c>
      <c r="K8" s="192"/>
    </row>
    <row r="9" spans="1:11" s="119" customFormat="1" ht="15">
      <c r="A9" s="546">
        <v>7</v>
      </c>
      <c r="B9" s="549" t="s">
        <v>347</v>
      </c>
      <c r="C9" s="305">
        <v>123.8</v>
      </c>
      <c r="D9" s="305">
        <v>215192.79830105999</v>
      </c>
      <c r="E9" s="305">
        <v>1.8593122799999999</v>
      </c>
      <c r="F9" s="305">
        <v>1.05</v>
      </c>
      <c r="G9" s="305">
        <v>0.31</v>
      </c>
      <c r="H9" s="305">
        <v>1.58</v>
      </c>
      <c r="I9" s="305">
        <v>6.98</v>
      </c>
      <c r="J9" s="305">
        <v>0.02</v>
      </c>
      <c r="K9" s="192"/>
    </row>
    <row r="10" spans="1:11" s="119" customFormat="1" ht="15">
      <c r="A10" s="546">
        <v>8</v>
      </c>
      <c r="B10" s="549" t="s">
        <v>348</v>
      </c>
      <c r="C10" s="305">
        <v>159.66999999999999</v>
      </c>
      <c r="D10" s="305">
        <v>107620.2193754</v>
      </c>
      <c r="E10" s="305">
        <v>0.92986195000000005</v>
      </c>
      <c r="F10" s="305">
        <v>0.99</v>
      </c>
      <c r="G10" s="305">
        <v>0.36</v>
      </c>
      <c r="H10" s="305">
        <v>1.44</v>
      </c>
      <c r="I10" s="305">
        <v>10.68</v>
      </c>
      <c r="J10" s="305">
        <v>0.03</v>
      </c>
      <c r="K10" s="192"/>
    </row>
    <row r="11" spans="1:11" s="119" customFormat="1" ht="15">
      <c r="A11" s="546">
        <v>9</v>
      </c>
      <c r="B11" s="549" t="s">
        <v>1323</v>
      </c>
      <c r="C11" s="305">
        <v>730.98</v>
      </c>
      <c r="D11" s="305">
        <v>101831.1604031</v>
      </c>
      <c r="E11" s="305">
        <v>0.87984322999999998</v>
      </c>
      <c r="F11" s="305">
        <v>1.73</v>
      </c>
      <c r="G11" s="305">
        <v>0.38</v>
      </c>
      <c r="H11" s="305">
        <v>1.73</v>
      </c>
      <c r="I11" s="305">
        <v>-4.74</v>
      </c>
      <c r="J11" s="305">
        <v>0.02</v>
      </c>
      <c r="K11" s="192"/>
    </row>
    <row r="12" spans="1:11" s="119" customFormat="1" ht="15">
      <c r="A12" s="546">
        <v>10</v>
      </c>
      <c r="B12" s="549" t="s">
        <v>349</v>
      </c>
      <c r="C12" s="305">
        <v>4338.51</v>
      </c>
      <c r="D12" s="305">
        <v>71509.708795839993</v>
      </c>
      <c r="E12" s="305">
        <v>0.61785933999999998</v>
      </c>
      <c r="F12" s="305">
        <v>1.39</v>
      </c>
      <c r="G12" s="305">
        <v>0.28000000000000003</v>
      </c>
      <c r="H12" s="305">
        <v>1.95</v>
      </c>
      <c r="I12" s="305">
        <v>3.44</v>
      </c>
      <c r="J12" s="305">
        <v>0.02</v>
      </c>
      <c r="K12" s="192"/>
    </row>
    <row r="13" spans="1:11" s="119" customFormat="1" ht="15">
      <c r="A13" s="546">
        <v>11</v>
      </c>
      <c r="B13" s="549" t="s">
        <v>350</v>
      </c>
      <c r="C13" s="305">
        <v>2846.58</v>
      </c>
      <c r="D13" s="305">
        <v>457581.48698654003</v>
      </c>
      <c r="E13" s="305">
        <v>3.9536029400000001</v>
      </c>
      <c r="F13" s="305">
        <v>0.89</v>
      </c>
      <c r="G13" s="305">
        <v>0.28999999999999998</v>
      </c>
      <c r="H13" s="305">
        <v>1.51</v>
      </c>
      <c r="I13" s="305">
        <v>7.58</v>
      </c>
      <c r="J13" s="305">
        <v>0.02</v>
      </c>
      <c r="K13" s="192"/>
    </row>
    <row r="14" spans="1:11" s="119" customFormat="1" ht="15">
      <c r="A14" s="546">
        <v>12</v>
      </c>
      <c r="B14" s="549" t="s">
        <v>351</v>
      </c>
      <c r="C14" s="305">
        <v>24.09</v>
      </c>
      <c r="D14" s="305">
        <v>74598.531781309997</v>
      </c>
      <c r="E14" s="305">
        <v>0.64454743999999997</v>
      </c>
      <c r="F14" s="305">
        <v>0.27</v>
      </c>
      <c r="G14" s="305">
        <v>0.04</v>
      </c>
      <c r="H14" s="305">
        <v>0.78</v>
      </c>
      <c r="I14" s="305">
        <v>8.25</v>
      </c>
      <c r="J14" s="305">
        <v>0.02</v>
      </c>
      <c r="K14" s="192"/>
    </row>
    <row r="15" spans="1:11" s="119" customFormat="1" ht="15">
      <c r="A15" s="546">
        <v>13</v>
      </c>
      <c r="B15" s="549" t="s">
        <v>352</v>
      </c>
      <c r="C15" s="305">
        <v>161.51</v>
      </c>
      <c r="D15" s="305">
        <v>90768.585163809999</v>
      </c>
      <c r="E15" s="305">
        <v>0.78426019000000002</v>
      </c>
      <c r="F15" s="305">
        <v>0.28999999999999998</v>
      </c>
      <c r="G15" s="305">
        <v>0.03</v>
      </c>
      <c r="H15" s="305">
        <v>1.1200000000000001</v>
      </c>
      <c r="I15" s="305">
        <v>-0.05</v>
      </c>
      <c r="J15" s="305">
        <v>0.02</v>
      </c>
      <c r="K15" s="192"/>
    </row>
    <row r="16" spans="1:11" s="119" customFormat="1" ht="15">
      <c r="A16" s="546">
        <v>14</v>
      </c>
      <c r="B16" s="549" t="s">
        <v>353</v>
      </c>
      <c r="C16" s="305">
        <v>6162.73</v>
      </c>
      <c r="D16" s="305">
        <v>115554.62728797999</v>
      </c>
      <c r="E16" s="305">
        <v>0.99841694999999997</v>
      </c>
      <c r="F16" s="305">
        <v>1.55</v>
      </c>
      <c r="G16" s="305">
        <v>0.36</v>
      </c>
      <c r="H16" s="305">
        <v>1.51</v>
      </c>
      <c r="I16" s="305">
        <v>-2.82</v>
      </c>
      <c r="J16" s="305">
        <v>0.03</v>
      </c>
      <c r="K16" s="192"/>
    </row>
    <row r="17" spans="1:11" s="119" customFormat="1" ht="15">
      <c r="A17" s="546">
        <v>15</v>
      </c>
      <c r="B17" s="549" t="s">
        <v>354</v>
      </c>
      <c r="C17" s="305">
        <v>83.43</v>
      </c>
      <c r="D17" s="305">
        <v>82223.669277980007</v>
      </c>
      <c r="E17" s="305">
        <v>0.71043027000000003</v>
      </c>
      <c r="F17" s="305">
        <v>0.41</v>
      </c>
      <c r="G17" s="305">
        <v>0.08</v>
      </c>
      <c r="H17" s="305">
        <v>0.85</v>
      </c>
      <c r="I17" s="305">
        <v>-3.98</v>
      </c>
      <c r="J17" s="305">
        <v>0.01</v>
      </c>
      <c r="K17" s="192"/>
    </row>
    <row r="18" spans="1:11" s="119" customFormat="1" ht="15">
      <c r="A18" s="546">
        <v>16</v>
      </c>
      <c r="B18" s="549" t="s">
        <v>355</v>
      </c>
      <c r="C18" s="305">
        <v>27.41</v>
      </c>
      <c r="D18" s="305">
        <v>69035.636156890003</v>
      </c>
      <c r="E18" s="305">
        <v>0.59648281999999997</v>
      </c>
      <c r="F18" s="305">
        <v>0.85</v>
      </c>
      <c r="G18" s="305">
        <v>0.21</v>
      </c>
      <c r="H18" s="305">
        <v>1.18</v>
      </c>
      <c r="I18" s="305">
        <v>1.33</v>
      </c>
      <c r="J18" s="305">
        <v>0.02</v>
      </c>
      <c r="K18" s="192"/>
    </row>
    <row r="19" spans="1:11" s="119" customFormat="1" ht="15">
      <c r="A19" s="546">
        <v>17</v>
      </c>
      <c r="B19" s="549" t="s">
        <v>356</v>
      </c>
      <c r="C19" s="305">
        <v>131.69999999999999</v>
      </c>
      <c r="D19" s="305">
        <v>103867.61046262</v>
      </c>
      <c r="E19" s="305">
        <v>0.89743859999999998</v>
      </c>
      <c r="F19" s="305">
        <v>0.97</v>
      </c>
      <c r="G19" s="305">
        <v>0.32</v>
      </c>
      <c r="H19" s="305">
        <v>1.42</v>
      </c>
      <c r="I19" s="305">
        <v>3.58</v>
      </c>
      <c r="J19" s="305">
        <v>0.02</v>
      </c>
      <c r="K19" s="192"/>
    </row>
    <row r="20" spans="1:11" s="119" customFormat="1" ht="15">
      <c r="A20" s="546">
        <v>18</v>
      </c>
      <c r="B20" s="549" t="s">
        <v>357</v>
      </c>
      <c r="C20" s="305">
        <v>542.73</v>
      </c>
      <c r="D20" s="305">
        <v>189434.39822110001</v>
      </c>
      <c r="E20" s="305">
        <v>1.6367541400000001</v>
      </c>
      <c r="F20" s="305">
        <v>0.69</v>
      </c>
      <c r="G20" s="305">
        <v>0.16</v>
      </c>
      <c r="H20" s="305">
        <v>1.34</v>
      </c>
      <c r="I20" s="305">
        <v>2.44</v>
      </c>
      <c r="J20" s="305">
        <v>0.02</v>
      </c>
      <c r="K20" s="192"/>
    </row>
    <row r="21" spans="1:11" s="119" customFormat="1" ht="15">
      <c r="A21" s="546">
        <v>19</v>
      </c>
      <c r="B21" s="549" t="s">
        <v>358</v>
      </c>
      <c r="C21" s="305">
        <v>762.86</v>
      </c>
      <c r="D21" s="305">
        <v>1312015.9430474599</v>
      </c>
      <c r="E21" s="305">
        <v>11.33610129</v>
      </c>
      <c r="F21" s="305">
        <v>0.99</v>
      </c>
      <c r="G21" s="305">
        <v>0.39</v>
      </c>
      <c r="H21" s="305">
        <v>0.85</v>
      </c>
      <c r="I21" s="305">
        <v>5.81</v>
      </c>
      <c r="J21" s="305">
        <v>0.01</v>
      </c>
      <c r="K21" s="192"/>
    </row>
    <row r="22" spans="1:11" s="119" customFormat="1" ht="15">
      <c r="A22" s="546">
        <v>20</v>
      </c>
      <c r="B22" s="549" t="s">
        <v>359</v>
      </c>
      <c r="C22" s="305">
        <v>2152.2199999999998</v>
      </c>
      <c r="D22" s="305">
        <v>76517.900341589993</v>
      </c>
      <c r="E22" s="305">
        <v>0.66113120000000003</v>
      </c>
      <c r="F22" s="305">
        <v>0.61</v>
      </c>
      <c r="G22" s="305">
        <v>0.12</v>
      </c>
      <c r="H22" s="305">
        <v>1.53</v>
      </c>
      <c r="I22" s="305">
        <v>-2.8</v>
      </c>
      <c r="J22" s="305">
        <v>0.02</v>
      </c>
      <c r="K22" s="192"/>
    </row>
    <row r="23" spans="1:11" s="119" customFormat="1" ht="15">
      <c r="A23" s="546">
        <v>21</v>
      </c>
      <c r="B23" s="549" t="s">
        <v>360</v>
      </c>
      <c r="C23" s="305">
        <v>40</v>
      </c>
      <c r="D23" s="305">
        <v>73940.695056719997</v>
      </c>
      <c r="E23" s="305">
        <v>0.63886357999999999</v>
      </c>
      <c r="F23" s="305">
        <v>0.59</v>
      </c>
      <c r="G23" s="305">
        <v>0.09</v>
      </c>
      <c r="H23" s="305">
        <v>1.63</v>
      </c>
      <c r="I23" s="305">
        <v>4.71</v>
      </c>
      <c r="J23" s="305">
        <v>0.02</v>
      </c>
      <c r="K23" s="192"/>
    </row>
    <row r="24" spans="1:11" s="119" customFormat="1" ht="15">
      <c r="A24" s="546">
        <v>22</v>
      </c>
      <c r="B24" s="549" t="s">
        <v>361</v>
      </c>
      <c r="C24" s="305">
        <v>224.72</v>
      </c>
      <c r="D24" s="305">
        <v>109880.50608178999</v>
      </c>
      <c r="E24" s="305">
        <v>0.94939132000000004</v>
      </c>
      <c r="F24" s="305">
        <v>1.1299999999999999</v>
      </c>
      <c r="G24" s="305">
        <v>0.25</v>
      </c>
      <c r="H24" s="305">
        <v>1.73</v>
      </c>
      <c r="I24" s="305">
        <v>7.82</v>
      </c>
      <c r="J24" s="305">
        <v>0.02</v>
      </c>
      <c r="K24" s="192"/>
    </row>
    <row r="25" spans="1:11" s="119" customFormat="1" ht="15">
      <c r="A25" s="546">
        <v>23</v>
      </c>
      <c r="B25" s="549" t="s">
        <v>362</v>
      </c>
      <c r="C25" s="305">
        <v>234.96</v>
      </c>
      <c r="D25" s="305">
        <v>263041.7469272</v>
      </c>
      <c r="E25" s="305">
        <v>2.2727375400000001</v>
      </c>
      <c r="F25" s="305">
        <v>0.22</v>
      </c>
      <c r="G25" s="305">
        <v>0.03</v>
      </c>
      <c r="H25" s="305">
        <v>1.34</v>
      </c>
      <c r="I25" s="305">
        <v>6.49</v>
      </c>
      <c r="J25" s="305">
        <v>0.02</v>
      </c>
      <c r="K25" s="192"/>
    </row>
    <row r="26" spans="1:11" s="119" customFormat="1" ht="15">
      <c r="A26" s="546">
        <v>24</v>
      </c>
      <c r="B26" s="549" t="s">
        <v>363</v>
      </c>
      <c r="C26" s="305">
        <v>1409.14</v>
      </c>
      <c r="D26" s="305">
        <v>895604.38483154995</v>
      </c>
      <c r="E26" s="305">
        <v>7.7382154400000003</v>
      </c>
      <c r="F26" s="305">
        <v>1.01</v>
      </c>
      <c r="G26" s="305">
        <v>0.45</v>
      </c>
      <c r="H26" s="305">
        <v>1.42</v>
      </c>
      <c r="I26" s="305">
        <v>3.56</v>
      </c>
      <c r="J26" s="305">
        <v>0.02</v>
      </c>
      <c r="K26" s="192"/>
    </row>
    <row r="27" spans="1:11" s="119" customFormat="1" ht="15">
      <c r="A27" s="546">
        <v>25</v>
      </c>
      <c r="B27" s="549" t="s">
        <v>364</v>
      </c>
      <c r="C27" s="305">
        <v>1250.76</v>
      </c>
      <c r="D27" s="305">
        <v>481316.96547832998</v>
      </c>
      <c r="E27" s="305">
        <v>4.1586825999999997</v>
      </c>
      <c r="F27" s="305">
        <v>0.65</v>
      </c>
      <c r="G27" s="305">
        <v>0.22</v>
      </c>
      <c r="H27" s="305">
        <v>0.92</v>
      </c>
      <c r="I27" s="305">
        <v>3.24</v>
      </c>
      <c r="J27" s="305">
        <v>0.02</v>
      </c>
      <c r="K27" s="192"/>
    </row>
    <row r="28" spans="1:11" s="119" customFormat="1" ht="15">
      <c r="A28" s="546">
        <v>26</v>
      </c>
      <c r="B28" s="549" t="s">
        <v>365</v>
      </c>
      <c r="C28" s="305">
        <v>778.99</v>
      </c>
      <c r="D28" s="305">
        <v>95483.573588269996</v>
      </c>
      <c r="E28" s="305">
        <v>0.82499871000000002</v>
      </c>
      <c r="F28" s="305">
        <v>1.19</v>
      </c>
      <c r="G28" s="305">
        <v>0.41</v>
      </c>
      <c r="H28" s="305">
        <v>0.95</v>
      </c>
      <c r="I28" s="305">
        <v>1.57</v>
      </c>
      <c r="J28" s="305">
        <v>0.02</v>
      </c>
      <c r="K28" s="192"/>
    </row>
    <row r="29" spans="1:11" s="119" customFormat="1" ht="15">
      <c r="A29" s="546">
        <v>27</v>
      </c>
      <c r="B29" s="549" t="s">
        <v>366</v>
      </c>
      <c r="C29" s="305">
        <v>2076.0700000000002</v>
      </c>
      <c r="D29" s="305">
        <v>674093.86482861999</v>
      </c>
      <c r="E29" s="305">
        <v>5.82431667</v>
      </c>
      <c r="F29" s="305">
        <v>0.8</v>
      </c>
      <c r="G29" s="305">
        <v>0.23</v>
      </c>
      <c r="H29" s="305">
        <v>1.08</v>
      </c>
      <c r="I29" s="305">
        <v>-3.5</v>
      </c>
      <c r="J29" s="305">
        <v>0.02</v>
      </c>
      <c r="K29" s="192"/>
    </row>
    <row r="30" spans="1:11" s="119" customFormat="1" ht="15">
      <c r="A30" s="546">
        <v>28</v>
      </c>
      <c r="B30" s="549" t="s">
        <v>367</v>
      </c>
      <c r="C30" s="305">
        <v>244.55</v>
      </c>
      <c r="D30" s="305">
        <v>98653.775737999997</v>
      </c>
      <c r="E30" s="305">
        <v>0.85238994000000001</v>
      </c>
      <c r="F30" s="305">
        <v>1.34</v>
      </c>
      <c r="G30" s="305">
        <v>0.47</v>
      </c>
      <c r="H30" s="305">
        <v>1.38</v>
      </c>
      <c r="I30" s="305">
        <v>9.4499999999999993</v>
      </c>
      <c r="J30" s="305">
        <v>0.03</v>
      </c>
      <c r="K30" s="192"/>
    </row>
    <row r="31" spans="1:11" s="119" customFormat="1" ht="15">
      <c r="A31" s="546">
        <v>29</v>
      </c>
      <c r="B31" s="549" t="s">
        <v>368</v>
      </c>
      <c r="C31" s="305">
        <v>994.06</v>
      </c>
      <c r="D31" s="305">
        <v>271847.66326111997</v>
      </c>
      <c r="E31" s="305">
        <v>2.3488225599999999</v>
      </c>
      <c r="F31" s="305">
        <v>0.85</v>
      </c>
      <c r="G31" s="305">
        <v>0.26</v>
      </c>
      <c r="H31" s="305">
        <v>1.02</v>
      </c>
      <c r="I31" s="305">
        <v>4.1100000000000003</v>
      </c>
      <c r="J31" s="305">
        <v>0.02</v>
      </c>
      <c r="K31" s="192"/>
    </row>
    <row r="32" spans="1:11" s="119" customFormat="1" ht="15">
      <c r="A32" s="546">
        <v>30</v>
      </c>
      <c r="B32" s="549" t="s">
        <v>369</v>
      </c>
      <c r="C32" s="305">
        <v>275</v>
      </c>
      <c r="D32" s="305">
        <v>432084.52331515</v>
      </c>
      <c r="E32" s="305">
        <v>3.7333036599999998</v>
      </c>
      <c r="F32" s="305">
        <v>1.42</v>
      </c>
      <c r="G32" s="305">
        <v>0.5</v>
      </c>
      <c r="H32" s="305">
        <v>1.2</v>
      </c>
      <c r="I32" s="305">
        <v>-0.79</v>
      </c>
      <c r="J32" s="305">
        <v>0.02</v>
      </c>
      <c r="K32" s="192"/>
    </row>
    <row r="33" spans="1:11" s="119" customFormat="1" ht="15">
      <c r="A33" s="546">
        <v>31</v>
      </c>
      <c r="B33" s="549" t="s">
        <v>370</v>
      </c>
      <c r="C33" s="305">
        <v>621.76</v>
      </c>
      <c r="D33" s="305">
        <v>275376.76396533003</v>
      </c>
      <c r="E33" s="305">
        <v>2.3793147499999998</v>
      </c>
      <c r="F33" s="305">
        <v>1.22</v>
      </c>
      <c r="G33" s="305">
        <v>0.3</v>
      </c>
      <c r="H33" s="305">
        <v>1.87</v>
      </c>
      <c r="I33" s="305">
        <v>10.32</v>
      </c>
      <c r="J33" s="305">
        <v>0.02</v>
      </c>
      <c r="K33" s="192"/>
    </row>
    <row r="34" spans="1:11" s="119" customFormat="1" ht="15">
      <c r="A34" s="546">
        <v>32</v>
      </c>
      <c r="B34" s="549" t="s">
        <v>371</v>
      </c>
      <c r="C34" s="305">
        <v>157.19999999999999</v>
      </c>
      <c r="D34" s="305">
        <v>173976.24230941999</v>
      </c>
      <c r="E34" s="305">
        <v>1.5031923300000001</v>
      </c>
      <c r="F34" s="305">
        <v>0.79</v>
      </c>
      <c r="G34" s="305">
        <v>0.24</v>
      </c>
      <c r="H34" s="305">
        <v>1.3</v>
      </c>
      <c r="I34" s="305">
        <v>6.73</v>
      </c>
      <c r="J34" s="305">
        <v>0.02</v>
      </c>
      <c r="K34" s="192"/>
    </row>
    <row r="35" spans="1:11" s="119" customFormat="1" ht="15">
      <c r="A35" s="546">
        <v>33</v>
      </c>
      <c r="B35" s="549" t="s">
        <v>372</v>
      </c>
      <c r="C35" s="305">
        <v>9696.67</v>
      </c>
      <c r="D35" s="305">
        <v>209584.38412743999</v>
      </c>
      <c r="E35" s="305">
        <v>1.8108543699999999</v>
      </c>
      <c r="F35" s="305">
        <v>1.55</v>
      </c>
      <c r="G35" s="305">
        <v>0.44</v>
      </c>
      <c r="H35" s="305">
        <v>1.53</v>
      </c>
      <c r="I35" s="305">
        <v>6.49</v>
      </c>
      <c r="J35" s="305">
        <v>0.03</v>
      </c>
      <c r="K35" s="192"/>
    </row>
    <row r="36" spans="1:11" s="119" customFormat="1" ht="15">
      <c r="A36" s="546">
        <v>34</v>
      </c>
      <c r="B36" s="549" t="s">
        <v>373</v>
      </c>
      <c r="C36" s="305">
        <v>96.42</v>
      </c>
      <c r="D36" s="305">
        <v>96229.209270239997</v>
      </c>
      <c r="E36" s="305">
        <v>0.83144116000000001</v>
      </c>
      <c r="F36" s="305">
        <v>0.32</v>
      </c>
      <c r="G36" s="305">
        <v>0.05</v>
      </c>
      <c r="H36" s="305">
        <v>1.07</v>
      </c>
      <c r="I36" s="305">
        <v>7.57</v>
      </c>
      <c r="J36" s="305">
        <v>0.03</v>
      </c>
      <c r="K36" s="192"/>
    </row>
    <row r="37" spans="1:11" s="119" customFormat="1" ht="15">
      <c r="A37" s="546">
        <v>35</v>
      </c>
      <c r="B37" s="549" t="s">
        <v>374</v>
      </c>
      <c r="C37" s="305">
        <v>6290.14</v>
      </c>
      <c r="D37" s="305">
        <v>115291.25422353001</v>
      </c>
      <c r="E37" s="305">
        <v>0.99614135000000004</v>
      </c>
      <c r="F37" s="305">
        <v>1.78</v>
      </c>
      <c r="G37" s="305">
        <v>0.42</v>
      </c>
      <c r="H37" s="305">
        <v>1.69</v>
      </c>
      <c r="I37" s="305">
        <v>-10.02</v>
      </c>
      <c r="J37" s="305">
        <v>0.02</v>
      </c>
      <c r="K37" s="192"/>
    </row>
    <row r="38" spans="1:11" s="119" customFormat="1" ht="15">
      <c r="A38" s="546">
        <v>36</v>
      </c>
      <c r="B38" s="549" t="s">
        <v>375</v>
      </c>
      <c r="C38" s="305">
        <v>9300.6</v>
      </c>
      <c r="D38" s="305">
        <v>159626.37620832</v>
      </c>
      <c r="E38" s="305">
        <v>1.37920639</v>
      </c>
      <c r="F38" s="305">
        <v>1.28</v>
      </c>
      <c r="G38" s="305">
        <v>0.33</v>
      </c>
      <c r="H38" s="305">
        <v>1.4</v>
      </c>
      <c r="I38" s="305">
        <v>4.58</v>
      </c>
      <c r="J38" s="305">
        <v>0.03</v>
      </c>
      <c r="K38" s="192"/>
    </row>
    <row r="39" spans="1:11" s="119" customFormat="1" ht="15">
      <c r="A39" s="546">
        <v>37</v>
      </c>
      <c r="B39" s="549" t="s">
        <v>376</v>
      </c>
      <c r="C39" s="305">
        <v>6765.82</v>
      </c>
      <c r="D39" s="305">
        <v>1000010.67586728</v>
      </c>
      <c r="E39" s="305">
        <v>8.6403083600000006</v>
      </c>
      <c r="F39" s="305">
        <v>1.1599999999999999</v>
      </c>
      <c r="G39" s="305">
        <v>0.53</v>
      </c>
      <c r="H39" s="305">
        <v>1.1299999999999999</v>
      </c>
      <c r="I39" s="305">
        <v>-2.19</v>
      </c>
      <c r="J39" s="305">
        <v>0.01</v>
      </c>
      <c r="K39" s="192"/>
    </row>
    <row r="40" spans="1:11" s="119" customFormat="1" ht="15">
      <c r="A40" s="546">
        <v>38</v>
      </c>
      <c r="B40" s="549" t="s">
        <v>377</v>
      </c>
      <c r="C40" s="305">
        <v>1001.92</v>
      </c>
      <c r="D40" s="305">
        <v>82364.23390336</v>
      </c>
      <c r="E40" s="305">
        <v>0.71164477999999998</v>
      </c>
      <c r="F40" s="305">
        <v>0.79</v>
      </c>
      <c r="G40" s="305">
        <v>0.2</v>
      </c>
      <c r="H40" s="305">
        <v>1.54</v>
      </c>
      <c r="I40" s="305">
        <v>-0.34</v>
      </c>
      <c r="J40" s="305">
        <v>0.03</v>
      </c>
      <c r="K40" s="192"/>
    </row>
    <row r="41" spans="1:11" s="119" customFormat="1" ht="15">
      <c r="A41" s="546">
        <v>39</v>
      </c>
      <c r="B41" s="549" t="s">
        <v>698</v>
      </c>
      <c r="C41" s="305">
        <v>375.99</v>
      </c>
      <c r="D41" s="305">
        <v>99829.792482270001</v>
      </c>
      <c r="E41" s="305">
        <v>0.86255097999999997</v>
      </c>
      <c r="F41" s="305">
        <v>1.56</v>
      </c>
      <c r="G41" s="305">
        <v>0.37</v>
      </c>
      <c r="H41" s="305">
        <v>1.66</v>
      </c>
      <c r="I41" s="305">
        <v>11.62</v>
      </c>
      <c r="J41" s="305">
        <v>0.02</v>
      </c>
      <c r="K41" s="192"/>
    </row>
    <row r="42" spans="1:11" s="119" customFormat="1" ht="15">
      <c r="A42" s="546">
        <v>40</v>
      </c>
      <c r="B42" s="1782" t="s">
        <v>378</v>
      </c>
      <c r="C42" s="305">
        <v>892.46</v>
      </c>
      <c r="D42" s="305">
        <v>302710.55796574999</v>
      </c>
      <c r="E42" s="305">
        <v>2.61548464</v>
      </c>
      <c r="F42" s="305">
        <v>1.49</v>
      </c>
      <c r="G42" s="305">
        <v>0.49</v>
      </c>
      <c r="H42" s="305">
        <v>1.48</v>
      </c>
      <c r="I42" s="305">
        <v>-3.4</v>
      </c>
      <c r="J42" s="305">
        <v>0.02</v>
      </c>
      <c r="K42" s="192"/>
    </row>
    <row r="43" spans="1:11" s="119" customFormat="1" ht="15">
      <c r="A43" s="546">
        <v>41</v>
      </c>
      <c r="B43" s="549" t="s">
        <v>379</v>
      </c>
      <c r="C43" s="305">
        <v>239.93</v>
      </c>
      <c r="D43" s="305">
        <v>207700.03359404</v>
      </c>
      <c r="E43" s="305">
        <v>1.79457318</v>
      </c>
      <c r="F43" s="305">
        <v>0.46</v>
      </c>
      <c r="G43" s="305">
        <v>0.11</v>
      </c>
      <c r="H43" s="305">
        <v>0.91</v>
      </c>
      <c r="I43" s="305">
        <v>5.77</v>
      </c>
      <c r="J43" s="305">
        <v>0.02</v>
      </c>
      <c r="K43" s="192"/>
    </row>
    <row r="44" spans="1:11" s="119" customFormat="1" ht="15">
      <c r="A44" s="546">
        <v>42</v>
      </c>
      <c r="B44" s="549" t="s">
        <v>380</v>
      </c>
      <c r="C44" s="305">
        <v>361.81</v>
      </c>
      <c r="D44" s="305">
        <v>435669.78335614997</v>
      </c>
      <c r="E44" s="305">
        <v>3.7642810799999999</v>
      </c>
      <c r="F44" s="305">
        <v>0.6</v>
      </c>
      <c r="G44" s="305">
        <v>0.15</v>
      </c>
      <c r="H44" s="305">
        <v>0.91</v>
      </c>
      <c r="I44" s="305">
        <v>-6.26</v>
      </c>
      <c r="J44" s="305">
        <v>0.02</v>
      </c>
      <c r="K44" s="192"/>
    </row>
    <row r="45" spans="1:11" s="119" customFormat="1" ht="15">
      <c r="A45" s="546">
        <v>43</v>
      </c>
      <c r="B45" s="549" t="s">
        <v>381</v>
      </c>
      <c r="C45" s="305">
        <v>98.94</v>
      </c>
      <c r="D45" s="305">
        <v>77751.482473259995</v>
      </c>
      <c r="E45" s="305">
        <v>0.67178961000000004</v>
      </c>
      <c r="F45" s="305">
        <v>0.49</v>
      </c>
      <c r="G45" s="305">
        <v>0.09</v>
      </c>
      <c r="H45" s="305">
        <v>1.02</v>
      </c>
      <c r="I45" s="305">
        <v>-0.27</v>
      </c>
      <c r="J45" s="305">
        <v>0.02</v>
      </c>
      <c r="K45" s="192"/>
    </row>
    <row r="46" spans="1:11" s="119" customFormat="1" ht="15">
      <c r="A46" s="546">
        <v>44</v>
      </c>
      <c r="B46" s="549" t="s">
        <v>382</v>
      </c>
      <c r="C46" s="305">
        <v>736.18</v>
      </c>
      <c r="D46" s="305">
        <v>206581.46301546</v>
      </c>
      <c r="E46" s="305">
        <v>1.7849084900000001</v>
      </c>
      <c r="F46" s="305">
        <v>1.08</v>
      </c>
      <c r="G46" s="305">
        <v>0.26</v>
      </c>
      <c r="H46" s="305">
        <v>1.62</v>
      </c>
      <c r="I46" s="305">
        <v>-12.3</v>
      </c>
      <c r="J46" s="305">
        <v>0.02</v>
      </c>
      <c r="K46" s="192"/>
    </row>
    <row r="47" spans="1:11" s="119" customFormat="1" ht="15">
      <c r="A47" s="546">
        <v>45</v>
      </c>
      <c r="B47" s="549" t="s">
        <v>383</v>
      </c>
      <c r="C47" s="305">
        <v>1248.3499999999999</v>
      </c>
      <c r="D47" s="305">
        <v>139484.26684217001</v>
      </c>
      <c r="E47" s="305">
        <v>1.20517421</v>
      </c>
      <c r="F47" s="305">
        <v>1.51</v>
      </c>
      <c r="G47" s="305">
        <v>0.48</v>
      </c>
      <c r="H47" s="305">
        <v>1.37</v>
      </c>
      <c r="I47" s="305">
        <v>10.34</v>
      </c>
      <c r="J47" s="305">
        <v>0.02</v>
      </c>
      <c r="K47" s="192"/>
    </row>
    <row r="48" spans="1:11" s="119" customFormat="1" ht="15">
      <c r="A48" s="546">
        <v>46</v>
      </c>
      <c r="B48" s="549" t="s">
        <v>384</v>
      </c>
      <c r="C48" s="305">
        <v>489.11</v>
      </c>
      <c r="D48" s="305">
        <v>99943.254586459996</v>
      </c>
      <c r="E48" s="305">
        <v>0.86353131999999999</v>
      </c>
      <c r="F48" s="305">
        <v>0.89</v>
      </c>
      <c r="G48" s="305">
        <v>0.23</v>
      </c>
      <c r="H48" s="305">
        <v>1.42</v>
      </c>
      <c r="I48" s="305">
        <v>-3.62</v>
      </c>
      <c r="J48" s="305">
        <v>0.03</v>
      </c>
      <c r="K48" s="192"/>
    </row>
    <row r="49" spans="1:11" s="119" customFormat="1" ht="15">
      <c r="A49" s="546">
        <v>47</v>
      </c>
      <c r="B49" s="549" t="s">
        <v>385</v>
      </c>
      <c r="C49" s="305">
        <v>88.78</v>
      </c>
      <c r="D49" s="305">
        <v>158000.38753906</v>
      </c>
      <c r="E49" s="305">
        <v>1.3651574900000001</v>
      </c>
      <c r="F49" s="305">
        <v>0.69</v>
      </c>
      <c r="G49" s="305">
        <v>0.17</v>
      </c>
      <c r="H49" s="305">
        <v>1.06</v>
      </c>
      <c r="I49" s="305">
        <v>7.26</v>
      </c>
      <c r="J49" s="305">
        <v>0.02</v>
      </c>
      <c r="K49" s="192"/>
    </row>
    <row r="50" spans="1:11" s="119" customFormat="1" ht="15">
      <c r="A50" s="546">
        <v>48</v>
      </c>
      <c r="B50" s="549" t="s">
        <v>1324</v>
      </c>
      <c r="C50" s="305">
        <v>35.549999999999997</v>
      </c>
      <c r="D50" s="305">
        <v>168044.78295617001</v>
      </c>
      <c r="E50" s="305">
        <v>1.4519432400000001</v>
      </c>
      <c r="F50" s="305">
        <v>0.84</v>
      </c>
      <c r="G50" s="305">
        <v>0.1</v>
      </c>
      <c r="H50" s="305">
        <v>1.32</v>
      </c>
      <c r="I50" s="305">
        <v>5.81</v>
      </c>
      <c r="J50" s="305">
        <v>0.01</v>
      </c>
      <c r="K50" s="192"/>
    </row>
    <row r="51" spans="1:11" s="119" customFormat="1" ht="15">
      <c r="A51" s="546">
        <v>49</v>
      </c>
      <c r="B51" s="549" t="s">
        <v>386</v>
      </c>
      <c r="C51" s="305">
        <v>288.7</v>
      </c>
      <c r="D51" s="305">
        <v>134516.82361356</v>
      </c>
      <c r="E51" s="305">
        <v>1.1622544299999999</v>
      </c>
      <c r="F51" s="305">
        <v>1.1200000000000001</v>
      </c>
      <c r="G51" s="305">
        <v>0.44</v>
      </c>
      <c r="H51" s="305">
        <v>1.01</v>
      </c>
      <c r="I51" s="305">
        <v>4.42</v>
      </c>
      <c r="J51" s="305">
        <v>0.02</v>
      </c>
      <c r="K51" s="192"/>
    </row>
    <row r="52" spans="1:11" s="119" customFormat="1" ht="15">
      <c r="A52" s="546">
        <v>50</v>
      </c>
      <c r="B52" s="549" t="s">
        <v>387</v>
      </c>
      <c r="C52" s="305">
        <v>1046.26</v>
      </c>
      <c r="D52" s="305">
        <v>76446.745087860007</v>
      </c>
      <c r="E52" s="305">
        <v>0.6605164</v>
      </c>
      <c r="F52" s="305">
        <v>1.06</v>
      </c>
      <c r="G52" s="305">
        <v>0.26</v>
      </c>
      <c r="H52" s="305">
        <v>1.68</v>
      </c>
      <c r="I52" s="305">
        <v>0.56999999999999995</v>
      </c>
      <c r="J52" s="305">
        <v>0.03</v>
      </c>
      <c r="K52" s="192"/>
    </row>
    <row r="53" spans="1:11" s="119" customFormat="1" ht="12.75">
      <c r="A53" s="171"/>
      <c r="B53" s="172"/>
      <c r="C53" s="173"/>
      <c r="D53" s="173"/>
      <c r="E53" s="174"/>
      <c r="F53" s="174"/>
      <c r="G53" s="175"/>
      <c r="H53" s="175"/>
      <c r="I53" s="176"/>
      <c r="J53" s="176"/>
    </row>
    <row r="54" spans="1:11" s="119" customFormat="1">
      <c r="A54" s="1477" t="s">
        <v>388</v>
      </c>
      <c r="B54" s="1477"/>
      <c r="C54" s="1477"/>
      <c r="D54" s="1477"/>
      <c r="E54" s="1477"/>
      <c r="F54" s="1477"/>
      <c r="G54" s="1477"/>
      <c r="H54" s="1477"/>
      <c r="I54" s="1477"/>
      <c r="J54" s="1477"/>
    </row>
    <row r="55" spans="1:11" s="119" customFormat="1">
      <c r="A55" s="1477" t="s">
        <v>336</v>
      </c>
      <c r="B55" s="1477"/>
      <c r="C55" s="1477"/>
      <c r="D55" s="1477"/>
      <c r="E55" s="1477"/>
      <c r="F55" s="1477"/>
      <c r="G55" s="1477"/>
      <c r="H55" s="1477"/>
      <c r="I55" s="1477"/>
      <c r="J55" s="1477"/>
    </row>
    <row r="56" spans="1:11" s="119" customFormat="1">
      <c r="A56" s="1477" t="s">
        <v>389</v>
      </c>
      <c r="B56" s="1477"/>
      <c r="C56" s="1477"/>
      <c r="D56" s="1477"/>
      <c r="E56" s="1477"/>
      <c r="F56" s="1477"/>
      <c r="G56" s="1477"/>
      <c r="H56" s="1477"/>
      <c r="I56" s="1477"/>
      <c r="J56" s="1477"/>
    </row>
    <row r="57" spans="1:11" s="119" customFormat="1">
      <c r="A57" s="1477" t="s">
        <v>338</v>
      </c>
      <c r="B57" s="1477"/>
      <c r="C57" s="1477"/>
      <c r="D57" s="1477"/>
      <c r="E57" s="1477"/>
      <c r="F57" s="1477"/>
      <c r="G57" s="1477"/>
      <c r="H57" s="1477"/>
      <c r="I57" s="1477"/>
      <c r="J57" s="1477"/>
    </row>
    <row r="58" spans="1:11" s="119" customFormat="1">
      <c r="A58" s="1477" t="s">
        <v>390</v>
      </c>
      <c r="B58" s="1477"/>
      <c r="C58" s="1477"/>
      <c r="D58" s="1477"/>
      <c r="E58" s="1477"/>
      <c r="F58" s="1477"/>
      <c r="G58" s="1477"/>
      <c r="H58" s="1477"/>
      <c r="I58" s="1477"/>
      <c r="J58" s="1477"/>
    </row>
    <row r="59" spans="1:11" s="119" customFormat="1">
      <c r="A59" s="207" t="s">
        <v>704</v>
      </c>
      <c r="B59" s="289"/>
      <c r="C59" s="289"/>
      <c r="D59" s="289"/>
      <c r="E59" s="289"/>
      <c r="F59" s="289"/>
      <c r="G59" s="289"/>
      <c r="H59" s="289"/>
      <c r="I59" s="289"/>
      <c r="J59" s="289"/>
    </row>
    <row r="60" spans="1:11" s="119" customFormat="1">
      <c r="A60" s="1476" t="s">
        <v>297</v>
      </c>
      <c r="B60" s="1476"/>
      <c r="C60" s="1476"/>
      <c r="D60" s="1476"/>
      <c r="E60" s="1476"/>
      <c r="F60" s="1476"/>
      <c r="G60" s="1476"/>
      <c r="H60" s="1476"/>
      <c r="I60" s="1476"/>
      <c r="J60" s="1476"/>
    </row>
  </sheetData>
  <mergeCells count="6">
    <mergeCell ref="A60:J60"/>
    <mergeCell ref="A54:J54"/>
    <mergeCell ref="A55:J55"/>
    <mergeCell ref="A56:J56"/>
    <mergeCell ref="A57:J57"/>
    <mergeCell ref="A58:J58"/>
  </mergeCells>
  <printOptions horizontalCentered="1"/>
  <pageMargins left="0.78431372549019618" right="0.78431372549019618" top="0.98039215686274517" bottom="0.98039215686274517" header="0.50980392156862753" footer="0.50980392156862753"/>
  <pageSetup paperSize="9" scale="89" fitToHeight="0" orientation="landscape" useFirstPageNumber="1" r:id="rId1"/>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51"/>
  <sheetViews>
    <sheetView showGridLines="0" workbookViewId="0"/>
  </sheetViews>
  <sheetFormatPr defaultColWidth="9.140625" defaultRowHeight="15"/>
  <cols>
    <col min="1" max="1" width="6.42578125" style="80" bestFit="1" customWidth="1"/>
    <col min="2" max="2" width="40.42578125" style="80" bestFit="1" customWidth="1"/>
    <col min="3" max="3" width="10.42578125" style="80" customWidth="1"/>
    <col min="4" max="4" width="18.28515625" style="80" customWidth="1"/>
    <col min="5" max="5" width="10.42578125" style="80" bestFit="1" customWidth="1"/>
    <col min="6" max="6" width="7.5703125" style="80" bestFit="1" customWidth="1"/>
    <col min="7" max="7" width="6.140625" style="80" bestFit="1" customWidth="1"/>
    <col min="8" max="8" width="10.42578125" style="80" bestFit="1" customWidth="1"/>
    <col min="9" max="9" width="12.5703125" style="80" bestFit="1" customWidth="1"/>
    <col min="10" max="10" width="12.140625" style="80" bestFit="1" customWidth="1"/>
    <col min="11" max="16384" width="9.140625" style="80"/>
  </cols>
  <sheetData>
    <row r="1" spans="1:10">
      <c r="A1" s="260" t="s">
        <v>1327</v>
      </c>
      <c r="B1" s="260"/>
      <c r="C1" s="260"/>
      <c r="D1" s="260"/>
      <c r="E1" s="260"/>
      <c r="F1" s="260"/>
      <c r="G1" s="260"/>
    </row>
    <row r="2" spans="1:10" s="191" customFormat="1" ht="45">
      <c r="A2" s="547" t="s">
        <v>391</v>
      </c>
      <c r="B2" s="547" t="s">
        <v>299</v>
      </c>
      <c r="C2" s="547" t="s">
        <v>392</v>
      </c>
      <c r="D2" s="547" t="s">
        <v>1447</v>
      </c>
      <c r="E2" s="547" t="s">
        <v>393</v>
      </c>
      <c r="F2" s="547" t="s">
        <v>303</v>
      </c>
      <c r="G2" s="547" t="s">
        <v>394</v>
      </c>
      <c r="H2" s="547" t="s">
        <v>395</v>
      </c>
      <c r="I2" s="547" t="s">
        <v>396</v>
      </c>
      <c r="J2" s="547" t="s">
        <v>397</v>
      </c>
    </row>
    <row r="3" spans="1:10" s="191" customFormat="1">
      <c r="A3" s="313">
        <v>1</v>
      </c>
      <c r="B3" s="314" t="s">
        <v>398</v>
      </c>
      <c r="C3" s="305">
        <v>762.86443959999997</v>
      </c>
      <c r="D3" s="305">
        <v>1319692.5913306049</v>
      </c>
      <c r="E3" s="305">
        <v>0.1182375937</v>
      </c>
      <c r="F3" s="305">
        <v>1.02</v>
      </c>
      <c r="G3" s="305">
        <v>0.42</v>
      </c>
      <c r="H3" s="186" t="s">
        <v>233</v>
      </c>
      <c r="I3" s="186" t="s">
        <v>233</v>
      </c>
      <c r="J3" s="186" t="s">
        <v>233</v>
      </c>
    </row>
    <row r="4" spans="1:10" s="191" customFormat="1">
      <c r="A4" s="548">
        <v>2</v>
      </c>
      <c r="B4" s="549" t="s">
        <v>399</v>
      </c>
      <c r="C4" s="305">
        <v>6765.8171140000004</v>
      </c>
      <c r="D4" s="305">
        <v>1014520.0163580951</v>
      </c>
      <c r="E4" s="305">
        <v>9.0895717900000006E-2</v>
      </c>
      <c r="F4" s="305">
        <v>1.1499999999999999</v>
      </c>
      <c r="G4" s="305">
        <v>0.53</v>
      </c>
      <c r="H4" s="186" t="s">
        <v>233</v>
      </c>
      <c r="I4" s="186" t="s">
        <v>233</v>
      </c>
      <c r="J4" s="186" t="s">
        <v>233</v>
      </c>
    </row>
    <row r="5" spans="1:10" s="191" customFormat="1">
      <c r="A5" s="548">
        <v>3</v>
      </c>
      <c r="B5" s="549" t="s">
        <v>400</v>
      </c>
      <c r="C5" s="305">
        <v>1409.2328374000001</v>
      </c>
      <c r="D5" s="305">
        <v>894519.70661909995</v>
      </c>
      <c r="E5" s="305">
        <v>8.0144314199999997E-2</v>
      </c>
      <c r="F5" s="305">
        <v>1.02</v>
      </c>
      <c r="G5" s="305">
        <v>0.46</v>
      </c>
      <c r="H5" s="186" t="s">
        <v>233</v>
      </c>
      <c r="I5" s="186" t="s">
        <v>233</v>
      </c>
      <c r="J5" s="186" t="s">
        <v>233</v>
      </c>
    </row>
    <row r="6" spans="1:10" s="191" customFormat="1">
      <c r="A6" s="548">
        <v>4</v>
      </c>
      <c r="B6" s="549" t="s">
        <v>401</v>
      </c>
      <c r="C6" s="305">
        <v>2076.0734084999999</v>
      </c>
      <c r="D6" s="305">
        <v>676341.07134516002</v>
      </c>
      <c r="E6" s="305">
        <v>6.0596642999999999E-2</v>
      </c>
      <c r="F6" s="305">
        <v>0.81</v>
      </c>
      <c r="G6" s="305">
        <v>0.24</v>
      </c>
      <c r="H6" s="186" t="s">
        <v>233</v>
      </c>
      <c r="I6" s="186" t="s">
        <v>233</v>
      </c>
      <c r="J6" s="186" t="s">
        <v>233</v>
      </c>
    </row>
    <row r="7" spans="1:10" s="191" customFormat="1">
      <c r="A7" s="548">
        <v>5</v>
      </c>
      <c r="B7" s="549" t="s">
        <v>404</v>
      </c>
      <c r="C7" s="305">
        <v>1250.7603472000001</v>
      </c>
      <c r="D7" s="305">
        <v>647690.70273696491</v>
      </c>
      <c r="E7" s="305">
        <v>5.8029718899999999E-2</v>
      </c>
      <c r="F7" s="305">
        <v>0.64</v>
      </c>
      <c r="G7" s="305">
        <v>0.21</v>
      </c>
      <c r="H7" s="186" t="s">
        <v>233</v>
      </c>
      <c r="I7" s="186" t="s">
        <v>233</v>
      </c>
      <c r="J7" s="186" t="s">
        <v>233</v>
      </c>
    </row>
    <row r="8" spans="1:10" s="191" customFormat="1">
      <c r="A8" s="548">
        <v>6</v>
      </c>
      <c r="B8" s="549" t="s">
        <v>403</v>
      </c>
      <c r="C8" s="305">
        <v>274.99898000000002</v>
      </c>
      <c r="D8" s="305">
        <v>504195.00397939002</v>
      </c>
      <c r="E8" s="305">
        <v>4.5173250499999998E-2</v>
      </c>
      <c r="F8" s="305">
        <v>1.39</v>
      </c>
      <c r="G8" s="305">
        <v>0.49</v>
      </c>
      <c r="H8" s="186" t="s">
        <v>233</v>
      </c>
      <c r="I8" s="186" t="s">
        <v>233</v>
      </c>
      <c r="J8" s="186" t="s">
        <v>233</v>
      </c>
    </row>
    <row r="9" spans="1:10" s="191" customFormat="1">
      <c r="A9" s="548">
        <v>7</v>
      </c>
      <c r="B9" s="549" t="s">
        <v>409</v>
      </c>
      <c r="C9" s="305">
        <v>2846.5772430000002</v>
      </c>
      <c r="D9" s="305">
        <v>458528.93188317004</v>
      </c>
      <c r="E9" s="305">
        <v>4.1081807900000003E-2</v>
      </c>
      <c r="F9" s="305">
        <v>0.87</v>
      </c>
      <c r="G9" s="305">
        <v>0.28000000000000003</v>
      </c>
      <c r="H9" s="186" t="s">
        <v>233</v>
      </c>
      <c r="I9" s="186" t="s">
        <v>233</v>
      </c>
      <c r="J9" s="186" t="s">
        <v>233</v>
      </c>
    </row>
    <row r="10" spans="1:10" s="191" customFormat="1">
      <c r="A10" s="548">
        <v>8</v>
      </c>
      <c r="B10" s="549" t="s">
        <v>402</v>
      </c>
      <c r="C10" s="305">
        <v>361.80875179999998</v>
      </c>
      <c r="D10" s="305">
        <v>436002.41696340003</v>
      </c>
      <c r="E10" s="305">
        <v>3.90635493E-2</v>
      </c>
      <c r="F10" s="305">
        <v>0.6</v>
      </c>
      <c r="G10" s="305">
        <v>0.16</v>
      </c>
      <c r="H10" s="186" t="s">
        <v>233</v>
      </c>
      <c r="I10" s="186" t="s">
        <v>233</v>
      </c>
      <c r="J10" s="186" t="s">
        <v>233</v>
      </c>
    </row>
    <row r="11" spans="1:10" s="191" customFormat="1">
      <c r="A11" s="548">
        <v>9</v>
      </c>
      <c r="B11" s="549" t="s">
        <v>405</v>
      </c>
      <c r="C11" s="305">
        <v>618.65087559999995</v>
      </c>
      <c r="D11" s="305">
        <v>350800.13015136</v>
      </c>
      <c r="E11" s="305">
        <v>3.14298675E-2</v>
      </c>
      <c r="F11" s="305">
        <v>1.1100000000000001</v>
      </c>
      <c r="G11" s="305">
        <v>0.38</v>
      </c>
      <c r="H11" s="186" t="s">
        <v>233</v>
      </c>
      <c r="I11" s="186" t="s">
        <v>233</v>
      </c>
      <c r="J11" s="186" t="s">
        <v>233</v>
      </c>
    </row>
    <row r="12" spans="1:10" s="191" customFormat="1">
      <c r="A12" s="548">
        <v>10</v>
      </c>
      <c r="B12" s="549" t="s">
        <v>412</v>
      </c>
      <c r="C12" s="305">
        <v>621.76441550000004</v>
      </c>
      <c r="D12" s="305">
        <v>314770.43915056001</v>
      </c>
      <c r="E12" s="305">
        <v>2.8201794499999999E-2</v>
      </c>
      <c r="F12" s="305">
        <v>1.21</v>
      </c>
      <c r="G12" s="305">
        <v>0.3</v>
      </c>
      <c r="H12" s="186" t="s">
        <v>233</v>
      </c>
      <c r="I12" s="186" t="s">
        <v>233</v>
      </c>
      <c r="J12" s="186" t="s">
        <v>233</v>
      </c>
    </row>
    <row r="13" spans="1:10" s="191" customFormat="1">
      <c r="A13" s="548">
        <v>11</v>
      </c>
      <c r="B13" s="549" t="s">
        <v>407</v>
      </c>
      <c r="C13" s="305">
        <v>892.46124339999994</v>
      </c>
      <c r="D13" s="305">
        <v>302711.18488497997</v>
      </c>
      <c r="E13" s="305">
        <v>2.7121348E-2</v>
      </c>
      <c r="F13" s="305">
        <v>1.47</v>
      </c>
      <c r="G13" s="305">
        <v>0.49</v>
      </c>
      <c r="H13" s="186" t="s">
        <v>233</v>
      </c>
      <c r="I13" s="186" t="s">
        <v>233</v>
      </c>
      <c r="J13" s="186" t="s">
        <v>233</v>
      </c>
    </row>
    <row r="14" spans="1:10" s="191" customFormat="1">
      <c r="A14" s="548">
        <v>12</v>
      </c>
      <c r="B14" s="549" t="s">
        <v>406</v>
      </c>
      <c r="C14" s="305">
        <v>994.06000600000004</v>
      </c>
      <c r="D14" s="305">
        <v>273158.14088332001</v>
      </c>
      <c r="E14" s="305">
        <v>2.4473549000000001E-2</v>
      </c>
      <c r="F14" s="305">
        <v>0.86</v>
      </c>
      <c r="G14" s="305">
        <v>0.27</v>
      </c>
      <c r="H14" s="186" t="s">
        <v>233</v>
      </c>
      <c r="I14" s="186" t="s">
        <v>233</v>
      </c>
      <c r="J14" s="186" t="s">
        <v>233</v>
      </c>
    </row>
    <row r="15" spans="1:10" s="191" customFormat="1">
      <c r="A15" s="548">
        <v>13</v>
      </c>
      <c r="B15" s="549" t="s">
        <v>408</v>
      </c>
      <c r="C15" s="305">
        <v>234.95912619999999</v>
      </c>
      <c r="D15" s="305">
        <v>264820.27906341001</v>
      </c>
      <c r="E15" s="305">
        <v>2.37265199E-2</v>
      </c>
      <c r="F15" s="305">
        <v>0.22</v>
      </c>
      <c r="G15" s="305">
        <v>0.03</v>
      </c>
      <c r="H15" s="186" t="s">
        <v>233</v>
      </c>
      <c r="I15" s="186" t="s">
        <v>233</v>
      </c>
      <c r="J15" s="186" t="s">
        <v>233</v>
      </c>
    </row>
    <row r="16" spans="1:10" s="191" customFormat="1">
      <c r="A16" s="548">
        <v>14</v>
      </c>
      <c r="B16" s="549" t="s">
        <v>410</v>
      </c>
      <c r="C16" s="305">
        <v>123.79926399999999</v>
      </c>
      <c r="D16" s="305">
        <v>216009.9424311</v>
      </c>
      <c r="E16" s="305">
        <v>1.9353367600000001E-2</v>
      </c>
      <c r="F16" s="305">
        <v>1.03</v>
      </c>
      <c r="G16" s="305">
        <v>0.3</v>
      </c>
      <c r="H16" s="186" t="s">
        <v>233</v>
      </c>
      <c r="I16" s="186" t="s">
        <v>233</v>
      </c>
      <c r="J16" s="186" t="s">
        <v>233</v>
      </c>
    </row>
    <row r="17" spans="1:10" s="191" customFormat="1">
      <c r="A17" s="548">
        <v>15</v>
      </c>
      <c r="B17" s="549" t="s">
        <v>415</v>
      </c>
      <c r="C17" s="305">
        <v>239.93349699999999</v>
      </c>
      <c r="D17" s="305">
        <v>210429.08519996001</v>
      </c>
      <c r="E17" s="305">
        <v>1.8853351800000001E-2</v>
      </c>
      <c r="F17" s="305">
        <v>0.45</v>
      </c>
      <c r="G17" s="305">
        <v>0.11</v>
      </c>
      <c r="H17" s="186" t="s">
        <v>233</v>
      </c>
      <c r="I17" s="186" t="s">
        <v>233</v>
      </c>
      <c r="J17" s="186" t="s">
        <v>233</v>
      </c>
    </row>
    <row r="18" spans="1:10" s="191" customFormat="1">
      <c r="A18" s="548">
        <v>16</v>
      </c>
      <c r="B18" s="549" t="s">
        <v>418</v>
      </c>
      <c r="C18" s="305">
        <v>9696.6661339999991</v>
      </c>
      <c r="D18" s="305">
        <v>209659.92545951999</v>
      </c>
      <c r="E18" s="305">
        <v>1.8784439100000001E-2</v>
      </c>
      <c r="F18" s="305">
        <v>1.52</v>
      </c>
      <c r="G18" s="305">
        <v>0.42</v>
      </c>
      <c r="H18" s="186" t="s">
        <v>233</v>
      </c>
      <c r="I18" s="186" t="s">
        <v>233</v>
      </c>
      <c r="J18" s="186" t="s">
        <v>233</v>
      </c>
    </row>
    <row r="19" spans="1:10" s="191" customFormat="1">
      <c r="A19" s="548">
        <v>17</v>
      </c>
      <c r="B19" s="549" t="s">
        <v>416</v>
      </c>
      <c r="C19" s="305">
        <v>736.17682400000001</v>
      </c>
      <c r="D19" s="305">
        <v>190982.19071142</v>
      </c>
      <c r="E19" s="305">
        <v>1.7111011200000002E-2</v>
      </c>
      <c r="F19" s="305">
        <v>0.67</v>
      </c>
      <c r="G19" s="305">
        <v>0.16</v>
      </c>
      <c r="H19" s="186" t="s">
        <v>233</v>
      </c>
      <c r="I19" s="186" t="s">
        <v>233</v>
      </c>
      <c r="J19" s="186" t="s">
        <v>233</v>
      </c>
    </row>
    <row r="20" spans="1:10" s="191" customFormat="1">
      <c r="A20" s="548">
        <v>18</v>
      </c>
      <c r="B20" s="549" t="s">
        <v>413</v>
      </c>
      <c r="C20" s="305">
        <v>542.73301919999994</v>
      </c>
      <c r="D20" s="305">
        <v>174005.83725519999</v>
      </c>
      <c r="E20" s="305">
        <v>1.55900182E-2</v>
      </c>
      <c r="F20" s="305">
        <v>0.77</v>
      </c>
      <c r="G20" s="305">
        <v>0.23</v>
      </c>
      <c r="H20" s="186" t="s">
        <v>233</v>
      </c>
      <c r="I20" s="186" t="s">
        <v>233</v>
      </c>
      <c r="J20" s="186" t="s">
        <v>233</v>
      </c>
    </row>
    <row r="21" spans="1:10" s="191" customFormat="1">
      <c r="A21" s="548">
        <v>19</v>
      </c>
      <c r="B21" s="549" t="s">
        <v>417</v>
      </c>
      <c r="C21" s="305">
        <v>157.20128700000001</v>
      </c>
      <c r="D21" s="305">
        <v>173655.40032576499</v>
      </c>
      <c r="E21" s="305">
        <v>1.55586209E-2</v>
      </c>
      <c r="F21" s="305">
        <v>1.06</v>
      </c>
      <c r="G21" s="305">
        <v>0.25</v>
      </c>
      <c r="H21" s="186" t="s">
        <v>233</v>
      </c>
      <c r="I21" s="186" t="s">
        <v>233</v>
      </c>
      <c r="J21" s="186" t="s">
        <v>233</v>
      </c>
    </row>
    <row r="22" spans="1:10" s="191" customFormat="1">
      <c r="A22" s="548">
        <v>20</v>
      </c>
      <c r="B22" s="549" t="s">
        <v>814</v>
      </c>
      <c r="C22" s="305">
        <v>35.548746100000002</v>
      </c>
      <c r="D22" s="305">
        <v>169617.41724698499</v>
      </c>
      <c r="E22" s="305">
        <v>1.51968386E-2</v>
      </c>
      <c r="F22" s="305">
        <v>1.36</v>
      </c>
      <c r="G22" s="305">
        <v>0.18</v>
      </c>
      <c r="H22" s="186" t="s">
        <v>233</v>
      </c>
      <c r="I22" s="186" t="s">
        <v>233</v>
      </c>
      <c r="J22" s="186" t="s">
        <v>233</v>
      </c>
    </row>
    <row r="23" spans="1:10" s="191" customFormat="1">
      <c r="A23" s="548">
        <v>21</v>
      </c>
      <c r="B23" s="549" t="s">
        <v>414</v>
      </c>
      <c r="C23" s="305">
        <v>9300.6038189999999</v>
      </c>
      <c r="D23" s="305">
        <v>159899.641290675</v>
      </c>
      <c r="E23" s="305">
        <v>1.43261764E-2</v>
      </c>
      <c r="F23" s="305">
        <v>0.67</v>
      </c>
      <c r="G23" s="305">
        <v>0.16</v>
      </c>
      <c r="H23" s="186" t="s">
        <v>233</v>
      </c>
      <c r="I23" s="186" t="s">
        <v>233</v>
      </c>
      <c r="J23" s="186" t="s">
        <v>233</v>
      </c>
    </row>
    <row r="24" spans="1:10" s="191" customFormat="1">
      <c r="A24" s="548">
        <v>22</v>
      </c>
      <c r="B24" s="549" t="s">
        <v>424</v>
      </c>
      <c r="C24" s="305">
        <v>88.778616</v>
      </c>
      <c r="D24" s="305">
        <v>159686.054674335</v>
      </c>
      <c r="E24" s="305">
        <v>1.43070401E-2</v>
      </c>
      <c r="F24" s="305">
        <v>1.25</v>
      </c>
      <c r="G24" s="305">
        <v>0.32</v>
      </c>
      <c r="H24" s="186" t="s">
        <v>233</v>
      </c>
      <c r="I24" s="186" t="s">
        <v>233</v>
      </c>
      <c r="J24" s="186" t="s">
        <v>233</v>
      </c>
    </row>
    <row r="25" spans="1:10" s="191" customFormat="1">
      <c r="A25" s="548">
        <v>23</v>
      </c>
      <c r="B25" s="549" t="s">
        <v>811</v>
      </c>
      <c r="C25" s="305">
        <v>279.257608</v>
      </c>
      <c r="D25" s="305">
        <v>154903.85932434001</v>
      </c>
      <c r="E25" s="305">
        <v>1.38785803E-2</v>
      </c>
      <c r="F25" s="305">
        <v>0.9</v>
      </c>
      <c r="G25" s="305">
        <v>0.21</v>
      </c>
      <c r="H25" s="186" t="s">
        <v>233</v>
      </c>
      <c r="I25" s="186" t="s">
        <v>233</v>
      </c>
      <c r="J25" s="186" t="s">
        <v>233</v>
      </c>
    </row>
    <row r="26" spans="1:10" s="191" customFormat="1">
      <c r="A26" s="548">
        <v>24</v>
      </c>
      <c r="B26" s="549" t="s">
        <v>411</v>
      </c>
      <c r="C26" s="305">
        <v>6290.1396029999996</v>
      </c>
      <c r="D26" s="305">
        <v>151274.00105190001</v>
      </c>
      <c r="E26" s="305">
        <v>1.35533639E-2</v>
      </c>
      <c r="F26" s="305">
        <v>0.49</v>
      </c>
      <c r="G26" s="305">
        <v>0.14000000000000001</v>
      </c>
      <c r="H26" s="186" t="s">
        <v>233</v>
      </c>
      <c r="I26" s="186" t="s">
        <v>233</v>
      </c>
      <c r="J26" s="186" t="s">
        <v>233</v>
      </c>
    </row>
    <row r="27" spans="1:10" s="191" customFormat="1">
      <c r="A27" s="548">
        <v>25</v>
      </c>
      <c r="B27" s="549" t="s">
        <v>419</v>
      </c>
      <c r="C27" s="305">
        <v>95.919779000000005</v>
      </c>
      <c r="D27" s="305">
        <v>140549.23744978002</v>
      </c>
      <c r="E27" s="305">
        <v>1.25924808E-2</v>
      </c>
      <c r="F27" s="305">
        <v>1.48</v>
      </c>
      <c r="G27" s="305">
        <v>0.47</v>
      </c>
      <c r="H27" s="186" t="s">
        <v>233</v>
      </c>
      <c r="I27" s="186" t="s">
        <v>233</v>
      </c>
      <c r="J27" s="186" t="s">
        <v>233</v>
      </c>
    </row>
    <row r="28" spans="1:10" s="191" customFormat="1">
      <c r="A28" s="548">
        <v>26</v>
      </c>
      <c r="B28" s="549" t="s">
        <v>420</v>
      </c>
      <c r="C28" s="305">
        <v>288.697318</v>
      </c>
      <c r="D28" s="305">
        <v>139383.17904419999</v>
      </c>
      <c r="E28" s="305">
        <v>1.2488008E-2</v>
      </c>
      <c r="F28" s="305">
        <v>1.1100000000000001</v>
      </c>
      <c r="G28" s="305">
        <v>0.43</v>
      </c>
      <c r="H28" s="186" t="s">
        <v>233</v>
      </c>
      <c r="I28" s="186" t="s">
        <v>233</v>
      </c>
      <c r="J28" s="186" t="s">
        <v>233</v>
      </c>
    </row>
    <row r="29" spans="1:10" s="191" customFormat="1">
      <c r="A29" s="548">
        <v>27</v>
      </c>
      <c r="B29" s="549" t="s">
        <v>426</v>
      </c>
      <c r="C29" s="305">
        <v>1248.3527171000001</v>
      </c>
      <c r="D29" s="305">
        <v>137756.06095481999</v>
      </c>
      <c r="E29" s="305">
        <v>1.23422267E-2</v>
      </c>
      <c r="F29" s="305">
        <v>1.33</v>
      </c>
      <c r="G29" s="305">
        <v>0.47</v>
      </c>
      <c r="H29" s="186" t="s">
        <v>233</v>
      </c>
      <c r="I29" s="186" t="s">
        <v>233</v>
      </c>
      <c r="J29" s="186" t="s">
        <v>233</v>
      </c>
    </row>
    <row r="30" spans="1:10" s="191" customFormat="1">
      <c r="A30" s="548">
        <v>28</v>
      </c>
      <c r="B30" s="549" t="s">
        <v>813</v>
      </c>
      <c r="C30" s="305">
        <v>244.5453966</v>
      </c>
      <c r="D30" s="305">
        <v>117592.18588374002</v>
      </c>
      <c r="E30" s="305">
        <v>1.05356484E-2</v>
      </c>
      <c r="F30" s="305">
        <v>1.08</v>
      </c>
      <c r="G30" s="305">
        <v>0.21</v>
      </c>
      <c r="H30" s="186" t="s">
        <v>233</v>
      </c>
      <c r="I30" s="186" t="s">
        <v>233</v>
      </c>
      <c r="J30" s="186" t="s">
        <v>233</v>
      </c>
    </row>
    <row r="31" spans="1:10" s="191" customFormat="1">
      <c r="A31" s="548">
        <v>29</v>
      </c>
      <c r="B31" s="549" t="s">
        <v>812</v>
      </c>
      <c r="C31" s="305">
        <v>6353.2841879999996</v>
      </c>
      <c r="D31" s="305">
        <v>115564.65859246498</v>
      </c>
      <c r="E31" s="305">
        <v>1.0353992500000001E-2</v>
      </c>
      <c r="F31" s="305">
        <v>1.45</v>
      </c>
      <c r="G31" s="305">
        <v>0.37</v>
      </c>
      <c r="H31" s="186" t="s">
        <v>233</v>
      </c>
      <c r="I31" s="186" t="s">
        <v>233</v>
      </c>
      <c r="J31" s="186" t="s">
        <v>233</v>
      </c>
    </row>
    <row r="32" spans="1:10" s="191" customFormat="1">
      <c r="A32" s="548">
        <v>30</v>
      </c>
      <c r="B32" s="549" t="s">
        <v>430</v>
      </c>
      <c r="C32" s="305">
        <v>6162.7283269999998</v>
      </c>
      <c r="D32" s="305">
        <v>115353.49098144002</v>
      </c>
      <c r="E32" s="305">
        <v>1.0335072900000001E-2</v>
      </c>
      <c r="F32" s="305">
        <v>1.74</v>
      </c>
      <c r="G32" s="305">
        <v>0.41</v>
      </c>
      <c r="H32" s="186" t="s">
        <v>233</v>
      </c>
      <c r="I32" s="186" t="s">
        <v>233</v>
      </c>
      <c r="J32" s="186" t="s">
        <v>233</v>
      </c>
    </row>
    <row r="33" spans="1:10" s="191" customFormat="1">
      <c r="A33" s="548">
        <v>31</v>
      </c>
      <c r="B33" s="549" t="s">
        <v>429</v>
      </c>
      <c r="C33" s="305">
        <v>131.69584520000001</v>
      </c>
      <c r="D33" s="305">
        <v>114149.37980061001</v>
      </c>
      <c r="E33" s="305">
        <v>1.0227190800000001E-2</v>
      </c>
      <c r="F33" s="305">
        <v>0.96</v>
      </c>
      <c r="G33" s="305">
        <v>0.32</v>
      </c>
      <c r="H33" s="186" t="s">
        <v>233</v>
      </c>
      <c r="I33" s="186" t="s">
        <v>233</v>
      </c>
      <c r="J33" s="186" t="s">
        <v>233</v>
      </c>
    </row>
    <row r="34" spans="1:10" s="191" customFormat="1">
      <c r="A34" s="548">
        <v>32</v>
      </c>
      <c r="B34" s="549" t="s">
        <v>431</v>
      </c>
      <c r="C34" s="305">
        <v>224.72165229999999</v>
      </c>
      <c r="D34" s="305">
        <v>111778.75426924002</v>
      </c>
      <c r="E34" s="305">
        <v>1.00147951E-2</v>
      </c>
      <c r="F34" s="305">
        <v>1.1100000000000001</v>
      </c>
      <c r="G34" s="305">
        <v>0.24</v>
      </c>
      <c r="H34" s="186" t="s">
        <v>233</v>
      </c>
      <c r="I34" s="186" t="s">
        <v>233</v>
      </c>
      <c r="J34" s="186" t="s">
        <v>233</v>
      </c>
    </row>
    <row r="35" spans="1:10" s="191" customFormat="1">
      <c r="A35" s="548">
        <v>33</v>
      </c>
      <c r="B35" s="549" t="s">
        <v>432</v>
      </c>
      <c r="C35" s="305">
        <v>432.02778899999998</v>
      </c>
      <c r="D35" s="305">
        <v>106697.41665699999</v>
      </c>
      <c r="E35" s="305">
        <v>9.5595336999999992E-3</v>
      </c>
      <c r="F35" s="305">
        <v>2.06</v>
      </c>
      <c r="G35" s="305">
        <v>0.47</v>
      </c>
      <c r="H35" s="186" t="s">
        <v>233</v>
      </c>
      <c r="I35" s="186" t="s">
        <v>233</v>
      </c>
      <c r="J35" s="186" t="s">
        <v>233</v>
      </c>
    </row>
    <row r="36" spans="1:10" s="191" customFormat="1">
      <c r="A36" s="548">
        <v>34</v>
      </c>
      <c r="B36" s="549" t="s">
        <v>427</v>
      </c>
      <c r="C36" s="305">
        <v>489.17477400000001</v>
      </c>
      <c r="D36" s="305">
        <v>99973.888865400004</v>
      </c>
      <c r="E36" s="305">
        <v>8.9571405999999999E-3</v>
      </c>
      <c r="F36" s="305">
        <v>0.87</v>
      </c>
      <c r="G36" s="305">
        <v>0.22</v>
      </c>
      <c r="H36" s="186" t="s">
        <v>233</v>
      </c>
      <c r="I36" s="186" t="s">
        <v>233</v>
      </c>
      <c r="J36" s="186" t="s">
        <v>233</v>
      </c>
    </row>
    <row r="37" spans="1:10" s="191" customFormat="1">
      <c r="A37" s="548">
        <v>35</v>
      </c>
      <c r="B37" s="549" t="s">
        <v>425</v>
      </c>
      <c r="C37" s="305">
        <v>96.415716000000003</v>
      </c>
      <c r="D37" s="305">
        <v>96564.048903839997</v>
      </c>
      <c r="E37" s="305">
        <v>8.6516366000000001E-3</v>
      </c>
      <c r="F37" s="305">
        <v>0.25</v>
      </c>
      <c r="G37" s="305">
        <v>0</v>
      </c>
      <c r="H37" s="186" t="s">
        <v>233</v>
      </c>
      <c r="I37" s="186" t="s">
        <v>233</v>
      </c>
      <c r="J37" s="186" t="s">
        <v>233</v>
      </c>
    </row>
    <row r="38" spans="1:10" s="191" customFormat="1">
      <c r="A38" s="548">
        <v>36</v>
      </c>
      <c r="B38" s="549" t="s">
        <v>422</v>
      </c>
      <c r="C38" s="305">
        <v>778.99308799999994</v>
      </c>
      <c r="D38" s="305">
        <v>95725.468795879991</v>
      </c>
      <c r="E38" s="305">
        <v>8.5765041999999996E-3</v>
      </c>
      <c r="F38" s="305">
        <v>1.18</v>
      </c>
      <c r="G38" s="305">
        <v>0.4</v>
      </c>
      <c r="H38" s="186" t="s">
        <v>233</v>
      </c>
      <c r="I38" s="186" t="s">
        <v>233</v>
      </c>
      <c r="J38" s="186" t="s">
        <v>233</v>
      </c>
    </row>
    <row r="39" spans="1:10" s="191" customFormat="1">
      <c r="A39" s="548">
        <v>37</v>
      </c>
      <c r="B39" s="549" t="s">
        <v>433</v>
      </c>
      <c r="C39" s="305">
        <v>161.51198400000001</v>
      </c>
      <c r="D39" s="305">
        <v>92356.98629031</v>
      </c>
      <c r="E39" s="305">
        <v>8.2747056999999992E-3</v>
      </c>
      <c r="F39" s="305">
        <v>0.28000000000000003</v>
      </c>
      <c r="G39" s="305">
        <v>0.02</v>
      </c>
      <c r="H39" s="186" t="s">
        <v>233</v>
      </c>
      <c r="I39" s="186" t="s">
        <v>233</v>
      </c>
      <c r="J39" s="186" t="s">
        <v>233</v>
      </c>
    </row>
    <row r="40" spans="1:10" s="191" customFormat="1">
      <c r="A40" s="548">
        <v>38</v>
      </c>
      <c r="B40" s="549" t="s">
        <v>423</v>
      </c>
      <c r="C40" s="305">
        <v>114.0001121</v>
      </c>
      <c r="D40" s="305">
        <v>90384.657232279991</v>
      </c>
      <c r="E40" s="305">
        <v>8.0979953000000007E-3</v>
      </c>
      <c r="F40" s="305">
        <v>2.0099999999999998</v>
      </c>
      <c r="G40" s="305">
        <v>0.44</v>
      </c>
      <c r="H40" s="186" t="s">
        <v>233</v>
      </c>
      <c r="I40" s="186" t="s">
        <v>233</v>
      </c>
      <c r="J40" s="186" t="s">
        <v>233</v>
      </c>
    </row>
    <row r="41" spans="1:10" s="191" customFormat="1">
      <c r="A41" s="550">
        <v>39</v>
      </c>
      <c r="B41" s="551" t="s">
        <v>421</v>
      </c>
      <c r="C41" s="305">
        <v>83.434940999999995</v>
      </c>
      <c r="D41" s="305">
        <v>82638.478763079998</v>
      </c>
      <c r="E41" s="305">
        <v>7.4039780000000003E-3</v>
      </c>
      <c r="F41" s="305">
        <v>0.4</v>
      </c>
      <c r="G41" s="305">
        <v>7.0000000000000007E-2</v>
      </c>
      <c r="H41" s="186" t="s">
        <v>233</v>
      </c>
      <c r="I41" s="186" t="s">
        <v>233</v>
      </c>
      <c r="J41" s="186" t="s">
        <v>233</v>
      </c>
    </row>
    <row r="42" spans="1:10" s="191" customFormat="1">
      <c r="A42" s="552">
        <v>40</v>
      </c>
      <c r="B42" s="553" t="s">
        <v>428</v>
      </c>
      <c r="C42" s="305">
        <v>1046.2585398000001</v>
      </c>
      <c r="D42" s="305">
        <v>77020.188263200005</v>
      </c>
      <c r="E42" s="305">
        <v>6.9006084000000001E-3</v>
      </c>
      <c r="F42" s="305">
        <v>1.05</v>
      </c>
      <c r="G42" s="305">
        <v>0.26</v>
      </c>
      <c r="H42" s="186" t="s">
        <v>233</v>
      </c>
      <c r="I42" s="186" t="s">
        <v>233</v>
      </c>
      <c r="J42" s="186" t="s">
        <v>233</v>
      </c>
    </row>
    <row r="43" spans="1:10" s="191" customFormat="1">
      <c r="A43" s="179"/>
      <c r="B43" s="180"/>
      <c r="C43" s="181"/>
      <c r="D43" s="181"/>
      <c r="E43" s="182"/>
      <c r="F43" s="183"/>
      <c r="G43" s="183"/>
      <c r="H43" s="183"/>
      <c r="I43" s="183"/>
      <c r="J43" s="180"/>
    </row>
    <row r="44" spans="1:10" s="191" customFormat="1">
      <c r="A44" s="1478" t="s">
        <v>81</v>
      </c>
      <c r="B44" s="1478"/>
      <c r="C44" s="1478"/>
      <c r="D44" s="1478"/>
      <c r="E44" s="1478"/>
      <c r="F44" s="1478"/>
      <c r="G44" s="1478"/>
      <c r="H44" s="1478"/>
      <c r="I44" s="1478"/>
      <c r="J44" s="1478"/>
    </row>
    <row r="45" spans="1:10" s="191" customFormat="1">
      <c r="A45" s="1478" t="s">
        <v>434</v>
      </c>
      <c r="B45" s="1478"/>
      <c r="C45" s="1478"/>
      <c r="D45" s="1478"/>
      <c r="E45" s="1478"/>
      <c r="F45" s="1478"/>
      <c r="G45" s="1478"/>
      <c r="H45" s="1478"/>
      <c r="I45" s="1478"/>
      <c r="J45" s="1478"/>
    </row>
    <row r="46" spans="1:10" s="191" customFormat="1">
      <c r="A46" s="1478" t="s">
        <v>435</v>
      </c>
      <c r="B46" s="1478"/>
      <c r="C46" s="1478"/>
      <c r="D46" s="1478"/>
      <c r="E46" s="1478"/>
      <c r="F46" s="1478"/>
      <c r="G46" s="1478"/>
      <c r="H46" s="1478"/>
      <c r="I46" s="1478"/>
      <c r="J46" s="1478"/>
    </row>
    <row r="47" spans="1:10" s="191" customFormat="1">
      <c r="A47" s="1478" t="s">
        <v>436</v>
      </c>
      <c r="B47" s="1478"/>
      <c r="C47" s="1478"/>
      <c r="D47" s="1478"/>
      <c r="E47" s="1478"/>
      <c r="F47" s="1478"/>
      <c r="G47" s="1478"/>
      <c r="H47" s="1478"/>
      <c r="I47" s="1478"/>
      <c r="J47" s="1478"/>
    </row>
    <row r="48" spans="1:10" s="191" customFormat="1">
      <c r="A48" s="1478" t="s">
        <v>437</v>
      </c>
      <c r="B48" s="1478"/>
      <c r="C48" s="1478"/>
      <c r="D48" s="1478"/>
      <c r="E48" s="1478"/>
      <c r="F48" s="1478"/>
      <c r="G48" s="1478"/>
      <c r="H48" s="1478"/>
      <c r="I48" s="1478"/>
      <c r="J48" s="1478"/>
    </row>
    <row r="49" spans="1:10" s="191" customFormat="1">
      <c r="A49" s="422" t="s">
        <v>1326</v>
      </c>
      <c r="B49" s="422"/>
      <c r="C49" s="422"/>
      <c r="D49" s="422"/>
      <c r="E49" s="422"/>
      <c r="F49" s="422"/>
      <c r="G49" s="422"/>
      <c r="H49" s="422"/>
      <c r="I49" s="422"/>
      <c r="J49" s="422"/>
    </row>
    <row r="50" spans="1:10" s="191" customFormat="1">
      <c r="A50" s="1445" t="s">
        <v>298</v>
      </c>
      <c r="B50" s="1445"/>
      <c r="C50" s="1445"/>
      <c r="D50" s="1445"/>
      <c r="E50" s="1445"/>
      <c r="F50" s="1445"/>
      <c r="G50" s="1445"/>
      <c r="H50" s="1445"/>
      <c r="I50" s="1445"/>
      <c r="J50" s="1445"/>
    </row>
    <row r="51" spans="1:10" s="191" customFormat="1"/>
  </sheetData>
  <mergeCells count="6">
    <mergeCell ref="A50:J50"/>
    <mergeCell ref="A44:J44"/>
    <mergeCell ref="A45:J45"/>
    <mergeCell ref="A46:J46"/>
    <mergeCell ref="A47:J47"/>
    <mergeCell ref="A48:J48"/>
  </mergeCells>
  <printOptions horizontalCentered="1"/>
  <pageMargins left="0.78431372549019618" right="0.78431372549019618" top="0.98039215686274517" bottom="0.98039215686274517" header="0.50980392156862753" footer="0.50980392156862753"/>
  <pageSetup paperSize="9" scale="94" fitToHeight="0" orientation="landscape" useFirstPageNumber="1" r:id="rId1"/>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16"/>
  <sheetViews>
    <sheetView showGridLines="0" workbookViewId="0"/>
  </sheetViews>
  <sheetFormatPr defaultColWidth="9.140625" defaultRowHeight="15"/>
  <cols>
    <col min="1" max="10" width="10.5703125" style="80" bestFit="1" customWidth="1"/>
    <col min="11" max="11" width="4.5703125" style="80" bestFit="1" customWidth="1"/>
    <col min="12" max="16384" width="9.140625" style="80"/>
  </cols>
  <sheetData>
    <row r="1" spans="1:10" ht="15.75" customHeight="1">
      <c r="A1" s="122" t="s">
        <v>438</v>
      </c>
      <c r="B1" s="122"/>
      <c r="C1" s="122"/>
      <c r="D1" s="122"/>
      <c r="E1" s="122"/>
      <c r="F1" s="122"/>
      <c r="G1" s="122"/>
    </row>
    <row r="2" spans="1:10" s="191" customFormat="1">
      <c r="A2" s="1450" t="s">
        <v>141</v>
      </c>
      <c r="B2" s="1452" t="s">
        <v>73</v>
      </c>
      <c r="C2" s="1453"/>
      <c r="D2" s="1454"/>
      <c r="E2" s="1452" t="s">
        <v>74</v>
      </c>
      <c r="F2" s="1453"/>
      <c r="G2" s="1454"/>
      <c r="H2" s="1452" t="s">
        <v>75</v>
      </c>
      <c r="I2" s="1453"/>
      <c r="J2" s="1454"/>
    </row>
    <row r="3" spans="1:10" s="191" customFormat="1" ht="48.75" customHeight="1">
      <c r="A3" s="1451"/>
      <c r="B3" s="531" t="s">
        <v>439</v>
      </c>
      <c r="C3" s="531" t="s">
        <v>440</v>
      </c>
      <c r="D3" s="531" t="s">
        <v>441</v>
      </c>
      <c r="E3" s="531" t="s">
        <v>439</v>
      </c>
      <c r="F3" s="531" t="s">
        <v>440</v>
      </c>
      <c r="G3" s="531" t="s">
        <v>441</v>
      </c>
      <c r="H3" s="531" t="s">
        <v>439</v>
      </c>
      <c r="I3" s="531" t="s">
        <v>440</v>
      </c>
      <c r="J3" s="531" t="s">
        <v>441</v>
      </c>
    </row>
    <row r="4" spans="1:10" s="84" customFormat="1" ht="15.75" customHeight="1">
      <c r="A4" s="267" t="s">
        <v>505</v>
      </c>
      <c r="B4" s="269">
        <v>2772</v>
      </c>
      <c r="C4" s="269">
        <v>1284</v>
      </c>
      <c r="D4" s="465">
        <v>2.1588785046728973</v>
      </c>
      <c r="E4" s="460">
        <v>1768</v>
      </c>
      <c r="F4" s="460">
        <v>690</v>
      </c>
      <c r="G4" s="464">
        <v>2.5623188405797102</v>
      </c>
      <c r="H4" s="464">
        <v>3</v>
      </c>
      <c r="I4" s="457">
        <v>0</v>
      </c>
      <c r="J4" s="457">
        <v>0</v>
      </c>
    </row>
    <row r="5" spans="1:10" s="84" customFormat="1" ht="15.75" customHeight="1">
      <c r="A5" s="268" t="s">
        <v>703</v>
      </c>
      <c r="B5" s="455">
        <v>3268</v>
      </c>
      <c r="C5" s="455">
        <v>929</v>
      </c>
      <c r="D5" s="463">
        <v>3.5177610333692142</v>
      </c>
      <c r="E5" s="455">
        <v>1992</v>
      </c>
      <c r="F5" s="455">
        <v>466</v>
      </c>
      <c r="G5" s="463">
        <v>4.2699999999999996</v>
      </c>
      <c r="H5" s="463">
        <v>2</v>
      </c>
      <c r="I5" s="463">
        <v>3</v>
      </c>
      <c r="J5" s="463">
        <v>0.66666666666666663</v>
      </c>
    </row>
    <row r="6" spans="1:10" s="191" customFormat="1" ht="15.75" customHeight="1">
      <c r="A6" s="130">
        <v>45412</v>
      </c>
      <c r="B6" s="188">
        <v>2840</v>
      </c>
      <c r="C6" s="190">
        <v>1246</v>
      </c>
      <c r="D6" s="462">
        <v>2.2792937399678972</v>
      </c>
      <c r="E6" s="459">
        <v>2081</v>
      </c>
      <c r="F6" s="459">
        <v>608</v>
      </c>
      <c r="G6" s="461">
        <v>3.42</v>
      </c>
      <c r="H6" s="462">
        <v>1</v>
      </c>
      <c r="I6" s="462" t="s">
        <v>233</v>
      </c>
      <c r="J6" s="462" t="s">
        <v>233</v>
      </c>
    </row>
    <row r="7" spans="1:10" s="191" customFormat="1" ht="15.75" customHeight="1">
      <c r="A7" s="130">
        <v>45443</v>
      </c>
      <c r="B7" s="190">
        <v>1955</v>
      </c>
      <c r="C7" s="190">
        <v>2146</v>
      </c>
      <c r="D7" s="462">
        <v>0.91099720410065232</v>
      </c>
      <c r="E7" s="459">
        <v>1388</v>
      </c>
      <c r="F7" s="459">
        <v>1330</v>
      </c>
      <c r="G7" s="461">
        <v>1.04</v>
      </c>
      <c r="H7" s="462" t="s">
        <v>233</v>
      </c>
      <c r="I7" s="462">
        <v>1</v>
      </c>
      <c r="J7" s="462" t="s">
        <v>233</v>
      </c>
    </row>
    <row r="8" spans="1:10" s="191" customFormat="1" ht="15.75" customHeight="1">
      <c r="A8" s="130">
        <v>45473</v>
      </c>
      <c r="B8" s="190">
        <v>2343</v>
      </c>
      <c r="C8" s="190">
        <v>1785</v>
      </c>
      <c r="D8" s="462">
        <v>1.3126050420168067</v>
      </c>
      <c r="E8" s="459">
        <v>1939</v>
      </c>
      <c r="F8" s="459">
        <v>1082</v>
      </c>
      <c r="G8" s="461">
        <v>1.79</v>
      </c>
      <c r="H8" s="462">
        <v>1</v>
      </c>
      <c r="I8" s="462">
        <v>1</v>
      </c>
      <c r="J8" s="462">
        <v>1</v>
      </c>
    </row>
    <row r="9" spans="1:10" s="191" customFormat="1" ht="15.75" customHeight="1">
      <c r="A9" s="130">
        <v>45504</v>
      </c>
      <c r="B9" s="190">
        <v>2975</v>
      </c>
      <c r="C9" s="190">
        <v>1175</v>
      </c>
      <c r="D9" s="462">
        <v>2.5319148936170213</v>
      </c>
      <c r="E9" s="459">
        <v>2322</v>
      </c>
      <c r="F9" s="459">
        <v>746</v>
      </c>
      <c r="G9" s="461">
        <v>3.11</v>
      </c>
      <c r="H9" s="462">
        <v>2</v>
      </c>
      <c r="I9" s="462">
        <v>1</v>
      </c>
      <c r="J9" s="462">
        <v>2</v>
      </c>
    </row>
    <row r="10" spans="1:10" s="191" customFormat="1" ht="15.75" customHeight="1">
      <c r="A10" s="130">
        <v>45535</v>
      </c>
      <c r="B10" s="190">
        <v>2177</v>
      </c>
      <c r="C10" s="190">
        <v>1986</v>
      </c>
      <c r="D10" s="462">
        <v>1.096173212487412</v>
      </c>
      <c r="E10" s="458">
        <v>1610</v>
      </c>
      <c r="F10" s="458">
        <v>1453</v>
      </c>
      <c r="G10" s="462">
        <v>1.1100000000000001</v>
      </c>
      <c r="H10" s="456">
        <v>0</v>
      </c>
      <c r="I10" s="462">
        <v>2</v>
      </c>
      <c r="J10" s="456">
        <v>0</v>
      </c>
    </row>
    <row r="11" spans="1:10" s="191" customFormat="1" ht="19.5" customHeight="1">
      <c r="A11" s="130">
        <v>45565</v>
      </c>
      <c r="B11" s="190">
        <v>2422</v>
      </c>
      <c r="C11" s="190">
        <v>1763</v>
      </c>
      <c r="D11" s="462">
        <v>1.3737946681792399</v>
      </c>
      <c r="E11" s="459">
        <v>1965</v>
      </c>
      <c r="F11" s="459">
        <v>1161</v>
      </c>
      <c r="G11" s="461">
        <v>1.69</v>
      </c>
      <c r="H11" s="462">
        <v>1</v>
      </c>
      <c r="I11" s="462">
        <v>1</v>
      </c>
      <c r="J11" s="462">
        <v>1</v>
      </c>
    </row>
    <row r="12" spans="1:10" s="191" customFormat="1">
      <c r="A12" s="320" t="s">
        <v>1373</v>
      </c>
      <c r="B12" s="193"/>
      <c r="C12" s="193"/>
      <c r="D12" s="208"/>
      <c r="E12" s="209"/>
      <c r="F12" s="209"/>
      <c r="G12" s="210"/>
      <c r="H12" s="203"/>
      <c r="I12" s="203"/>
      <c r="J12" s="211"/>
    </row>
    <row r="13" spans="1:10" s="191" customFormat="1">
      <c r="A13" s="120" t="s">
        <v>442</v>
      </c>
      <c r="B13" s="120"/>
      <c r="C13" s="120"/>
      <c r="D13" s="120"/>
      <c r="E13" s="120"/>
      <c r="F13" s="120"/>
    </row>
    <row r="14" spans="1:10" s="191" customFormat="1">
      <c r="A14" s="1430" t="s">
        <v>168</v>
      </c>
      <c r="B14" s="1430"/>
      <c r="C14" s="1430"/>
      <c r="D14" s="1430"/>
      <c r="E14" s="1430"/>
      <c r="F14" s="1430"/>
    </row>
    <row r="15" spans="1:10" s="191" customFormat="1">
      <c r="A15" s="231"/>
    </row>
    <row r="16" spans="1:10" s="191" customFormat="1">
      <c r="A16" s="80"/>
      <c r="B16" s="80"/>
      <c r="C16" s="80"/>
      <c r="D16" s="80"/>
      <c r="E16" s="80"/>
      <c r="F16" s="80"/>
      <c r="G16" s="80"/>
    </row>
  </sheetData>
  <mergeCells count="5">
    <mergeCell ref="A2:A3"/>
    <mergeCell ref="B2:D2"/>
    <mergeCell ref="E2:G2"/>
    <mergeCell ref="H2:J2"/>
    <mergeCell ref="A14:F14"/>
  </mergeCells>
  <printOptions horizontalCentered="1"/>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16"/>
  <sheetViews>
    <sheetView showGridLines="0" workbookViewId="0"/>
  </sheetViews>
  <sheetFormatPr defaultColWidth="9.140625" defaultRowHeight="15"/>
  <cols>
    <col min="1" max="1" width="9.85546875" style="80" bestFit="1" customWidth="1"/>
    <col min="2" max="10" width="13.5703125" style="80" bestFit="1" customWidth="1"/>
    <col min="11" max="16384" width="9.140625" style="80"/>
  </cols>
  <sheetData>
    <row r="1" spans="1:12" ht="13.5" customHeight="1">
      <c r="A1" s="122" t="s">
        <v>443</v>
      </c>
      <c r="B1" s="122"/>
      <c r="C1" s="122"/>
      <c r="D1" s="122"/>
      <c r="E1" s="122"/>
      <c r="F1" s="122"/>
      <c r="G1" s="122"/>
    </row>
    <row r="2" spans="1:12" s="191" customFormat="1" ht="27.75" customHeight="1">
      <c r="A2" s="1463" t="s">
        <v>444</v>
      </c>
      <c r="B2" s="1452" t="s">
        <v>73</v>
      </c>
      <c r="C2" s="1453"/>
      <c r="D2" s="1454"/>
      <c r="E2" s="1452" t="s">
        <v>74</v>
      </c>
      <c r="F2" s="1453"/>
      <c r="G2" s="1454"/>
      <c r="H2" s="1452" t="s">
        <v>75</v>
      </c>
      <c r="I2" s="1453"/>
      <c r="J2" s="1454"/>
    </row>
    <row r="3" spans="1:12" s="191" customFormat="1" ht="48" customHeight="1">
      <c r="A3" s="1464"/>
      <c r="B3" s="531" t="s">
        <v>445</v>
      </c>
      <c r="C3" s="531" t="s">
        <v>257</v>
      </c>
      <c r="D3" s="531" t="s">
        <v>446</v>
      </c>
      <c r="E3" s="531" t="s">
        <v>445</v>
      </c>
      <c r="F3" s="531" t="s">
        <v>447</v>
      </c>
      <c r="G3" s="531" t="s">
        <v>446</v>
      </c>
      <c r="H3" s="531" t="s">
        <v>445</v>
      </c>
      <c r="I3" s="531" t="s">
        <v>257</v>
      </c>
      <c r="J3" s="531" t="s">
        <v>446</v>
      </c>
    </row>
    <row r="4" spans="1:12" s="84" customFormat="1" ht="18" customHeight="1">
      <c r="A4" s="267" t="s">
        <v>505</v>
      </c>
      <c r="B4" s="269">
        <v>5252</v>
      </c>
      <c r="C4" s="269">
        <v>4295</v>
      </c>
      <c r="D4" s="454">
        <v>81.778370144706784</v>
      </c>
      <c r="E4" s="269">
        <v>2439</v>
      </c>
      <c r="F4" s="269">
        <v>2985</v>
      </c>
      <c r="G4" s="452">
        <v>122.38622386223864</v>
      </c>
      <c r="H4" s="300">
        <v>266</v>
      </c>
      <c r="I4" s="300">
        <v>7</v>
      </c>
      <c r="J4" s="452">
        <v>2.6315789473684208</v>
      </c>
    </row>
    <row r="5" spans="1:12" s="84" customFormat="1" ht="18" customHeight="1">
      <c r="A5" s="554" t="s">
        <v>703</v>
      </c>
      <c r="B5" s="533">
        <f>INDEX(B6:B11,COUNT(B6:B11))</f>
        <v>5347</v>
      </c>
      <c r="C5" s="533">
        <v>4319</v>
      </c>
      <c r="D5" s="555">
        <f t="shared" ref="D5:D10" si="0">C5/B5*100</f>
        <v>80.774265943519737</v>
      </c>
      <c r="E5" s="533">
        <f>INDEX(E6:E11,COUNT(E6:E11))</f>
        <v>2604</v>
      </c>
      <c r="F5" s="533">
        <v>3566</v>
      </c>
      <c r="G5" s="556">
        <f t="shared" ref="G5:G11" si="1">F5/E5*100</f>
        <v>136.94316436251921</v>
      </c>
      <c r="H5" s="533">
        <v>266</v>
      </c>
      <c r="I5" s="533">
        <v>7</v>
      </c>
      <c r="J5" s="556">
        <v>2.6315789473684208</v>
      </c>
      <c r="K5" s="121"/>
      <c r="L5" s="121"/>
    </row>
    <row r="6" spans="1:12" s="191" customFormat="1" ht="18" customHeight="1">
      <c r="A6" s="130">
        <v>45412</v>
      </c>
      <c r="B6" s="190">
        <v>5264</v>
      </c>
      <c r="C6" s="190">
        <v>4153</v>
      </c>
      <c r="D6" s="453">
        <f t="shared" si="0"/>
        <v>78.894376899696056</v>
      </c>
      <c r="E6" s="188">
        <v>2464</v>
      </c>
      <c r="F6" s="190">
        <v>2625</v>
      </c>
      <c r="G6" s="451">
        <f t="shared" si="1"/>
        <v>106.53409090909092</v>
      </c>
      <c r="H6" s="187">
        <v>266</v>
      </c>
      <c r="I6" s="187">
        <v>1</v>
      </c>
      <c r="J6" s="451">
        <v>0.37593984962406013</v>
      </c>
      <c r="K6" s="121"/>
      <c r="L6" s="121"/>
    </row>
    <row r="7" spans="1:12" s="191" customFormat="1" ht="18" customHeight="1">
      <c r="A7" s="130">
        <v>45443</v>
      </c>
      <c r="B7" s="190">
        <v>5274</v>
      </c>
      <c r="C7" s="190">
        <v>4170</v>
      </c>
      <c r="D7" s="453">
        <f t="shared" si="0"/>
        <v>79.067121729237769</v>
      </c>
      <c r="E7" s="188">
        <v>2482</v>
      </c>
      <c r="F7" s="190">
        <v>2995</v>
      </c>
      <c r="G7" s="451">
        <f t="shared" si="1"/>
        <v>120.66881547139403</v>
      </c>
      <c r="H7" s="187">
        <v>266</v>
      </c>
      <c r="I7" s="187">
        <v>2</v>
      </c>
      <c r="J7" s="451">
        <v>0.75187969924812026</v>
      </c>
      <c r="K7" s="121"/>
      <c r="L7" s="121"/>
    </row>
    <row r="8" spans="1:12" s="191" customFormat="1" ht="18" customHeight="1">
      <c r="A8" s="130">
        <v>45473</v>
      </c>
      <c r="B8" s="190">
        <v>5293</v>
      </c>
      <c r="C8" s="190">
        <v>4200</v>
      </c>
      <c r="D8" s="453">
        <f t="shared" si="0"/>
        <v>79.350085017948231</v>
      </c>
      <c r="E8" s="188">
        <v>2499</v>
      </c>
      <c r="F8" s="190">
        <v>2998</v>
      </c>
      <c r="G8" s="451">
        <f t="shared" si="1"/>
        <v>119.96798719487796</v>
      </c>
      <c r="H8" s="187">
        <v>266</v>
      </c>
      <c r="I8" s="187">
        <v>5</v>
      </c>
      <c r="J8" s="451">
        <v>1.8796992481203008</v>
      </c>
      <c r="K8" s="121"/>
      <c r="L8" s="121"/>
    </row>
    <row r="9" spans="1:12" s="191" customFormat="1" ht="18" customHeight="1">
      <c r="A9" s="130">
        <v>45504</v>
      </c>
      <c r="B9" s="190">
        <v>5307</v>
      </c>
      <c r="C9" s="190">
        <v>4208</v>
      </c>
      <c r="D9" s="453">
        <f t="shared" si="0"/>
        <v>79.29150179008856</v>
      </c>
      <c r="E9" s="188">
        <v>2529</v>
      </c>
      <c r="F9" s="188">
        <v>3093</v>
      </c>
      <c r="G9" s="451">
        <f t="shared" si="1"/>
        <v>122.30130486358244</v>
      </c>
      <c r="H9" s="190">
        <v>266</v>
      </c>
      <c r="I9" s="190">
        <v>5</v>
      </c>
      <c r="J9" s="451">
        <v>1.8796992481203008</v>
      </c>
      <c r="K9" s="121"/>
      <c r="L9" s="121"/>
    </row>
    <row r="10" spans="1:12" s="191" customFormat="1">
      <c r="A10" s="130">
        <v>45535</v>
      </c>
      <c r="B10" s="190">
        <v>5316</v>
      </c>
      <c r="C10" s="190">
        <v>4227</v>
      </c>
      <c r="D10" s="453">
        <f t="shared" si="0"/>
        <v>79.514672686230242</v>
      </c>
      <c r="E10" s="190">
        <v>2559</v>
      </c>
      <c r="F10" s="190">
        <v>3077</v>
      </c>
      <c r="G10" s="451">
        <f t="shared" si="1"/>
        <v>120.24228214146152</v>
      </c>
      <c r="H10" s="190">
        <v>265</v>
      </c>
      <c r="I10" s="190">
        <v>2</v>
      </c>
      <c r="J10" s="451">
        <v>0.75471698113207553</v>
      </c>
      <c r="K10" s="121"/>
      <c r="L10" s="121"/>
    </row>
    <row r="11" spans="1:12" s="191" customFormat="1">
      <c r="A11" s="130">
        <v>45565</v>
      </c>
      <c r="B11" s="190">
        <v>5347</v>
      </c>
      <c r="C11" s="190">
        <v>4247</v>
      </c>
      <c r="D11" s="453">
        <v>79.4277164765289</v>
      </c>
      <c r="E11" s="188">
        <v>2604</v>
      </c>
      <c r="F11" s="188">
        <v>3131</v>
      </c>
      <c r="G11" s="451">
        <f t="shared" si="1"/>
        <v>120.23809523809523</v>
      </c>
      <c r="H11" s="187">
        <v>264</v>
      </c>
      <c r="I11" s="187">
        <v>2</v>
      </c>
      <c r="J11" s="451">
        <v>0.75757575757575757</v>
      </c>
      <c r="K11" s="121"/>
      <c r="L11" s="121"/>
    </row>
    <row r="12" spans="1:12" s="191" customFormat="1" ht="15" customHeight="1">
      <c r="A12" s="320" t="s">
        <v>1373</v>
      </c>
      <c r="B12" s="193"/>
      <c r="C12" s="193"/>
      <c r="D12" s="206"/>
      <c r="E12" s="209"/>
      <c r="F12" s="193"/>
      <c r="G12" s="206"/>
      <c r="H12" s="203"/>
      <c r="I12" s="203"/>
      <c r="J12" s="206"/>
      <c r="K12" s="121"/>
      <c r="L12" s="121"/>
    </row>
    <row r="13" spans="1:12" s="191" customFormat="1" ht="15" customHeight="1">
      <c r="A13" s="120" t="s">
        <v>254</v>
      </c>
      <c r="B13" s="120"/>
      <c r="C13" s="120"/>
      <c r="D13" s="120"/>
      <c r="E13" s="120"/>
      <c r="F13" s="120"/>
      <c r="G13" s="120"/>
    </row>
    <row r="14" spans="1:12" s="191" customFormat="1" ht="15" customHeight="1">
      <c r="A14" s="1457" t="s">
        <v>168</v>
      </c>
      <c r="B14" s="1457"/>
      <c r="C14" s="1457"/>
      <c r="D14" s="1457"/>
      <c r="E14" s="1457"/>
      <c r="F14" s="1457"/>
      <c r="G14" s="1457"/>
      <c r="H14" s="120"/>
      <c r="I14" s="120"/>
      <c r="J14" s="120"/>
    </row>
    <row r="15" spans="1:12" s="191" customFormat="1" ht="15" customHeight="1">
      <c r="A15" s="231"/>
    </row>
    <row r="16" spans="1:12" s="191" customFormat="1">
      <c r="A16" s="80"/>
      <c r="B16" s="80"/>
      <c r="C16" s="80"/>
      <c r="D16" s="80"/>
      <c r="E16" s="80"/>
      <c r="F16" s="80"/>
      <c r="G16" s="80"/>
    </row>
  </sheetData>
  <mergeCells count="5">
    <mergeCell ref="A2:A3"/>
    <mergeCell ref="B2:D2"/>
    <mergeCell ref="E2:G2"/>
    <mergeCell ref="H2:J2"/>
    <mergeCell ref="A14:G14"/>
  </mergeCells>
  <printOptions horizontalCentered="1"/>
  <pageMargins left="0.78431372549019618" right="0.78431372549019618" top="0.98039215686274517" bottom="0.98039215686274517" header="0.50980392156862753" footer="0.50980392156862753"/>
  <pageSetup paperSize="9" scale="80" orientation="landscape" useFirstPageNumber="1" r:id="rId1"/>
  <headerFooter alignWithMargin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15"/>
  <sheetViews>
    <sheetView showGridLines="0" workbookViewId="0"/>
  </sheetViews>
  <sheetFormatPr defaultColWidth="9.140625" defaultRowHeight="15"/>
  <cols>
    <col min="1" max="8" width="14.5703125" style="80" bestFit="1" customWidth="1"/>
    <col min="9" max="9" width="10.85546875" style="80" customWidth="1"/>
    <col min="10" max="16384" width="9.140625" style="80"/>
  </cols>
  <sheetData>
    <row r="1" spans="1:10" ht="15.75" customHeight="1">
      <c r="A1" s="262" t="s">
        <v>448</v>
      </c>
      <c r="B1" s="262"/>
      <c r="C1" s="262"/>
      <c r="D1" s="263"/>
      <c r="E1" s="263"/>
      <c r="F1" s="263"/>
      <c r="G1" s="263"/>
      <c r="H1" s="263"/>
    </row>
    <row r="2" spans="1:10" s="191" customFormat="1" ht="38.25" customHeight="1">
      <c r="A2" s="558" t="s">
        <v>115</v>
      </c>
      <c r="B2" s="531" t="s">
        <v>449</v>
      </c>
      <c r="C2" s="531" t="s">
        <v>450</v>
      </c>
      <c r="D2" s="531" t="s">
        <v>451</v>
      </c>
      <c r="E2" s="531" t="s">
        <v>452</v>
      </c>
      <c r="F2" s="531" t="s">
        <v>453</v>
      </c>
      <c r="G2" s="531" t="s">
        <v>454</v>
      </c>
      <c r="H2" s="531" t="s">
        <v>455</v>
      </c>
    </row>
    <row r="3" spans="1:10" s="84" customFormat="1" ht="18" customHeight="1">
      <c r="A3" s="267" t="s">
        <v>505</v>
      </c>
      <c r="B3" s="132">
        <v>0.62412709274705258</v>
      </c>
      <c r="C3" s="132">
        <v>0.61750610039390652</v>
      </c>
      <c r="D3" s="132">
        <v>0.64135556155944995</v>
      </c>
      <c r="E3" s="315">
        <v>0.61679637815273303</v>
      </c>
      <c r="F3" s="315">
        <v>0.82938324319843104</v>
      </c>
      <c r="G3" s="315">
        <v>0.64060670458171098</v>
      </c>
      <c r="H3" s="315">
        <v>0.54</v>
      </c>
    </row>
    <row r="4" spans="1:10" s="84" customFormat="1" ht="18" customHeight="1">
      <c r="A4" s="554" t="s">
        <v>703</v>
      </c>
      <c r="B4" s="557">
        <v>0.95993317993899929</v>
      </c>
      <c r="C4" s="557">
        <v>0.9866164991947538</v>
      </c>
      <c r="D4" s="557">
        <v>1.0303078350589405</v>
      </c>
      <c r="E4" s="557">
        <v>0.96076377660128698</v>
      </c>
      <c r="F4" s="557">
        <v>1.3954667794334701</v>
      </c>
      <c r="G4" s="557">
        <v>1.0291208204717599</v>
      </c>
      <c r="H4" s="557">
        <v>1.026</v>
      </c>
      <c r="I4" s="191"/>
      <c r="J4" s="191"/>
    </row>
    <row r="5" spans="1:10" s="191" customFormat="1" ht="18" customHeight="1">
      <c r="A5" s="130">
        <v>45412</v>
      </c>
      <c r="B5" s="184">
        <v>0.66487890792989146</v>
      </c>
      <c r="C5" s="184">
        <v>0.59553522173251039</v>
      </c>
      <c r="D5" s="184">
        <v>0.57968753784555982</v>
      </c>
      <c r="E5" s="184">
        <v>0.61078348183021303</v>
      </c>
      <c r="F5" s="184">
        <v>0.72036026245593698</v>
      </c>
      <c r="G5" s="184">
        <v>0.57071033715729602</v>
      </c>
      <c r="H5" s="184">
        <v>0.7</v>
      </c>
    </row>
    <row r="6" spans="1:10" s="191" customFormat="1" ht="18" customHeight="1">
      <c r="A6" s="130">
        <v>45443</v>
      </c>
      <c r="B6" s="184">
        <v>0.65549976586728997</v>
      </c>
      <c r="C6" s="184">
        <v>0.66922922756258785</v>
      </c>
      <c r="D6" s="184">
        <v>0.71596297989615454</v>
      </c>
      <c r="E6" s="184">
        <v>0.65017635650529604</v>
      </c>
      <c r="F6" s="184">
        <v>1.0234396316338601</v>
      </c>
      <c r="G6" s="184">
        <v>0.70526606614377896</v>
      </c>
      <c r="H6" s="184">
        <v>0.66</v>
      </c>
    </row>
    <row r="7" spans="1:10" s="191" customFormat="1" ht="18" customHeight="1">
      <c r="A7" s="130">
        <v>45473</v>
      </c>
      <c r="B7" s="184">
        <v>1.8513595453380733</v>
      </c>
      <c r="C7" s="184">
        <v>1.9434366224794528</v>
      </c>
      <c r="D7" s="184">
        <v>2.0676516282060695</v>
      </c>
      <c r="E7" s="184">
        <v>1.8279767981011701</v>
      </c>
      <c r="F7" s="184">
        <v>2.7769182139604802</v>
      </c>
      <c r="G7" s="184">
        <v>2.0178003880233999</v>
      </c>
      <c r="H7" s="184">
        <v>1.8507629376884337E-2</v>
      </c>
    </row>
    <row r="8" spans="1:10" s="191" customFormat="1" ht="18" customHeight="1">
      <c r="A8" s="130">
        <v>45504</v>
      </c>
      <c r="B8" s="184">
        <v>0.52294816494302698</v>
      </c>
      <c r="C8" s="184">
        <v>0.56192091792067966</v>
      </c>
      <c r="D8" s="184">
        <v>0.57765305637818443</v>
      </c>
      <c r="E8" s="184">
        <v>0.53408934553065701</v>
      </c>
      <c r="F8" s="184">
        <v>0.91207241699999997</v>
      </c>
      <c r="G8" s="184">
        <v>0.56506093800000001</v>
      </c>
      <c r="H8" s="184">
        <v>0.53</v>
      </c>
    </row>
    <row r="9" spans="1:10" s="191" customFormat="1" ht="19.5" customHeight="1">
      <c r="A9" s="130">
        <v>45535</v>
      </c>
      <c r="B9" s="184">
        <v>0.90818928246015618</v>
      </c>
      <c r="C9" s="184">
        <v>0.96766389105481765</v>
      </c>
      <c r="D9" s="184">
        <v>1.0194192355297458</v>
      </c>
      <c r="E9" s="184">
        <v>0.891807893478337</v>
      </c>
      <c r="F9" s="184">
        <v>1.2337533546058601</v>
      </c>
      <c r="G9" s="184">
        <v>0.99136039827081002</v>
      </c>
      <c r="H9" s="184">
        <f>0.00930337597144308*100</f>
        <v>0.93033759714430797</v>
      </c>
    </row>
    <row r="10" spans="1:10" s="191" customFormat="1" ht="18" customHeight="1">
      <c r="A10" s="130">
        <v>45565</v>
      </c>
      <c r="B10" s="184">
        <v>0.74711066968868978</v>
      </c>
      <c r="C10" s="184">
        <v>0.69753255014688398</v>
      </c>
      <c r="D10" s="184">
        <v>0.64355821027062632</v>
      </c>
      <c r="E10" s="184">
        <v>0.71223785500117098</v>
      </c>
      <c r="F10" s="184">
        <v>0.75151937161367799</v>
      </c>
      <c r="G10" s="184">
        <v>0.63367036195554705</v>
      </c>
      <c r="H10" s="184">
        <v>0.66</v>
      </c>
    </row>
    <row r="11" spans="1:10" s="191" customFormat="1">
      <c r="A11" s="320" t="s">
        <v>1373</v>
      </c>
      <c r="B11" s="212"/>
      <c r="C11" s="212"/>
      <c r="D11" s="212"/>
      <c r="E11" s="212"/>
      <c r="F11" s="212"/>
      <c r="G11" s="212"/>
      <c r="H11" s="212"/>
    </row>
    <row r="12" spans="1:10" s="191" customFormat="1">
      <c r="A12" s="1479" t="s">
        <v>456</v>
      </c>
      <c r="B12" s="1479"/>
      <c r="C12" s="1479"/>
      <c r="D12" s="1479"/>
      <c r="E12" s="1479"/>
      <c r="F12" s="1479"/>
      <c r="G12" s="1479"/>
    </row>
    <row r="13" spans="1:10" s="191" customFormat="1">
      <c r="A13" s="1430" t="s">
        <v>457</v>
      </c>
      <c r="B13" s="1430"/>
      <c r="C13" s="1430"/>
      <c r="D13" s="1430"/>
      <c r="E13" s="1430"/>
      <c r="F13" s="1430"/>
      <c r="G13" s="1430"/>
    </row>
    <row r="14" spans="1:10" s="191" customFormat="1">
      <c r="A14" s="231"/>
    </row>
    <row r="15" spans="1:10" s="191" customFormat="1">
      <c r="A15" s="80"/>
      <c r="B15" s="80"/>
      <c r="C15" s="80"/>
      <c r="D15" s="80"/>
      <c r="E15" s="80"/>
      <c r="F15" s="80"/>
      <c r="G15" s="80"/>
    </row>
  </sheetData>
  <mergeCells count="2">
    <mergeCell ref="A12:G12"/>
    <mergeCell ref="A13:G13"/>
  </mergeCells>
  <printOptions horizontalCentered="1"/>
  <pageMargins left="0.78431372549019618" right="0.78431372549019618" top="0.98039215686274517" bottom="0.98039215686274517" header="0.50980392156862753" footer="0.50980392156862753"/>
  <pageSetup paperSize="9" scale="94" orientation="landscape" useFirstPageNumber="1" r:id="rId1"/>
  <headerFooter alignWithMargin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P26"/>
  <sheetViews>
    <sheetView showGridLines="0" workbookViewId="0"/>
  </sheetViews>
  <sheetFormatPr defaultColWidth="9.140625" defaultRowHeight="15"/>
  <cols>
    <col min="1" max="10" width="14.5703125" style="80" bestFit="1" customWidth="1"/>
    <col min="11" max="11" width="14.42578125" style="80" bestFit="1" customWidth="1"/>
    <col min="12" max="12" width="15" style="80" bestFit="1" customWidth="1"/>
    <col min="13" max="16" width="14.5703125" style="80" bestFit="1" customWidth="1"/>
    <col min="17" max="17" width="4.5703125" style="80" bestFit="1" customWidth="1"/>
    <col min="18" max="16384" width="9.140625" style="80"/>
  </cols>
  <sheetData>
    <row r="1" spans="1:16">
      <c r="A1" s="154" t="s">
        <v>458</v>
      </c>
      <c r="B1" s="154"/>
      <c r="C1" s="154"/>
      <c r="D1" s="154"/>
      <c r="E1" s="154"/>
      <c r="F1" s="154"/>
      <c r="G1" s="154"/>
      <c r="H1" s="154"/>
      <c r="I1" s="154"/>
      <c r="J1" s="154"/>
      <c r="K1" s="154"/>
    </row>
    <row r="2" spans="1:16" s="191" customFormat="1">
      <c r="A2" s="559" t="s">
        <v>141</v>
      </c>
      <c r="B2" s="1480" t="s">
        <v>73</v>
      </c>
      <c r="C2" s="1480"/>
      <c r="D2" s="1480"/>
      <c r="E2" s="1480"/>
      <c r="F2" s="1480"/>
      <c r="G2" s="1481" t="s">
        <v>74</v>
      </c>
      <c r="H2" s="1469"/>
      <c r="I2" s="1469"/>
      <c r="J2" s="1469"/>
      <c r="K2" s="1482"/>
      <c r="L2" s="1469" t="s">
        <v>75</v>
      </c>
      <c r="M2" s="1469"/>
      <c r="N2" s="1469"/>
      <c r="O2" s="1469"/>
      <c r="P2" s="1468"/>
    </row>
    <row r="3" spans="1:16" s="191" customFormat="1">
      <c r="A3" s="559" t="s">
        <v>459</v>
      </c>
      <c r="B3" s="560" t="s">
        <v>460</v>
      </c>
      <c r="C3" s="560" t="s">
        <v>461</v>
      </c>
      <c r="D3" s="560" t="s">
        <v>462</v>
      </c>
      <c r="E3" s="560" t="s">
        <v>463</v>
      </c>
      <c r="F3" s="560" t="s">
        <v>464</v>
      </c>
      <c r="G3" s="561" t="s">
        <v>460</v>
      </c>
      <c r="H3" s="561" t="s">
        <v>461</v>
      </c>
      <c r="I3" s="562" t="s">
        <v>462</v>
      </c>
      <c r="J3" s="562" t="s">
        <v>463</v>
      </c>
      <c r="K3" s="563" t="s">
        <v>464</v>
      </c>
      <c r="L3" s="564" t="s">
        <v>460</v>
      </c>
      <c r="M3" s="535" t="s">
        <v>461</v>
      </c>
      <c r="N3" s="535" t="s">
        <v>462</v>
      </c>
      <c r="O3" s="535" t="s">
        <v>463</v>
      </c>
      <c r="P3" s="535" t="s">
        <v>464</v>
      </c>
    </row>
    <row r="4" spans="1:16" s="191" customFormat="1">
      <c r="A4" s="1483" t="s">
        <v>465</v>
      </c>
      <c r="B4" s="1484"/>
      <c r="C4" s="1484"/>
      <c r="D4" s="1484"/>
      <c r="E4" s="1484"/>
      <c r="F4" s="1484"/>
      <c r="G4" s="1484"/>
      <c r="H4" s="1485"/>
      <c r="I4" s="1486"/>
      <c r="J4" s="1486"/>
      <c r="K4" s="1484"/>
      <c r="L4" s="1486"/>
      <c r="M4" s="1485"/>
      <c r="N4" s="1485"/>
      <c r="O4" s="1485"/>
      <c r="P4" s="1487"/>
    </row>
    <row r="5" spans="1:16" s="84" customFormat="1">
      <c r="A5" s="470" t="s">
        <v>505</v>
      </c>
      <c r="B5" s="472">
        <v>6.8860000000000001</v>
      </c>
      <c r="C5" s="472">
        <v>12.107799999999999</v>
      </c>
      <c r="D5" s="472">
        <v>22.874099999999999</v>
      </c>
      <c r="E5" s="472">
        <v>33.898000000000003</v>
      </c>
      <c r="F5" s="472">
        <v>47.015999999999998</v>
      </c>
      <c r="G5" s="472">
        <v>10.41</v>
      </c>
      <c r="H5" s="479">
        <v>15.69</v>
      </c>
      <c r="I5" s="472">
        <v>26.18</v>
      </c>
      <c r="J5" s="472">
        <v>37.520000000000003</v>
      </c>
      <c r="K5" s="472">
        <v>53.16</v>
      </c>
      <c r="L5" s="472">
        <v>100</v>
      </c>
      <c r="M5" s="478">
        <v>100</v>
      </c>
      <c r="N5" s="450">
        <v>100</v>
      </c>
      <c r="O5" s="450">
        <v>100</v>
      </c>
      <c r="P5" s="450">
        <v>100</v>
      </c>
    </row>
    <row r="6" spans="1:16" s="84" customFormat="1">
      <c r="A6" s="565" t="s">
        <v>703</v>
      </c>
      <c r="B6" s="566">
        <v>7.3577000000000004</v>
      </c>
      <c r="C6" s="566">
        <v>12.454499999999999</v>
      </c>
      <c r="D6" s="566">
        <v>23.196999999999999</v>
      </c>
      <c r="E6" s="566">
        <v>34.125300000000003</v>
      </c>
      <c r="F6" s="566">
        <v>46.897799999999997</v>
      </c>
      <c r="G6" s="566">
        <v>7.92</v>
      </c>
      <c r="H6" s="567">
        <v>13.17</v>
      </c>
      <c r="I6" s="566">
        <v>24.9</v>
      </c>
      <c r="J6" s="566">
        <v>37.200000000000003</v>
      </c>
      <c r="K6" s="566">
        <v>52.52</v>
      </c>
      <c r="L6" s="566">
        <v>100</v>
      </c>
      <c r="M6" s="568">
        <v>100</v>
      </c>
      <c r="N6" s="557">
        <v>100</v>
      </c>
      <c r="O6" s="557">
        <v>100</v>
      </c>
      <c r="P6" s="557">
        <v>100</v>
      </c>
    </row>
    <row r="7" spans="1:16" s="191" customFormat="1">
      <c r="A7" s="471">
        <v>45383</v>
      </c>
      <c r="B7" s="467">
        <v>12.237399999999999</v>
      </c>
      <c r="C7" s="467">
        <v>18.0837</v>
      </c>
      <c r="D7" s="467">
        <v>28.117799999999999</v>
      </c>
      <c r="E7" s="467">
        <v>38.904200000000003</v>
      </c>
      <c r="F7" s="467">
        <v>51.089700000000001</v>
      </c>
      <c r="G7" s="467">
        <v>9.17</v>
      </c>
      <c r="H7" s="480">
        <v>15.05</v>
      </c>
      <c r="I7" s="467">
        <v>26.65</v>
      </c>
      <c r="J7" s="467">
        <v>40</v>
      </c>
      <c r="K7" s="467">
        <v>56.68</v>
      </c>
      <c r="L7" s="467">
        <v>100</v>
      </c>
      <c r="M7" s="475">
        <v>100</v>
      </c>
      <c r="N7" s="467">
        <v>100</v>
      </c>
      <c r="O7" s="467">
        <v>100</v>
      </c>
      <c r="P7" s="467">
        <v>100</v>
      </c>
    </row>
    <row r="8" spans="1:16" s="191" customFormat="1">
      <c r="A8" s="471">
        <v>45413</v>
      </c>
      <c r="B8" s="467">
        <v>9.3636999999999997</v>
      </c>
      <c r="C8" s="467">
        <v>14.9964</v>
      </c>
      <c r="D8" s="467">
        <v>27.557200000000002</v>
      </c>
      <c r="E8" s="467">
        <v>40.197099999999999</v>
      </c>
      <c r="F8" s="467">
        <v>53.834899999999998</v>
      </c>
      <c r="G8" s="467">
        <v>7.86</v>
      </c>
      <c r="H8" s="480">
        <v>13.85</v>
      </c>
      <c r="I8" s="467">
        <v>27.5</v>
      </c>
      <c r="J8" s="467">
        <v>40.93</v>
      </c>
      <c r="K8" s="467">
        <v>58.04</v>
      </c>
      <c r="L8" s="467">
        <v>100</v>
      </c>
      <c r="M8" s="475">
        <v>100</v>
      </c>
      <c r="N8" s="467">
        <v>100</v>
      </c>
      <c r="O8" s="467">
        <v>100</v>
      </c>
      <c r="P8" s="467">
        <v>100</v>
      </c>
    </row>
    <row r="9" spans="1:16" s="191" customFormat="1">
      <c r="A9" s="471">
        <v>45444</v>
      </c>
      <c r="B9" s="467">
        <v>9.3575999999999997</v>
      </c>
      <c r="C9" s="467">
        <v>15.349399999999999</v>
      </c>
      <c r="D9" s="467">
        <v>27.638300000000001</v>
      </c>
      <c r="E9" s="467">
        <v>40.628</v>
      </c>
      <c r="F9" s="467">
        <v>55.0916</v>
      </c>
      <c r="G9" s="467">
        <v>9.4</v>
      </c>
      <c r="H9" s="480">
        <v>15.99</v>
      </c>
      <c r="I9" s="467">
        <v>28.93</v>
      </c>
      <c r="J9" s="467">
        <v>42.2</v>
      </c>
      <c r="K9" s="467">
        <v>58.15</v>
      </c>
      <c r="L9" s="467">
        <v>100</v>
      </c>
      <c r="M9" s="475">
        <v>100</v>
      </c>
      <c r="N9" s="467">
        <v>100</v>
      </c>
      <c r="O9" s="467">
        <v>100</v>
      </c>
      <c r="P9" s="467">
        <v>100</v>
      </c>
    </row>
    <row r="10" spans="1:16" s="191" customFormat="1">
      <c r="A10" s="471">
        <v>45474</v>
      </c>
      <c r="B10" s="467">
        <v>10.303900000000001</v>
      </c>
      <c r="C10" s="467">
        <v>15.9009</v>
      </c>
      <c r="D10" s="467">
        <v>26.593399999999999</v>
      </c>
      <c r="E10" s="467">
        <v>37.937899999999999</v>
      </c>
      <c r="F10" s="467">
        <v>51.223300000000002</v>
      </c>
      <c r="G10" s="467">
        <v>9.9499999999999993</v>
      </c>
      <c r="H10" s="480">
        <v>15.72</v>
      </c>
      <c r="I10" s="467">
        <v>27.25</v>
      </c>
      <c r="J10" s="467">
        <v>39.54</v>
      </c>
      <c r="K10" s="467">
        <v>54.63</v>
      </c>
      <c r="L10" s="467">
        <v>100</v>
      </c>
      <c r="M10" s="475">
        <v>100</v>
      </c>
      <c r="N10" s="467">
        <v>100</v>
      </c>
      <c r="O10" s="467">
        <v>100</v>
      </c>
      <c r="P10" s="467">
        <v>100</v>
      </c>
    </row>
    <row r="11" spans="1:16" s="191" customFormat="1">
      <c r="A11" s="471">
        <v>45505</v>
      </c>
      <c r="B11" s="468">
        <v>15.122299999999999</v>
      </c>
      <c r="C11" s="468">
        <v>20.614000000000001</v>
      </c>
      <c r="D11" s="468">
        <v>29.932500000000001</v>
      </c>
      <c r="E11" s="468">
        <v>39.250700000000002</v>
      </c>
      <c r="F11" s="468">
        <v>50.781500000000001</v>
      </c>
      <c r="G11" s="468">
        <v>9.1</v>
      </c>
      <c r="H11" s="469">
        <v>14.05</v>
      </c>
      <c r="I11" s="481">
        <v>24.28</v>
      </c>
      <c r="J11" s="481">
        <v>36.4</v>
      </c>
      <c r="K11" s="481">
        <v>51.69</v>
      </c>
      <c r="L11" s="468">
        <v>100</v>
      </c>
      <c r="M11" s="476">
        <v>100</v>
      </c>
      <c r="N11" s="468">
        <v>100</v>
      </c>
      <c r="O11" s="468">
        <v>100</v>
      </c>
      <c r="P11" s="468">
        <v>100</v>
      </c>
    </row>
    <row r="12" spans="1:16" s="191" customFormat="1">
      <c r="A12" s="471">
        <v>45536</v>
      </c>
      <c r="B12" s="467">
        <v>8.1247000000000007</v>
      </c>
      <c r="C12" s="467">
        <v>13.678000000000001</v>
      </c>
      <c r="D12" s="467">
        <v>24.378399999999999</v>
      </c>
      <c r="E12" s="467">
        <v>35.177100000000003</v>
      </c>
      <c r="F12" s="467">
        <v>47.640300000000003</v>
      </c>
      <c r="G12" s="467">
        <v>7.99</v>
      </c>
      <c r="H12" s="480">
        <v>13.06</v>
      </c>
      <c r="I12" s="467">
        <v>24.65</v>
      </c>
      <c r="J12" s="467">
        <v>36.72</v>
      </c>
      <c r="K12" s="467">
        <v>51.61</v>
      </c>
      <c r="L12" s="467">
        <v>100</v>
      </c>
      <c r="M12" s="475">
        <v>100</v>
      </c>
      <c r="N12" s="467">
        <v>100</v>
      </c>
      <c r="O12" s="467">
        <v>100</v>
      </c>
      <c r="P12" s="467">
        <v>100</v>
      </c>
    </row>
    <row r="13" spans="1:16" s="191" customFormat="1">
      <c r="A13" s="1488" t="s">
        <v>466</v>
      </c>
      <c r="B13" s="1489"/>
      <c r="C13" s="1489"/>
      <c r="D13" s="1489"/>
      <c r="E13" s="1489"/>
      <c r="F13" s="1489"/>
      <c r="G13" s="1489"/>
      <c r="H13" s="1488"/>
      <c r="I13" s="1490"/>
      <c r="J13" s="1490"/>
      <c r="K13" s="1490"/>
      <c r="L13" s="1490"/>
      <c r="M13" s="1490"/>
      <c r="N13" s="1490"/>
      <c r="O13" s="1490"/>
      <c r="P13" s="1488"/>
    </row>
    <row r="14" spans="1:16" s="84" customFormat="1">
      <c r="A14" s="473" t="s">
        <v>505</v>
      </c>
      <c r="B14" s="477">
        <v>35.9</v>
      </c>
      <c r="C14" s="477">
        <v>47.49</v>
      </c>
      <c r="D14" s="477">
        <v>68.790000000000006</v>
      </c>
      <c r="E14" s="477">
        <v>81.44</v>
      </c>
      <c r="F14" s="477">
        <v>90.03</v>
      </c>
      <c r="G14" s="477">
        <v>25.48</v>
      </c>
      <c r="H14" s="482">
        <v>38.590000000000003</v>
      </c>
      <c r="I14" s="477">
        <v>59.21</v>
      </c>
      <c r="J14" s="477">
        <v>75.72</v>
      </c>
      <c r="K14" s="477">
        <v>88.71</v>
      </c>
      <c r="L14" s="477">
        <v>100</v>
      </c>
      <c r="M14" s="477">
        <v>100</v>
      </c>
      <c r="N14" s="477">
        <v>100</v>
      </c>
      <c r="O14" s="486" t="s">
        <v>221</v>
      </c>
      <c r="P14" s="484" t="s">
        <v>221</v>
      </c>
    </row>
    <row r="15" spans="1:16" s="84" customFormat="1">
      <c r="A15" s="569" t="s">
        <v>703</v>
      </c>
      <c r="B15" s="566">
        <v>40.729999999999997</v>
      </c>
      <c r="C15" s="566">
        <v>52.66</v>
      </c>
      <c r="D15" s="566">
        <v>70.569999999999993</v>
      </c>
      <c r="E15" s="566">
        <v>81.599999999999994</v>
      </c>
      <c r="F15" s="566">
        <v>90.44</v>
      </c>
      <c r="G15" s="566">
        <v>26.16</v>
      </c>
      <c r="H15" s="567">
        <v>40.79</v>
      </c>
      <c r="I15" s="566">
        <v>62.31</v>
      </c>
      <c r="J15" s="566">
        <v>77.73</v>
      </c>
      <c r="K15" s="566">
        <v>89.96</v>
      </c>
      <c r="L15" s="566">
        <v>100</v>
      </c>
      <c r="M15" s="566">
        <v>100</v>
      </c>
      <c r="N15" s="566">
        <v>100</v>
      </c>
      <c r="O15" s="566" t="s">
        <v>221</v>
      </c>
      <c r="P15" s="568" t="s">
        <v>221</v>
      </c>
    </row>
    <row r="16" spans="1:16" s="191" customFormat="1">
      <c r="A16" s="474">
        <v>45412</v>
      </c>
      <c r="B16" s="467">
        <v>41.94</v>
      </c>
      <c r="C16" s="467">
        <v>55.09</v>
      </c>
      <c r="D16" s="467">
        <v>72.36</v>
      </c>
      <c r="E16" s="467">
        <v>82.17</v>
      </c>
      <c r="F16" s="467">
        <v>90.43</v>
      </c>
      <c r="G16" s="467">
        <v>26.45</v>
      </c>
      <c r="H16" s="480">
        <v>40.93</v>
      </c>
      <c r="I16" s="467">
        <v>62.12</v>
      </c>
      <c r="J16" s="467">
        <v>77.930000000000007</v>
      </c>
      <c r="K16" s="467">
        <v>90.04</v>
      </c>
      <c r="L16" s="467">
        <v>100</v>
      </c>
      <c r="M16" s="467">
        <v>100</v>
      </c>
      <c r="N16" s="467">
        <v>100</v>
      </c>
      <c r="O16" s="133" t="s">
        <v>221</v>
      </c>
      <c r="P16" s="485" t="s">
        <v>221</v>
      </c>
    </row>
    <row r="17" spans="1:16" s="191" customFormat="1">
      <c r="A17" s="474">
        <v>45443</v>
      </c>
      <c r="B17" s="467">
        <v>42.1</v>
      </c>
      <c r="C17" s="467">
        <v>55.03</v>
      </c>
      <c r="D17" s="467">
        <v>72.75</v>
      </c>
      <c r="E17" s="467">
        <v>83.54</v>
      </c>
      <c r="F17" s="467">
        <v>91.32</v>
      </c>
      <c r="G17" s="467">
        <v>25.89</v>
      </c>
      <c r="H17" s="480">
        <v>40.270000000000003</v>
      </c>
      <c r="I17" s="467">
        <v>63.09</v>
      </c>
      <c r="J17" s="467">
        <v>78.84</v>
      </c>
      <c r="K17" s="467">
        <v>90.59</v>
      </c>
      <c r="L17" s="467">
        <v>100</v>
      </c>
      <c r="M17" s="467">
        <v>100</v>
      </c>
      <c r="N17" s="467">
        <v>100</v>
      </c>
      <c r="O17" s="133" t="s">
        <v>221</v>
      </c>
      <c r="P17" s="485" t="s">
        <v>221</v>
      </c>
    </row>
    <row r="18" spans="1:16" s="191" customFormat="1">
      <c r="A18" s="474">
        <v>45473</v>
      </c>
      <c r="B18" s="467">
        <v>40.5</v>
      </c>
      <c r="C18" s="467">
        <v>52.95</v>
      </c>
      <c r="D18" s="467">
        <v>72.8</v>
      </c>
      <c r="E18" s="467">
        <v>83.86</v>
      </c>
      <c r="F18" s="467">
        <v>91.79</v>
      </c>
      <c r="G18" s="467">
        <v>27.1</v>
      </c>
      <c r="H18" s="480">
        <v>40.9</v>
      </c>
      <c r="I18" s="467">
        <v>61.81</v>
      </c>
      <c r="J18" s="467">
        <v>77.59</v>
      </c>
      <c r="K18" s="467">
        <v>90.1</v>
      </c>
      <c r="L18" s="467">
        <v>100</v>
      </c>
      <c r="M18" s="467">
        <v>100</v>
      </c>
      <c r="N18" s="467">
        <v>100</v>
      </c>
      <c r="O18" s="133" t="s">
        <v>221</v>
      </c>
      <c r="P18" s="485" t="s">
        <v>221</v>
      </c>
    </row>
    <row r="19" spans="1:16" s="191" customFormat="1">
      <c r="A19" s="474">
        <v>45504</v>
      </c>
      <c r="B19" s="467">
        <v>43.94</v>
      </c>
      <c r="C19" s="467">
        <v>56.73</v>
      </c>
      <c r="D19" s="467">
        <v>74.59</v>
      </c>
      <c r="E19" s="467">
        <v>83.77</v>
      </c>
      <c r="F19" s="467">
        <v>91.69</v>
      </c>
      <c r="G19" s="467">
        <v>27.38</v>
      </c>
      <c r="H19" s="480">
        <v>42.38</v>
      </c>
      <c r="I19" s="467">
        <v>61.95</v>
      </c>
      <c r="J19" s="467">
        <v>77.209999999999994</v>
      </c>
      <c r="K19" s="467">
        <v>89.53</v>
      </c>
      <c r="L19" s="467">
        <v>100</v>
      </c>
      <c r="M19" s="467">
        <v>100</v>
      </c>
      <c r="N19" s="467">
        <v>100</v>
      </c>
      <c r="O19" s="133" t="s">
        <v>221</v>
      </c>
      <c r="P19" s="485" t="s">
        <v>221</v>
      </c>
    </row>
    <row r="20" spans="1:16" s="191" customFormat="1">
      <c r="A20" s="474">
        <v>45535</v>
      </c>
      <c r="B20" s="468">
        <v>37.25</v>
      </c>
      <c r="C20" s="468">
        <v>51.51</v>
      </c>
      <c r="D20" s="468">
        <v>72.53</v>
      </c>
      <c r="E20" s="468">
        <v>83.12</v>
      </c>
      <c r="F20" s="468">
        <v>90.8</v>
      </c>
      <c r="G20" s="468">
        <v>25.79</v>
      </c>
      <c r="H20" s="483">
        <v>40.67</v>
      </c>
      <c r="I20" s="468">
        <v>62.77</v>
      </c>
      <c r="J20" s="468">
        <v>77.900000000000006</v>
      </c>
      <c r="K20" s="468">
        <v>89.89</v>
      </c>
      <c r="L20" s="467">
        <v>100</v>
      </c>
      <c r="M20" s="467">
        <v>100</v>
      </c>
      <c r="N20" s="467">
        <v>100</v>
      </c>
      <c r="O20" s="133" t="s">
        <v>221</v>
      </c>
      <c r="P20" s="485" t="s">
        <v>221</v>
      </c>
    </row>
    <row r="21" spans="1:16" s="191" customFormat="1">
      <c r="A21" s="474">
        <v>45565</v>
      </c>
      <c r="B21" s="467">
        <v>38.92</v>
      </c>
      <c r="C21" s="467">
        <v>51.01</v>
      </c>
      <c r="D21" s="467">
        <v>69.87</v>
      </c>
      <c r="E21" s="467">
        <v>80.61</v>
      </c>
      <c r="F21" s="467">
        <v>89.93</v>
      </c>
      <c r="G21" s="467">
        <v>25.31</v>
      </c>
      <c r="H21" s="480">
        <v>40.08</v>
      </c>
      <c r="I21" s="467">
        <v>62.55</v>
      </c>
      <c r="J21" s="467">
        <v>77.760000000000005</v>
      </c>
      <c r="K21" s="467">
        <v>89.97</v>
      </c>
      <c r="L21" s="467">
        <v>100</v>
      </c>
      <c r="M21" s="467">
        <v>100</v>
      </c>
      <c r="N21" s="467">
        <v>100</v>
      </c>
      <c r="O21" s="133" t="s">
        <v>221</v>
      </c>
      <c r="P21" s="485" t="s">
        <v>221</v>
      </c>
    </row>
    <row r="22" spans="1:16" s="191" customFormat="1">
      <c r="A22" s="320" t="s">
        <v>1373</v>
      </c>
      <c r="G22" s="155"/>
      <c r="H22" s="155"/>
      <c r="I22" s="155"/>
      <c r="J22" s="155"/>
      <c r="K22" s="155"/>
    </row>
    <row r="23" spans="1:16" s="191" customFormat="1" ht="15" customHeight="1">
      <c r="A23" s="1491" t="s">
        <v>467</v>
      </c>
      <c r="B23" s="1491"/>
      <c r="C23" s="1491"/>
      <c r="D23" s="1491"/>
      <c r="E23" s="1491"/>
      <c r="F23" s="1491"/>
      <c r="G23" s="1491"/>
      <c r="H23" s="1491"/>
      <c r="I23" s="1491"/>
      <c r="J23" s="1491"/>
      <c r="K23" s="1491"/>
    </row>
    <row r="24" spans="1:16" s="191" customFormat="1" ht="15" customHeight="1">
      <c r="A24" s="1457" t="s">
        <v>168</v>
      </c>
      <c r="B24" s="1457"/>
      <c r="C24" s="1457"/>
      <c r="D24" s="1457"/>
      <c r="E24" s="1457"/>
      <c r="F24" s="1457"/>
      <c r="G24" s="1457"/>
      <c r="H24" s="1457"/>
      <c r="I24" s="1457"/>
      <c r="J24" s="1457"/>
      <c r="K24" s="1457"/>
    </row>
    <row r="25" spans="1:16" s="191" customFormat="1">
      <c r="A25" s="231"/>
      <c r="G25" s="155"/>
      <c r="H25" s="155"/>
      <c r="I25" s="155"/>
      <c r="J25" s="155"/>
      <c r="K25" s="155"/>
    </row>
    <row r="26" spans="1:16" s="191" customFormat="1">
      <c r="A26" s="80"/>
      <c r="B26" s="80"/>
      <c r="C26" s="80"/>
      <c r="D26" s="80"/>
      <c r="E26" s="80"/>
      <c r="F26" s="80"/>
      <c r="G26" s="80"/>
      <c r="H26" s="80"/>
      <c r="I26" s="80"/>
      <c r="J26" s="80"/>
      <c r="K26" s="80"/>
    </row>
  </sheetData>
  <mergeCells count="7">
    <mergeCell ref="A24:K24"/>
    <mergeCell ref="B2:F2"/>
    <mergeCell ref="G2:K2"/>
    <mergeCell ref="L2:P2"/>
    <mergeCell ref="A4:P4"/>
    <mergeCell ref="A13:P13"/>
    <mergeCell ref="A23:K23"/>
  </mergeCells>
  <printOptions horizontalCentered="1"/>
  <pageMargins left="0.78431372549019618" right="0.78431372549019618" top="0.98039215686274517" bottom="0.98039215686274517" header="0.50980392156862753" footer="0.50980392156862753"/>
  <pageSetup paperSize="9" scale="55" fitToHeight="0" orientation="landscape" useFirstPageNumber="1" r:id="rId1"/>
  <headerFooter alignWithMargin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14"/>
  <sheetViews>
    <sheetView showGridLines="0" workbookViewId="0"/>
  </sheetViews>
  <sheetFormatPr defaultColWidth="9.140625" defaultRowHeight="15"/>
  <cols>
    <col min="1" max="1" width="14.42578125" style="80" customWidth="1"/>
    <col min="2" max="2" width="13.42578125" style="80" bestFit="1" customWidth="1"/>
    <col min="3" max="3" width="9.140625" style="80" bestFit="1" customWidth="1"/>
    <col min="4" max="4" width="9.7109375" style="80" bestFit="1" customWidth="1"/>
    <col min="5" max="5" width="16.28515625" style="80" bestFit="1" customWidth="1"/>
    <col min="6" max="6" width="11.7109375" style="80" bestFit="1" customWidth="1"/>
    <col min="7" max="7" width="11.42578125" style="80" bestFit="1" customWidth="1"/>
    <col min="8" max="8" width="14.140625" style="80" bestFit="1" customWidth="1"/>
    <col min="9" max="9" width="13.140625" style="80" bestFit="1" customWidth="1"/>
    <col min="10" max="10" width="17.28515625" style="80" bestFit="1" customWidth="1"/>
    <col min="11" max="11" width="13.140625" style="80" bestFit="1" customWidth="1"/>
    <col min="12" max="12" width="17.85546875" style="80" customWidth="1"/>
    <col min="13" max="13" width="12.85546875" style="80" bestFit="1" customWidth="1"/>
    <col min="14" max="14" width="14.42578125" style="80" bestFit="1" customWidth="1"/>
    <col min="15" max="15" width="13.5703125" style="80" bestFit="1" customWidth="1"/>
    <col min="16" max="17" width="14.5703125" style="80" bestFit="1" customWidth="1"/>
    <col min="18" max="16384" width="9.140625" style="80"/>
  </cols>
  <sheetData>
    <row r="1" spans="1:17" ht="16.5" customHeight="1">
      <c r="A1" s="154" t="s">
        <v>815</v>
      </c>
      <c r="B1" s="154"/>
      <c r="C1" s="154"/>
      <c r="D1" s="154"/>
      <c r="E1" s="154"/>
      <c r="F1" s="154"/>
      <c r="G1" s="154"/>
      <c r="H1" s="154"/>
      <c r="I1" s="154"/>
    </row>
    <row r="2" spans="1:17" s="191" customFormat="1" ht="88.5" customHeight="1">
      <c r="A2" s="574" t="s">
        <v>468</v>
      </c>
      <c r="B2" s="574" t="s">
        <v>469</v>
      </c>
      <c r="C2" s="574" t="s">
        <v>470</v>
      </c>
      <c r="D2" s="574" t="s">
        <v>471</v>
      </c>
      <c r="E2" s="574" t="s">
        <v>472</v>
      </c>
      <c r="F2" s="574" t="s">
        <v>258</v>
      </c>
      <c r="G2" s="574" t="s">
        <v>473</v>
      </c>
      <c r="H2" s="574" t="s">
        <v>474</v>
      </c>
      <c r="I2" s="574" t="s">
        <v>475</v>
      </c>
      <c r="J2" s="574" t="s">
        <v>476</v>
      </c>
      <c r="K2" s="574" t="s">
        <v>477</v>
      </c>
      <c r="L2" s="574" t="s">
        <v>478</v>
      </c>
      <c r="M2" s="574" t="s">
        <v>479</v>
      </c>
      <c r="N2" s="574" t="s">
        <v>480</v>
      </c>
      <c r="O2" s="574" t="s">
        <v>481</v>
      </c>
      <c r="P2" s="574" t="s">
        <v>482</v>
      </c>
      <c r="Q2" s="574" t="s">
        <v>483</v>
      </c>
    </row>
    <row r="3" spans="1:17" s="84" customFormat="1" ht="18" customHeight="1">
      <c r="A3" s="316" t="s">
        <v>505</v>
      </c>
      <c r="B3" s="264">
        <v>9980.6111099999998</v>
      </c>
      <c r="C3" s="265">
        <v>2519145.3052500002</v>
      </c>
      <c r="D3" s="265">
        <v>597537.51045000006</v>
      </c>
      <c r="E3" s="487">
        <v>23.71985090358654</v>
      </c>
      <c r="F3" s="487">
        <v>3458333.6918770159</v>
      </c>
      <c r="G3" s="487">
        <v>699412.76619996899</v>
      </c>
      <c r="H3" s="487">
        <v>20.223981504235979</v>
      </c>
      <c r="I3" s="487">
        <v>597537.43017000007</v>
      </c>
      <c r="J3" s="487">
        <v>99.99998656486018</v>
      </c>
      <c r="K3" s="487">
        <v>699412.76619996899</v>
      </c>
      <c r="L3" s="487">
        <v>100</v>
      </c>
      <c r="M3" s="487">
        <v>1014.2349300000001</v>
      </c>
      <c r="N3" s="487">
        <v>0.16973577595759454</v>
      </c>
      <c r="O3" s="487">
        <v>158274.00048334099</v>
      </c>
      <c r="P3" s="487">
        <v>700419.10301068402</v>
      </c>
      <c r="Q3" s="488">
        <v>385.35</v>
      </c>
    </row>
    <row r="4" spans="1:17" s="84" customFormat="1" ht="18" customHeight="1">
      <c r="A4" s="570" t="s">
        <v>703</v>
      </c>
      <c r="B4" s="571">
        <f>SUM(B5:B10)</f>
        <v>6552.4601899999998</v>
      </c>
      <c r="C4" s="571">
        <f>SUM(C5:C10)</f>
        <v>1485575.7366299999</v>
      </c>
      <c r="D4" s="571">
        <f>SUM(D5:D10)</f>
        <v>394962.38389999996</v>
      </c>
      <c r="E4" s="572">
        <f>D4/C4*100</f>
        <v>26.586485909898105</v>
      </c>
      <c r="F4" s="572">
        <f>SUM(F5:F10)</f>
        <v>2463174.05289859</v>
      </c>
      <c r="G4" s="572">
        <f>SUM(G5:G10)</f>
        <v>523501.32959882205</v>
      </c>
      <c r="H4" s="572">
        <f>G4/F4*100</f>
        <v>21.253119688508463</v>
      </c>
      <c r="I4" s="572">
        <f>SUM(I5:I10)</f>
        <v>394962.38389999996</v>
      </c>
      <c r="J4" s="573">
        <f>I4/D4*100</f>
        <v>100</v>
      </c>
      <c r="K4" s="572">
        <f>SUM(K5:K10)</f>
        <v>523501.32959882205</v>
      </c>
      <c r="L4" s="573">
        <f>K4/G4*100</f>
        <v>100</v>
      </c>
      <c r="M4" s="572">
        <f>SUM(M5:M10)</f>
        <v>385.63012000000003</v>
      </c>
      <c r="N4" s="573">
        <f>M4/D4*100</f>
        <v>9.7637176531129424E-2</v>
      </c>
      <c r="O4" s="572">
        <f>SUM(O5:O10)</f>
        <v>111872.36719955302</v>
      </c>
      <c r="P4" s="572">
        <f>SUM(P5:P10)</f>
        <v>524056.43052773102</v>
      </c>
      <c r="Q4" s="572">
        <f>INDEX(Q5:Q10,COUNT(Q5:Q10))</f>
        <v>404.2</v>
      </c>
    </row>
    <row r="5" spans="1:17" s="191" customFormat="1" ht="18" customHeight="1">
      <c r="A5" s="130">
        <v>45412</v>
      </c>
      <c r="B5" s="185">
        <v>899.80000000000007</v>
      </c>
      <c r="C5" s="190">
        <v>244703.9</v>
      </c>
      <c r="D5" s="190">
        <v>61106.7</v>
      </c>
      <c r="E5" s="451">
        <v>24.971690275471701</v>
      </c>
      <c r="F5" s="489">
        <v>322563</v>
      </c>
      <c r="G5" s="451">
        <v>65643</v>
      </c>
      <c r="H5" s="451">
        <v>20.350443169241359</v>
      </c>
      <c r="I5" s="451">
        <v>61106.7</v>
      </c>
      <c r="J5" s="451">
        <v>100</v>
      </c>
      <c r="K5" s="451">
        <v>65643</v>
      </c>
      <c r="L5" s="451">
        <v>100</v>
      </c>
      <c r="M5" s="451">
        <v>36.9</v>
      </c>
      <c r="N5" s="451">
        <v>6.0386176965864631E-2</v>
      </c>
      <c r="O5" s="451">
        <v>10723</v>
      </c>
      <c r="P5" s="451">
        <v>65728</v>
      </c>
      <c r="Q5" s="451">
        <v>388.39</v>
      </c>
    </row>
    <row r="6" spans="1:17" s="191" customFormat="1" ht="18" customHeight="1">
      <c r="A6" s="130">
        <v>45443</v>
      </c>
      <c r="B6" s="185">
        <v>966.54922999999997</v>
      </c>
      <c r="C6" s="190">
        <v>218716.79103000002</v>
      </c>
      <c r="D6" s="190">
        <v>59194.741759999997</v>
      </c>
      <c r="E6" s="451">
        <v>27.064562113057256</v>
      </c>
      <c r="F6" s="489">
        <v>348357.35534477304</v>
      </c>
      <c r="G6" s="451">
        <v>75625.271933649012</v>
      </c>
      <c r="H6" s="451">
        <v>21.709107263947928</v>
      </c>
      <c r="I6" s="451">
        <v>59194.741759999997</v>
      </c>
      <c r="J6" s="451">
        <v>100</v>
      </c>
      <c r="K6" s="451">
        <v>75625.271933649012</v>
      </c>
      <c r="L6" s="451">
        <v>100</v>
      </c>
      <c r="M6" s="451">
        <v>36.9</v>
      </c>
      <c r="N6" s="451">
        <v>6.23366179205712E-2</v>
      </c>
      <c r="O6" s="451">
        <v>17091.92986281</v>
      </c>
      <c r="P6" s="451">
        <v>75803.255626326019</v>
      </c>
      <c r="Q6" s="451">
        <v>390.68</v>
      </c>
    </row>
    <row r="7" spans="1:17" s="191" customFormat="1" ht="18" customHeight="1">
      <c r="A7" s="130">
        <v>45473</v>
      </c>
      <c r="B7" s="185">
        <v>1136.38831</v>
      </c>
      <c r="C7" s="190">
        <v>257986.48963</v>
      </c>
      <c r="D7" s="190">
        <v>67401.840809999994</v>
      </c>
      <c r="E7" s="451">
        <v>26.126112614139842</v>
      </c>
      <c r="F7" s="489">
        <v>455683.61165110097</v>
      </c>
      <c r="G7" s="451">
        <v>96898.293881525999</v>
      </c>
      <c r="H7" s="451">
        <v>21.26437980300183</v>
      </c>
      <c r="I7" s="451">
        <v>67401.840809999994</v>
      </c>
      <c r="J7" s="451">
        <v>100</v>
      </c>
      <c r="K7" s="451">
        <v>96898.293881525999</v>
      </c>
      <c r="L7" s="451">
        <v>100</v>
      </c>
      <c r="M7" s="451">
        <v>36.852669999999996</v>
      </c>
      <c r="N7" s="451">
        <v>5.4676058631520925E-2</v>
      </c>
      <c r="O7" s="451">
        <v>25741.095401997001</v>
      </c>
      <c r="P7" s="451">
        <v>96971.005816823017</v>
      </c>
      <c r="Q7" s="451">
        <v>393.35</v>
      </c>
    </row>
    <row r="8" spans="1:17" s="191" customFormat="1" ht="18" customHeight="1">
      <c r="A8" s="130">
        <v>45504</v>
      </c>
      <c r="B8" s="185">
        <v>1330.71164</v>
      </c>
      <c r="C8" s="185">
        <v>296040.5</v>
      </c>
      <c r="D8" s="185">
        <v>81898</v>
      </c>
      <c r="E8" s="451">
        <v>27.664458072459681</v>
      </c>
      <c r="F8" s="451">
        <v>510718</v>
      </c>
      <c r="G8" s="451">
        <v>99972</v>
      </c>
      <c r="H8" s="451">
        <v>19.574794700793785</v>
      </c>
      <c r="I8" s="451">
        <v>81898</v>
      </c>
      <c r="J8" s="451">
        <v>100</v>
      </c>
      <c r="K8" s="451">
        <v>99972</v>
      </c>
      <c r="L8" s="451">
        <v>100</v>
      </c>
      <c r="M8" s="451">
        <v>56.2</v>
      </c>
      <c r="N8" s="451">
        <v>6.8621944369825882E-2</v>
      </c>
      <c r="O8" s="451">
        <v>20234.340056020996</v>
      </c>
      <c r="P8" s="451">
        <v>100030.25752097502</v>
      </c>
      <c r="Q8" s="451">
        <v>397.41</v>
      </c>
    </row>
    <row r="9" spans="1:17" s="191" customFormat="1" ht="18" customHeight="1">
      <c r="A9" s="130">
        <v>45535</v>
      </c>
      <c r="B9" s="185">
        <v>1142.6517699999999</v>
      </c>
      <c r="C9" s="185">
        <v>243353.90068999992</v>
      </c>
      <c r="D9" s="185">
        <v>62087.472249999992</v>
      </c>
      <c r="E9" s="451">
        <v>25.513243089162994</v>
      </c>
      <c r="F9" s="451">
        <v>426180.76089938497</v>
      </c>
      <c r="G9" s="451">
        <v>95495.707233723035</v>
      </c>
      <c r="H9" s="451">
        <v>22.407324777447702</v>
      </c>
      <c r="I9" s="451">
        <v>62087.472249999992</v>
      </c>
      <c r="J9" s="451">
        <v>100</v>
      </c>
      <c r="K9" s="451">
        <v>95495.707233723035</v>
      </c>
      <c r="L9" s="451">
        <v>100</v>
      </c>
      <c r="M9" s="451">
        <v>86.170290000000008</v>
      </c>
      <c r="N9" s="451">
        <v>0.13878852991957652</v>
      </c>
      <c r="O9" s="451">
        <v>19786.110506867008</v>
      </c>
      <c r="P9" s="451">
        <v>95569.577876345997</v>
      </c>
      <c r="Q9" s="451">
        <v>401.02</v>
      </c>
    </row>
    <row r="10" spans="1:17" s="191" customFormat="1">
      <c r="A10" s="130">
        <v>45565</v>
      </c>
      <c r="B10" s="185">
        <v>1076.35924</v>
      </c>
      <c r="C10" s="190">
        <v>224774.15528000001</v>
      </c>
      <c r="D10" s="190">
        <v>63273.629079999999</v>
      </c>
      <c r="E10" s="451">
        <v>28.149868476284723</v>
      </c>
      <c r="F10" s="489">
        <v>399671.32500333095</v>
      </c>
      <c r="G10" s="451">
        <v>89867.056549923989</v>
      </c>
      <c r="H10" s="451">
        <v>22.485239977918109</v>
      </c>
      <c r="I10" s="451">
        <v>63273.629079999999</v>
      </c>
      <c r="J10" s="451">
        <v>100</v>
      </c>
      <c r="K10" s="451">
        <v>89867.056549923989</v>
      </c>
      <c r="L10" s="451">
        <v>100</v>
      </c>
      <c r="M10" s="451">
        <v>132.60715999999999</v>
      </c>
      <c r="N10" s="451">
        <v>0.20957729456664823</v>
      </c>
      <c r="O10" s="451">
        <v>18295.891371858001</v>
      </c>
      <c r="P10" s="451">
        <v>89954.333687260994</v>
      </c>
      <c r="Q10" s="451">
        <v>404.2</v>
      </c>
    </row>
    <row r="11" spans="1:17" s="191" customFormat="1">
      <c r="A11" s="320" t="s">
        <v>1373</v>
      </c>
      <c r="B11" s="194"/>
      <c r="C11" s="193"/>
      <c r="D11" s="193"/>
      <c r="E11" s="213"/>
      <c r="F11" s="106"/>
      <c r="G11" s="193"/>
      <c r="H11" s="213"/>
      <c r="I11" s="193"/>
      <c r="J11" s="213"/>
      <c r="K11" s="193"/>
      <c r="L11" s="205"/>
      <c r="M11" s="193"/>
      <c r="N11" s="212"/>
      <c r="O11" s="193"/>
      <c r="P11" s="193"/>
      <c r="Q11" s="193"/>
    </row>
    <row r="12" spans="1:17" s="191" customFormat="1" ht="15" customHeight="1">
      <c r="A12" s="1457" t="s">
        <v>816</v>
      </c>
      <c r="B12" s="1457"/>
      <c r="C12" s="1457"/>
      <c r="D12" s="1457"/>
    </row>
    <row r="13" spans="1:17" s="191" customFormat="1">
      <c r="A13" s="231"/>
      <c r="B13" s="1298"/>
      <c r="C13" s="1298"/>
      <c r="D13" s="1298"/>
      <c r="E13" s="1298"/>
      <c r="F13" s="1298"/>
      <c r="G13" s="1298"/>
      <c r="H13" s="1298"/>
      <c r="I13" s="1298"/>
      <c r="J13" s="1298"/>
      <c r="K13" s="1298"/>
      <c r="L13" s="1298"/>
      <c r="M13" s="1298"/>
      <c r="N13" s="1298"/>
      <c r="O13" s="1298"/>
      <c r="P13" s="1298"/>
      <c r="Q13" s="1298"/>
    </row>
    <row r="14" spans="1:17" s="191" customFormat="1">
      <c r="A14" s="80"/>
      <c r="B14" s="80"/>
      <c r="C14" s="80"/>
      <c r="D14" s="80"/>
    </row>
  </sheetData>
  <mergeCells count="1">
    <mergeCell ref="A12:D12"/>
  </mergeCells>
  <printOptions horizontalCentered="1"/>
  <pageMargins left="0.78431372549019618" right="0.78431372549019618" top="0.98039215686274517" bottom="0.98039215686274517" header="0.50980392156862753" footer="0.50980392156862753"/>
  <pageSetup paperSize="9" fitToWidth="0" orientation="landscape" useFirstPageNumber="1" r:id="rId1"/>
  <headerFooter alignWithMargin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5"/>
  <sheetViews>
    <sheetView showGridLines="0" workbookViewId="0"/>
  </sheetViews>
  <sheetFormatPr defaultColWidth="9.140625" defaultRowHeight="15"/>
  <cols>
    <col min="1" max="1" width="14.42578125" style="80" customWidth="1"/>
    <col min="2" max="2" width="13.42578125" style="80" bestFit="1" customWidth="1"/>
    <col min="3" max="3" width="10.7109375" style="80" customWidth="1"/>
    <col min="4" max="4" width="9.7109375" style="80" bestFit="1" customWidth="1"/>
    <col min="5" max="5" width="16.5703125" style="80" bestFit="1" customWidth="1"/>
    <col min="6" max="6" width="14.140625" style="80" bestFit="1" customWidth="1"/>
    <col min="7" max="7" width="12.7109375" style="80" bestFit="1" customWidth="1"/>
    <col min="8" max="8" width="14.42578125" style="80" bestFit="1" customWidth="1"/>
    <col min="9" max="9" width="13.42578125" style="80" bestFit="1" customWidth="1"/>
    <col min="10" max="10" width="17.5703125" style="80" bestFit="1" customWidth="1"/>
    <col min="11" max="11" width="13.42578125" style="80" bestFit="1" customWidth="1"/>
    <col min="12" max="12" width="17.85546875" style="80" customWidth="1"/>
    <col min="13" max="13" width="13.140625" style="80" bestFit="1" customWidth="1"/>
    <col min="14" max="14" width="14.7109375" style="80" bestFit="1" customWidth="1"/>
    <col min="15" max="15" width="13.85546875" style="80" bestFit="1" customWidth="1"/>
    <col min="16" max="17" width="14.85546875" style="80" bestFit="1" customWidth="1"/>
    <col min="18" max="16384" width="9.140625" style="80"/>
  </cols>
  <sheetData>
    <row r="1" spans="1:17" ht="18" customHeight="1">
      <c r="A1" s="122" t="s">
        <v>817</v>
      </c>
      <c r="B1" s="122"/>
      <c r="C1" s="122"/>
      <c r="D1" s="122"/>
      <c r="E1" s="122"/>
      <c r="F1" s="122"/>
      <c r="G1" s="122"/>
      <c r="H1" s="122"/>
      <c r="I1" s="122"/>
    </row>
    <row r="2" spans="1:17" s="191" customFormat="1" ht="93" customHeight="1">
      <c r="A2" s="574" t="s">
        <v>468</v>
      </c>
      <c r="B2" s="574" t="s">
        <v>469</v>
      </c>
      <c r="C2" s="574" t="s">
        <v>470</v>
      </c>
      <c r="D2" s="574" t="s">
        <v>471</v>
      </c>
      <c r="E2" s="574" t="s">
        <v>472</v>
      </c>
      <c r="F2" s="574" t="s">
        <v>258</v>
      </c>
      <c r="G2" s="574" t="s">
        <v>484</v>
      </c>
      <c r="H2" s="574" t="s">
        <v>474</v>
      </c>
      <c r="I2" s="574" t="s">
        <v>475</v>
      </c>
      <c r="J2" s="574" t="s">
        <v>476</v>
      </c>
      <c r="K2" s="574" t="s">
        <v>477</v>
      </c>
      <c r="L2" s="574" t="s">
        <v>478</v>
      </c>
      <c r="M2" s="574" t="s">
        <v>479</v>
      </c>
      <c r="N2" s="574" t="s">
        <v>480</v>
      </c>
      <c r="O2" s="574" t="s">
        <v>481</v>
      </c>
      <c r="P2" s="574" t="s">
        <v>482</v>
      </c>
      <c r="Q2" s="574" t="s">
        <v>483</v>
      </c>
    </row>
    <row r="3" spans="1:17" s="84" customFormat="1" ht="18" customHeight="1">
      <c r="A3" s="316" t="s">
        <v>505</v>
      </c>
      <c r="B3" s="264">
        <v>69487.82673999999</v>
      </c>
      <c r="C3" s="265">
        <v>11268719.193800002</v>
      </c>
      <c r="D3" s="265">
        <v>2344344.1848999998</v>
      </c>
      <c r="E3" s="487">
        <v>20.803998614055867</v>
      </c>
      <c r="F3" s="487">
        <v>21748414.387699999</v>
      </c>
      <c r="G3" s="487">
        <v>5504035.4572999999</v>
      </c>
      <c r="H3" s="487">
        <v>25.30775512725587</v>
      </c>
      <c r="I3" s="487">
        <v>2341440.7551000002</v>
      </c>
      <c r="J3" s="487">
        <v>99.876151726410285</v>
      </c>
      <c r="K3" s="487">
        <v>5498635.5640999991</v>
      </c>
      <c r="L3" s="487">
        <v>99.901892107311212</v>
      </c>
      <c r="M3" s="487">
        <v>2903.4311500000003</v>
      </c>
      <c r="N3" s="487">
        <v>0.12384833117513626</v>
      </c>
      <c r="O3" s="487">
        <v>1303158.07</v>
      </c>
      <c r="P3" s="487">
        <v>5504035.4572999999</v>
      </c>
      <c r="Q3" s="488">
        <v>765.52</v>
      </c>
    </row>
    <row r="4" spans="1:17" s="84" customFormat="1" ht="18" customHeight="1">
      <c r="A4" s="570" t="s">
        <v>703</v>
      </c>
      <c r="B4" s="571">
        <v>55083.69657</v>
      </c>
      <c r="C4" s="571">
        <v>6991236.5610000007</v>
      </c>
      <c r="D4" s="571">
        <v>1560681.9531999999</v>
      </c>
      <c r="E4" s="572">
        <v>22.323403586514683</v>
      </c>
      <c r="F4" s="572">
        <v>17013244.028999999</v>
      </c>
      <c r="G4" s="572">
        <v>4178522.2753000003</v>
      </c>
      <c r="H4" s="572">
        <v>24.560408750838359</v>
      </c>
      <c r="I4" s="572">
        <v>1559052.3696999999</v>
      </c>
      <c r="J4" s="573">
        <v>99.895585164122735</v>
      </c>
      <c r="K4" s="572">
        <v>4176622.0688</v>
      </c>
      <c r="L4" s="573">
        <v>99.954524437712521</v>
      </c>
      <c r="M4" s="572">
        <v>1629.5835300000001</v>
      </c>
      <c r="N4" s="573">
        <v>0.10441483779950972</v>
      </c>
      <c r="O4" s="572">
        <v>978520.41000000015</v>
      </c>
      <c r="P4" s="572">
        <v>4178522.2753000003</v>
      </c>
      <c r="Q4" s="572">
        <v>853.43</v>
      </c>
    </row>
    <row r="5" spans="1:17" s="191" customFormat="1" ht="18" customHeight="1">
      <c r="A5" s="130">
        <v>45412</v>
      </c>
      <c r="B5" s="185">
        <v>7195.4276099999997</v>
      </c>
      <c r="C5" s="190">
        <v>1101489.7069999999</v>
      </c>
      <c r="D5" s="190">
        <v>246083.10620000001</v>
      </c>
      <c r="E5" s="451">
        <v>22.340935600000002</v>
      </c>
      <c r="F5" s="489">
        <v>2285452.9109999998</v>
      </c>
      <c r="G5" s="451">
        <v>562380.61869999999</v>
      </c>
      <c r="H5" s="451">
        <v>24.60696591</v>
      </c>
      <c r="I5" s="451">
        <v>245951.9013</v>
      </c>
      <c r="J5" s="451">
        <v>99.946682686988936</v>
      </c>
      <c r="K5" s="451">
        <v>562055.16500000004</v>
      </c>
      <c r="L5" s="451">
        <v>99.946682686988936</v>
      </c>
      <c r="M5" s="451">
        <v>131.20477</v>
      </c>
      <c r="N5" s="451">
        <v>5.3345703000000001E-2</v>
      </c>
      <c r="O5" s="451">
        <v>131968.62</v>
      </c>
      <c r="P5" s="451">
        <v>562380.61869999999</v>
      </c>
      <c r="Q5" s="451">
        <v>775.22</v>
      </c>
    </row>
    <row r="6" spans="1:17" s="191" customFormat="1" ht="18" customHeight="1">
      <c r="A6" s="130">
        <v>45443</v>
      </c>
      <c r="B6" s="185">
        <v>8145.3289599999998</v>
      </c>
      <c r="C6" s="190">
        <v>1012222.7340000001</v>
      </c>
      <c r="D6" s="190">
        <v>233019.56659999999</v>
      </c>
      <c r="E6" s="451">
        <v>23.020582210000001</v>
      </c>
      <c r="F6" s="489">
        <v>2543832.807</v>
      </c>
      <c r="G6" s="451">
        <v>617866.57259999996</v>
      </c>
      <c r="H6" s="451">
        <v>24.288804320000001</v>
      </c>
      <c r="I6" s="451">
        <v>232681.2132</v>
      </c>
      <c r="J6" s="451">
        <v>100</v>
      </c>
      <c r="K6" s="451">
        <v>617521.93420000002</v>
      </c>
      <c r="L6" s="451">
        <v>100</v>
      </c>
      <c r="M6" s="451">
        <v>338.35320999999999</v>
      </c>
      <c r="N6" s="451">
        <v>0.145414924</v>
      </c>
      <c r="O6" s="451">
        <v>130262.41</v>
      </c>
      <c r="P6" s="451">
        <v>617866.57259999996</v>
      </c>
      <c r="Q6" s="451">
        <v>819.86</v>
      </c>
    </row>
    <row r="7" spans="1:17" s="191" customFormat="1" ht="18" customHeight="1">
      <c r="A7" s="130">
        <v>45473</v>
      </c>
      <c r="B7" s="185">
        <v>9477.56</v>
      </c>
      <c r="C7" s="190">
        <v>1310108.94</v>
      </c>
      <c r="D7" s="190">
        <v>286125.69</v>
      </c>
      <c r="E7" s="451">
        <v>21.84</v>
      </c>
      <c r="F7" s="489">
        <v>3235067.35</v>
      </c>
      <c r="G7" s="451">
        <v>804129.5</v>
      </c>
      <c r="H7" s="451">
        <v>24.86</v>
      </c>
      <c r="I7" s="451">
        <v>285849.81</v>
      </c>
      <c r="J7" s="451">
        <v>100</v>
      </c>
      <c r="K7" s="451">
        <v>803773.09</v>
      </c>
      <c r="L7" s="451">
        <v>100</v>
      </c>
      <c r="M7" s="451">
        <v>275.88</v>
      </c>
      <c r="N7" s="451">
        <v>0.1</v>
      </c>
      <c r="O7" s="451">
        <v>215176.39</v>
      </c>
      <c r="P7" s="451">
        <v>804129.5</v>
      </c>
      <c r="Q7" s="451">
        <v>827.71</v>
      </c>
    </row>
    <row r="8" spans="1:17" s="191" customFormat="1" ht="18" customHeight="1">
      <c r="A8" s="130">
        <v>45504</v>
      </c>
      <c r="B8" s="185">
        <v>10077.48185</v>
      </c>
      <c r="C8" s="190">
        <v>1357050.5279999999</v>
      </c>
      <c r="D8" s="190">
        <v>284986.62599999999</v>
      </c>
      <c r="E8" s="451">
        <v>21.00044325</v>
      </c>
      <c r="F8" s="489">
        <v>3321712.1340000001</v>
      </c>
      <c r="G8" s="451">
        <v>763550.68409999995</v>
      </c>
      <c r="H8" s="451">
        <v>22.98666029</v>
      </c>
      <c r="I8" s="451">
        <v>284598.57829999999</v>
      </c>
      <c r="J8" s="451">
        <v>100</v>
      </c>
      <c r="K8" s="451">
        <v>763322.90269999998</v>
      </c>
      <c r="L8" s="451">
        <v>100</v>
      </c>
      <c r="M8" s="451">
        <v>388.04771</v>
      </c>
      <c r="N8" s="451">
        <v>0.13634913900000001</v>
      </c>
      <c r="O8" s="451">
        <v>156854.69</v>
      </c>
      <c r="P8" s="451">
        <v>763550.68409999995</v>
      </c>
      <c r="Q8" s="451">
        <v>836.15</v>
      </c>
    </row>
    <row r="9" spans="1:17" s="191" customFormat="1">
      <c r="A9" s="130">
        <v>45535</v>
      </c>
      <c r="B9" s="185">
        <v>10293.94713</v>
      </c>
      <c r="C9" s="185">
        <v>1086428.2990000001</v>
      </c>
      <c r="D9" s="185">
        <v>243118.50719999999</v>
      </c>
      <c r="E9" s="451">
        <v>22.37777749</v>
      </c>
      <c r="F9" s="451">
        <v>2762247.58</v>
      </c>
      <c r="G9" s="451">
        <v>691776.66709999996</v>
      </c>
      <c r="H9" s="451">
        <v>25.04397767</v>
      </c>
      <c r="I9" s="451">
        <v>242876.62390000001</v>
      </c>
      <c r="J9" s="451">
        <v>100</v>
      </c>
      <c r="K9" s="451">
        <v>691429.21120000002</v>
      </c>
      <c r="L9" s="451">
        <v>100</v>
      </c>
      <c r="M9" s="451">
        <v>241.88351</v>
      </c>
      <c r="N9" s="451">
        <v>9.9591104E-2</v>
      </c>
      <c r="O9" s="451">
        <v>164419.60999999999</v>
      </c>
      <c r="P9" s="451">
        <v>691776.66709999996</v>
      </c>
      <c r="Q9" s="451">
        <v>845.83</v>
      </c>
    </row>
    <row r="10" spans="1:17" s="191" customFormat="1" ht="18.75" customHeight="1">
      <c r="A10" s="130">
        <v>45565</v>
      </c>
      <c r="B10" s="185">
        <v>9893.9510200000004</v>
      </c>
      <c r="C10" s="190">
        <v>1123936.3529999999</v>
      </c>
      <c r="D10" s="190">
        <v>267348.4572</v>
      </c>
      <c r="E10" s="451">
        <v>23.78679687</v>
      </c>
      <c r="F10" s="489">
        <v>2864931.247</v>
      </c>
      <c r="G10" s="451">
        <v>738818.2328</v>
      </c>
      <c r="H10" s="451">
        <v>25.788340770000001</v>
      </c>
      <c r="I10" s="451">
        <v>267094.24300000002</v>
      </c>
      <c r="J10" s="451">
        <v>100</v>
      </c>
      <c r="K10" s="451">
        <v>738519.76569999999</v>
      </c>
      <c r="L10" s="451">
        <v>100</v>
      </c>
      <c r="M10" s="451">
        <v>254.21432999999999</v>
      </c>
      <c r="N10" s="451">
        <v>9.5177764999999998E-2</v>
      </c>
      <c r="O10" s="451">
        <v>179838.69</v>
      </c>
      <c r="P10" s="451">
        <v>738818.2328</v>
      </c>
      <c r="Q10" s="451">
        <v>853.43</v>
      </c>
    </row>
    <row r="11" spans="1:17" s="191" customFormat="1">
      <c r="A11" s="320" t="s">
        <v>1373</v>
      </c>
      <c r="B11" s="194"/>
      <c r="C11" s="106"/>
      <c r="D11" s="106"/>
      <c r="E11" s="205"/>
      <c r="F11" s="106"/>
      <c r="G11" s="106"/>
      <c r="H11" s="205"/>
      <c r="I11" s="106"/>
      <c r="J11" s="206"/>
      <c r="K11" s="106"/>
      <c r="L11" s="205"/>
      <c r="M11" s="194"/>
      <c r="N11" s="213"/>
      <c r="O11" s="214"/>
      <c r="P11" s="106"/>
      <c r="Q11" s="193"/>
    </row>
    <row r="12" spans="1:17" s="191" customFormat="1">
      <c r="A12" s="1430" t="s">
        <v>485</v>
      </c>
      <c r="B12" s="1430"/>
      <c r="C12" s="1430"/>
      <c r="D12" s="1430"/>
      <c r="E12" s="1430"/>
      <c r="F12" s="1430"/>
      <c r="G12" s="1430"/>
    </row>
    <row r="13" spans="1:17" s="191" customFormat="1">
      <c r="A13" s="1430" t="s">
        <v>818</v>
      </c>
      <c r="B13" s="1430"/>
      <c r="C13" s="1430"/>
      <c r="D13" s="1430"/>
      <c r="E13" s="1430"/>
      <c r="F13" s="1430"/>
      <c r="G13" s="1430"/>
    </row>
    <row r="14" spans="1:17" s="191" customFormat="1">
      <c r="A14" s="231"/>
      <c r="B14" s="98"/>
      <c r="C14" s="98"/>
      <c r="D14" s="98"/>
      <c r="E14" s="98"/>
      <c r="F14" s="98"/>
      <c r="G14" s="98"/>
      <c r="H14" s="98"/>
      <c r="I14" s="98"/>
      <c r="J14" s="98"/>
      <c r="K14" s="98"/>
      <c r="L14" s="98"/>
      <c r="M14" s="98"/>
      <c r="N14" s="98"/>
      <c r="O14" s="98"/>
      <c r="P14" s="98"/>
    </row>
    <row r="15" spans="1:17">
      <c r="B15" s="98"/>
    </row>
  </sheetData>
  <mergeCells count="2">
    <mergeCell ref="A12:G12"/>
    <mergeCell ref="A13:G13"/>
  </mergeCells>
  <printOptions horizontalCentered="1"/>
  <pageMargins left="0.78431372549019618" right="0.78431372549019618" top="0.98039215686274517" bottom="0.98039215686274517" header="0.50980392156862753" footer="0.50980392156862753"/>
  <pageSetup paperSize="9" fitToHeight="0" orientation="landscape" useFirstPageNumber="1" r:id="rId1"/>
  <headerFooter alignWithMargin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14"/>
  <sheetViews>
    <sheetView showGridLines="0" workbookViewId="0"/>
  </sheetViews>
  <sheetFormatPr defaultColWidth="9.140625" defaultRowHeight="15"/>
  <cols>
    <col min="1" max="1" width="14.42578125" style="80" customWidth="1"/>
    <col min="2" max="2" width="13.42578125" style="80" bestFit="1" customWidth="1"/>
    <col min="3" max="3" width="9.140625" style="80" bestFit="1" customWidth="1"/>
    <col min="4" max="4" width="9.7109375" style="80" bestFit="1" customWidth="1"/>
    <col min="5" max="5" width="16.28515625" style="80" bestFit="1" customWidth="1"/>
    <col min="6" max="6" width="11.7109375" style="80" bestFit="1" customWidth="1"/>
    <col min="7" max="7" width="11.42578125" style="80" bestFit="1" customWidth="1"/>
    <col min="8" max="8" width="14.140625" style="80" bestFit="1" customWidth="1"/>
    <col min="9" max="9" width="13.140625" style="80" bestFit="1" customWidth="1"/>
    <col min="10" max="10" width="17.28515625" style="80" bestFit="1" customWidth="1"/>
    <col min="11" max="11" width="13.140625" style="80" bestFit="1" customWidth="1"/>
    <col min="12" max="12" width="17.85546875" style="80" customWidth="1"/>
    <col min="13" max="13" width="12.85546875" style="80" bestFit="1" customWidth="1"/>
    <col min="14" max="14" width="14.42578125" style="80" bestFit="1" customWidth="1"/>
    <col min="15" max="15" width="13.5703125" style="80" bestFit="1" customWidth="1"/>
    <col min="16" max="17" width="14.5703125" style="80" bestFit="1" customWidth="1"/>
    <col min="18" max="16384" width="9.140625" style="80"/>
  </cols>
  <sheetData>
    <row r="1" spans="1:15" ht="14.25" customHeight="1">
      <c r="A1" s="122" t="s">
        <v>486</v>
      </c>
      <c r="B1" s="122"/>
      <c r="C1" s="122"/>
    </row>
    <row r="2" spans="1:15" s="191" customFormat="1" ht="71.25" customHeight="1">
      <c r="A2" s="574" t="s">
        <v>468</v>
      </c>
      <c r="B2" s="574" t="s">
        <v>469</v>
      </c>
      <c r="C2" s="574" t="s">
        <v>241</v>
      </c>
      <c r="D2" s="574" t="s">
        <v>471</v>
      </c>
      <c r="E2" s="574" t="s">
        <v>472</v>
      </c>
      <c r="F2" s="574" t="s">
        <v>258</v>
      </c>
      <c r="G2" s="574" t="s">
        <v>487</v>
      </c>
      <c r="H2" s="574" t="s">
        <v>474</v>
      </c>
      <c r="I2" s="574" t="s">
        <v>475</v>
      </c>
      <c r="J2" s="574" t="s">
        <v>476</v>
      </c>
      <c r="K2" s="574" t="s">
        <v>477</v>
      </c>
      <c r="L2" s="574" t="s">
        <v>478</v>
      </c>
      <c r="M2" s="574" t="s">
        <v>481</v>
      </c>
      <c r="N2" s="574" t="s">
        <v>482</v>
      </c>
      <c r="O2" s="574" t="s">
        <v>488</v>
      </c>
    </row>
    <row r="3" spans="1:15" s="191" customFormat="1" ht="18" customHeight="1">
      <c r="A3" s="316" t="s">
        <v>505</v>
      </c>
      <c r="B3" s="317" t="s">
        <v>221</v>
      </c>
      <c r="C3" s="318" t="s">
        <v>221</v>
      </c>
      <c r="D3" s="318" t="s">
        <v>221</v>
      </c>
      <c r="E3" s="319" t="s">
        <v>221</v>
      </c>
      <c r="F3" s="318" t="s">
        <v>221</v>
      </c>
      <c r="G3" s="318" t="s">
        <v>221</v>
      </c>
      <c r="H3" s="319" t="s">
        <v>221</v>
      </c>
      <c r="I3" s="318" t="s">
        <v>221</v>
      </c>
      <c r="J3" s="319" t="s">
        <v>221</v>
      </c>
      <c r="K3" s="318" t="s">
        <v>221</v>
      </c>
      <c r="L3" s="317" t="s">
        <v>221</v>
      </c>
      <c r="M3" s="318" t="s">
        <v>221</v>
      </c>
      <c r="N3" s="318" t="s">
        <v>221</v>
      </c>
      <c r="O3" s="672" t="s">
        <v>221</v>
      </c>
    </row>
    <row r="4" spans="1:15" s="191" customFormat="1" ht="18" customHeight="1">
      <c r="A4" s="575" t="s">
        <v>703</v>
      </c>
      <c r="B4" s="576" t="s">
        <v>221</v>
      </c>
      <c r="C4" s="577" t="s">
        <v>221</v>
      </c>
      <c r="D4" s="577" t="s">
        <v>221</v>
      </c>
      <c r="E4" s="578" t="s">
        <v>221</v>
      </c>
      <c r="F4" s="577" t="s">
        <v>221</v>
      </c>
      <c r="G4" s="577" t="s">
        <v>221</v>
      </c>
      <c r="H4" s="578" t="s">
        <v>221</v>
      </c>
      <c r="I4" s="577" t="s">
        <v>221</v>
      </c>
      <c r="J4" s="578" t="s">
        <v>221</v>
      </c>
      <c r="K4" s="577" t="s">
        <v>221</v>
      </c>
      <c r="L4" s="576" t="s">
        <v>221</v>
      </c>
      <c r="M4" s="577" t="s">
        <v>221</v>
      </c>
      <c r="N4" s="577" t="s">
        <v>221</v>
      </c>
      <c r="O4" s="577" t="s">
        <v>221</v>
      </c>
    </row>
    <row r="5" spans="1:15" s="191" customFormat="1" ht="18" customHeight="1">
      <c r="A5" s="130">
        <v>45412</v>
      </c>
      <c r="B5" s="134" t="s">
        <v>221</v>
      </c>
      <c r="C5" s="135" t="s">
        <v>221</v>
      </c>
      <c r="D5" s="135" t="s">
        <v>221</v>
      </c>
      <c r="E5" s="136" t="s">
        <v>221</v>
      </c>
      <c r="F5" s="135" t="s">
        <v>221</v>
      </c>
      <c r="G5" s="135" t="s">
        <v>221</v>
      </c>
      <c r="H5" s="136" t="s">
        <v>221</v>
      </c>
      <c r="I5" s="135" t="s">
        <v>221</v>
      </c>
      <c r="J5" s="136" t="s">
        <v>221</v>
      </c>
      <c r="K5" s="135" t="s">
        <v>221</v>
      </c>
      <c r="L5" s="134" t="s">
        <v>221</v>
      </c>
      <c r="M5" s="135" t="s">
        <v>221</v>
      </c>
      <c r="N5" s="135" t="s">
        <v>221</v>
      </c>
      <c r="O5" s="673" t="s">
        <v>221</v>
      </c>
    </row>
    <row r="6" spans="1:15" s="191" customFormat="1" ht="18" customHeight="1">
      <c r="A6" s="130">
        <v>45443</v>
      </c>
      <c r="B6" s="134" t="s">
        <v>221</v>
      </c>
      <c r="C6" s="135" t="s">
        <v>221</v>
      </c>
      <c r="D6" s="135" t="s">
        <v>221</v>
      </c>
      <c r="E6" s="136" t="s">
        <v>221</v>
      </c>
      <c r="F6" s="135" t="s">
        <v>221</v>
      </c>
      <c r="G6" s="135" t="s">
        <v>221</v>
      </c>
      <c r="H6" s="136" t="s">
        <v>221</v>
      </c>
      <c r="I6" s="135" t="s">
        <v>221</v>
      </c>
      <c r="J6" s="136" t="s">
        <v>221</v>
      </c>
      <c r="K6" s="135" t="s">
        <v>221</v>
      </c>
      <c r="L6" s="134" t="s">
        <v>221</v>
      </c>
      <c r="M6" s="135" t="s">
        <v>221</v>
      </c>
      <c r="N6" s="135" t="s">
        <v>221</v>
      </c>
      <c r="O6" s="673" t="s">
        <v>221</v>
      </c>
    </row>
    <row r="7" spans="1:15" s="191" customFormat="1" ht="18" customHeight="1">
      <c r="A7" s="130">
        <v>45473</v>
      </c>
      <c r="B7" s="134" t="s">
        <v>221</v>
      </c>
      <c r="C7" s="135" t="s">
        <v>221</v>
      </c>
      <c r="D7" s="135" t="s">
        <v>221</v>
      </c>
      <c r="E7" s="136" t="s">
        <v>221</v>
      </c>
      <c r="F7" s="135" t="s">
        <v>221</v>
      </c>
      <c r="G7" s="135" t="s">
        <v>221</v>
      </c>
      <c r="H7" s="136" t="s">
        <v>221</v>
      </c>
      <c r="I7" s="135" t="s">
        <v>221</v>
      </c>
      <c r="J7" s="136" t="s">
        <v>221</v>
      </c>
      <c r="K7" s="135" t="s">
        <v>221</v>
      </c>
      <c r="L7" s="134" t="s">
        <v>221</v>
      </c>
      <c r="M7" s="135" t="s">
        <v>221</v>
      </c>
      <c r="N7" s="135" t="s">
        <v>221</v>
      </c>
      <c r="O7" s="673" t="s">
        <v>221</v>
      </c>
    </row>
    <row r="8" spans="1:15" s="191" customFormat="1" ht="18" customHeight="1">
      <c r="A8" s="130">
        <v>45504</v>
      </c>
      <c r="B8" s="134" t="s">
        <v>221</v>
      </c>
      <c r="C8" s="135" t="s">
        <v>221</v>
      </c>
      <c r="D8" s="135" t="s">
        <v>221</v>
      </c>
      <c r="E8" s="136" t="s">
        <v>221</v>
      </c>
      <c r="F8" s="135" t="s">
        <v>221</v>
      </c>
      <c r="G8" s="135" t="s">
        <v>221</v>
      </c>
      <c r="H8" s="136" t="s">
        <v>221</v>
      </c>
      <c r="I8" s="135" t="s">
        <v>221</v>
      </c>
      <c r="J8" s="136" t="s">
        <v>221</v>
      </c>
      <c r="K8" s="135" t="s">
        <v>221</v>
      </c>
      <c r="L8" s="134" t="s">
        <v>221</v>
      </c>
      <c r="M8" s="135" t="s">
        <v>221</v>
      </c>
      <c r="N8" s="135" t="s">
        <v>221</v>
      </c>
      <c r="O8" s="673" t="s">
        <v>221</v>
      </c>
    </row>
    <row r="9" spans="1:15" s="191" customFormat="1" ht="18" customHeight="1">
      <c r="A9" s="130">
        <v>45535</v>
      </c>
      <c r="B9" s="134" t="s">
        <v>221</v>
      </c>
      <c r="C9" s="135" t="s">
        <v>221</v>
      </c>
      <c r="D9" s="135" t="s">
        <v>221</v>
      </c>
      <c r="E9" s="136" t="s">
        <v>221</v>
      </c>
      <c r="F9" s="135" t="s">
        <v>221</v>
      </c>
      <c r="G9" s="135" t="s">
        <v>221</v>
      </c>
      <c r="H9" s="136" t="s">
        <v>221</v>
      </c>
      <c r="I9" s="135" t="s">
        <v>221</v>
      </c>
      <c r="J9" s="136" t="s">
        <v>221</v>
      </c>
      <c r="K9" s="135" t="s">
        <v>221</v>
      </c>
      <c r="L9" s="134" t="s">
        <v>221</v>
      </c>
      <c r="M9" s="135" t="s">
        <v>221</v>
      </c>
      <c r="N9" s="135" t="s">
        <v>221</v>
      </c>
      <c r="O9" s="673" t="s">
        <v>221</v>
      </c>
    </row>
    <row r="10" spans="1:15" s="191" customFormat="1" ht="17.25" customHeight="1">
      <c r="A10" s="130">
        <v>45565</v>
      </c>
      <c r="B10" s="134" t="s">
        <v>221</v>
      </c>
      <c r="C10" s="135" t="s">
        <v>221</v>
      </c>
      <c r="D10" s="135" t="s">
        <v>221</v>
      </c>
      <c r="E10" s="136" t="s">
        <v>221</v>
      </c>
      <c r="F10" s="135" t="s">
        <v>221</v>
      </c>
      <c r="G10" s="135" t="s">
        <v>221</v>
      </c>
      <c r="H10" s="136" t="s">
        <v>221</v>
      </c>
      <c r="I10" s="135" t="s">
        <v>221</v>
      </c>
      <c r="J10" s="136" t="s">
        <v>221</v>
      </c>
      <c r="K10" s="135" t="s">
        <v>221</v>
      </c>
      <c r="L10" s="134" t="s">
        <v>221</v>
      </c>
      <c r="M10" s="135" t="s">
        <v>221</v>
      </c>
      <c r="N10" s="135" t="s">
        <v>221</v>
      </c>
      <c r="O10" s="673" t="s">
        <v>221</v>
      </c>
    </row>
    <row r="11" spans="1:15" s="191" customFormat="1">
      <c r="A11" s="1492" t="s">
        <v>265</v>
      </c>
      <c r="B11" s="1492"/>
      <c r="C11" s="1492"/>
      <c r="D11" s="1492"/>
      <c r="E11" s="1492"/>
      <c r="F11" s="1492"/>
      <c r="G11" s="1492"/>
      <c r="H11" s="1492"/>
      <c r="I11" s="1492"/>
      <c r="J11" s="1492"/>
      <c r="K11" s="1492"/>
      <c r="L11" s="1492"/>
      <c r="M11" s="1492"/>
      <c r="N11" s="1492"/>
      <c r="O11" s="1492"/>
    </row>
    <row r="12" spans="1:15" s="191" customFormat="1" ht="15" customHeight="1">
      <c r="A12" s="320" t="s">
        <v>1373</v>
      </c>
    </row>
    <row r="13" spans="1:15" s="191" customFormat="1">
      <c r="A13" s="231"/>
    </row>
    <row r="14" spans="1:15">
      <c r="D14" s="80" t="s">
        <v>651</v>
      </c>
    </row>
  </sheetData>
  <mergeCells count="1">
    <mergeCell ref="A11:O11"/>
  </mergeCells>
  <printOptions horizontalCentered="1"/>
  <pageMargins left="0.78431372549019618" right="0.78431372549019618" top="0.98039215686274517" bottom="0.98039215686274517" header="0.50980392156862753" footer="0.50980392156862753"/>
  <pageSetup paperSize="9" scale="63" orientation="landscape" useFirstPageNumber="1" r:id="rId1"/>
  <headerFooter alignWithMargin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21"/>
  <sheetViews>
    <sheetView workbookViewId="0"/>
  </sheetViews>
  <sheetFormatPr defaultColWidth="9.140625" defaultRowHeight="15"/>
  <cols>
    <col min="1" max="1" width="14.7109375" style="683" bestFit="1" customWidth="1"/>
    <col min="2" max="2" width="9.85546875" style="683" bestFit="1" customWidth="1"/>
    <col min="3" max="3" width="10.85546875" style="683" bestFit="1" customWidth="1"/>
    <col min="4" max="4" width="10" style="683" bestFit="1" customWidth="1"/>
    <col min="5" max="5" width="10.85546875" style="683" bestFit="1" customWidth="1"/>
    <col min="6" max="6" width="10" style="683" bestFit="1" customWidth="1"/>
    <col min="7" max="7" width="15.85546875" style="683" customWidth="1"/>
    <col min="8" max="8" width="14.140625" style="683" customWidth="1"/>
    <col min="9" max="9" width="15.28515625" style="683" bestFit="1" customWidth="1"/>
    <col min="10" max="10" width="15.140625" style="683" customWidth="1"/>
    <col min="11" max="11" width="13.7109375" style="683" bestFit="1" customWidth="1"/>
    <col min="12" max="12" width="15.5703125" style="683" bestFit="1" customWidth="1"/>
    <col min="13" max="13" width="9.85546875" style="683" bestFit="1" customWidth="1"/>
    <col min="14" max="14" width="10.85546875" style="683" bestFit="1" customWidth="1"/>
    <col min="15" max="15" width="14.7109375" style="683" bestFit="1" customWidth="1"/>
    <col min="16" max="16" width="12.85546875" style="683" customWidth="1"/>
    <col min="17" max="17" width="14.140625" style="683" customWidth="1"/>
    <col min="18" max="18" width="14.5703125" style="683" customWidth="1"/>
    <col min="19" max="19" width="15.42578125" style="683" customWidth="1"/>
    <col min="20" max="20" width="13.85546875" style="683" customWidth="1"/>
    <col min="21" max="21" width="17" style="683" bestFit="1" customWidth="1"/>
    <col min="22" max="22" width="12" style="683" customWidth="1"/>
    <col min="23" max="23" width="14.5703125" style="683" bestFit="1" customWidth="1"/>
    <col min="24" max="24" width="14" style="683" bestFit="1" customWidth="1"/>
    <col min="25" max="25" width="11.28515625" style="683" bestFit="1" customWidth="1"/>
    <col min="26" max="16384" width="9.140625" style="683"/>
  </cols>
  <sheetData>
    <row r="1" spans="1:25">
      <c r="A1" s="682" t="s">
        <v>648</v>
      </c>
      <c r="B1" s="682"/>
      <c r="C1" s="682"/>
      <c r="D1" s="682"/>
      <c r="E1" s="682"/>
      <c r="F1" s="682"/>
      <c r="G1" s="682"/>
      <c r="H1" s="682"/>
      <c r="I1" s="682"/>
      <c r="J1" s="682"/>
      <c r="K1" s="682"/>
      <c r="L1" s="682"/>
      <c r="M1" s="682"/>
      <c r="N1" s="682"/>
      <c r="O1" s="682"/>
      <c r="P1" s="682"/>
      <c r="Q1" s="682"/>
      <c r="R1" s="682"/>
    </row>
    <row r="2" spans="1:25" s="684" customFormat="1">
      <c r="A2" s="1511" t="s">
        <v>489</v>
      </c>
      <c r="B2" s="1511" t="s">
        <v>239</v>
      </c>
      <c r="C2" s="1495" t="s">
        <v>490</v>
      </c>
      <c r="D2" s="1514"/>
      <c r="E2" s="1495" t="s">
        <v>491</v>
      </c>
      <c r="F2" s="1503"/>
      <c r="G2" s="1493" t="s">
        <v>492</v>
      </c>
      <c r="H2" s="1494"/>
      <c r="I2" s="1494"/>
      <c r="J2" s="1494"/>
      <c r="K2" s="1494"/>
      <c r="L2" s="1509"/>
      <c r="M2" s="1493" t="s">
        <v>493</v>
      </c>
      <c r="N2" s="1494"/>
      <c r="O2" s="1494"/>
      <c r="P2" s="1494"/>
      <c r="Q2" s="1494"/>
      <c r="R2" s="1509"/>
      <c r="S2" s="1493" t="s">
        <v>494</v>
      </c>
      <c r="T2" s="1494"/>
      <c r="U2" s="1494"/>
      <c r="V2" s="1495" t="s">
        <v>495</v>
      </c>
      <c r="W2" s="1496"/>
    </row>
    <row r="3" spans="1:25" s="684" customFormat="1">
      <c r="A3" s="1513"/>
      <c r="B3" s="1513"/>
      <c r="C3" s="1515"/>
      <c r="D3" s="1516"/>
      <c r="E3" s="1515"/>
      <c r="F3" s="1517"/>
      <c r="G3" s="1499" t="s">
        <v>496</v>
      </c>
      <c r="H3" s="1499"/>
      <c r="I3" s="1499"/>
      <c r="J3" s="1499" t="s">
        <v>497</v>
      </c>
      <c r="K3" s="1499"/>
      <c r="L3" s="1499"/>
      <c r="M3" s="1499" t="s">
        <v>496</v>
      </c>
      <c r="N3" s="1499"/>
      <c r="O3" s="1499"/>
      <c r="P3" s="1499" t="s">
        <v>497</v>
      </c>
      <c r="Q3" s="1499"/>
      <c r="R3" s="1499"/>
      <c r="S3" s="1500" t="s">
        <v>498</v>
      </c>
      <c r="T3" s="1495" t="s">
        <v>258</v>
      </c>
      <c r="U3" s="1503"/>
      <c r="V3" s="1497"/>
      <c r="W3" s="1498"/>
    </row>
    <row r="4" spans="1:25" s="685" customFormat="1">
      <c r="A4" s="1513"/>
      <c r="B4" s="1513"/>
      <c r="C4" s="1506" t="s">
        <v>499</v>
      </c>
      <c r="D4" s="1511" t="s">
        <v>258</v>
      </c>
      <c r="E4" s="1506" t="s">
        <v>500</v>
      </c>
      <c r="F4" s="1511" t="s">
        <v>258</v>
      </c>
      <c r="G4" s="1506" t="s">
        <v>501</v>
      </c>
      <c r="H4" s="1507" t="s">
        <v>258</v>
      </c>
      <c r="I4" s="1508"/>
      <c r="J4" s="1506" t="s">
        <v>501</v>
      </c>
      <c r="K4" s="1507" t="s">
        <v>258</v>
      </c>
      <c r="L4" s="1508"/>
      <c r="M4" s="1506" t="s">
        <v>501</v>
      </c>
      <c r="N4" s="1507" t="s">
        <v>258</v>
      </c>
      <c r="O4" s="1508"/>
      <c r="P4" s="1506" t="s">
        <v>498</v>
      </c>
      <c r="Q4" s="1507" t="s">
        <v>258</v>
      </c>
      <c r="R4" s="1508"/>
      <c r="S4" s="1501"/>
      <c r="T4" s="1504"/>
      <c r="U4" s="1505"/>
      <c r="V4" s="1506" t="s">
        <v>501</v>
      </c>
      <c r="W4" s="1506" t="s">
        <v>232</v>
      </c>
    </row>
    <row r="5" spans="1:25" s="685" customFormat="1">
      <c r="A5" s="1512"/>
      <c r="B5" s="1512"/>
      <c r="C5" s="1506"/>
      <c r="D5" s="1512"/>
      <c r="E5" s="1506"/>
      <c r="F5" s="1512"/>
      <c r="G5" s="1506"/>
      <c r="H5" s="686" t="s">
        <v>503</v>
      </c>
      <c r="I5" s="686" t="s">
        <v>504</v>
      </c>
      <c r="J5" s="1506"/>
      <c r="K5" s="686" t="s">
        <v>503</v>
      </c>
      <c r="L5" s="686" t="s">
        <v>504</v>
      </c>
      <c r="M5" s="1506"/>
      <c r="N5" s="686" t="s">
        <v>503</v>
      </c>
      <c r="O5" s="686" t="s">
        <v>504</v>
      </c>
      <c r="P5" s="1506"/>
      <c r="Q5" s="686" t="s">
        <v>503</v>
      </c>
      <c r="R5" s="686" t="s">
        <v>504</v>
      </c>
      <c r="S5" s="1502"/>
      <c r="T5" s="686" t="s">
        <v>503</v>
      </c>
      <c r="U5" s="686" t="s">
        <v>504</v>
      </c>
      <c r="V5" s="1499"/>
      <c r="W5" s="1506"/>
    </row>
    <row r="6" spans="1:25" s="685" customFormat="1">
      <c r="A6" s="687">
        <f>1</f>
        <v>1</v>
      </c>
      <c r="B6" s="688">
        <f t="shared" ref="B6:W6" si="0">A6+1</f>
        <v>2</v>
      </c>
      <c r="C6" s="688">
        <f t="shared" si="0"/>
        <v>3</v>
      </c>
      <c r="D6" s="688">
        <f t="shared" si="0"/>
        <v>4</v>
      </c>
      <c r="E6" s="688">
        <f t="shared" si="0"/>
        <v>5</v>
      </c>
      <c r="F6" s="688">
        <f t="shared" si="0"/>
        <v>6</v>
      </c>
      <c r="G6" s="688">
        <f t="shared" si="0"/>
        <v>7</v>
      </c>
      <c r="H6" s="688">
        <f t="shared" si="0"/>
        <v>8</v>
      </c>
      <c r="I6" s="688">
        <f t="shared" si="0"/>
        <v>9</v>
      </c>
      <c r="J6" s="688">
        <f t="shared" si="0"/>
        <v>10</v>
      </c>
      <c r="K6" s="688">
        <f t="shared" si="0"/>
        <v>11</v>
      </c>
      <c r="L6" s="688">
        <f t="shared" si="0"/>
        <v>12</v>
      </c>
      <c r="M6" s="688">
        <f t="shared" si="0"/>
        <v>13</v>
      </c>
      <c r="N6" s="688">
        <f t="shared" si="0"/>
        <v>14</v>
      </c>
      <c r="O6" s="688">
        <f t="shared" si="0"/>
        <v>15</v>
      </c>
      <c r="P6" s="688">
        <f t="shared" si="0"/>
        <v>16</v>
      </c>
      <c r="Q6" s="688">
        <f t="shared" si="0"/>
        <v>17</v>
      </c>
      <c r="R6" s="688">
        <f t="shared" si="0"/>
        <v>18</v>
      </c>
      <c r="S6" s="688">
        <f t="shared" si="0"/>
        <v>19</v>
      </c>
      <c r="T6" s="688">
        <f t="shared" si="0"/>
        <v>20</v>
      </c>
      <c r="U6" s="688">
        <f t="shared" si="0"/>
        <v>21</v>
      </c>
      <c r="V6" s="688">
        <f t="shared" si="0"/>
        <v>22</v>
      </c>
      <c r="W6" s="688">
        <f t="shared" si="0"/>
        <v>23</v>
      </c>
    </row>
    <row r="7" spans="1:25" s="685" customFormat="1">
      <c r="A7" s="689" t="s">
        <v>505</v>
      </c>
      <c r="B7" s="690">
        <v>246</v>
      </c>
      <c r="C7" s="691">
        <v>281532</v>
      </c>
      <c r="D7" s="691">
        <v>20247.138979424999</v>
      </c>
      <c r="E7" s="692">
        <v>1</v>
      </c>
      <c r="F7" s="692">
        <v>9.4170000000000004E-2</v>
      </c>
      <c r="G7" s="693">
        <v>5800012712</v>
      </c>
      <c r="H7" s="694">
        <v>259453.90862050003</v>
      </c>
      <c r="I7" s="694">
        <v>414316521.51317048</v>
      </c>
      <c r="J7" s="693">
        <v>5499653676</v>
      </c>
      <c r="K7" s="694">
        <v>233206.67681227502</v>
      </c>
      <c r="L7" s="694">
        <v>388498615.51731229</v>
      </c>
      <c r="M7" s="695">
        <v>0</v>
      </c>
      <c r="N7" s="696">
        <v>0</v>
      </c>
      <c r="O7" s="696">
        <v>0</v>
      </c>
      <c r="P7" s="695">
        <v>0</v>
      </c>
      <c r="Q7" s="696">
        <v>0</v>
      </c>
      <c r="R7" s="696">
        <v>0</v>
      </c>
      <c r="S7" s="693">
        <v>11299947921</v>
      </c>
      <c r="T7" s="697">
        <v>512907.81858219998</v>
      </c>
      <c r="U7" s="698">
        <v>802835384.2636323</v>
      </c>
      <c r="V7" s="693">
        <v>2183095.5</v>
      </c>
      <c r="W7" s="694">
        <v>161229.46758444002</v>
      </c>
      <c r="X7" s="699"/>
    </row>
    <row r="8" spans="1:25" s="685" customFormat="1">
      <c r="A8" s="700" t="s">
        <v>703</v>
      </c>
      <c r="B8" s="701">
        <f t="shared" ref="B8:U8" si="1">SUM(B9:B14)</f>
        <v>125</v>
      </c>
      <c r="C8" s="701">
        <f t="shared" si="1"/>
        <v>295194</v>
      </c>
      <c r="D8" s="701">
        <f t="shared" si="1"/>
        <v>23802.45314845</v>
      </c>
      <c r="E8" s="701">
        <f t="shared" si="1"/>
        <v>6322</v>
      </c>
      <c r="F8" s="701">
        <f t="shared" si="1"/>
        <v>479.85176323500002</v>
      </c>
      <c r="G8" s="701">
        <f t="shared" si="1"/>
        <v>8948590159</v>
      </c>
      <c r="H8" s="702">
        <f t="shared" si="1"/>
        <v>495453.57947627502</v>
      </c>
      <c r="I8" s="702">
        <f t="shared" si="1"/>
        <v>727879271.81052637</v>
      </c>
      <c r="J8" s="701">
        <f t="shared" si="1"/>
        <v>8523423882</v>
      </c>
      <c r="K8" s="702">
        <f t="shared" si="1"/>
        <v>466427.95639985002</v>
      </c>
      <c r="L8" s="702">
        <f t="shared" si="1"/>
        <v>683763748.85144925</v>
      </c>
      <c r="M8" s="701">
        <f t="shared" si="1"/>
        <v>1485</v>
      </c>
      <c r="N8" s="703">
        <f t="shared" si="1"/>
        <v>1.41669</v>
      </c>
      <c r="O8" s="703">
        <f t="shared" si="1"/>
        <v>127.4037525</v>
      </c>
      <c r="P8" s="701">
        <f t="shared" si="1"/>
        <v>1402</v>
      </c>
      <c r="Q8" s="703">
        <f>SUM(Q9:Q14)</f>
        <v>1.4147978749999999</v>
      </c>
      <c r="R8" s="703">
        <f t="shared" si="1"/>
        <v>117.695485375</v>
      </c>
      <c r="S8" s="701">
        <f t="shared" si="1"/>
        <v>17472318444</v>
      </c>
      <c r="T8" s="704">
        <f>SUM(T9:T14)</f>
        <v>961985.852189</v>
      </c>
      <c r="U8" s="704">
        <f t="shared" si="1"/>
        <v>1411667446.5813003</v>
      </c>
      <c r="V8" s="705">
        <f>INDEX(V9:V14,COUNT(V9:V14))</f>
        <v>2446013</v>
      </c>
      <c r="W8" s="706">
        <f>INDEX(W9:W14,COUNT(W9:W14))</f>
        <v>218973.35857903372</v>
      </c>
      <c r="X8" s="230"/>
      <c r="Y8" s="230"/>
    </row>
    <row r="9" spans="1:25" s="230" customFormat="1">
      <c r="A9" s="707">
        <v>45412</v>
      </c>
      <c r="B9" s="708">
        <v>20</v>
      </c>
      <c r="C9" s="709">
        <v>43584</v>
      </c>
      <c r="D9" s="709">
        <v>3336.6670426249998</v>
      </c>
      <c r="E9" s="709">
        <v>0</v>
      </c>
      <c r="F9" s="709">
        <v>0</v>
      </c>
      <c r="G9" s="709">
        <v>1136394739</v>
      </c>
      <c r="H9" s="710">
        <v>59762.223941775002</v>
      </c>
      <c r="I9" s="710">
        <v>87127144.360391781</v>
      </c>
      <c r="J9" s="709">
        <v>1087904500</v>
      </c>
      <c r="K9" s="710">
        <v>57625.138691400003</v>
      </c>
      <c r="L9" s="710">
        <v>82368154.030341387</v>
      </c>
      <c r="M9" s="709">
        <v>0</v>
      </c>
      <c r="N9" s="711">
        <v>0</v>
      </c>
      <c r="O9" s="711">
        <v>0</v>
      </c>
      <c r="P9" s="709">
        <v>0</v>
      </c>
      <c r="Q9" s="711">
        <v>0</v>
      </c>
      <c r="R9" s="711">
        <v>0</v>
      </c>
      <c r="S9" s="709">
        <v>2224342823</v>
      </c>
      <c r="T9" s="712">
        <v>117387.36263317501</v>
      </c>
      <c r="U9" s="712">
        <v>169498635.0577758</v>
      </c>
      <c r="V9" s="709">
        <v>293730</v>
      </c>
      <c r="W9" s="710">
        <v>22345.473455765401</v>
      </c>
      <c r="X9" s="713"/>
    </row>
    <row r="10" spans="1:25" s="230" customFormat="1">
      <c r="A10" s="707">
        <v>45443</v>
      </c>
      <c r="B10" s="714">
        <v>22</v>
      </c>
      <c r="C10" s="709">
        <v>33975</v>
      </c>
      <c r="D10" s="709">
        <v>2552.1349276999999</v>
      </c>
      <c r="E10" s="715">
        <v>0</v>
      </c>
      <c r="F10" s="715">
        <v>0</v>
      </c>
      <c r="G10" s="709">
        <v>1480962413</v>
      </c>
      <c r="H10" s="710">
        <v>78074.340969249999</v>
      </c>
      <c r="I10" s="710">
        <v>113135370.505569</v>
      </c>
      <c r="J10" s="709">
        <v>1413930789</v>
      </c>
      <c r="K10" s="710">
        <v>80786.207591275001</v>
      </c>
      <c r="L10" s="710">
        <v>106604271.105891</v>
      </c>
      <c r="M10" s="695">
        <v>0</v>
      </c>
      <c r="N10" s="696">
        <v>0</v>
      </c>
      <c r="O10" s="696">
        <v>0</v>
      </c>
      <c r="P10" s="695">
        <v>0</v>
      </c>
      <c r="Q10" s="696">
        <v>0</v>
      </c>
      <c r="R10" s="696">
        <v>0</v>
      </c>
      <c r="S10" s="709">
        <v>2894927177</v>
      </c>
      <c r="T10" s="712">
        <v>158860.548560525</v>
      </c>
      <c r="U10" s="712">
        <v>219742193.74638769</v>
      </c>
      <c r="V10" s="716">
        <v>5790595</v>
      </c>
      <c r="W10" s="717">
        <v>429596.61929389084</v>
      </c>
      <c r="X10" s="713"/>
    </row>
    <row r="11" spans="1:25" s="230" customFormat="1">
      <c r="A11" s="707">
        <v>45473</v>
      </c>
      <c r="B11" s="714">
        <v>19</v>
      </c>
      <c r="C11" s="709">
        <v>34978</v>
      </c>
      <c r="D11" s="709">
        <v>2723.8138489749999</v>
      </c>
      <c r="E11" s="715">
        <v>0</v>
      </c>
      <c r="F11" s="715">
        <v>0</v>
      </c>
      <c r="G11" s="709">
        <v>1346324635</v>
      </c>
      <c r="H11" s="710">
        <v>85283.051491524995</v>
      </c>
      <c r="I11" s="710">
        <v>108224842.59604155</v>
      </c>
      <c r="J11" s="709">
        <v>1242473794</v>
      </c>
      <c r="K11" s="710">
        <v>75332.357840750003</v>
      </c>
      <c r="L11" s="710">
        <v>98148144.476640731</v>
      </c>
      <c r="M11" s="695">
        <v>1</v>
      </c>
      <c r="N11" s="696">
        <v>5.5000000000000003E-4</v>
      </c>
      <c r="O11" s="696">
        <v>9.4049999999999995E-2</v>
      </c>
      <c r="P11" s="695">
        <v>0</v>
      </c>
      <c r="Q11" s="696">
        <v>0</v>
      </c>
      <c r="R11" s="696">
        <v>0</v>
      </c>
      <c r="S11" s="709">
        <v>2588833408</v>
      </c>
      <c r="T11" s="712">
        <v>160615.503382275</v>
      </c>
      <c r="U11" s="712">
        <v>206375710.88708127</v>
      </c>
      <c r="V11" s="709">
        <v>5629594</v>
      </c>
      <c r="W11" s="710">
        <v>447793.51541313197</v>
      </c>
      <c r="X11" s="713"/>
    </row>
    <row r="12" spans="1:25" s="230" customFormat="1">
      <c r="A12" s="707">
        <v>45504</v>
      </c>
      <c r="B12" s="714">
        <v>22</v>
      </c>
      <c r="C12" s="709">
        <v>59154</v>
      </c>
      <c r="D12" s="709">
        <v>4923.4785871499998</v>
      </c>
      <c r="E12" s="715">
        <v>4148</v>
      </c>
      <c r="F12" s="715">
        <v>316.13313826000001</v>
      </c>
      <c r="G12" s="709">
        <v>1552223317</v>
      </c>
      <c r="H12" s="710">
        <v>86713.362039575019</v>
      </c>
      <c r="I12" s="710">
        <v>130231536.09323999</v>
      </c>
      <c r="J12" s="709">
        <v>1498086409</v>
      </c>
      <c r="K12" s="710">
        <v>77721.036395225005</v>
      </c>
      <c r="L12" s="710">
        <v>124025065.335945</v>
      </c>
      <c r="M12" s="695">
        <v>185</v>
      </c>
      <c r="N12" s="696">
        <v>0.131217</v>
      </c>
      <c r="O12" s="696">
        <v>15.357917</v>
      </c>
      <c r="P12" s="695">
        <v>235</v>
      </c>
      <c r="Q12" s="696">
        <v>0.19669162499999998</v>
      </c>
      <c r="R12" s="696">
        <v>20.241841624999999</v>
      </c>
      <c r="S12" s="709">
        <v>3050373448</v>
      </c>
      <c r="T12" s="712">
        <v>164434.72634342502</v>
      </c>
      <c r="U12" s="712">
        <v>254261876.64066902</v>
      </c>
      <c r="V12" s="709">
        <v>386890</v>
      </c>
      <c r="W12" s="710">
        <v>31854.729854189307</v>
      </c>
    </row>
    <row r="13" spans="1:25" s="230" customFormat="1">
      <c r="A13" s="707">
        <v>45535</v>
      </c>
      <c r="B13" s="714">
        <v>21</v>
      </c>
      <c r="C13" s="709">
        <v>54937</v>
      </c>
      <c r="D13" s="709">
        <v>4491.7687243250002</v>
      </c>
      <c r="E13" s="715">
        <v>1354</v>
      </c>
      <c r="F13" s="715">
        <v>100.69705222499999</v>
      </c>
      <c r="G13" s="709">
        <v>1619272368</v>
      </c>
      <c r="H13" s="710">
        <v>81683.635179774996</v>
      </c>
      <c r="I13" s="710">
        <v>133812881.26422979</v>
      </c>
      <c r="J13" s="709">
        <v>1549871507</v>
      </c>
      <c r="K13" s="710">
        <v>78326.071791675</v>
      </c>
      <c r="L13" s="710">
        <v>126491647.07559168</v>
      </c>
      <c r="M13" s="695">
        <v>694</v>
      </c>
      <c r="N13" s="696">
        <v>0.83769487499999995</v>
      </c>
      <c r="O13" s="696">
        <v>60.170269875000002</v>
      </c>
      <c r="P13" s="695">
        <v>537</v>
      </c>
      <c r="Q13" s="696">
        <v>0.60544587500000002</v>
      </c>
      <c r="R13" s="696">
        <v>46.783945875000001</v>
      </c>
      <c r="S13" s="718">
        <v>3169201397</v>
      </c>
      <c r="T13" s="712">
        <v>160011.1501122</v>
      </c>
      <c r="U13" s="712">
        <v>260309227.75981376</v>
      </c>
      <c r="V13" s="718">
        <v>6197779</v>
      </c>
      <c r="W13" s="719">
        <v>511813.33</v>
      </c>
    </row>
    <row r="14" spans="1:25" s="230" customFormat="1">
      <c r="A14" s="707">
        <v>45565</v>
      </c>
      <c r="B14" s="714">
        <v>21</v>
      </c>
      <c r="C14" s="709">
        <v>68566</v>
      </c>
      <c r="D14" s="709">
        <v>5774.5900176750001</v>
      </c>
      <c r="E14" s="715">
        <v>820</v>
      </c>
      <c r="F14" s="715">
        <v>63.021572749999997</v>
      </c>
      <c r="G14" s="709">
        <v>1813412687</v>
      </c>
      <c r="H14" s="720">
        <v>103936.965854375</v>
      </c>
      <c r="I14" s="710">
        <v>155347496.99105436</v>
      </c>
      <c r="J14" s="709">
        <v>1731156883</v>
      </c>
      <c r="K14" s="721">
        <v>96637.144089524998</v>
      </c>
      <c r="L14" s="710">
        <v>146126466.82703951</v>
      </c>
      <c r="M14" s="718">
        <v>605</v>
      </c>
      <c r="N14" s="722">
        <v>0.44722812499999998</v>
      </c>
      <c r="O14" s="723">
        <v>51.781515624999997</v>
      </c>
      <c r="P14" s="724">
        <v>630</v>
      </c>
      <c r="Q14" s="725">
        <v>0.61266037499999992</v>
      </c>
      <c r="R14" s="725">
        <v>50.669697874999997</v>
      </c>
      <c r="S14" s="724">
        <v>3544640191</v>
      </c>
      <c r="T14" s="712">
        <v>200676.56115740002</v>
      </c>
      <c r="U14" s="712">
        <v>301479802.48957282</v>
      </c>
      <c r="V14" s="724">
        <v>2446013</v>
      </c>
      <c r="W14" s="726">
        <v>218973.35857903372</v>
      </c>
    </row>
    <row r="15" spans="1:25">
      <c r="A15" s="727" t="s">
        <v>1373</v>
      </c>
      <c r="B15" s="728"/>
      <c r="C15" s="728"/>
      <c r="D15" s="728"/>
      <c r="E15" s="728"/>
      <c r="F15" s="728"/>
      <c r="G15" s="729"/>
      <c r="H15" s="729"/>
      <c r="I15" s="729"/>
      <c r="J15" s="728"/>
      <c r="K15" s="728"/>
      <c r="L15" s="728"/>
      <c r="M15" s="729"/>
      <c r="N15" s="729"/>
      <c r="O15" s="729"/>
      <c r="P15" s="728"/>
      <c r="R15" s="728"/>
      <c r="T15" s="730"/>
    </row>
    <row r="16" spans="1:25">
      <c r="A16" s="682" t="s">
        <v>506</v>
      </c>
      <c r="B16" s="682"/>
      <c r="C16" s="682"/>
      <c r="D16" s="682"/>
      <c r="E16" s="682"/>
      <c r="F16" s="682"/>
      <c r="G16" s="729"/>
      <c r="H16" s="729"/>
      <c r="I16" s="729"/>
      <c r="J16" s="728"/>
      <c r="K16" s="728"/>
      <c r="L16" s="728"/>
      <c r="M16" s="729"/>
      <c r="N16" s="729"/>
      <c r="O16" s="729"/>
      <c r="P16" s="230"/>
      <c r="Q16" s="230"/>
      <c r="R16" s="230"/>
      <c r="S16" s="230"/>
      <c r="T16" s="731"/>
      <c r="U16" s="731"/>
      <c r="V16" s="230"/>
      <c r="W16" s="230"/>
    </row>
    <row r="17" spans="1:23">
      <c r="A17" s="732" t="s">
        <v>1356</v>
      </c>
      <c r="B17" s="728"/>
      <c r="C17" s="728"/>
      <c r="D17" s="728"/>
      <c r="E17" s="728"/>
      <c r="F17" s="728"/>
      <c r="G17" s="728"/>
      <c r="H17" s="728"/>
      <c r="I17" s="728"/>
      <c r="J17" s="728"/>
      <c r="K17" s="230"/>
      <c r="L17" s="230"/>
      <c r="M17" s="230"/>
      <c r="N17" s="230"/>
      <c r="O17" s="230"/>
      <c r="P17" s="230"/>
      <c r="Q17" s="230"/>
      <c r="R17" s="230"/>
      <c r="S17" s="230"/>
      <c r="T17" s="731"/>
      <c r="U17" s="731"/>
      <c r="V17" s="230"/>
      <c r="W17" s="230"/>
    </row>
    <row r="18" spans="1:23">
      <c r="A18" s="732" t="s">
        <v>1357</v>
      </c>
      <c r="B18" s="728"/>
      <c r="C18" s="728"/>
      <c r="D18" s="728"/>
      <c r="E18" s="728"/>
      <c r="F18" s="728"/>
      <c r="G18" s="728"/>
      <c r="H18" s="728"/>
      <c r="I18" s="728"/>
      <c r="J18" s="728"/>
      <c r="K18" s="230"/>
      <c r="L18" s="230"/>
      <c r="M18" s="230"/>
      <c r="N18" s="230"/>
      <c r="O18" s="230"/>
      <c r="P18" s="230"/>
      <c r="Q18" s="230"/>
      <c r="R18" s="230"/>
      <c r="S18" s="230"/>
      <c r="T18" s="731"/>
      <c r="U18" s="731"/>
      <c r="V18" s="230"/>
      <c r="W18" s="230"/>
    </row>
    <row r="19" spans="1:23">
      <c r="A19" s="1510" t="s">
        <v>295</v>
      </c>
      <c r="B19" s="1510"/>
      <c r="C19" s="1510"/>
      <c r="D19" s="1510"/>
      <c r="E19" s="1510"/>
      <c r="F19" s="1510"/>
      <c r="G19" s="1510"/>
      <c r="H19" s="1510"/>
      <c r="I19" s="1510"/>
      <c r="J19" s="1510"/>
      <c r="K19" s="230"/>
      <c r="L19" s="230"/>
      <c r="M19" s="230"/>
      <c r="N19" s="230"/>
      <c r="O19" s="230"/>
      <c r="P19" s="230"/>
      <c r="Q19" s="230"/>
      <c r="R19" s="230"/>
      <c r="S19" s="230"/>
      <c r="T19" s="731"/>
      <c r="U19" s="731"/>
      <c r="V19" s="230"/>
      <c r="W19" s="230"/>
    </row>
    <row r="21" spans="1:23">
      <c r="B21" s="752"/>
      <c r="C21" s="752"/>
      <c r="D21" s="752"/>
      <c r="E21" s="752"/>
      <c r="F21" s="752"/>
      <c r="G21" s="752"/>
      <c r="H21" s="752"/>
      <c r="I21" s="752"/>
      <c r="J21" s="752"/>
      <c r="K21" s="752"/>
      <c r="L21" s="752"/>
      <c r="M21" s="752"/>
      <c r="N21" s="752"/>
      <c r="O21" s="752"/>
      <c r="P21" s="752"/>
      <c r="Q21" s="752"/>
      <c r="R21" s="752"/>
      <c r="S21" s="752"/>
      <c r="T21" s="752"/>
      <c r="U21" s="752"/>
      <c r="V21" s="752"/>
      <c r="W21" s="752"/>
    </row>
  </sheetData>
  <mergeCells count="29">
    <mergeCell ref="A19:J19"/>
    <mergeCell ref="J4:J5"/>
    <mergeCell ref="K4:L4"/>
    <mergeCell ref="M4:M5"/>
    <mergeCell ref="N4:O4"/>
    <mergeCell ref="F4:F5"/>
    <mergeCell ref="A2:A5"/>
    <mergeCell ref="B2:B5"/>
    <mergeCell ref="C2:D3"/>
    <mergeCell ref="E2:F3"/>
    <mergeCell ref="C4:C5"/>
    <mergeCell ref="D4:D5"/>
    <mergeCell ref="E4:E5"/>
    <mergeCell ref="S2:U2"/>
    <mergeCell ref="V2:W3"/>
    <mergeCell ref="G3:I3"/>
    <mergeCell ref="J3:L3"/>
    <mergeCell ref="M3:O3"/>
    <mergeCell ref="P3:R3"/>
    <mergeCell ref="S3:S5"/>
    <mergeCell ref="T3:U4"/>
    <mergeCell ref="G4:G5"/>
    <mergeCell ref="H4:I4"/>
    <mergeCell ref="G2:L2"/>
    <mergeCell ref="M2:R2"/>
    <mergeCell ref="V4:V5"/>
    <mergeCell ref="W4:W5"/>
    <mergeCell ref="P4:P5"/>
    <mergeCell ref="Q4:R4"/>
  </mergeCells>
  <printOptions horizontalCentered="1"/>
  <pageMargins left="0.78431372549019618" right="0.78431372549019618" top="0.98039215686274517" bottom="0.98039215686274517" header="0.50980392156862753" footer="0.50980392156862753"/>
  <pageSetup paperSize="9" scale="84" fitToHeight="0" orientation="landscape" useFirstPageNumber="1" r:id="rId1"/>
  <headerFooter alignWithMargin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28"/>
  <sheetViews>
    <sheetView workbookViewId="0"/>
  </sheetViews>
  <sheetFormatPr defaultColWidth="9.140625" defaultRowHeight="15"/>
  <cols>
    <col min="1" max="1" width="12.28515625" style="683" bestFit="1" customWidth="1"/>
    <col min="2" max="2" width="9.28515625" style="683" bestFit="1" customWidth="1"/>
    <col min="3" max="4" width="13.85546875" style="683" bestFit="1" customWidth="1"/>
    <col min="5" max="5" width="14" style="683" bestFit="1" customWidth="1"/>
    <col min="6" max="6" width="13.85546875" style="683" bestFit="1" customWidth="1"/>
    <col min="7" max="7" width="15.5703125" style="683" customWidth="1"/>
    <col min="8" max="8" width="14" style="683" bestFit="1" customWidth="1"/>
    <col min="9" max="9" width="15.85546875" style="683" bestFit="1" customWidth="1"/>
    <col min="10" max="10" width="16.5703125" style="683" bestFit="1" customWidth="1"/>
    <col min="11" max="11" width="14" style="683" bestFit="1" customWidth="1"/>
    <col min="12" max="12" width="15.85546875" style="683" bestFit="1" customWidth="1"/>
    <col min="13" max="13" width="14" style="683" bestFit="1" customWidth="1"/>
    <col min="14" max="14" width="13.85546875" style="683" bestFit="1" customWidth="1"/>
    <col min="15" max="15" width="15.5703125" style="683" customWidth="1"/>
    <col min="16" max="16" width="14" style="683" bestFit="1" customWidth="1"/>
    <col min="17" max="18" width="13.85546875" style="683" bestFit="1" customWidth="1"/>
    <col min="19" max="19" width="14.5703125" style="683" customWidth="1"/>
    <col min="20" max="20" width="13.140625" style="683" bestFit="1" customWidth="1"/>
    <col min="21" max="21" width="18" style="683" customWidth="1"/>
    <col min="22" max="22" width="16.140625" style="683" bestFit="1" customWidth="1"/>
    <col min="23" max="23" width="11.42578125" style="683" customWidth="1"/>
    <col min="24" max="16384" width="9.140625" style="683"/>
  </cols>
  <sheetData>
    <row r="1" spans="1:25">
      <c r="A1" s="733" t="s">
        <v>649</v>
      </c>
      <c r="B1" s="733"/>
      <c r="C1" s="733"/>
      <c r="D1" s="733"/>
      <c r="E1" s="733"/>
      <c r="F1" s="733"/>
      <c r="G1" s="733"/>
      <c r="H1" s="733"/>
      <c r="I1" s="733"/>
      <c r="J1" s="733"/>
      <c r="K1" s="733"/>
      <c r="L1" s="733"/>
      <c r="M1" s="733"/>
      <c r="N1" s="733"/>
    </row>
    <row r="2" spans="1:25" s="684" customFormat="1">
      <c r="A2" s="1533" t="s">
        <v>489</v>
      </c>
      <c r="B2" s="1533" t="s">
        <v>239</v>
      </c>
      <c r="C2" s="1520" t="s">
        <v>490</v>
      </c>
      <c r="D2" s="1536"/>
      <c r="E2" s="1520" t="s">
        <v>491</v>
      </c>
      <c r="F2" s="1526"/>
      <c r="G2" s="1518" t="s">
        <v>492</v>
      </c>
      <c r="H2" s="1519"/>
      <c r="I2" s="1519"/>
      <c r="J2" s="1519"/>
      <c r="K2" s="1519"/>
      <c r="L2" s="1532"/>
      <c r="M2" s="1518" t="s">
        <v>493</v>
      </c>
      <c r="N2" s="1519"/>
      <c r="O2" s="1519"/>
      <c r="P2" s="1519"/>
      <c r="Q2" s="1519"/>
      <c r="R2" s="1532"/>
      <c r="S2" s="1518" t="s">
        <v>494</v>
      </c>
      <c r="T2" s="1519"/>
      <c r="U2" s="1519"/>
      <c r="V2" s="1520" t="s">
        <v>495</v>
      </c>
      <c r="W2" s="1521"/>
    </row>
    <row r="3" spans="1:25" s="684" customFormat="1">
      <c r="A3" s="1534"/>
      <c r="B3" s="1534"/>
      <c r="C3" s="1537"/>
      <c r="D3" s="1538"/>
      <c r="E3" s="1537"/>
      <c r="F3" s="1539"/>
      <c r="G3" s="1524" t="s">
        <v>1358</v>
      </c>
      <c r="H3" s="1524"/>
      <c r="I3" s="1524"/>
      <c r="J3" s="1524" t="s">
        <v>1359</v>
      </c>
      <c r="K3" s="1524"/>
      <c r="L3" s="1524"/>
      <c r="M3" s="1524" t="s">
        <v>496</v>
      </c>
      <c r="N3" s="1524"/>
      <c r="O3" s="1524"/>
      <c r="P3" s="1524" t="s">
        <v>497</v>
      </c>
      <c r="Q3" s="1524"/>
      <c r="R3" s="1524"/>
      <c r="S3" s="1525" t="s">
        <v>498</v>
      </c>
      <c r="T3" s="1520" t="s">
        <v>1360</v>
      </c>
      <c r="U3" s="1526"/>
      <c r="V3" s="1522"/>
      <c r="W3" s="1523"/>
    </row>
    <row r="4" spans="1:25" s="685" customFormat="1">
      <c r="A4" s="1534"/>
      <c r="B4" s="1534"/>
      <c r="C4" s="1529" t="s">
        <v>499</v>
      </c>
      <c r="D4" s="1533" t="s">
        <v>547</v>
      </c>
      <c r="E4" s="1529" t="s">
        <v>500</v>
      </c>
      <c r="F4" s="1533" t="s">
        <v>547</v>
      </c>
      <c r="G4" s="1529" t="s">
        <v>501</v>
      </c>
      <c r="H4" s="1530" t="s">
        <v>258</v>
      </c>
      <c r="I4" s="1531"/>
      <c r="J4" s="1529" t="s">
        <v>501</v>
      </c>
      <c r="K4" s="1530" t="s">
        <v>258</v>
      </c>
      <c r="L4" s="1531"/>
      <c r="M4" s="1529" t="s">
        <v>501</v>
      </c>
      <c r="N4" s="1530" t="s">
        <v>258</v>
      </c>
      <c r="O4" s="1531"/>
      <c r="P4" s="1529" t="s">
        <v>498</v>
      </c>
      <c r="Q4" s="1530" t="s">
        <v>258</v>
      </c>
      <c r="R4" s="1531"/>
      <c r="S4" s="1501"/>
      <c r="T4" s="1527"/>
      <c r="U4" s="1528"/>
      <c r="V4" s="1529" t="s">
        <v>501</v>
      </c>
      <c r="W4" s="1529" t="s">
        <v>1361</v>
      </c>
    </row>
    <row r="5" spans="1:25" s="685" customFormat="1">
      <c r="A5" s="1535"/>
      <c r="B5" s="1535"/>
      <c r="C5" s="1529"/>
      <c r="D5" s="1535"/>
      <c r="E5" s="1529"/>
      <c r="F5" s="1535"/>
      <c r="G5" s="1529"/>
      <c r="H5" s="734" t="s">
        <v>503</v>
      </c>
      <c r="I5" s="734" t="s">
        <v>504</v>
      </c>
      <c r="J5" s="1529"/>
      <c r="K5" s="734" t="s">
        <v>503</v>
      </c>
      <c r="L5" s="734" t="s">
        <v>504</v>
      </c>
      <c r="M5" s="1529"/>
      <c r="N5" s="734" t="s">
        <v>503</v>
      </c>
      <c r="O5" s="734" t="s">
        <v>504</v>
      </c>
      <c r="P5" s="1529"/>
      <c r="Q5" s="734" t="s">
        <v>503</v>
      </c>
      <c r="R5" s="734" t="s">
        <v>504</v>
      </c>
      <c r="S5" s="1502"/>
      <c r="T5" s="734" t="s">
        <v>503</v>
      </c>
      <c r="U5" s="734" t="s">
        <v>504</v>
      </c>
      <c r="V5" s="1524"/>
      <c r="W5" s="1529"/>
    </row>
    <row r="6" spans="1:25" s="685" customFormat="1">
      <c r="A6" s="735">
        <v>1</v>
      </c>
      <c r="B6" s="736">
        <v>2</v>
      </c>
      <c r="C6" s="737">
        <v>3</v>
      </c>
      <c r="D6" s="736">
        <v>4</v>
      </c>
      <c r="E6" s="736">
        <v>6</v>
      </c>
      <c r="F6" s="736">
        <v>8</v>
      </c>
      <c r="G6" s="737">
        <v>9</v>
      </c>
      <c r="H6" s="736">
        <v>10</v>
      </c>
      <c r="I6" s="737">
        <v>11</v>
      </c>
      <c r="J6" s="736">
        <v>12</v>
      </c>
      <c r="K6" s="737">
        <v>13</v>
      </c>
      <c r="L6" s="736">
        <v>14</v>
      </c>
      <c r="M6" s="737">
        <v>15</v>
      </c>
      <c r="N6" s="736">
        <v>16</v>
      </c>
      <c r="O6" s="737">
        <v>17</v>
      </c>
      <c r="P6" s="736">
        <v>18</v>
      </c>
      <c r="Q6" s="737">
        <v>19</v>
      </c>
      <c r="R6" s="736">
        <v>20</v>
      </c>
      <c r="S6" s="737">
        <v>21</v>
      </c>
      <c r="T6" s="737">
        <v>22</v>
      </c>
      <c r="U6" s="736">
        <v>23</v>
      </c>
      <c r="V6" s="736">
        <v>24</v>
      </c>
      <c r="W6" s="737">
        <v>25</v>
      </c>
    </row>
    <row r="7" spans="1:25" s="685" customFormat="1">
      <c r="A7" s="689" t="s">
        <v>505</v>
      </c>
      <c r="B7" s="738">
        <v>246</v>
      </c>
      <c r="C7" s="738">
        <v>85826189</v>
      </c>
      <c r="D7" s="739">
        <v>7417117.2654512748</v>
      </c>
      <c r="E7" s="738">
        <v>325399952</v>
      </c>
      <c r="F7" s="739">
        <v>25546966.490185678</v>
      </c>
      <c r="G7" s="738">
        <v>47921898390</v>
      </c>
      <c r="H7" s="739">
        <v>7126932.2513053035</v>
      </c>
      <c r="I7" s="739">
        <v>4061453032.6098547</v>
      </c>
      <c r="J7" s="738">
        <v>45730172862</v>
      </c>
      <c r="K7" s="739">
        <v>6692632.1376468912</v>
      </c>
      <c r="L7" s="739">
        <v>3806238245.1855206</v>
      </c>
      <c r="M7" s="738">
        <v>775801808</v>
      </c>
      <c r="N7" s="739">
        <v>1000523.2385264949</v>
      </c>
      <c r="O7" s="739">
        <v>64095047.148903705</v>
      </c>
      <c r="P7" s="738">
        <v>361845516</v>
      </c>
      <c r="Q7" s="739">
        <v>377506.70211367001</v>
      </c>
      <c r="R7" s="739">
        <v>28016743.730634663</v>
      </c>
      <c r="S7" s="738">
        <v>95200943894</v>
      </c>
      <c r="T7" s="739">
        <v>48161678.626625054</v>
      </c>
      <c r="U7" s="739">
        <v>7992767152.4305525</v>
      </c>
      <c r="V7" s="738">
        <v>15039231</v>
      </c>
      <c r="W7" s="739">
        <v>1304406.58</v>
      </c>
    </row>
    <row r="8" spans="1:25" s="685" customFormat="1">
      <c r="A8" s="740" t="s">
        <v>703</v>
      </c>
      <c r="B8" s="741">
        <v>125</v>
      </c>
      <c r="C8" s="741">
        <v>69897726</v>
      </c>
      <c r="D8" s="742">
        <v>4773707.233692375</v>
      </c>
      <c r="E8" s="741">
        <v>260457057</v>
      </c>
      <c r="F8" s="742">
        <v>20898611.656575583</v>
      </c>
      <c r="G8" s="741">
        <v>33131544460</v>
      </c>
      <c r="H8" s="742">
        <v>3924450.3831557306</v>
      </c>
      <c r="I8" s="742">
        <v>2386602973.2102189</v>
      </c>
      <c r="J8" s="741">
        <v>30845938069</v>
      </c>
      <c r="K8" s="742">
        <v>3598794.6398686292</v>
      </c>
      <c r="L8" s="742">
        <v>2166650310.4135194</v>
      </c>
      <c r="M8" s="741">
        <v>561448738</v>
      </c>
      <c r="N8" s="742">
        <v>760673.57410356496</v>
      </c>
      <c r="O8" s="742">
        <v>47854428.135076262</v>
      </c>
      <c r="P8" s="741">
        <v>260578146</v>
      </c>
      <c r="Q8" s="742">
        <v>307520.65321965504</v>
      </c>
      <c r="R8" s="742">
        <v>20729261.1676201</v>
      </c>
      <c r="S8" s="741">
        <v>65129864196</v>
      </c>
      <c r="T8" s="742">
        <v>8591439.2503475808</v>
      </c>
      <c r="U8" s="742">
        <v>4647509291.8167028</v>
      </c>
      <c r="V8" s="741">
        <v>34385948</v>
      </c>
      <c r="W8" s="743">
        <v>2473187.19</v>
      </c>
    </row>
    <row r="9" spans="1:25" s="230" customFormat="1">
      <c r="A9" s="744">
        <v>45412</v>
      </c>
      <c r="B9" s="745">
        <v>20</v>
      </c>
      <c r="C9" s="745">
        <v>7887086</v>
      </c>
      <c r="D9" s="746">
        <v>693063.85423822491</v>
      </c>
      <c r="E9" s="745">
        <v>36869594</v>
      </c>
      <c r="F9" s="746">
        <v>3158915.0478069698</v>
      </c>
      <c r="G9" s="745">
        <v>4259527124</v>
      </c>
      <c r="H9" s="746">
        <v>573007.90278879297</v>
      </c>
      <c r="I9" s="746">
        <v>364371027.3625766</v>
      </c>
      <c r="J9" s="745">
        <v>4078207900</v>
      </c>
      <c r="K9" s="746">
        <v>511594.34244528605</v>
      </c>
      <c r="L9" s="746">
        <v>342866336.59797037</v>
      </c>
      <c r="M9" s="745">
        <v>76010605</v>
      </c>
      <c r="N9" s="746">
        <v>113516.09941545999</v>
      </c>
      <c r="O9" s="746">
        <v>6933926.9735477092</v>
      </c>
      <c r="P9" s="745">
        <v>35324034</v>
      </c>
      <c r="Q9" s="746">
        <v>42426.619812224999</v>
      </c>
      <c r="R9" s="746">
        <v>2987417.7592714746</v>
      </c>
      <c r="S9" s="745">
        <v>8493826343</v>
      </c>
      <c r="T9" s="746">
        <f>H9+K9+N9+Q9</f>
        <v>1240544.9644617639</v>
      </c>
      <c r="U9" s="746">
        <v>721010687.59541142</v>
      </c>
      <c r="V9" s="745">
        <v>25024548</v>
      </c>
      <c r="W9" s="746">
        <v>1610978.08</v>
      </c>
    </row>
    <row r="10" spans="1:25" s="230" customFormat="1">
      <c r="A10" s="744">
        <v>45443</v>
      </c>
      <c r="B10" s="745">
        <v>22</v>
      </c>
      <c r="C10" s="745">
        <v>12867642</v>
      </c>
      <c r="D10" s="746">
        <v>806652.3009712249</v>
      </c>
      <c r="E10" s="745">
        <v>44730139</v>
      </c>
      <c r="F10" s="746">
        <v>3464429.8983681006</v>
      </c>
      <c r="G10" s="745">
        <v>5522370837</v>
      </c>
      <c r="H10" s="746">
        <v>638840.1536512709</v>
      </c>
      <c r="I10" s="746">
        <v>375294902.13408899</v>
      </c>
      <c r="J10" s="745">
        <v>5124124253</v>
      </c>
      <c r="K10" s="746">
        <v>645947.84201944189</v>
      </c>
      <c r="L10" s="746">
        <v>340061607.27425718</v>
      </c>
      <c r="M10" s="745">
        <v>92044531</v>
      </c>
      <c r="N10" s="746">
        <v>134430.54670222502</v>
      </c>
      <c r="O10" s="746">
        <v>7732031.6565477252</v>
      </c>
      <c r="P10" s="745">
        <v>42409057</v>
      </c>
      <c r="Q10" s="746">
        <v>52182.763487199984</v>
      </c>
      <c r="R10" s="746">
        <v>3302662.3989927</v>
      </c>
      <c r="S10" s="745">
        <v>10838546459</v>
      </c>
      <c r="T10" s="746">
        <f t="shared" ref="T10:T14" si="0">H10+K10+N10+Q10</f>
        <v>1471401.3058601378</v>
      </c>
      <c r="U10" s="746">
        <v>730662285.66322601</v>
      </c>
      <c r="V10" s="745">
        <v>21048035</v>
      </c>
      <c r="W10" s="746">
        <v>1403628.44</v>
      </c>
      <c r="Y10" s="747"/>
    </row>
    <row r="11" spans="1:25" s="230" customFormat="1">
      <c r="A11" s="744">
        <v>45473</v>
      </c>
      <c r="B11" s="745">
        <v>19</v>
      </c>
      <c r="C11" s="745">
        <v>15202595</v>
      </c>
      <c r="D11" s="746">
        <v>983344.44168852491</v>
      </c>
      <c r="E11" s="745">
        <v>46464820</v>
      </c>
      <c r="F11" s="746">
        <v>3662528.4101865701</v>
      </c>
      <c r="G11" s="745">
        <v>5311283074</v>
      </c>
      <c r="H11" s="746">
        <v>803979.06250507606</v>
      </c>
      <c r="I11" s="746">
        <v>385233331.14759248</v>
      </c>
      <c r="J11" s="745">
        <v>4822496239</v>
      </c>
      <c r="K11" s="746">
        <v>682328.70573494199</v>
      </c>
      <c r="L11" s="746">
        <v>337381696.47595996</v>
      </c>
      <c r="M11" s="745">
        <v>94203160</v>
      </c>
      <c r="N11" s="746">
        <v>139043.34270071</v>
      </c>
      <c r="O11" s="746">
        <v>7978189.7083802111</v>
      </c>
      <c r="P11" s="745">
        <v>40640021</v>
      </c>
      <c r="Q11" s="746">
        <v>52326.558629250001</v>
      </c>
      <c r="R11" s="746">
        <v>3198611.3893715008</v>
      </c>
      <c r="S11" s="745">
        <v>10330289909</v>
      </c>
      <c r="T11" s="746">
        <f t="shared" si="0"/>
        <v>1677677.669569978</v>
      </c>
      <c r="U11" s="746">
        <v>738437701.57317924</v>
      </c>
      <c r="V11" s="745">
        <v>26690224</v>
      </c>
      <c r="W11" s="746">
        <v>1903259.69</v>
      </c>
    </row>
    <row r="12" spans="1:25" s="230" customFormat="1">
      <c r="A12" s="744">
        <v>45504</v>
      </c>
      <c r="B12" s="745">
        <v>22</v>
      </c>
      <c r="C12" s="745">
        <v>12229978</v>
      </c>
      <c r="D12" s="746">
        <v>825104.39946009999</v>
      </c>
      <c r="E12" s="745">
        <v>48460564</v>
      </c>
      <c r="F12" s="746">
        <v>3831730.1231818311</v>
      </c>
      <c r="G12" s="745">
        <v>5863798506</v>
      </c>
      <c r="H12" s="746">
        <v>685173.55753144401</v>
      </c>
      <c r="I12" s="746">
        <v>433760866.7959066</v>
      </c>
      <c r="J12" s="745">
        <v>5376202748</v>
      </c>
      <c r="K12" s="746">
        <v>627022.93495754199</v>
      </c>
      <c r="L12" s="746">
        <v>387726437.93369538</v>
      </c>
      <c r="M12" s="745">
        <v>101628963</v>
      </c>
      <c r="N12" s="746">
        <v>142829.51068411997</v>
      </c>
      <c r="O12" s="746">
        <v>8366184.7480273154</v>
      </c>
      <c r="P12" s="745">
        <v>46600482</v>
      </c>
      <c r="Q12" s="746">
        <v>55047.443673285001</v>
      </c>
      <c r="R12" s="746">
        <v>3561346.2273577293</v>
      </c>
      <c r="S12" s="745">
        <v>11448921241</v>
      </c>
      <c r="T12" s="746">
        <f t="shared" si="0"/>
        <v>1510073.4468463908</v>
      </c>
      <c r="U12" s="746">
        <v>838071670.22762895</v>
      </c>
      <c r="V12" s="745">
        <v>27757631</v>
      </c>
      <c r="W12" s="746">
        <v>1925117.71</v>
      </c>
    </row>
    <row r="13" spans="1:25" s="230" customFormat="1">
      <c r="A13" s="744">
        <v>45535</v>
      </c>
      <c r="B13" s="745">
        <v>21</v>
      </c>
      <c r="C13" s="745">
        <v>11319796</v>
      </c>
      <c r="D13" s="746">
        <v>752883</v>
      </c>
      <c r="E13" s="745">
        <v>42081269</v>
      </c>
      <c r="F13" s="746">
        <v>3366229</v>
      </c>
      <c r="G13" s="745">
        <v>6036480425</v>
      </c>
      <c r="H13" s="746">
        <v>615411</v>
      </c>
      <c r="I13" s="746">
        <v>403107470</v>
      </c>
      <c r="J13" s="745">
        <v>5749631182</v>
      </c>
      <c r="K13" s="746">
        <v>603267</v>
      </c>
      <c r="L13" s="746">
        <v>373701381</v>
      </c>
      <c r="M13" s="745">
        <v>94670645</v>
      </c>
      <c r="N13" s="746">
        <v>109677</v>
      </c>
      <c r="O13" s="746">
        <v>7973349</v>
      </c>
      <c r="P13" s="745">
        <v>46426967</v>
      </c>
      <c r="Q13" s="746">
        <v>52321</v>
      </c>
      <c r="R13" s="746">
        <v>3666012</v>
      </c>
      <c r="S13" s="745">
        <v>11980610284</v>
      </c>
      <c r="T13" s="746">
        <f t="shared" si="0"/>
        <v>1380676</v>
      </c>
      <c r="U13" s="746">
        <v>792567324</v>
      </c>
      <c r="V13" s="745">
        <v>28007325</v>
      </c>
      <c r="W13" s="746">
        <v>1980991.59</v>
      </c>
    </row>
    <row r="14" spans="1:25" s="230" customFormat="1">
      <c r="A14" s="744">
        <v>45565</v>
      </c>
      <c r="B14" s="748">
        <v>21</v>
      </c>
      <c r="C14" s="745">
        <v>10390629</v>
      </c>
      <c r="D14" s="746">
        <v>712659.23733430007</v>
      </c>
      <c r="E14" s="745">
        <v>41850671</v>
      </c>
      <c r="F14" s="746">
        <v>3414779.1770321112</v>
      </c>
      <c r="G14" s="745">
        <v>6138084494</v>
      </c>
      <c r="H14" s="746">
        <v>608038.70667914697</v>
      </c>
      <c r="I14" s="746">
        <v>424835375.77005428</v>
      </c>
      <c r="J14" s="745">
        <v>5695275747</v>
      </c>
      <c r="K14" s="746">
        <v>528633.81471141707</v>
      </c>
      <c r="L14" s="746">
        <v>384912851.13163662</v>
      </c>
      <c r="M14" s="745">
        <v>102890834</v>
      </c>
      <c r="N14" s="746">
        <v>121177.07460104999</v>
      </c>
      <c r="O14" s="746">
        <v>8870746.0485733002</v>
      </c>
      <c r="P14" s="745">
        <v>49177585</v>
      </c>
      <c r="Q14" s="746">
        <v>53216.267617695004</v>
      </c>
      <c r="R14" s="746">
        <v>4013211.3926266944</v>
      </c>
      <c r="S14" s="745">
        <v>12037669960</v>
      </c>
      <c r="T14" s="746">
        <f t="shared" si="0"/>
        <v>1311065.8636093091</v>
      </c>
      <c r="U14" s="746">
        <v>826759622.75725722</v>
      </c>
      <c r="V14" s="745">
        <v>34385948</v>
      </c>
      <c r="W14" s="746">
        <v>2473187.19</v>
      </c>
    </row>
    <row r="15" spans="1:25" s="230" customFormat="1">
      <c r="A15" s="727" t="s">
        <v>1373</v>
      </c>
      <c r="B15" s="728"/>
      <c r="C15" s="728"/>
      <c r="D15" s="728"/>
      <c r="E15" s="728"/>
      <c r="F15" s="728"/>
      <c r="G15" s="729"/>
      <c r="H15" s="729"/>
      <c r="I15" s="729"/>
      <c r="J15" s="728"/>
      <c r="K15" s="728"/>
      <c r="L15" s="728"/>
      <c r="M15" s="729"/>
      <c r="N15" s="729"/>
      <c r="O15" s="729"/>
      <c r="T15" s="747"/>
    </row>
    <row r="16" spans="1:25" s="230" customFormat="1">
      <c r="A16" s="728" t="s">
        <v>507</v>
      </c>
      <c r="B16" s="728"/>
      <c r="C16" s="728"/>
      <c r="D16" s="728"/>
      <c r="E16" s="728"/>
      <c r="F16" s="728"/>
      <c r="G16" s="729"/>
      <c r="H16" s="729"/>
      <c r="I16" s="729"/>
      <c r="J16" s="728"/>
      <c r="K16" s="749"/>
      <c r="L16" s="728"/>
      <c r="M16" s="729"/>
      <c r="N16" s="729"/>
      <c r="O16" s="729"/>
    </row>
    <row r="17" spans="1:34">
      <c r="A17" s="732" t="s">
        <v>1356</v>
      </c>
      <c r="B17" s="728"/>
      <c r="C17" s="728"/>
      <c r="D17" s="728"/>
      <c r="E17" s="728"/>
      <c r="F17" s="728"/>
      <c r="G17" s="728"/>
      <c r="H17" s="728"/>
      <c r="I17" s="728"/>
      <c r="J17" s="728"/>
      <c r="K17" s="230"/>
      <c r="L17" s="230"/>
      <c r="M17" s="230"/>
      <c r="N17" s="230"/>
      <c r="O17" s="230"/>
      <c r="P17" s="230"/>
      <c r="Q17" s="230"/>
      <c r="R17" s="230"/>
      <c r="S17" s="230"/>
      <c r="T17" s="731"/>
      <c r="U17" s="731"/>
      <c r="V17" s="230"/>
      <c r="W17" s="230"/>
    </row>
    <row r="18" spans="1:34">
      <c r="A18" s="732" t="s">
        <v>1357</v>
      </c>
      <c r="B18" s="728"/>
      <c r="C18" s="728"/>
      <c r="D18" s="728"/>
      <c r="E18" s="728"/>
      <c r="F18" s="728"/>
      <c r="G18" s="728"/>
      <c r="H18" s="728"/>
      <c r="I18" s="728"/>
      <c r="J18" s="728"/>
      <c r="K18" s="230"/>
      <c r="L18" s="230"/>
      <c r="M18" s="230"/>
      <c r="N18" s="230"/>
      <c r="O18" s="230"/>
      <c r="P18" s="230"/>
      <c r="Q18" s="230"/>
      <c r="R18" s="230"/>
      <c r="S18" s="230"/>
      <c r="T18" s="731"/>
      <c r="U18" s="731"/>
      <c r="V18" s="230"/>
      <c r="W18" s="230"/>
    </row>
    <row r="19" spans="1:34">
      <c r="A19" s="1510" t="s">
        <v>255</v>
      </c>
      <c r="B19" s="1510"/>
      <c r="C19" s="1510"/>
      <c r="D19" s="1510"/>
      <c r="E19" s="1510"/>
      <c r="F19" s="1510"/>
      <c r="G19" s="1510"/>
      <c r="H19" s="1510"/>
      <c r="I19" s="1510"/>
      <c r="J19" s="1510"/>
      <c r="K19" s="1510"/>
      <c r="L19" s="1510"/>
      <c r="M19" s="1510"/>
      <c r="N19" s="1510"/>
      <c r="O19" s="1510"/>
      <c r="P19" s="1510"/>
      <c r="Q19" s="1510"/>
      <c r="R19" s="1510"/>
      <c r="S19" s="230"/>
      <c r="T19" s="230"/>
      <c r="U19" s="230"/>
      <c r="V19" s="230"/>
      <c r="W19" s="230"/>
      <c r="X19" s="230"/>
      <c r="Y19" s="230"/>
      <c r="Z19" s="230"/>
      <c r="AA19" s="230"/>
      <c r="AB19" s="230"/>
      <c r="AC19" s="230"/>
      <c r="AD19" s="230"/>
      <c r="AE19" s="230"/>
      <c r="AF19" s="230"/>
      <c r="AG19" s="230"/>
      <c r="AH19" s="230"/>
    </row>
    <row r="20" spans="1:34">
      <c r="A20" s="750"/>
      <c r="K20" s="751"/>
      <c r="Q20" s="752"/>
      <c r="S20" s="230"/>
      <c r="T20" s="753"/>
      <c r="U20" s="230"/>
      <c r="V20" s="230"/>
      <c r="W20" s="230"/>
      <c r="X20" s="230"/>
      <c r="Y20" s="230"/>
      <c r="Z20" s="230"/>
      <c r="AA20" s="230"/>
      <c r="AB20" s="230"/>
      <c r="AC20" s="230"/>
      <c r="AD20" s="230"/>
      <c r="AE20" s="230"/>
      <c r="AF20" s="230"/>
      <c r="AG20" s="230"/>
      <c r="AH20" s="230"/>
    </row>
    <row r="21" spans="1:34">
      <c r="B21" s="752"/>
      <c r="C21" s="752"/>
      <c r="D21" s="752"/>
      <c r="E21" s="752"/>
      <c r="F21" s="752"/>
      <c r="G21" s="752"/>
      <c r="H21" s="752"/>
      <c r="I21" s="752"/>
      <c r="J21" s="752"/>
      <c r="K21" s="752"/>
      <c r="L21" s="752"/>
      <c r="M21" s="752"/>
      <c r="N21" s="752"/>
      <c r="O21" s="752"/>
      <c r="P21" s="752"/>
      <c r="Q21" s="752"/>
      <c r="R21" s="752"/>
      <c r="S21" s="752"/>
      <c r="T21" s="752"/>
      <c r="U21" s="752"/>
    </row>
    <row r="22" spans="1:34">
      <c r="Q22" s="752"/>
      <c r="T22" s="753"/>
      <c r="U22" s="754"/>
    </row>
    <row r="23" spans="1:34">
      <c r="Q23" s="752"/>
      <c r="T23" s="753"/>
      <c r="U23" s="754"/>
    </row>
    <row r="24" spans="1:34">
      <c r="Q24" s="752"/>
      <c r="T24" s="753"/>
      <c r="U24" s="754"/>
    </row>
    <row r="25" spans="1:34">
      <c r="Q25" s="752"/>
      <c r="T25" s="753"/>
      <c r="U25" s="754"/>
    </row>
    <row r="26" spans="1:34">
      <c r="Q26" s="752"/>
      <c r="T26" s="753"/>
      <c r="U26" s="754"/>
    </row>
    <row r="27" spans="1:34">
      <c r="Q27" s="752"/>
      <c r="T27" s="753"/>
    </row>
    <row r="28" spans="1:34">
      <c r="Q28" s="752"/>
      <c r="T28" s="753"/>
    </row>
  </sheetData>
  <mergeCells count="29">
    <mergeCell ref="J4:J5"/>
    <mergeCell ref="K4:L4"/>
    <mergeCell ref="M4:M5"/>
    <mergeCell ref="N4:O4"/>
    <mergeCell ref="P4:P5"/>
    <mergeCell ref="A2:A5"/>
    <mergeCell ref="B2:B5"/>
    <mergeCell ref="C2:D3"/>
    <mergeCell ref="E2:F3"/>
    <mergeCell ref="C4:C5"/>
    <mergeCell ref="D4:D5"/>
    <mergeCell ref="E4:E5"/>
    <mergeCell ref="F4:F5"/>
    <mergeCell ref="A19:R19"/>
    <mergeCell ref="S2:U2"/>
    <mergeCell ref="V2:W3"/>
    <mergeCell ref="G3:I3"/>
    <mergeCell ref="J3:L3"/>
    <mergeCell ref="M3:O3"/>
    <mergeCell ref="P3:R3"/>
    <mergeCell ref="S3:S5"/>
    <mergeCell ref="T3:U4"/>
    <mergeCell ref="G4:G5"/>
    <mergeCell ref="H4:I4"/>
    <mergeCell ref="G2:L2"/>
    <mergeCell ref="M2:R2"/>
    <mergeCell ref="V4:V5"/>
    <mergeCell ref="W4:W5"/>
    <mergeCell ref="Q4:R4"/>
  </mergeCells>
  <printOptions horizontalCentered="1"/>
  <pageMargins left="0.78431372549019618" right="0.78431372549019618" top="0.98039215686274517" bottom="0.98039215686274517" header="0.50980392156862753" footer="0.50980392156862753"/>
  <pageSetup paperSize="9" scale="77" orientation="landscape" useFirstPageNumber="1" r:id="rId1"/>
  <headerFooter alignWithMargins="0"/>
  <colBreaks count="1" manualBreakCount="1">
    <brk id="12" max="25" man="1"/>
  </colBreak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16"/>
  <sheetViews>
    <sheetView workbookViewId="0"/>
  </sheetViews>
  <sheetFormatPr defaultColWidth="9.140625" defaultRowHeight="15"/>
  <cols>
    <col min="1" max="1" width="13.42578125" style="683" bestFit="1" customWidth="1"/>
    <col min="2" max="3" width="10.7109375" style="683" bestFit="1" customWidth="1"/>
    <col min="4" max="4" width="10.5703125" style="683" customWidth="1"/>
    <col min="5" max="7" width="10.7109375" style="683" bestFit="1" customWidth="1"/>
    <col min="8" max="8" width="11.5703125" style="683" bestFit="1" customWidth="1"/>
    <col min="9" max="9" width="12.28515625" style="683" customWidth="1"/>
    <col min="10" max="10" width="10.85546875" style="683" bestFit="1" customWidth="1"/>
    <col min="11" max="11" width="11.42578125" style="683" bestFit="1" customWidth="1"/>
    <col min="12" max="12" width="10.85546875" style="683" bestFit="1" customWidth="1"/>
    <col min="13" max="13" width="11.7109375" style="683" bestFit="1" customWidth="1"/>
    <col min="14" max="14" width="10.7109375" style="683" customWidth="1"/>
    <col min="15" max="15" width="9.140625" style="683" customWidth="1"/>
    <col min="16" max="16384" width="9.140625" style="683"/>
  </cols>
  <sheetData>
    <row r="1" spans="1:15" s="80" customFormat="1" ht="17.25" customHeight="1">
      <c r="A1" s="137" t="s">
        <v>508</v>
      </c>
      <c r="B1" s="137"/>
      <c r="C1" s="137"/>
      <c r="D1" s="137"/>
      <c r="E1" s="137"/>
      <c r="F1" s="137"/>
      <c r="G1" s="137"/>
      <c r="H1" s="137"/>
      <c r="I1" s="137"/>
      <c r="J1" s="137"/>
      <c r="K1" s="137"/>
      <c r="L1" s="137"/>
      <c r="M1" s="137"/>
      <c r="N1" s="137"/>
    </row>
    <row r="2" spans="1:15" s="191" customFormat="1" ht="17.25" customHeight="1">
      <c r="A2" s="1542" t="s">
        <v>509</v>
      </c>
      <c r="B2" s="1544" t="s">
        <v>73</v>
      </c>
      <c r="C2" s="1545"/>
      <c r="D2" s="1545"/>
      <c r="E2" s="1545"/>
      <c r="F2" s="1545"/>
      <c r="G2" s="1545"/>
      <c r="H2" s="1546"/>
      <c r="I2" s="1547" t="s">
        <v>74</v>
      </c>
      <c r="J2" s="1545"/>
      <c r="K2" s="1545"/>
      <c r="L2" s="1545"/>
      <c r="M2" s="1545"/>
      <c r="N2" s="1546"/>
    </row>
    <row r="3" spans="1:15" s="191" customFormat="1" ht="27" customHeight="1">
      <c r="A3" s="1543"/>
      <c r="B3" s="1548" t="s">
        <v>510</v>
      </c>
      <c r="C3" s="1549"/>
      <c r="D3" s="1550"/>
      <c r="E3" s="1548" t="s">
        <v>511</v>
      </c>
      <c r="F3" s="1551"/>
      <c r="G3" s="1552" t="s">
        <v>96</v>
      </c>
      <c r="H3" s="1540" t="s">
        <v>512</v>
      </c>
      <c r="I3" s="1548" t="s">
        <v>510</v>
      </c>
      <c r="J3" s="1551"/>
      <c r="K3" s="1548" t="s">
        <v>511</v>
      </c>
      <c r="L3" s="1551"/>
      <c r="M3" s="1552" t="s">
        <v>96</v>
      </c>
      <c r="N3" s="1540" t="s">
        <v>512</v>
      </c>
    </row>
    <row r="4" spans="1:15" s="191" customFormat="1" ht="40.5" customHeight="1">
      <c r="A4" s="1451"/>
      <c r="B4" s="755" t="s">
        <v>513</v>
      </c>
      <c r="C4" s="755" t="s">
        <v>514</v>
      </c>
      <c r="D4" s="755" t="s">
        <v>515</v>
      </c>
      <c r="E4" s="755" t="s">
        <v>516</v>
      </c>
      <c r="F4" s="755" t="s">
        <v>517</v>
      </c>
      <c r="G4" s="1464"/>
      <c r="H4" s="1541"/>
      <c r="I4" s="755" t="s">
        <v>513</v>
      </c>
      <c r="J4" s="755" t="s">
        <v>514</v>
      </c>
      <c r="K4" s="755" t="s">
        <v>516</v>
      </c>
      <c r="L4" s="755" t="s">
        <v>517</v>
      </c>
      <c r="M4" s="1464"/>
      <c r="N4" s="1541"/>
    </row>
    <row r="5" spans="1:15" s="84" customFormat="1" ht="18" customHeight="1">
      <c r="A5" s="756" t="s">
        <v>505</v>
      </c>
      <c r="B5" s="757">
        <v>6005.4689470599969</v>
      </c>
      <c r="C5" s="757">
        <v>164.23793094499999</v>
      </c>
      <c r="D5" s="757" t="s">
        <v>233</v>
      </c>
      <c r="E5" s="757">
        <v>3919.1981626499987</v>
      </c>
      <c r="F5" s="757">
        <v>819.87672012999997</v>
      </c>
      <c r="G5" s="757">
        <v>10908.781760784997</v>
      </c>
      <c r="H5" s="757">
        <v>100.92</v>
      </c>
      <c r="I5" s="757">
        <v>239700.49895134001</v>
      </c>
      <c r="J5" s="757">
        <v>3940.7345781600002</v>
      </c>
      <c r="K5" s="757">
        <v>112155.91993335501</v>
      </c>
      <c r="L5" s="757">
        <v>24024.773700040001</v>
      </c>
      <c r="M5" s="757">
        <v>379821.92716289504</v>
      </c>
      <c r="N5" s="757">
        <v>4264.49</v>
      </c>
      <c r="O5" s="85"/>
    </row>
    <row r="6" spans="1:15" s="84" customFormat="1" ht="18" customHeight="1">
      <c r="A6" s="740" t="s">
        <v>703</v>
      </c>
      <c r="B6" s="758">
        <f>SUM(B7:B12)</f>
        <v>3405.8867373459971</v>
      </c>
      <c r="C6" s="758">
        <f>SUM(C7:C12)</f>
        <v>65.978380690999998</v>
      </c>
      <c r="D6" s="759" t="s">
        <v>233</v>
      </c>
      <c r="E6" s="758">
        <f>SUM(E7:E12)</f>
        <v>2970.1834201749989</v>
      </c>
      <c r="F6" s="758">
        <f>SUM(F7:F12)</f>
        <v>1333.8005132500002</v>
      </c>
      <c r="G6" s="758">
        <f>SUM(G7:G12)</f>
        <v>7775.8490514619989</v>
      </c>
      <c r="H6" s="758">
        <f>INDEX(H7:H12,COUNT(H7:H12))</f>
        <v>110.54</v>
      </c>
      <c r="I6" s="758">
        <v>233423.5</v>
      </c>
      <c r="J6" s="758">
        <v>2501.79</v>
      </c>
      <c r="K6" s="758">
        <v>78988.75</v>
      </c>
      <c r="L6" s="758">
        <v>23610.21</v>
      </c>
      <c r="M6" s="758">
        <v>338524.27</v>
      </c>
      <c r="N6" s="758">
        <v>8032.13</v>
      </c>
      <c r="O6" s="85"/>
    </row>
    <row r="7" spans="1:15" s="191" customFormat="1" ht="18" customHeight="1">
      <c r="A7" s="130">
        <v>45412</v>
      </c>
      <c r="B7" s="760">
        <v>1065.200784115</v>
      </c>
      <c r="C7" s="760">
        <v>6.8701903949999998</v>
      </c>
      <c r="D7" s="757">
        <v>0</v>
      </c>
      <c r="E7" s="760">
        <v>402.05085907</v>
      </c>
      <c r="F7" s="760">
        <v>204.05946348500001</v>
      </c>
      <c r="G7" s="760">
        <v>1678.1812970650001</v>
      </c>
      <c r="H7" s="760">
        <v>102.32</v>
      </c>
      <c r="I7" s="761">
        <v>24836.53903222</v>
      </c>
      <c r="J7" s="761">
        <v>435.98307411500002</v>
      </c>
      <c r="K7" s="761">
        <v>11915.182982415001</v>
      </c>
      <c r="L7" s="761">
        <v>3958.24647258</v>
      </c>
      <c r="M7" s="761">
        <v>41145.951561330003</v>
      </c>
      <c r="N7" s="761">
        <v>4293.95</v>
      </c>
      <c r="O7" s="84"/>
    </row>
    <row r="8" spans="1:15" s="191" customFormat="1" ht="18" customHeight="1">
      <c r="A8" s="130">
        <v>45443</v>
      </c>
      <c r="B8" s="760">
        <v>391.62876141499999</v>
      </c>
      <c r="C8" s="760">
        <v>7.5643721099999901</v>
      </c>
      <c r="D8" s="757">
        <v>0</v>
      </c>
      <c r="E8" s="760">
        <v>287.96325990999998</v>
      </c>
      <c r="F8" s="760">
        <v>192.80091651500001</v>
      </c>
      <c r="G8" s="760">
        <v>879.95730994999997</v>
      </c>
      <c r="H8" s="760">
        <v>104.35</v>
      </c>
      <c r="I8" s="760">
        <v>37390.639999999999</v>
      </c>
      <c r="J8" s="760">
        <v>862.45</v>
      </c>
      <c r="K8" s="760">
        <v>14393.78</v>
      </c>
      <c r="L8" s="760">
        <v>3302.45</v>
      </c>
      <c r="M8" s="760">
        <v>55949.32</v>
      </c>
      <c r="N8" s="760">
        <v>4379.67</v>
      </c>
      <c r="O8" s="84"/>
    </row>
    <row r="9" spans="1:15" s="191" customFormat="1" ht="18" customHeight="1">
      <c r="A9" s="130">
        <v>45473</v>
      </c>
      <c r="B9" s="760">
        <v>1113.9646488149999</v>
      </c>
      <c r="C9" s="760">
        <v>9.5482689359999906</v>
      </c>
      <c r="D9" s="757">
        <v>0</v>
      </c>
      <c r="E9" s="760">
        <v>882.946808699999</v>
      </c>
      <c r="F9" s="760">
        <v>296.06176183999997</v>
      </c>
      <c r="G9" s="760">
        <v>2302.521488291</v>
      </c>
      <c r="H9" s="760">
        <v>105.62</v>
      </c>
      <c r="I9" s="760">
        <v>58839.046623355003</v>
      </c>
      <c r="J9" s="760">
        <v>348.60119435299998</v>
      </c>
      <c r="K9" s="760">
        <v>13912.504472234999</v>
      </c>
      <c r="L9" s="760">
        <v>5283.6635685749998</v>
      </c>
      <c r="M9" s="760">
        <v>78383.815858518006</v>
      </c>
      <c r="N9" s="760">
        <v>7759.44</v>
      </c>
      <c r="O9" s="84"/>
    </row>
    <row r="10" spans="1:15" s="191" customFormat="1" ht="18" customHeight="1">
      <c r="A10" s="130">
        <v>45504</v>
      </c>
      <c r="B10" s="760">
        <v>441.96254300099758</v>
      </c>
      <c r="C10" s="760">
        <v>16.795549250000011</v>
      </c>
      <c r="D10" s="757">
        <v>0</v>
      </c>
      <c r="E10" s="760">
        <v>370.75249249500018</v>
      </c>
      <c r="F10" s="760">
        <v>184.41837141000005</v>
      </c>
      <c r="G10" s="760">
        <v>1013.9289561559981</v>
      </c>
      <c r="H10" s="760">
        <v>107.15</v>
      </c>
      <c r="I10" s="760">
        <v>34038.46</v>
      </c>
      <c r="J10" s="760">
        <v>270.26</v>
      </c>
      <c r="K10" s="760">
        <v>12522.08</v>
      </c>
      <c r="L10" s="760">
        <v>3257.71</v>
      </c>
      <c r="M10" s="760">
        <v>50088.51</v>
      </c>
      <c r="N10" s="760">
        <v>7872.74</v>
      </c>
    </row>
    <row r="11" spans="1:15" s="191" customFormat="1" ht="18" customHeight="1">
      <c r="A11" s="130">
        <v>45535</v>
      </c>
      <c r="B11" s="760">
        <v>59.309999999999995</v>
      </c>
      <c r="C11" s="760">
        <v>15.42</v>
      </c>
      <c r="D11" s="757">
        <v>0</v>
      </c>
      <c r="E11" s="760">
        <v>477.18</v>
      </c>
      <c r="F11" s="760">
        <v>162.35</v>
      </c>
      <c r="G11" s="760">
        <v>714.26</v>
      </c>
      <c r="H11" s="760">
        <v>109.02</v>
      </c>
      <c r="I11" s="760">
        <v>43639.065664836002</v>
      </c>
      <c r="J11" s="760">
        <v>254.13425323800001</v>
      </c>
      <c r="K11" s="760">
        <v>12203.922434825001</v>
      </c>
      <c r="L11" s="760">
        <v>3449.7523992850001</v>
      </c>
      <c r="M11" s="760">
        <v>59546.874752183998</v>
      </c>
      <c r="N11" s="760">
        <v>7950</v>
      </c>
    </row>
    <row r="12" spans="1:15" s="191" customFormat="1" ht="14.25" customHeight="1">
      <c r="A12" s="130">
        <v>45565</v>
      </c>
      <c r="B12" s="760">
        <v>333.82</v>
      </c>
      <c r="C12" s="760">
        <v>9.7799999999999994</v>
      </c>
      <c r="D12" s="757">
        <v>0</v>
      </c>
      <c r="E12" s="760">
        <v>549.29</v>
      </c>
      <c r="F12" s="760">
        <v>294.11</v>
      </c>
      <c r="G12" s="760">
        <v>1187</v>
      </c>
      <c r="H12" s="760">
        <v>110.54</v>
      </c>
      <c r="I12" s="760">
        <v>34679.74</v>
      </c>
      <c r="J12" s="760">
        <v>330.37</v>
      </c>
      <c r="K12" s="760">
        <v>14041.29</v>
      </c>
      <c r="L12" s="760">
        <v>4358.3999999999996</v>
      </c>
      <c r="M12" s="760">
        <v>53409.8</v>
      </c>
      <c r="N12" s="760">
        <v>8032.13</v>
      </c>
    </row>
    <row r="13" spans="1:15" s="191" customFormat="1" ht="12.75" customHeight="1">
      <c r="A13" s="320" t="s">
        <v>1373</v>
      </c>
      <c r="B13" s="193"/>
      <c r="C13" s="193"/>
      <c r="D13" s="209"/>
      <c r="E13" s="193"/>
      <c r="F13" s="193"/>
      <c r="G13" s="193"/>
      <c r="H13" s="193"/>
      <c r="I13" s="193"/>
      <c r="J13" s="193"/>
      <c r="K13" s="193"/>
      <c r="L13" s="193"/>
      <c r="M13" s="193"/>
      <c r="N13" s="193"/>
    </row>
    <row r="14" spans="1:15" s="191" customFormat="1">
      <c r="A14" s="1430" t="s">
        <v>172</v>
      </c>
      <c r="B14" s="1430"/>
      <c r="C14" s="1430"/>
      <c r="D14" s="1430"/>
      <c r="E14" s="1430"/>
    </row>
    <row r="15" spans="1:15" s="230" customFormat="1">
      <c r="A15" s="750"/>
      <c r="B15" s="762"/>
      <c r="C15" s="762"/>
      <c r="D15" s="762"/>
      <c r="E15" s="762"/>
    </row>
    <row r="16" spans="1:15">
      <c r="B16" s="730"/>
      <c r="C16" s="730"/>
      <c r="D16" s="730"/>
      <c r="E16" s="730"/>
      <c r="F16" s="730"/>
      <c r="G16" s="730"/>
      <c r="H16" s="730"/>
      <c r="I16" s="730"/>
      <c r="J16" s="730"/>
      <c r="K16" s="730"/>
      <c r="L16" s="730"/>
      <c r="M16" s="730"/>
    </row>
  </sheetData>
  <mergeCells count="12">
    <mergeCell ref="A14:E14"/>
    <mergeCell ref="N3:N4"/>
    <mergeCell ref="A2:A4"/>
    <mergeCell ref="B2:H2"/>
    <mergeCell ref="I2:N2"/>
    <mergeCell ref="B3:D3"/>
    <mergeCell ref="E3:F3"/>
    <mergeCell ref="G3:G4"/>
    <mergeCell ref="H3:H4"/>
    <mergeCell ref="I3:J3"/>
    <mergeCell ref="K3:L3"/>
    <mergeCell ref="M3:M4"/>
  </mergeCells>
  <printOptions horizontalCentered="1"/>
  <pageMargins left="0.78431372549019618" right="0.78431372549019618" top="0.98039215686274517" bottom="0.98039215686274517" header="0.50980392156862753" footer="0.50980392156862753"/>
  <pageSetup paperSize="9" scale="80" fitToHeight="0" orientation="landscape" useFirstPageNumber="1" r:id="rId1"/>
  <headerFooter alignWithMargin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15"/>
  <sheetViews>
    <sheetView workbookViewId="0"/>
  </sheetViews>
  <sheetFormatPr defaultColWidth="9.140625" defaultRowHeight="15"/>
  <cols>
    <col min="1" max="11" width="14.5703125" style="683" bestFit="1" customWidth="1"/>
    <col min="12" max="12" width="4.5703125" style="683" bestFit="1" customWidth="1"/>
    <col min="13" max="16384" width="9.140625" style="683"/>
  </cols>
  <sheetData>
    <row r="1" spans="1:11">
      <c r="A1" s="733" t="s">
        <v>33</v>
      </c>
      <c r="B1" s="733"/>
      <c r="C1" s="733"/>
      <c r="D1" s="733"/>
      <c r="E1" s="733"/>
      <c r="F1" s="733"/>
      <c r="G1" s="733"/>
      <c r="H1" s="733"/>
      <c r="I1" s="733"/>
      <c r="J1" s="733"/>
      <c r="K1" s="733"/>
    </row>
    <row r="2" spans="1:11" s="230" customFormat="1">
      <c r="A2" s="1552" t="s">
        <v>169</v>
      </c>
      <c r="B2" s="1547" t="s">
        <v>291</v>
      </c>
      <c r="C2" s="1545"/>
      <c r="D2" s="1545"/>
      <c r="E2" s="1545"/>
      <c r="F2" s="1546"/>
      <c r="G2" s="1547" t="s">
        <v>518</v>
      </c>
      <c r="H2" s="1545"/>
      <c r="I2" s="1545"/>
      <c r="J2" s="1545"/>
      <c r="K2" s="1546"/>
    </row>
    <row r="3" spans="1:11" s="230" customFormat="1">
      <c r="A3" s="1464"/>
      <c r="B3" s="763" t="s">
        <v>519</v>
      </c>
      <c r="C3" s="763" t="s">
        <v>293</v>
      </c>
      <c r="D3" s="763" t="s">
        <v>80</v>
      </c>
      <c r="E3" s="763" t="s">
        <v>294</v>
      </c>
      <c r="F3" s="763" t="s">
        <v>290</v>
      </c>
      <c r="G3" s="763" t="s">
        <v>519</v>
      </c>
      <c r="H3" s="763" t="s">
        <v>293</v>
      </c>
      <c r="I3" s="763" t="s">
        <v>80</v>
      </c>
      <c r="J3" s="763" t="s">
        <v>294</v>
      </c>
      <c r="K3" s="763" t="s">
        <v>290</v>
      </c>
    </row>
    <row r="4" spans="1:11" s="230" customFormat="1">
      <c r="A4" s="764" t="s">
        <v>505</v>
      </c>
      <c r="B4" s="765">
        <v>68.718276651998536</v>
      </c>
      <c r="C4" s="765">
        <v>1.8481793310764119</v>
      </c>
      <c r="D4" s="765">
        <v>0</v>
      </c>
      <c r="E4" s="765">
        <v>0</v>
      </c>
      <c r="F4" s="765">
        <v>29.433544016925051</v>
      </c>
      <c r="G4" s="765">
        <v>18.311075544613018</v>
      </c>
      <c r="H4" s="765">
        <v>0</v>
      </c>
      <c r="I4" s="765">
        <v>0</v>
      </c>
      <c r="J4" s="765">
        <v>0</v>
      </c>
      <c r="K4" s="765">
        <v>81.688924455386967</v>
      </c>
    </row>
    <row r="5" spans="1:11" s="230" customFormat="1">
      <c r="A5" s="740" t="s">
        <v>703</v>
      </c>
      <c r="B5" s="766">
        <v>70.637457476006048</v>
      </c>
      <c r="C5" s="766">
        <v>1.2487350105402084</v>
      </c>
      <c r="D5" s="766">
        <v>0</v>
      </c>
      <c r="E5" s="766">
        <v>0</v>
      </c>
      <c r="F5" s="766">
        <v>28.113807513453754</v>
      </c>
      <c r="G5" s="767">
        <f>INDEX(G6:G11,COUNT(G6:G11))</f>
        <v>39.06</v>
      </c>
      <c r="H5" s="767">
        <f>INDEX(H6:H11,COUNT(H6:H11))</f>
        <v>11.11</v>
      </c>
      <c r="I5" s="767">
        <f>INDEX(I6:I11,COUNT(I6:I11))</f>
        <v>0</v>
      </c>
      <c r="J5" s="767">
        <f>INDEX(J6:J11,COUNT(J6:J11))</f>
        <v>0</v>
      </c>
      <c r="K5" s="767">
        <f>INDEX(K6:K11,COUNT(K6:K11))</f>
        <v>49.83</v>
      </c>
    </row>
    <row r="6" spans="1:11" s="230" customFormat="1">
      <c r="A6" s="744">
        <v>45412</v>
      </c>
      <c r="B6" s="768">
        <v>70.756085780896157</v>
      </c>
      <c r="C6" s="768">
        <v>1.3804805299891896</v>
      </c>
      <c r="D6" s="768">
        <v>0</v>
      </c>
      <c r="E6" s="768">
        <v>0</v>
      </c>
      <c r="F6" s="768">
        <v>27.863433689114665</v>
      </c>
      <c r="G6" s="768">
        <v>33.470142878797262</v>
      </c>
      <c r="H6" s="768">
        <v>4.4074680334304752E-4</v>
      </c>
      <c r="I6" s="768">
        <v>0</v>
      </c>
      <c r="J6" s="768">
        <v>0</v>
      </c>
      <c r="K6" s="768">
        <v>66.529416374399403</v>
      </c>
    </row>
    <row r="7" spans="1:11" s="230" customFormat="1">
      <c r="A7" s="744">
        <v>45443</v>
      </c>
      <c r="B7" s="768">
        <v>70.010853452079729</v>
      </c>
      <c r="C7" s="768">
        <v>1.1681408247739702</v>
      </c>
      <c r="D7" s="768">
        <v>0</v>
      </c>
      <c r="E7" s="768">
        <v>0</v>
      </c>
      <c r="F7" s="768">
        <v>28.821005723146303</v>
      </c>
      <c r="G7" s="768">
        <v>38.257287909554464</v>
      </c>
      <c r="H7" s="768">
        <v>0</v>
      </c>
      <c r="I7" s="768">
        <v>0</v>
      </c>
      <c r="J7" s="768">
        <v>0</v>
      </c>
      <c r="K7" s="768">
        <v>61.742712090445529</v>
      </c>
    </row>
    <row r="8" spans="1:11" s="230" customFormat="1">
      <c r="A8" s="744">
        <v>45473</v>
      </c>
      <c r="B8" s="768">
        <v>71.207214481377918</v>
      </c>
      <c r="C8" s="768">
        <v>1.2263450572063219</v>
      </c>
      <c r="D8" s="768">
        <v>0</v>
      </c>
      <c r="E8" s="768">
        <v>0</v>
      </c>
      <c r="F8" s="768">
        <v>27.566440461415748</v>
      </c>
      <c r="G8" s="768">
        <v>29.797654062502943</v>
      </c>
      <c r="H8" s="768">
        <v>5.3192725534023828E-2</v>
      </c>
      <c r="I8" s="768">
        <v>0</v>
      </c>
      <c r="J8" s="768">
        <v>0</v>
      </c>
      <c r="K8" s="768">
        <v>70.149153211963039</v>
      </c>
    </row>
    <row r="9" spans="1:11" s="230" customFormat="1">
      <c r="A9" s="744">
        <v>45504</v>
      </c>
      <c r="B9" s="768">
        <v>72.424865564994718</v>
      </c>
      <c r="C9" s="768">
        <v>1.1803424338053543</v>
      </c>
      <c r="D9" s="768">
        <v>0</v>
      </c>
      <c r="E9" s="768">
        <v>0</v>
      </c>
      <c r="F9" s="768">
        <v>26.394792001199935</v>
      </c>
      <c r="G9" s="768">
        <v>33.457483855485556</v>
      </c>
      <c r="H9" s="768">
        <v>0</v>
      </c>
      <c r="I9" s="768">
        <v>0</v>
      </c>
      <c r="J9" s="768">
        <v>0</v>
      </c>
      <c r="K9" s="768">
        <v>66.542516144514423</v>
      </c>
    </row>
    <row r="10" spans="1:11" s="230" customFormat="1">
      <c r="A10" s="744">
        <v>45535</v>
      </c>
      <c r="B10" s="768">
        <v>70.176588774902797</v>
      </c>
      <c r="C10" s="768">
        <v>1.2217531136517303</v>
      </c>
      <c r="D10" s="768">
        <v>0</v>
      </c>
      <c r="E10" s="768">
        <v>0</v>
      </c>
      <c r="F10" s="768">
        <v>28.601658111445481</v>
      </c>
      <c r="G10" s="768">
        <v>32.508907022815393</v>
      </c>
      <c r="H10" s="768">
        <v>3.5259844449544962E-2</v>
      </c>
      <c r="I10" s="768">
        <v>0</v>
      </c>
      <c r="J10" s="768">
        <v>0</v>
      </c>
      <c r="K10" s="768">
        <v>67.45583313273508</v>
      </c>
    </row>
    <row r="11" spans="1:11" s="230" customFormat="1">
      <c r="A11" s="744">
        <v>45565</v>
      </c>
      <c r="B11" s="768">
        <v>71.53</v>
      </c>
      <c r="C11" s="768">
        <v>1.31</v>
      </c>
      <c r="D11" s="768">
        <v>0</v>
      </c>
      <c r="E11" s="768">
        <v>0</v>
      </c>
      <c r="F11" s="768">
        <v>27.16</v>
      </c>
      <c r="G11" s="768">
        <v>39.06</v>
      </c>
      <c r="H11" s="768">
        <v>11.11</v>
      </c>
      <c r="I11" s="768">
        <v>0</v>
      </c>
      <c r="J11" s="768">
        <v>0</v>
      </c>
      <c r="K11" s="768">
        <v>49.83</v>
      </c>
    </row>
    <row r="12" spans="1:11" s="230" customFormat="1">
      <c r="A12" s="769" t="s">
        <v>1373</v>
      </c>
      <c r="B12" s="770"/>
      <c r="C12" s="770"/>
      <c r="D12" s="770"/>
      <c r="E12" s="770"/>
      <c r="F12" s="770"/>
      <c r="G12" s="770"/>
      <c r="H12" s="770"/>
      <c r="I12" s="770"/>
      <c r="J12" s="770"/>
      <c r="K12" s="770"/>
    </row>
    <row r="13" spans="1:11" s="230" customFormat="1">
      <c r="A13" s="1510" t="s">
        <v>295</v>
      </c>
      <c r="B13" s="1510"/>
      <c r="C13" s="1510"/>
      <c r="D13" s="1510"/>
      <c r="E13" s="1510"/>
      <c r="F13" s="1510"/>
      <c r="G13" s="1510"/>
      <c r="H13" s="1510"/>
      <c r="I13" s="1510"/>
      <c r="J13" s="1510"/>
      <c r="K13" s="1510"/>
    </row>
    <row r="14" spans="1:11" s="230" customFormat="1">
      <c r="A14" s="750"/>
    </row>
    <row r="15" spans="1:11" s="230" customFormat="1">
      <c r="A15" s="683"/>
      <c r="B15" s="683"/>
      <c r="C15" s="683"/>
      <c r="D15" s="683"/>
      <c r="E15" s="683"/>
      <c r="F15" s="683"/>
      <c r="G15" s="683"/>
      <c r="H15" s="683"/>
      <c r="I15" s="683"/>
      <c r="J15" s="683"/>
      <c r="K15" s="683"/>
    </row>
  </sheetData>
  <mergeCells count="4">
    <mergeCell ref="A2:A3"/>
    <mergeCell ref="B2:F2"/>
    <mergeCell ref="G2:K2"/>
    <mergeCell ref="A13:K13"/>
  </mergeCells>
  <printOptions horizontalCentered="1"/>
  <pageMargins left="0.78431372549019618" right="0.78431372549019618" top="0.98039215686274517" bottom="0.98039215686274517" header="0.50980392156862753" footer="0.50980392156862753"/>
  <pageSetup paperSize="9" scale="80" orientation="landscape" useFirstPageNumber="1" r:id="rId1"/>
  <headerFooter alignWithMargin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15"/>
  <sheetViews>
    <sheetView workbookViewId="0"/>
  </sheetViews>
  <sheetFormatPr defaultColWidth="9.140625" defaultRowHeight="15"/>
  <cols>
    <col min="1" max="11" width="14.5703125" style="683" bestFit="1" customWidth="1"/>
    <col min="12" max="12" width="5" style="683" bestFit="1" customWidth="1"/>
    <col min="13" max="16384" width="9.140625" style="683"/>
  </cols>
  <sheetData>
    <row r="1" spans="1:11">
      <c r="A1" s="733" t="s">
        <v>34</v>
      </c>
      <c r="B1" s="733"/>
      <c r="C1" s="733"/>
      <c r="D1" s="733"/>
      <c r="E1" s="733"/>
      <c r="F1" s="733"/>
      <c r="G1" s="733"/>
      <c r="H1" s="733"/>
      <c r="I1" s="733"/>
      <c r="J1" s="733"/>
      <c r="K1" s="733"/>
    </row>
    <row r="2" spans="1:11" s="230" customFormat="1">
      <c r="A2" s="1552" t="s">
        <v>169</v>
      </c>
      <c r="B2" s="1553" t="s">
        <v>291</v>
      </c>
      <c r="C2" s="1554"/>
      <c r="D2" s="1554"/>
      <c r="E2" s="1554"/>
      <c r="F2" s="1555"/>
      <c r="G2" s="1553" t="s">
        <v>518</v>
      </c>
      <c r="H2" s="1554"/>
      <c r="I2" s="1554"/>
      <c r="J2" s="1554"/>
      <c r="K2" s="1555"/>
    </row>
    <row r="3" spans="1:11" s="230" customFormat="1">
      <c r="A3" s="1464"/>
      <c r="B3" s="771" t="s">
        <v>519</v>
      </c>
      <c r="C3" s="771" t="s">
        <v>293</v>
      </c>
      <c r="D3" s="771" t="s">
        <v>80</v>
      </c>
      <c r="E3" s="771" t="s">
        <v>294</v>
      </c>
      <c r="F3" s="771" t="s">
        <v>290</v>
      </c>
      <c r="G3" s="771" t="s">
        <v>519</v>
      </c>
      <c r="H3" s="771" t="s">
        <v>293</v>
      </c>
      <c r="I3" s="771" t="s">
        <v>80</v>
      </c>
      <c r="J3" s="771" t="s">
        <v>294</v>
      </c>
      <c r="K3" s="771" t="s">
        <v>290</v>
      </c>
    </row>
    <row r="4" spans="1:11" s="230" customFormat="1">
      <c r="A4" s="764" t="s">
        <v>505</v>
      </c>
      <c r="B4" s="765">
        <v>59.72</v>
      </c>
      <c r="C4" s="765">
        <v>6</v>
      </c>
      <c r="D4" s="765">
        <v>0.03</v>
      </c>
      <c r="E4" s="765">
        <v>0</v>
      </c>
      <c r="F4" s="765">
        <v>34.25</v>
      </c>
      <c r="G4" s="765">
        <v>22.74</v>
      </c>
      <c r="H4" s="765">
        <v>20.55</v>
      </c>
      <c r="I4" s="765">
        <v>8.4</v>
      </c>
      <c r="J4" s="765">
        <v>0</v>
      </c>
      <c r="K4" s="765">
        <v>48.31</v>
      </c>
    </row>
    <row r="5" spans="1:11" s="230" customFormat="1">
      <c r="A5" s="740" t="s">
        <v>703</v>
      </c>
      <c r="B5" s="767">
        <v>58.88</v>
      </c>
      <c r="C5" s="767">
        <v>7.07</v>
      </c>
      <c r="D5" s="767">
        <v>0.04</v>
      </c>
      <c r="E5" s="767">
        <v>0</v>
      </c>
      <c r="F5" s="767">
        <v>34.01</v>
      </c>
      <c r="G5" s="767">
        <f>INDEX(G6:G11,COUNT(G6:G11))</f>
        <v>19.84</v>
      </c>
      <c r="H5" s="767">
        <f>INDEX(H6:H11,COUNT(H6:H11))</f>
        <v>19.809999999999999</v>
      </c>
      <c r="I5" s="767">
        <f>INDEX(I6:I11,COUNT(I6:I11))</f>
        <v>5.48</v>
      </c>
      <c r="J5" s="767">
        <f>INDEX(J6:J11,COUNT(J6:J11))</f>
        <v>0</v>
      </c>
      <c r="K5" s="767">
        <f>INDEX(K6:K11,COUNT(K6:K11))</f>
        <v>54.87</v>
      </c>
    </row>
    <row r="6" spans="1:11" s="230" customFormat="1">
      <c r="A6" s="744">
        <v>45412</v>
      </c>
      <c r="B6" s="768">
        <v>58.53</v>
      </c>
      <c r="C6" s="768">
        <v>7.66</v>
      </c>
      <c r="D6" s="768">
        <v>0.04</v>
      </c>
      <c r="E6" s="768">
        <v>0</v>
      </c>
      <c r="F6" s="768">
        <v>33.76</v>
      </c>
      <c r="G6" s="768">
        <v>20.49</v>
      </c>
      <c r="H6" s="768">
        <v>18.71</v>
      </c>
      <c r="I6" s="768">
        <v>6.83</v>
      </c>
      <c r="J6" s="768">
        <v>0</v>
      </c>
      <c r="K6" s="768">
        <v>53.97</v>
      </c>
    </row>
    <row r="7" spans="1:11" s="230" customFormat="1">
      <c r="A7" s="744">
        <v>45443</v>
      </c>
      <c r="B7" s="768">
        <v>59.47</v>
      </c>
      <c r="C7" s="768">
        <v>6.96</v>
      </c>
      <c r="D7" s="768">
        <v>0.04</v>
      </c>
      <c r="E7" s="768">
        <v>0</v>
      </c>
      <c r="F7" s="768">
        <v>33.520000000000003</v>
      </c>
      <c r="G7" s="768">
        <v>20.46</v>
      </c>
      <c r="H7" s="768">
        <v>23.88</v>
      </c>
      <c r="I7" s="768">
        <v>8.77</v>
      </c>
      <c r="J7" s="768">
        <v>0</v>
      </c>
      <c r="K7" s="768">
        <v>46.89</v>
      </c>
    </row>
    <row r="8" spans="1:11" s="230" customFormat="1">
      <c r="A8" s="744">
        <v>45473</v>
      </c>
      <c r="B8" s="768">
        <v>58.62</v>
      </c>
      <c r="C8" s="768">
        <v>6.6</v>
      </c>
      <c r="D8" s="768">
        <v>0.05</v>
      </c>
      <c r="E8" s="768">
        <v>0</v>
      </c>
      <c r="F8" s="768">
        <v>34.729999999999997</v>
      </c>
      <c r="G8" s="768">
        <v>19.309999999999999</v>
      </c>
      <c r="H8" s="768">
        <v>17.84</v>
      </c>
      <c r="I8" s="768">
        <v>6.46</v>
      </c>
      <c r="J8" s="768">
        <v>0</v>
      </c>
      <c r="K8" s="768">
        <v>56.39</v>
      </c>
    </row>
    <row r="9" spans="1:11" s="230" customFormat="1">
      <c r="A9" s="744">
        <v>45504</v>
      </c>
      <c r="B9" s="768">
        <v>59.88</v>
      </c>
      <c r="C9" s="768">
        <v>6.53</v>
      </c>
      <c r="D9" s="768">
        <v>0.04</v>
      </c>
      <c r="E9" s="768">
        <v>0</v>
      </c>
      <c r="F9" s="768">
        <v>33.549999999999997</v>
      </c>
      <c r="G9" s="768">
        <v>18.62</v>
      </c>
      <c r="H9" s="768">
        <v>18.77</v>
      </c>
      <c r="I9" s="768">
        <v>6.79</v>
      </c>
      <c r="J9" s="768">
        <v>0</v>
      </c>
      <c r="K9" s="768">
        <v>55.81</v>
      </c>
    </row>
    <row r="10" spans="1:11" s="230" customFormat="1">
      <c r="A10" s="744">
        <v>45535</v>
      </c>
      <c r="B10" s="768">
        <v>61.07</v>
      </c>
      <c r="C10" s="768">
        <v>6.97</v>
      </c>
      <c r="D10" s="768">
        <v>0.05</v>
      </c>
      <c r="E10" s="768">
        <v>0</v>
      </c>
      <c r="F10" s="768">
        <v>31.92</v>
      </c>
      <c r="G10" s="768">
        <v>19.670000000000002</v>
      </c>
      <c r="H10" s="768">
        <v>19</v>
      </c>
      <c r="I10" s="768">
        <v>6.92</v>
      </c>
      <c r="J10" s="768">
        <v>0</v>
      </c>
      <c r="K10" s="768">
        <v>54.4</v>
      </c>
    </row>
    <row r="11" spans="1:11" s="230" customFormat="1">
      <c r="A11" s="744">
        <v>45565</v>
      </c>
      <c r="B11" s="768">
        <v>61.14</v>
      </c>
      <c r="C11" s="768">
        <v>7.04</v>
      </c>
      <c r="D11" s="768">
        <v>0.05</v>
      </c>
      <c r="E11" s="768">
        <v>0</v>
      </c>
      <c r="F11" s="768">
        <v>31.78</v>
      </c>
      <c r="G11" s="768">
        <v>19.84</v>
      </c>
      <c r="H11" s="768">
        <v>19.809999999999999</v>
      </c>
      <c r="I11" s="768">
        <v>5.48</v>
      </c>
      <c r="J11" s="768">
        <v>0</v>
      </c>
      <c r="K11" s="768">
        <v>54.87</v>
      </c>
    </row>
    <row r="12" spans="1:11" s="230" customFormat="1">
      <c r="A12" s="727" t="s">
        <v>1373</v>
      </c>
      <c r="B12" s="772"/>
      <c r="C12" s="772"/>
      <c r="D12" s="772"/>
      <c r="E12" s="772"/>
      <c r="F12" s="772"/>
      <c r="G12" s="772"/>
      <c r="H12" s="772"/>
      <c r="I12" s="772"/>
      <c r="J12" s="772"/>
      <c r="K12" s="772"/>
    </row>
    <row r="13" spans="1:11" s="230" customFormat="1" ht="15" customHeight="1">
      <c r="A13" s="1556" t="s">
        <v>297</v>
      </c>
      <c r="B13" s="1556"/>
      <c r="C13" s="1556"/>
      <c r="D13" s="1556"/>
      <c r="E13" s="1556"/>
      <c r="F13" s="1556"/>
      <c r="G13" s="1556"/>
      <c r="H13" s="1556"/>
      <c r="I13" s="1556"/>
      <c r="J13" s="1556"/>
      <c r="K13" s="1556"/>
    </row>
    <row r="14" spans="1:11" s="230" customFormat="1">
      <c r="A14" s="750"/>
    </row>
    <row r="15" spans="1:11" s="230" customFormat="1">
      <c r="A15" s="683"/>
      <c r="B15" s="683"/>
      <c r="C15" s="683"/>
      <c r="D15" s="683"/>
      <c r="E15" s="683"/>
      <c r="F15" s="683"/>
      <c r="G15" s="683"/>
      <c r="H15" s="683"/>
      <c r="I15" s="683"/>
      <c r="J15" s="683"/>
      <c r="K15" s="683"/>
    </row>
  </sheetData>
  <mergeCells count="4">
    <mergeCell ref="A2:A3"/>
    <mergeCell ref="B2:F2"/>
    <mergeCell ref="G2:K2"/>
    <mergeCell ref="A13:K13"/>
  </mergeCells>
  <printOptions horizontalCentered="1"/>
  <pageMargins left="0.78431372549019618" right="0.78431372549019618" top="0.98039215686274517" bottom="0.98039215686274517" header="0.50980392156862753" footer="0.50980392156862753"/>
  <pageSetup paperSize="9" scale="80" orientation="landscape" useFirstPageNumber="1" r:id="rId1"/>
  <headerFooter alignWithMargin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15"/>
  <sheetViews>
    <sheetView workbookViewId="0"/>
  </sheetViews>
  <sheetFormatPr defaultColWidth="9.140625" defaultRowHeight="15"/>
  <cols>
    <col min="1" max="2" width="14.5703125" style="683" bestFit="1" customWidth="1"/>
    <col min="3" max="3" width="13.5703125" style="683" customWidth="1"/>
    <col min="4" max="4" width="13.85546875" style="683" customWidth="1"/>
    <col min="5" max="7" width="14.5703125" style="683" bestFit="1" customWidth="1"/>
    <col min="8" max="8" width="15" style="683" bestFit="1" customWidth="1"/>
    <col min="9" max="9" width="14.42578125" style="683" bestFit="1" customWidth="1"/>
    <col min="10" max="11" width="14.5703125" style="683" bestFit="1" customWidth="1"/>
    <col min="12" max="12" width="4.5703125" style="683" bestFit="1" customWidth="1"/>
    <col min="13" max="16384" width="9.140625" style="683"/>
  </cols>
  <sheetData>
    <row r="1" spans="1:11">
      <c r="A1" s="137" t="s">
        <v>35</v>
      </c>
      <c r="B1" s="733"/>
      <c r="C1" s="733"/>
      <c r="D1" s="733"/>
      <c r="E1" s="733"/>
      <c r="F1" s="733"/>
      <c r="G1" s="733"/>
      <c r="H1" s="733"/>
    </row>
    <row r="2" spans="1:11" s="230" customFormat="1" ht="18" customHeight="1">
      <c r="A2" s="1553" t="s">
        <v>520</v>
      </c>
      <c r="B2" s="1554"/>
      <c r="C2" s="1554"/>
      <c r="D2" s="1554"/>
      <c r="E2" s="1554"/>
      <c r="F2" s="1554"/>
      <c r="G2" s="1554"/>
      <c r="H2" s="1554"/>
      <c r="I2" s="1554"/>
      <c r="J2" s="1554"/>
      <c r="K2" s="1555"/>
    </row>
    <row r="3" spans="1:11" s="230" customFormat="1" ht="27.75" customHeight="1">
      <c r="A3" s="773" t="s">
        <v>169</v>
      </c>
      <c r="B3" s="774" t="s">
        <v>521</v>
      </c>
      <c r="C3" s="774" t="s">
        <v>522</v>
      </c>
      <c r="D3" s="774" t="s">
        <v>523</v>
      </c>
      <c r="E3" s="774" t="s">
        <v>524</v>
      </c>
      <c r="F3" s="774" t="s">
        <v>525</v>
      </c>
      <c r="G3" s="774" t="s">
        <v>450</v>
      </c>
      <c r="H3" s="774" t="s">
        <v>526</v>
      </c>
      <c r="I3" s="774" t="s">
        <v>527</v>
      </c>
      <c r="J3" s="774" t="s">
        <v>528</v>
      </c>
      <c r="K3" s="774" t="s">
        <v>529</v>
      </c>
    </row>
    <row r="4" spans="1:11" s="685" customFormat="1" ht="18" customHeight="1">
      <c r="A4" s="764" t="s">
        <v>505</v>
      </c>
      <c r="B4" s="765">
        <v>100</v>
      </c>
      <c r="C4" s="765">
        <v>1.2745228704333337E-4</v>
      </c>
      <c r="D4" s="765">
        <v>6.3109314694256465E-3</v>
      </c>
      <c r="E4" s="765">
        <v>0</v>
      </c>
      <c r="F4" s="765">
        <v>0</v>
      </c>
      <c r="G4" s="765">
        <v>0</v>
      </c>
      <c r="H4" s="765">
        <v>0</v>
      </c>
      <c r="I4" s="765">
        <v>0</v>
      </c>
      <c r="J4" s="765">
        <v>0</v>
      </c>
      <c r="K4" s="765">
        <v>0</v>
      </c>
    </row>
    <row r="5" spans="1:11" s="685" customFormat="1" ht="18" customHeight="1">
      <c r="A5" s="740" t="s">
        <v>703</v>
      </c>
      <c r="B5" s="767">
        <v>72.137572784434241</v>
      </c>
      <c r="C5" s="767">
        <v>0</v>
      </c>
      <c r="D5" s="767">
        <v>27.862427215565749</v>
      </c>
      <c r="E5" s="767">
        <v>0</v>
      </c>
      <c r="F5" s="767">
        <v>0</v>
      </c>
      <c r="G5" s="767">
        <v>0</v>
      </c>
      <c r="H5" s="767">
        <v>0</v>
      </c>
      <c r="I5" s="767">
        <v>0</v>
      </c>
      <c r="J5" s="767">
        <v>0</v>
      </c>
      <c r="K5" s="767">
        <v>0</v>
      </c>
    </row>
    <row r="6" spans="1:11" s="230" customFormat="1" ht="18" customHeight="1">
      <c r="A6" s="744">
        <v>45412</v>
      </c>
      <c r="B6" s="768">
        <v>69.02</v>
      </c>
      <c r="C6" s="768">
        <v>0</v>
      </c>
      <c r="D6" s="768">
        <v>30.98</v>
      </c>
      <c r="E6" s="768">
        <v>0</v>
      </c>
      <c r="F6" s="768">
        <v>0</v>
      </c>
      <c r="G6" s="768">
        <v>0</v>
      </c>
      <c r="H6" s="768">
        <v>0</v>
      </c>
      <c r="I6" s="768">
        <v>0</v>
      </c>
      <c r="J6" s="768">
        <v>0</v>
      </c>
      <c r="K6" s="768">
        <v>0</v>
      </c>
    </row>
    <row r="7" spans="1:11" s="230" customFormat="1" ht="18" customHeight="1">
      <c r="A7" s="744">
        <v>45443</v>
      </c>
      <c r="B7" s="768">
        <v>77.45</v>
      </c>
      <c r="C7" s="768">
        <v>0</v>
      </c>
      <c r="D7" s="768">
        <v>22.55</v>
      </c>
      <c r="E7" s="768">
        <v>0</v>
      </c>
      <c r="F7" s="768">
        <v>0</v>
      </c>
      <c r="G7" s="768">
        <v>0</v>
      </c>
      <c r="H7" s="768">
        <v>0</v>
      </c>
      <c r="I7" s="768">
        <v>0</v>
      </c>
      <c r="J7" s="768">
        <v>0</v>
      </c>
      <c r="K7" s="768">
        <v>0</v>
      </c>
    </row>
    <row r="8" spans="1:11" s="230" customFormat="1" ht="18" customHeight="1">
      <c r="A8" s="744">
        <v>45473</v>
      </c>
      <c r="B8" s="768">
        <v>74.03</v>
      </c>
      <c r="C8" s="768">
        <v>0</v>
      </c>
      <c r="D8" s="768">
        <v>25.97</v>
      </c>
      <c r="E8" s="768">
        <v>0</v>
      </c>
      <c r="F8" s="768">
        <v>0</v>
      </c>
      <c r="G8" s="768">
        <v>0</v>
      </c>
      <c r="H8" s="768">
        <v>0</v>
      </c>
      <c r="I8" s="768">
        <v>0</v>
      </c>
      <c r="J8" s="768">
        <v>0</v>
      </c>
      <c r="K8" s="768">
        <v>0</v>
      </c>
    </row>
    <row r="9" spans="1:11" s="230" customFormat="1" ht="18" customHeight="1">
      <c r="A9" s="744">
        <v>45504</v>
      </c>
      <c r="B9" s="768">
        <v>67.165949969983359</v>
      </c>
      <c r="C9" s="768">
        <v>0</v>
      </c>
      <c r="D9" s="768">
        <v>32.834050030016641</v>
      </c>
      <c r="E9" s="768">
        <v>0</v>
      </c>
      <c r="F9" s="768">
        <v>0</v>
      </c>
      <c r="G9" s="768">
        <v>0</v>
      </c>
      <c r="H9" s="768">
        <v>0</v>
      </c>
      <c r="I9" s="768">
        <v>0</v>
      </c>
      <c r="J9" s="768">
        <v>0</v>
      </c>
      <c r="K9" s="768">
        <v>0</v>
      </c>
    </row>
    <row r="10" spans="1:11" s="230" customFormat="1" ht="18" customHeight="1">
      <c r="A10" s="744">
        <v>45535</v>
      </c>
      <c r="B10" s="768">
        <v>76.464981861323139</v>
      </c>
      <c r="C10" s="768">
        <v>0</v>
      </c>
      <c r="D10" s="768">
        <v>23.535018138676865</v>
      </c>
      <c r="E10" s="768">
        <v>0</v>
      </c>
      <c r="F10" s="768">
        <v>0</v>
      </c>
      <c r="G10" s="768">
        <v>0</v>
      </c>
      <c r="H10" s="768">
        <v>0</v>
      </c>
      <c r="I10" s="768">
        <v>0</v>
      </c>
      <c r="J10" s="768">
        <v>0</v>
      </c>
      <c r="K10" s="768">
        <v>0</v>
      </c>
    </row>
    <row r="11" spans="1:11" s="230" customFormat="1" ht="14.25" customHeight="1">
      <c r="A11" s="744">
        <v>45565</v>
      </c>
      <c r="B11" s="768">
        <v>69.180000000000007</v>
      </c>
      <c r="C11" s="768">
        <v>0</v>
      </c>
      <c r="D11" s="768">
        <v>30.82</v>
      </c>
      <c r="E11" s="768">
        <v>0</v>
      </c>
      <c r="F11" s="768">
        <v>0</v>
      </c>
      <c r="G11" s="768">
        <v>0</v>
      </c>
      <c r="H11" s="768">
        <v>0</v>
      </c>
      <c r="I11" s="768">
        <v>0</v>
      </c>
      <c r="J11" s="768">
        <v>0</v>
      </c>
      <c r="K11" s="768">
        <v>0</v>
      </c>
    </row>
    <row r="12" spans="1:11" s="230" customFormat="1" ht="13.5" customHeight="1">
      <c r="A12" s="727" t="s">
        <v>1373</v>
      </c>
      <c r="B12" s="772"/>
      <c r="C12" s="772"/>
      <c r="D12" s="772"/>
      <c r="E12" s="772"/>
      <c r="F12" s="772"/>
      <c r="G12" s="772"/>
      <c r="H12" s="772"/>
      <c r="I12" s="772"/>
      <c r="J12" s="772"/>
      <c r="K12" s="772"/>
    </row>
    <row r="13" spans="1:11" s="230" customFormat="1">
      <c r="A13" s="1510" t="s">
        <v>295</v>
      </c>
      <c r="B13" s="1510"/>
      <c r="C13" s="1510"/>
      <c r="D13" s="1510"/>
      <c r="E13" s="1510"/>
      <c r="F13" s="1510"/>
    </row>
    <row r="14" spans="1:11" s="230" customFormat="1">
      <c r="A14" s="750" t="s">
        <v>1362</v>
      </c>
    </row>
    <row r="15" spans="1:11" s="230" customFormat="1">
      <c r="A15" s="683"/>
      <c r="B15" s="683"/>
      <c r="C15" s="683"/>
      <c r="D15" s="683"/>
      <c r="E15" s="683"/>
      <c r="F15" s="683"/>
    </row>
  </sheetData>
  <mergeCells count="2">
    <mergeCell ref="A2:K2"/>
    <mergeCell ref="A13:F13"/>
  </mergeCells>
  <printOptions horizontalCentered="1"/>
  <pageMargins left="0.78431372549019618" right="0.78431372549019618" top="0.98039215686274517" bottom="0.98039215686274517" header="0.50980392156862753" footer="0.50980392156862753"/>
  <pageSetup paperSize="9" scale="81" orientation="landscape" useFirstPageNumber="1" r:id="rId1"/>
  <headerFooter alignWithMargins="0"/>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19"/>
  <sheetViews>
    <sheetView workbookViewId="0"/>
  </sheetViews>
  <sheetFormatPr defaultColWidth="9.140625" defaultRowHeight="15"/>
  <cols>
    <col min="1" max="5" width="14.5703125" style="683" bestFit="1" customWidth="1"/>
    <col min="6" max="6" width="7.85546875" style="683" customWidth="1"/>
    <col min="7" max="16384" width="9.140625" style="683"/>
  </cols>
  <sheetData>
    <row r="1" spans="1:11" s="80" customFormat="1">
      <c r="A1" s="137" t="s">
        <v>36</v>
      </c>
      <c r="B1" s="137"/>
      <c r="C1" s="137"/>
      <c r="D1" s="137"/>
      <c r="E1" s="137"/>
    </row>
    <row r="2" spans="1:11" s="191" customFormat="1">
      <c r="A2" s="1437" t="s">
        <v>169</v>
      </c>
      <c r="B2" s="1557" t="s">
        <v>520</v>
      </c>
      <c r="C2" s="1557"/>
      <c r="D2" s="1557"/>
      <c r="E2" s="1558"/>
    </row>
    <row r="3" spans="1:11" s="191" customFormat="1">
      <c r="A3" s="1437"/>
      <c r="B3" s="676" t="s">
        <v>530</v>
      </c>
      <c r="C3" s="677" t="s">
        <v>531</v>
      </c>
      <c r="D3" s="677" t="s">
        <v>532</v>
      </c>
      <c r="E3" s="677" t="s">
        <v>533</v>
      </c>
    </row>
    <row r="4" spans="1:11" s="84" customFormat="1">
      <c r="A4" s="756" t="s">
        <v>505</v>
      </c>
      <c r="B4" s="776">
        <v>33.43</v>
      </c>
      <c r="C4" s="776">
        <v>45.18</v>
      </c>
      <c r="D4" s="776">
        <v>17.600000000000001</v>
      </c>
      <c r="E4" s="776">
        <v>3.79</v>
      </c>
    </row>
    <row r="5" spans="1:11" s="84" customFormat="1">
      <c r="A5" s="740" t="s">
        <v>703</v>
      </c>
      <c r="B5" s="777">
        <v>34.630000000000003</v>
      </c>
      <c r="C5" s="777">
        <v>41.43</v>
      </c>
      <c r="D5" s="777">
        <v>16.5</v>
      </c>
      <c r="E5" s="777">
        <v>7.41</v>
      </c>
    </row>
    <row r="6" spans="1:11" s="191" customFormat="1">
      <c r="A6" s="130">
        <v>45412</v>
      </c>
      <c r="B6" s="305">
        <v>36.08</v>
      </c>
      <c r="C6" s="305">
        <v>41.13</v>
      </c>
      <c r="D6" s="305">
        <v>16.36</v>
      </c>
      <c r="E6" s="305">
        <v>6.44</v>
      </c>
    </row>
    <row r="7" spans="1:11" s="191" customFormat="1">
      <c r="A7" s="130">
        <v>45443</v>
      </c>
      <c r="B7" s="305">
        <v>39.17</v>
      </c>
      <c r="C7" s="305">
        <v>39.200000000000003</v>
      </c>
      <c r="D7" s="305">
        <v>15.19</v>
      </c>
      <c r="E7" s="305">
        <v>6.42</v>
      </c>
    </row>
    <row r="8" spans="1:11" s="191" customFormat="1">
      <c r="A8" s="130">
        <v>45473</v>
      </c>
      <c r="B8" s="305">
        <v>33.26</v>
      </c>
      <c r="C8" s="305">
        <v>44.25</v>
      </c>
      <c r="D8" s="305">
        <v>15.7</v>
      </c>
      <c r="E8" s="305">
        <v>6.77</v>
      </c>
    </row>
    <row r="9" spans="1:11" s="191" customFormat="1">
      <c r="A9" s="130">
        <v>45504</v>
      </c>
      <c r="B9" s="305">
        <v>30.18</v>
      </c>
      <c r="C9" s="305">
        <v>43.21</v>
      </c>
      <c r="D9" s="305">
        <v>17.61</v>
      </c>
      <c r="E9" s="305">
        <v>8.98</v>
      </c>
    </row>
    <row r="10" spans="1:11" s="191" customFormat="1">
      <c r="A10" s="130">
        <v>45535</v>
      </c>
      <c r="B10" s="305">
        <v>35.119999999999997</v>
      </c>
      <c r="C10" s="305">
        <v>39.25</v>
      </c>
      <c r="D10" s="305">
        <v>17.420000000000002</v>
      </c>
      <c r="E10" s="305">
        <v>8.17</v>
      </c>
    </row>
    <row r="11" spans="1:11" s="191" customFormat="1">
      <c r="A11" s="130">
        <v>45565</v>
      </c>
      <c r="B11" s="305">
        <v>33.299999999999997</v>
      </c>
      <c r="C11" s="305">
        <v>40.54</v>
      </c>
      <c r="D11" s="305">
        <v>17.3</v>
      </c>
      <c r="E11" s="305">
        <v>8.82</v>
      </c>
    </row>
    <row r="12" spans="1:11" s="191" customFormat="1">
      <c r="A12" s="320" t="s">
        <v>1373</v>
      </c>
      <c r="B12" s="205"/>
      <c r="C12" s="205"/>
      <c r="D12" s="205"/>
      <c r="E12" s="205"/>
      <c r="H12" s="230"/>
      <c r="I12" s="230"/>
      <c r="J12" s="230"/>
      <c r="K12" s="230"/>
    </row>
    <row r="13" spans="1:11" s="191" customFormat="1" ht="15" customHeight="1">
      <c r="A13" s="1457" t="s">
        <v>297</v>
      </c>
      <c r="B13" s="1457"/>
      <c r="C13" s="1457"/>
      <c r="D13" s="1457"/>
      <c r="H13" s="230"/>
      <c r="I13" s="230"/>
      <c r="J13" s="230"/>
      <c r="K13" s="230"/>
    </row>
    <row r="14" spans="1:11" s="191" customFormat="1">
      <c r="A14" s="231"/>
      <c r="H14" s="230"/>
      <c r="I14" s="230"/>
      <c r="J14" s="230"/>
      <c r="K14" s="230"/>
    </row>
    <row r="15" spans="1:11" s="230" customFormat="1">
      <c r="A15" s="683"/>
      <c r="B15" s="683"/>
      <c r="C15" s="683"/>
      <c r="D15" s="683"/>
    </row>
    <row r="16" spans="1:11">
      <c r="B16" s="197"/>
      <c r="C16" s="197"/>
    </row>
    <row r="17" spans="2:3">
      <c r="B17" s="197"/>
      <c r="C17" s="197"/>
    </row>
    <row r="18" spans="2:3">
      <c r="B18" s="197"/>
      <c r="C18" s="197"/>
    </row>
    <row r="19" spans="2:3">
      <c r="B19" s="197"/>
      <c r="C19" s="197"/>
    </row>
  </sheetData>
  <mergeCells count="3">
    <mergeCell ref="A2:A3"/>
    <mergeCell ref="B2:E2"/>
    <mergeCell ref="A13:D13"/>
  </mergeCells>
  <printOptions horizontalCentered="1"/>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22"/>
  <sheetViews>
    <sheetView workbookViewId="0"/>
  </sheetViews>
  <sheetFormatPr defaultColWidth="9.140625" defaultRowHeight="15"/>
  <cols>
    <col min="1" max="3" width="14.5703125" style="778" bestFit="1" customWidth="1"/>
    <col min="4" max="4" width="15.7109375" style="778" bestFit="1" customWidth="1"/>
    <col min="5" max="11" width="14.5703125" style="778" bestFit="1" customWidth="1"/>
    <col min="12" max="12" width="15" style="778" bestFit="1" customWidth="1"/>
    <col min="13" max="13" width="4.5703125" style="778" bestFit="1" customWidth="1"/>
    <col min="14" max="16384" width="9.140625" style="778"/>
  </cols>
  <sheetData>
    <row r="1" spans="1:12">
      <c r="A1" s="733" t="s">
        <v>37</v>
      </c>
      <c r="B1" s="733"/>
      <c r="C1" s="733"/>
      <c r="D1" s="733"/>
      <c r="E1" s="733"/>
      <c r="F1" s="733"/>
      <c r="G1" s="733"/>
      <c r="H1" s="733"/>
      <c r="I1" s="733"/>
      <c r="J1" s="733"/>
      <c r="K1" s="733"/>
      <c r="L1" s="733"/>
    </row>
    <row r="2" spans="1:12" s="779" customFormat="1">
      <c r="A2" s="1552" t="s">
        <v>141</v>
      </c>
      <c r="B2" s="1542" t="s">
        <v>239</v>
      </c>
      <c r="C2" s="1565" t="s">
        <v>534</v>
      </c>
      <c r="D2" s="1566"/>
      <c r="E2" s="1547" t="s">
        <v>535</v>
      </c>
      <c r="F2" s="1545"/>
      <c r="G2" s="1545"/>
      <c r="H2" s="1546"/>
      <c r="I2" s="1565" t="s">
        <v>96</v>
      </c>
      <c r="J2" s="1566"/>
      <c r="K2" s="1559" t="s">
        <v>536</v>
      </c>
      <c r="L2" s="1560"/>
    </row>
    <row r="3" spans="1:12" s="779" customFormat="1">
      <c r="A3" s="1564"/>
      <c r="B3" s="1543"/>
      <c r="C3" s="1443"/>
      <c r="D3" s="1444"/>
      <c r="E3" s="1547" t="s">
        <v>537</v>
      </c>
      <c r="F3" s="1546"/>
      <c r="G3" s="1547" t="s">
        <v>538</v>
      </c>
      <c r="H3" s="1546"/>
      <c r="I3" s="1443"/>
      <c r="J3" s="1444"/>
      <c r="K3" s="1561"/>
      <c r="L3" s="1562"/>
    </row>
    <row r="4" spans="1:12" s="779" customFormat="1" ht="30">
      <c r="A4" s="1464"/>
      <c r="B4" s="1451"/>
      <c r="C4" s="774" t="s">
        <v>501</v>
      </c>
      <c r="D4" s="774" t="s">
        <v>547</v>
      </c>
      <c r="E4" s="774" t="s">
        <v>501</v>
      </c>
      <c r="F4" s="774" t="s">
        <v>547</v>
      </c>
      <c r="G4" s="774" t="s">
        <v>501</v>
      </c>
      <c r="H4" s="774" t="s">
        <v>1360</v>
      </c>
      <c r="I4" s="774" t="s">
        <v>501</v>
      </c>
      <c r="J4" s="774" t="s">
        <v>1360</v>
      </c>
      <c r="K4" s="774" t="s">
        <v>499</v>
      </c>
      <c r="L4" s="755" t="s">
        <v>539</v>
      </c>
    </row>
    <row r="5" spans="1:12" s="785" customFormat="1">
      <c r="A5" s="764" t="s">
        <v>505</v>
      </c>
      <c r="B5" s="780">
        <v>241</v>
      </c>
      <c r="C5" s="781">
        <v>264230072</v>
      </c>
      <c r="D5" s="782">
        <v>2189493.6302000005</v>
      </c>
      <c r="E5" s="781">
        <v>10072828</v>
      </c>
      <c r="F5" s="782">
        <v>83584.349700000021</v>
      </c>
      <c r="G5" s="781">
        <v>8811787</v>
      </c>
      <c r="H5" s="782">
        <v>72737.362100000013</v>
      </c>
      <c r="I5" s="781">
        <v>283114687</v>
      </c>
      <c r="J5" s="783">
        <v>2345815.3420000002</v>
      </c>
      <c r="K5" s="784">
        <v>1158785</v>
      </c>
      <c r="L5" s="782">
        <v>9668.9115424100019</v>
      </c>
    </row>
    <row r="6" spans="1:12" s="785" customFormat="1">
      <c r="A6" s="740" t="s">
        <v>703</v>
      </c>
      <c r="B6" s="741">
        <f t="shared" ref="B6:J6" si="0">SUM(B7:B12)</f>
        <v>120</v>
      </c>
      <c r="C6" s="741">
        <f t="shared" si="0"/>
        <v>3684530</v>
      </c>
      <c r="D6" s="758">
        <f t="shared" si="0"/>
        <v>30766.306399999998</v>
      </c>
      <c r="E6" s="741">
        <f t="shared" si="0"/>
        <v>20623</v>
      </c>
      <c r="F6" s="758">
        <f t="shared" si="0"/>
        <v>172.30069999999998</v>
      </c>
      <c r="G6" s="741">
        <f t="shared" si="0"/>
        <v>22107</v>
      </c>
      <c r="H6" s="758">
        <f t="shared" si="0"/>
        <v>183.59569999999997</v>
      </c>
      <c r="I6" s="741">
        <f t="shared" si="0"/>
        <v>3727260</v>
      </c>
      <c r="J6" s="786">
        <f t="shared" si="0"/>
        <v>31122.202799999999</v>
      </c>
      <c r="K6" s="741">
        <f>INDEX(K7:K12,COUNT(K7:K12))</f>
        <v>90</v>
      </c>
      <c r="L6" s="758">
        <f>INDEX(L7:L12,COUNT(L7:L12))</f>
        <v>1</v>
      </c>
    </row>
    <row r="7" spans="1:12" s="779" customFormat="1">
      <c r="A7" s="744">
        <v>45412</v>
      </c>
      <c r="B7" s="787">
        <v>18</v>
      </c>
      <c r="C7" s="788">
        <v>3150904</v>
      </c>
      <c r="D7" s="789">
        <v>26310.400999999998</v>
      </c>
      <c r="E7" s="788">
        <v>20623</v>
      </c>
      <c r="F7" s="789">
        <v>172.30069999999998</v>
      </c>
      <c r="G7" s="788">
        <v>22107</v>
      </c>
      <c r="H7" s="789">
        <v>183.59569999999997</v>
      </c>
      <c r="I7" s="788">
        <v>3193634</v>
      </c>
      <c r="J7" s="790">
        <v>26666.297399999999</v>
      </c>
      <c r="K7" s="791">
        <v>252685</v>
      </c>
      <c r="L7" s="789">
        <v>2111.52940683</v>
      </c>
    </row>
    <row r="8" spans="1:12" s="779" customFormat="1">
      <c r="A8" s="744">
        <v>45443</v>
      </c>
      <c r="B8" s="787">
        <v>20</v>
      </c>
      <c r="C8" s="788">
        <v>240852</v>
      </c>
      <c r="D8" s="789">
        <v>2011.5062</v>
      </c>
      <c r="E8" s="791">
        <v>0</v>
      </c>
      <c r="F8" s="789">
        <v>0</v>
      </c>
      <c r="G8" s="791">
        <v>0</v>
      </c>
      <c r="H8" s="789">
        <v>0</v>
      </c>
      <c r="I8" s="788">
        <v>240852</v>
      </c>
      <c r="J8" s="790">
        <v>2011.5062</v>
      </c>
      <c r="K8" s="788">
        <v>9076</v>
      </c>
      <c r="L8" s="789">
        <v>75.601990879999988</v>
      </c>
    </row>
    <row r="9" spans="1:12" s="779" customFormat="1">
      <c r="A9" s="744">
        <v>45473</v>
      </c>
      <c r="B9" s="787">
        <v>19</v>
      </c>
      <c r="C9" s="788">
        <v>271760</v>
      </c>
      <c r="D9" s="789">
        <v>2268.5628999999994</v>
      </c>
      <c r="E9" s="791">
        <v>0</v>
      </c>
      <c r="F9" s="789">
        <v>0</v>
      </c>
      <c r="G9" s="791">
        <v>0</v>
      </c>
      <c r="H9" s="789">
        <v>0</v>
      </c>
      <c r="I9" s="788">
        <v>271760</v>
      </c>
      <c r="J9" s="790">
        <v>2268.5628999999994</v>
      </c>
      <c r="K9" s="788">
        <v>45810</v>
      </c>
      <c r="L9" s="789">
        <v>382.30002539999998</v>
      </c>
    </row>
    <row r="10" spans="1:12" s="779" customFormat="1">
      <c r="A10" s="744">
        <v>45504</v>
      </c>
      <c r="B10" s="787">
        <v>22</v>
      </c>
      <c r="C10" s="788">
        <v>21005</v>
      </c>
      <c r="D10" s="789">
        <v>175.8263</v>
      </c>
      <c r="E10" s="791">
        <v>0</v>
      </c>
      <c r="F10" s="789">
        <v>0</v>
      </c>
      <c r="G10" s="791">
        <v>0</v>
      </c>
      <c r="H10" s="789">
        <v>0</v>
      </c>
      <c r="I10" s="788">
        <v>21005</v>
      </c>
      <c r="J10" s="790">
        <v>175.8263</v>
      </c>
      <c r="K10" s="788">
        <v>535</v>
      </c>
      <c r="L10" s="789">
        <v>4.4803040000000003</v>
      </c>
    </row>
    <row r="11" spans="1:12" s="779" customFormat="1">
      <c r="A11" s="744">
        <v>45535</v>
      </c>
      <c r="B11" s="787">
        <v>21</v>
      </c>
      <c r="C11" s="787">
        <v>1</v>
      </c>
      <c r="D11" s="789">
        <v>0.01</v>
      </c>
      <c r="E11" s="787">
        <v>0</v>
      </c>
      <c r="F11" s="789">
        <v>0</v>
      </c>
      <c r="G11" s="787">
        <v>0</v>
      </c>
      <c r="H11" s="789">
        <v>0</v>
      </c>
      <c r="I11" s="788">
        <v>1</v>
      </c>
      <c r="J11" s="790">
        <v>0.01</v>
      </c>
      <c r="K11" s="787">
        <v>514</v>
      </c>
      <c r="L11" s="789">
        <v>4.3109642600000004</v>
      </c>
    </row>
    <row r="12" spans="1:12" s="779" customFormat="1">
      <c r="A12" s="744">
        <v>45565</v>
      </c>
      <c r="B12" s="787">
        <v>20</v>
      </c>
      <c r="C12" s="792">
        <v>8</v>
      </c>
      <c r="D12" s="789">
        <v>0</v>
      </c>
      <c r="E12" s="791">
        <v>0</v>
      </c>
      <c r="F12" s="789">
        <v>0</v>
      </c>
      <c r="G12" s="791">
        <v>0</v>
      </c>
      <c r="H12" s="789">
        <v>0</v>
      </c>
      <c r="I12" s="792">
        <v>8</v>
      </c>
      <c r="J12" s="790">
        <v>0</v>
      </c>
      <c r="K12" s="792">
        <v>90</v>
      </c>
      <c r="L12" s="789">
        <v>1</v>
      </c>
    </row>
    <row r="13" spans="1:12" s="779" customFormat="1">
      <c r="A13" s="727" t="s">
        <v>1373</v>
      </c>
      <c r="B13" s="793"/>
      <c r="C13" s="794"/>
      <c r="D13" s="795"/>
      <c r="E13" s="795"/>
      <c r="F13" s="796"/>
      <c r="G13" s="795"/>
      <c r="H13" s="797"/>
      <c r="I13" s="798"/>
      <c r="J13" s="795"/>
      <c r="K13" s="795"/>
      <c r="L13" s="797"/>
    </row>
    <row r="14" spans="1:12" s="779" customFormat="1">
      <c r="A14" s="1563" t="s">
        <v>249</v>
      </c>
      <c r="B14" s="1563"/>
      <c r="C14" s="1563"/>
      <c r="D14" s="1563"/>
      <c r="E14" s="1563"/>
      <c r="F14" s="1563"/>
      <c r="G14" s="1563"/>
      <c r="H14" s="1563"/>
      <c r="I14" s="1563"/>
      <c r="J14" s="1563"/>
      <c r="K14" s="1563"/>
      <c r="L14" s="1563"/>
    </row>
    <row r="15" spans="1:12" s="779" customFormat="1">
      <c r="A15" s="750"/>
    </row>
    <row r="16" spans="1:12" s="779" customFormat="1">
      <c r="A16" s="778"/>
      <c r="B16" s="778"/>
      <c r="C16" s="778"/>
      <c r="D16" s="778"/>
      <c r="E16" s="799"/>
      <c r="F16" s="799"/>
      <c r="G16" s="799"/>
      <c r="H16" s="799"/>
      <c r="I16" s="799"/>
      <c r="J16" s="799"/>
      <c r="K16" s="778"/>
      <c r="L16" s="778"/>
    </row>
    <row r="17" spans="5:10">
      <c r="E17" s="799"/>
      <c r="F17" s="799"/>
      <c r="G17" s="799"/>
      <c r="H17" s="799"/>
      <c r="I17" s="799"/>
      <c r="J17" s="799"/>
    </row>
    <row r="18" spans="5:10">
      <c r="E18" s="799"/>
      <c r="F18" s="799"/>
      <c r="G18" s="799"/>
      <c r="H18" s="799"/>
      <c r="I18" s="799"/>
      <c r="J18" s="799"/>
    </row>
    <row r="19" spans="5:10">
      <c r="E19" s="799"/>
      <c r="F19" s="799"/>
      <c r="G19" s="799"/>
      <c r="H19" s="799"/>
      <c r="I19" s="799"/>
      <c r="J19" s="799"/>
    </row>
    <row r="20" spans="5:10">
      <c r="E20" s="799"/>
      <c r="F20" s="799"/>
      <c r="G20" s="799"/>
      <c r="H20" s="799"/>
      <c r="I20" s="799"/>
      <c r="J20" s="799"/>
    </row>
    <row r="21" spans="5:10">
      <c r="I21" s="800"/>
      <c r="J21" s="800"/>
    </row>
    <row r="22" spans="5:10">
      <c r="I22" s="800"/>
      <c r="J22" s="800"/>
    </row>
  </sheetData>
  <mergeCells count="9">
    <mergeCell ref="K2:L3"/>
    <mergeCell ref="E3:F3"/>
    <mergeCell ref="G3:H3"/>
    <mergeCell ref="A14:L14"/>
    <mergeCell ref="A2:A4"/>
    <mergeCell ref="B2:B4"/>
    <mergeCell ref="C2:D3"/>
    <mergeCell ref="E2:H2"/>
    <mergeCell ref="I2:J3"/>
  </mergeCells>
  <printOptions horizontalCentered="1"/>
  <pageMargins left="0.78431372549019618" right="0.78431372549019618" top="0.98039215686274517" bottom="0.98039215686274517" header="0.50980392156862753" footer="0.50980392156862753"/>
  <pageSetup paperSize="9" scale="71" orientation="landscape" useFirstPageNumber="1" r:id="rId1"/>
  <headerFooter alignWithMargin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23"/>
  <sheetViews>
    <sheetView workbookViewId="0"/>
  </sheetViews>
  <sheetFormatPr defaultColWidth="9.140625" defaultRowHeight="15"/>
  <cols>
    <col min="1" max="1" width="9.42578125" style="683" bestFit="1" customWidth="1"/>
    <col min="2" max="2" width="14.5703125" style="683" bestFit="1" customWidth="1"/>
    <col min="3" max="4" width="12.42578125" style="683" bestFit="1" customWidth="1"/>
    <col min="5" max="5" width="14.7109375" style="683" customWidth="1"/>
    <col min="6" max="6" width="14.42578125" style="683" bestFit="1" customWidth="1"/>
    <col min="7" max="7" width="13.140625" style="683" customWidth="1"/>
    <col min="8" max="8" width="14.42578125" style="683" bestFit="1" customWidth="1"/>
    <col min="9" max="9" width="14.5703125" style="683" customWidth="1"/>
    <col min="10" max="10" width="14.28515625" style="683" bestFit="1" customWidth="1"/>
    <col min="11" max="11" width="12.42578125" style="683" customWidth="1"/>
    <col min="12" max="12" width="11.7109375" style="683" bestFit="1" customWidth="1"/>
    <col min="13" max="13" width="9.85546875" style="683" customWidth="1"/>
    <col min="14" max="16384" width="9.140625" style="683"/>
  </cols>
  <sheetData>
    <row r="1" spans="1:12">
      <c r="A1" s="733" t="s">
        <v>38</v>
      </c>
      <c r="B1" s="733"/>
      <c r="C1" s="733"/>
      <c r="D1" s="733"/>
      <c r="E1" s="733"/>
      <c r="F1" s="733"/>
      <c r="G1" s="733"/>
      <c r="H1" s="733"/>
      <c r="I1" s="733"/>
      <c r="J1" s="733"/>
      <c r="K1" s="733"/>
      <c r="L1" s="733"/>
    </row>
    <row r="2" spans="1:12" s="230" customFormat="1">
      <c r="A2" s="1542" t="s">
        <v>509</v>
      </c>
      <c r="B2" s="1542" t="s">
        <v>540</v>
      </c>
      <c r="C2" s="1547" t="s">
        <v>534</v>
      </c>
      <c r="D2" s="1546"/>
      <c r="E2" s="1547" t="s">
        <v>541</v>
      </c>
      <c r="F2" s="1545"/>
      <c r="G2" s="1545"/>
      <c r="H2" s="1546"/>
      <c r="I2" s="1547" t="s">
        <v>96</v>
      </c>
      <c r="J2" s="1546"/>
      <c r="K2" s="1548" t="s">
        <v>542</v>
      </c>
      <c r="L2" s="1551"/>
    </row>
    <row r="3" spans="1:12" s="230" customFormat="1" ht="15" customHeight="1">
      <c r="A3" s="1543"/>
      <c r="B3" s="1543"/>
      <c r="C3" s="1540" t="s">
        <v>501</v>
      </c>
      <c r="D3" s="1540" t="s">
        <v>544</v>
      </c>
      <c r="E3" s="1547" t="s">
        <v>537</v>
      </c>
      <c r="F3" s="1546"/>
      <c r="G3" s="1547" t="s">
        <v>538</v>
      </c>
      <c r="H3" s="1546"/>
      <c r="I3" s="1542" t="s">
        <v>501</v>
      </c>
      <c r="J3" s="1542" t="s">
        <v>547</v>
      </c>
      <c r="K3" s="1540" t="s">
        <v>543</v>
      </c>
      <c r="L3" s="1540" t="s">
        <v>1361</v>
      </c>
    </row>
    <row r="4" spans="1:12" s="230" customFormat="1" ht="30">
      <c r="A4" s="1451"/>
      <c r="B4" s="1451"/>
      <c r="C4" s="1541"/>
      <c r="D4" s="1541"/>
      <c r="E4" s="801" t="s">
        <v>501</v>
      </c>
      <c r="F4" s="801" t="s">
        <v>547</v>
      </c>
      <c r="G4" s="801" t="s">
        <v>501</v>
      </c>
      <c r="H4" s="801" t="s">
        <v>547</v>
      </c>
      <c r="I4" s="1451"/>
      <c r="J4" s="1568"/>
      <c r="K4" s="1541"/>
      <c r="L4" s="1541"/>
    </row>
    <row r="5" spans="1:12" s="685" customFormat="1">
      <c r="A5" s="802" t="s">
        <v>505</v>
      </c>
      <c r="B5" s="803">
        <v>241</v>
      </c>
      <c r="C5" s="804">
        <v>851902719</v>
      </c>
      <c r="D5" s="805">
        <v>7201741.9799999986</v>
      </c>
      <c r="E5" s="806">
        <v>1738285961</v>
      </c>
      <c r="F5" s="805">
        <v>14436935.25999999</v>
      </c>
      <c r="G5" s="804">
        <v>1632032548</v>
      </c>
      <c r="H5" s="805">
        <v>13505360.920000002</v>
      </c>
      <c r="I5" s="806">
        <v>4222221228</v>
      </c>
      <c r="J5" s="807">
        <v>35144038.149999999</v>
      </c>
      <c r="K5" s="804">
        <v>17804703</v>
      </c>
      <c r="L5" s="805">
        <v>165247.0914</v>
      </c>
    </row>
    <row r="6" spans="1:12" s="685" customFormat="1">
      <c r="A6" s="808" t="s">
        <v>703</v>
      </c>
      <c r="B6" s="741">
        <f t="shared" ref="B6:J6" si="0">SUM(B7:B12)</f>
        <v>120</v>
      </c>
      <c r="C6" s="741">
        <f t="shared" si="0"/>
        <v>77348031</v>
      </c>
      <c r="D6" s="758">
        <f t="shared" si="0"/>
        <v>649927.38071940455</v>
      </c>
      <c r="E6" s="741">
        <f t="shared" si="0"/>
        <v>10800750</v>
      </c>
      <c r="F6" s="758">
        <f t="shared" si="0"/>
        <v>90607.315661000001</v>
      </c>
      <c r="G6" s="741">
        <f t="shared" si="0"/>
        <v>9483064</v>
      </c>
      <c r="H6" s="758">
        <f t="shared" si="0"/>
        <v>78877.539298500022</v>
      </c>
      <c r="I6" s="741">
        <f t="shared" si="0"/>
        <v>97631845</v>
      </c>
      <c r="J6" s="758">
        <f t="shared" si="0"/>
        <v>819412.22567890456</v>
      </c>
      <c r="K6" s="741">
        <f>INDEX(K7:K12,COUNT(K7:K12))</f>
        <v>1481193</v>
      </c>
      <c r="L6" s="758">
        <f>INDEX(L7:L12,COUNT(L7:L12))</f>
        <v>12468.269399999999</v>
      </c>
    </row>
    <row r="7" spans="1:12" s="230" customFormat="1">
      <c r="A7" s="744">
        <v>45412</v>
      </c>
      <c r="B7" s="809">
        <v>18</v>
      </c>
      <c r="C7" s="810">
        <v>25887006</v>
      </c>
      <c r="D7" s="811">
        <v>217438.37</v>
      </c>
      <c r="E7" s="812">
        <v>9600292</v>
      </c>
      <c r="F7" s="811">
        <v>80511.67</v>
      </c>
      <c r="G7" s="812">
        <v>8858247</v>
      </c>
      <c r="H7" s="811">
        <v>73676.570000000007</v>
      </c>
      <c r="I7" s="813">
        <v>44345545</v>
      </c>
      <c r="J7" s="811">
        <v>371626.6</v>
      </c>
      <c r="K7" s="715">
        <v>4205161</v>
      </c>
      <c r="L7" s="811">
        <v>34682.299599999998</v>
      </c>
    </row>
    <row r="8" spans="1:12" s="230" customFormat="1">
      <c r="A8" s="744">
        <v>45443</v>
      </c>
      <c r="B8" s="809">
        <v>20</v>
      </c>
      <c r="C8" s="810">
        <v>12571143</v>
      </c>
      <c r="D8" s="811">
        <v>105150.50071940459</v>
      </c>
      <c r="E8" s="812">
        <v>429828</v>
      </c>
      <c r="F8" s="811">
        <v>3605.5656609999996</v>
      </c>
      <c r="G8" s="812">
        <v>266533</v>
      </c>
      <c r="H8" s="811">
        <v>2215.5392985000003</v>
      </c>
      <c r="I8" s="813">
        <v>13267504</v>
      </c>
      <c r="J8" s="811">
        <v>110971.6056789046</v>
      </c>
      <c r="K8" s="812">
        <v>3064185</v>
      </c>
      <c r="L8" s="811">
        <v>25354.244500000001</v>
      </c>
    </row>
    <row r="9" spans="1:12" s="230" customFormat="1">
      <c r="A9" s="744">
        <v>45473</v>
      </c>
      <c r="B9" s="809">
        <v>19</v>
      </c>
      <c r="C9" s="715">
        <v>13057459</v>
      </c>
      <c r="D9" s="811">
        <v>109312.06</v>
      </c>
      <c r="E9" s="715">
        <v>310279</v>
      </c>
      <c r="F9" s="811">
        <v>2612.15</v>
      </c>
      <c r="G9" s="715">
        <v>158451</v>
      </c>
      <c r="H9" s="811">
        <v>1315.65</v>
      </c>
      <c r="I9" s="715">
        <v>13526189</v>
      </c>
      <c r="J9" s="811">
        <v>113239.86</v>
      </c>
      <c r="K9" s="715">
        <v>2882251</v>
      </c>
      <c r="L9" s="811">
        <v>23813.798900000002</v>
      </c>
    </row>
    <row r="10" spans="1:12" s="230" customFormat="1">
      <c r="A10" s="744">
        <v>45504</v>
      </c>
      <c r="B10" s="809">
        <v>22</v>
      </c>
      <c r="C10" s="715">
        <v>5414603</v>
      </c>
      <c r="D10" s="811">
        <v>45606.44</v>
      </c>
      <c r="E10" s="715">
        <v>186375</v>
      </c>
      <c r="F10" s="811">
        <v>1568.41</v>
      </c>
      <c r="G10" s="715">
        <v>53885</v>
      </c>
      <c r="H10" s="811">
        <v>449.74</v>
      </c>
      <c r="I10" s="715">
        <v>5654863</v>
      </c>
      <c r="J10" s="811">
        <v>47624.59</v>
      </c>
      <c r="K10" s="715">
        <v>1332388</v>
      </c>
      <c r="L10" s="811">
        <v>11081.4085</v>
      </c>
    </row>
    <row r="11" spans="1:12" s="230" customFormat="1">
      <c r="A11" s="744">
        <v>45535</v>
      </c>
      <c r="B11" s="809">
        <v>21</v>
      </c>
      <c r="C11" s="715">
        <v>12851492</v>
      </c>
      <c r="D11" s="811">
        <v>108394.62</v>
      </c>
      <c r="E11" s="715">
        <v>166360</v>
      </c>
      <c r="F11" s="811">
        <v>1403.25</v>
      </c>
      <c r="G11" s="715">
        <v>55803</v>
      </c>
      <c r="H11" s="811">
        <v>466.41</v>
      </c>
      <c r="I11" s="715">
        <v>13073655</v>
      </c>
      <c r="J11" s="811">
        <v>110264.28</v>
      </c>
      <c r="K11" s="715">
        <v>1914822</v>
      </c>
      <c r="L11" s="811">
        <v>16061.395699999999</v>
      </c>
    </row>
    <row r="12" spans="1:12" s="230" customFormat="1">
      <c r="A12" s="744">
        <v>45565</v>
      </c>
      <c r="B12" s="809">
        <v>20</v>
      </c>
      <c r="C12" s="715">
        <v>7566328</v>
      </c>
      <c r="D12" s="811">
        <v>64025.39</v>
      </c>
      <c r="E12" s="715">
        <v>107616</v>
      </c>
      <c r="F12" s="811">
        <v>906.27</v>
      </c>
      <c r="G12" s="715">
        <v>90145</v>
      </c>
      <c r="H12" s="811">
        <v>753.63</v>
      </c>
      <c r="I12" s="715">
        <v>7764089</v>
      </c>
      <c r="J12" s="811">
        <v>65685.289999999994</v>
      </c>
      <c r="K12" s="715">
        <v>1481193</v>
      </c>
      <c r="L12" s="811">
        <v>12468.269399999999</v>
      </c>
    </row>
    <row r="13" spans="1:12" s="230" customFormat="1">
      <c r="A13" s="727" t="s">
        <v>1373</v>
      </c>
      <c r="B13" s="814"/>
      <c r="C13" s="815"/>
      <c r="D13" s="816"/>
      <c r="E13" s="815"/>
      <c r="F13" s="816"/>
      <c r="G13" s="815"/>
      <c r="H13" s="816"/>
      <c r="I13" s="815"/>
      <c r="J13" s="816"/>
      <c r="K13" s="815"/>
      <c r="L13" s="817"/>
    </row>
    <row r="14" spans="1:12" s="818" customFormat="1" ht="12.75">
      <c r="A14" s="1567" t="s">
        <v>1363</v>
      </c>
      <c r="B14" s="1567"/>
      <c r="C14" s="1567"/>
      <c r="D14" s="1567"/>
      <c r="E14" s="1567"/>
      <c r="F14" s="1567"/>
      <c r="G14" s="1567"/>
      <c r="H14" s="1567"/>
      <c r="I14" s="1567"/>
      <c r="J14" s="1567"/>
      <c r="K14" s="1567"/>
      <c r="L14" s="1567"/>
    </row>
    <row r="15" spans="1:12" s="818" customFormat="1" ht="12.75">
      <c r="A15" s="732" t="s">
        <v>1364</v>
      </c>
      <c r="B15" s="819"/>
      <c r="C15" s="819"/>
      <c r="D15" s="819"/>
      <c r="E15" s="819"/>
      <c r="F15" s="819"/>
      <c r="G15" s="819"/>
      <c r="H15" s="819"/>
      <c r="I15" s="819"/>
      <c r="J15" s="819"/>
      <c r="K15" s="819"/>
      <c r="L15" s="819"/>
    </row>
    <row r="16" spans="1:12" s="230" customFormat="1" ht="15" customHeight="1">
      <c r="A16" s="1556" t="s">
        <v>297</v>
      </c>
      <c r="B16" s="1556"/>
      <c r="C16" s="1556"/>
      <c r="D16" s="1556"/>
      <c r="E16" s="1556"/>
      <c r="F16" s="1556"/>
      <c r="G16" s="1556"/>
      <c r="H16" s="1556"/>
      <c r="I16" s="1556"/>
      <c r="J16" s="1556"/>
      <c r="K16" s="1556"/>
      <c r="L16" s="1556"/>
    </row>
    <row r="17" spans="1:12" s="230" customFormat="1" ht="15" customHeight="1">
      <c r="A17" s="750"/>
    </row>
    <row r="18" spans="1:12" s="230" customFormat="1">
      <c r="A18" s="683"/>
      <c r="B18" s="683"/>
      <c r="C18" s="683"/>
      <c r="D18" s="683"/>
      <c r="E18" s="683"/>
      <c r="F18" s="683"/>
      <c r="G18" s="683"/>
      <c r="H18" s="683"/>
      <c r="I18" s="683"/>
      <c r="J18" s="683"/>
      <c r="K18" s="683"/>
      <c r="L18" s="683"/>
    </row>
    <row r="19" spans="1:12" ht="13.5" customHeight="1">
      <c r="E19" s="754"/>
      <c r="F19" s="754"/>
      <c r="G19" s="754"/>
      <c r="H19" s="754"/>
      <c r="I19" s="754"/>
      <c r="J19" s="754"/>
    </row>
    <row r="20" spans="1:12">
      <c r="E20" s="754"/>
      <c r="F20" s="754"/>
      <c r="G20" s="754"/>
      <c r="H20" s="754"/>
      <c r="I20" s="754"/>
      <c r="J20" s="754"/>
    </row>
    <row r="21" spans="1:12">
      <c r="E21" s="754"/>
      <c r="F21" s="754"/>
      <c r="G21" s="754"/>
      <c r="H21" s="754"/>
      <c r="I21" s="754"/>
      <c r="J21" s="754"/>
    </row>
    <row r="22" spans="1:12">
      <c r="E22" s="754"/>
      <c r="F22" s="754"/>
      <c r="G22" s="754"/>
      <c r="H22" s="754"/>
      <c r="I22" s="754"/>
      <c r="J22" s="754"/>
    </row>
    <row r="23" spans="1:12">
      <c r="J23" s="820"/>
    </row>
  </sheetData>
  <mergeCells count="16">
    <mergeCell ref="A14:L14"/>
    <mergeCell ref="A16:L16"/>
    <mergeCell ref="A2:A4"/>
    <mergeCell ref="B2:B4"/>
    <mergeCell ref="C2:D2"/>
    <mergeCell ref="E2:H2"/>
    <mergeCell ref="I2:J2"/>
    <mergeCell ref="K2:L2"/>
    <mergeCell ref="C3:C4"/>
    <mergeCell ref="D3:D4"/>
    <mergeCell ref="E3:F3"/>
    <mergeCell ref="G3:H3"/>
    <mergeCell ref="I3:I4"/>
    <mergeCell ref="J3:J4"/>
    <mergeCell ref="K3:K4"/>
    <mergeCell ref="L3:L4"/>
  </mergeCells>
  <printOptions horizontalCentered="1"/>
  <pageMargins left="0.78431372549019618" right="0.78431372549019618" top="0.98039215686274517" bottom="0.98039215686274517" header="0.50980392156862753" footer="0.50980392156862753"/>
  <pageSetup paperSize="9" scale="84" orientation="landscape" useFirstPageNumber="1" r:id="rId1"/>
  <headerFooter alignWithMargin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16"/>
  <sheetViews>
    <sheetView workbookViewId="0"/>
  </sheetViews>
  <sheetFormatPr defaultColWidth="9.140625" defaultRowHeight="15"/>
  <cols>
    <col min="1" max="1" width="9.42578125" style="683" bestFit="1" customWidth="1"/>
    <col min="2" max="2" width="14.5703125" style="683" bestFit="1" customWidth="1"/>
    <col min="3" max="9" width="12.140625" style="683" bestFit="1" customWidth="1"/>
    <col min="10" max="10" width="11.85546875" style="683" bestFit="1" customWidth="1"/>
    <col min="11" max="11" width="14.140625" style="683" bestFit="1" customWidth="1"/>
    <col min="12" max="12" width="12.5703125" style="683" customWidth="1"/>
    <col min="13" max="13" width="7.5703125" style="683" bestFit="1" customWidth="1"/>
    <col min="14" max="16384" width="9.140625" style="683"/>
  </cols>
  <sheetData>
    <row r="1" spans="1:12" ht="15.75" customHeight="1">
      <c r="A1" s="733" t="s">
        <v>39</v>
      </c>
      <c r="B1" s="733"/>
      <c r="C1" s="733"/>
      <c r="D1" s="733"/>
      <c r="E1" s="733"/>
      <c r="F1" s="733"/>
      <c r="G1" s="733"/>
      <c r="H1" s="733"/>
      <c r="I1" s="733"/>
      <c r="J1" s="733"/>
      <c r="K1" s="733"/>
      <c r="L1" s="733"/>
    </row>
    <row r="2" spans="1:12" s="230" customFormat="1" ht="41.25" customHeight="1">
      <c r="A2" s="1542" t="s">
        <v>509</v>
      </c>
      <c r="B2" s="1542" t="s">
        <v>540</v>
      </c>
      <c r="C2" s="1547" t="s">
        <v>534</v>
      </c>
      <c r="D2" s="1546"/>
      <c r="E2" s="1570" t="s">
        <v>541</v>
      </c>
      <c r="F2" s="1570"/>
      <c r="G2" s="1570"/>
      <c r="H2" s="1570"/>
      <c r="I2" s="1547" t="s">
        <v>96</v>
      </c>
      <c r="J2" s="1546"/>
      <c r="K2" s="1571" t="s">
        <v>542</v>
      </c>
      <c r="L2" s="1572"/>
    </row>
    <row r="3" spans="1:12" s="230" customFormat="1" ht="18" customHeight="1">
      <c r="A3" s="1543"/>
      <c r="B3" s="1543"/>
      <c r="C3" s="1540" t="s">
        <v>543</v>
      </c>
      <c r="D3" s="1540" t="s">
        <v>544</v>
      </c>
      <c r="E3" s="1547" t="s">
        <v>537</v>
      </c>
      <c r="F3" s="1546"/>
      <c r="G3" s="1547" t="s">
        <v>538</v>
      </c>
      <c r="H3" s="1546"/>
      <c r="I3" s="1542" t="s">
        <v>499</v>
      </c>
      <c r="J3" s="1569" t="s">
        <v>546</v>
      </c>
      <c r="K3" s="1540" t="s">
        <v>543</v>
      </c>
      <c r="L3" s="1540" t="s">
        <v>545</v>
      </c>
    </row>
    <row r="4" spans="1:12" s="230" customFormat="1" ht="39" customHeight="1">
      <c r="A4" s="1451"/>
      <c r="B4" s="1451"/>
      <c r="C4" s="1541"/>
      <c r="D4" s="1541"/>
      <c r="E4" s="755" t="s">
        <v>543</v>
      </c>
      <c r="F4" s="755" t="s">
        <v>547</v>
      </c>
      <c r="G4" s="755" t="s">
        <v>543</v>
      </c>
      <c r="H4" s="755" t="s">
        <v>544</v>
      </c>
      <c r="I4" s="1451"/>
      <c r="J4" s="1569"/>
      <c r="K4" s="1541"/>
      <c r="L4" s="1541"/>
    </row>
    <row r="5" spans="1:12" s="685" customFormat="1" ht="18" customHeight="1">
      <c r="A5" s="764" t="s">
        <v>505</v>
      </c>
      <c r="B5" s="803">
        <v>241</v>
      </c>
      <c r="C5" s="804">
        <v>29862428</v>
      </c>
      <c r="D5" s="821">
        <v>247738.04429925</v>
      </c>
      <c r="E5" s="822">
        <v>0</v>
      </c>
      <c r="F5" s="805">
        <v>0</v>
      </c>
      <c r="G5" s="822">
        <v>0</v>
      </c>
      <c r="H5" s="805">
        <v>0</v>
      </c>
      <c r="I5" s="804">
        <v>29862428</v>
      </c>
      <c r="J5" s="805">
        <v>247738.04429924997</v>
      </c>
      <c r="K5" s="822">
        <v>103180</v>
      </c>
      <c r="L5" s="805">
        <v>861.50116824999998</v>
      </c>
    </row>
    <row r="6" spans="1:12" s="685" customFormat="1" ht="18" customHeight="1">
      <c r="A6" s="740" t="s">
        <v>703</v>
      </c>
      <c r="B6" s="741">
        <f t="shared" ref="B6:J6" si="0">SUM(B7:B12)</f>
        <v>120</v>
      </c>
      <c r="C6" s="741">
        <f t="shared" si="0"/>
        <v>1233475</v>
      </c>
      <c r="D6" s="786">
        <f t="shared" si="0"/>
        <v>10311.583042999999</v>
      </c>
      <c r="E6" s="741">
        <f t="shared" si="0"/>
        <v>0</v>
      </c>
      <c r="F6" s="758">
        <f t="shared" si="0"/>
        <v>0</v>
      </c>
      <c r="G6" s="741">
        <f t="shared" si="0"/>
        <v>0</v>
      </c>
      <c r="H6" s="758">
        <f t="shared" si="0"/>
        <v>0</v>
      </c>
      <c r="I6" s="741">
        <f t="shared" si="0"/>
        <v>1233475</v>
      </c>
      <c r="J6" s="758">
        <f t="shared" si="0"/>
        <v>10311.378542999999</v>
      </c>
      <c r="K6" s="741">
        <f>INDEX(K7:K12,COUNT(K7:K12))</f>
        <v>0</v>
      </c>
      <c r="L6" s="758">
        <f>INDEX(L7:L12,COUNT(L7:L12))</f>
        <v>0</v>
      </c>
    </row>
    <row r="7" spans="1:12" s="230" customFormat="1" ht="18" customHeight="1">
      <c r="A7" s="744">
        <v>45412</v>
      </c>
      <c r="B7" s="809">
        <v>18</v>
      </c>
      <c r="C7" s="812">
        <v>636475</v>
      </c>
      <c r="D7" s="823">
        <v>5312.0762930000001</v>
      </c>
      <c r="E7" s="715">
        <v>0</v>
      </c>
      <c r="F7" s="811">
        <v>0</v>
      </c>
      <c r="G7" s="715">
        <v>0</v>
      </c>
      <c r="H7" s="811">
        <v>0</v>
      </c>
      <c r="I7" s="812">
        <v>636475</v>
      </c>
      <c r="J7" s="811">
        <v>5312.0762930000001</v>
      </c>
      <c r="K7" s="715">
        <v>40175</v>
      </c>
      <c r="L7" s="811">
        <v>335.53159025000002</v>
      </c>
    </row>
    <row r="8" spans="1:12" s="230" customFormat="1" ht="18" customHeight="1">
      <c r="A8" s="744">
        <v>45443</v>
      </c>
      <c r="B8" s="809">
        <v>20</v>
      </c>
      <c r="C8" s="812">
        <v>120000</v>
      </c>
      <c r="D8" s="823">
        <v>1001.7</v>
      </c>
      <c r="E8" s="715">
        <v>0</v>
      </c>
      <c r="F8" s="811">
        <v>0</v>
      </c>
      <c r="G8" s="715">
        <v>0</v>
      </c>
      <c r="H8" s="811">
        <v>0</v>
      </c>
      <c r="I8" s="812">
        <v>120000</v>
      </c>
      <c r="J8" s="811">
        <v>1001.7</v>
      </c>
      <c r="K8" s="715">
        <v>4</v>
      </c>
      <c r="L8" s="811">
        <v>3.3413999999999999E-2</v>
      </c>
    </row>
    <row r="9" spans="1:12" s="230" customFormat="1" ht="18" customHeight="1">
      <c r="A9" s="744">
        <v>45473</v>
      </c>
      <c r="B9" s="813">
        <v>19</v>
      </c>
      <c r="C9" s="813">
        <v>78000</v>
      </c>
      <c r="D9" s="823">
        <v>651.57425000000001</v>
      </c>
      <c r="E9" s="813">
        <v>0</v>
      </c>
      <c r="F9" s="811">
        <v>0</v>
      </c>
      <c r="G9" s="813">
        <v>0</v>
      </c>
      <c r="H9" s="811">
        <v>0</v>
      </c>
      <c r="I9" s="813">
        <v>78000</v>
      </c>
      <c r="J9" s="811">
        <v>651.57425000000001</v>
      </c>
      <c r="K9" s="813">
        <v>28000</v>
      </c>
      <c r="L9" s="811">
        <v>233.96100000000001</v>
      </c>
    </row>
    <row r="10" spans="1:12" s="230" customFormat="1" ht="18" customHeight="1">
      <c r="A10" s="744">
        <v>45504</v>
      </c>
      <c r="B10" s="809">
        <v>22</v>
      </c>
      <c r="C10" s="715">
        <v>21000</v>
      </c>
      <c r="D10" s="823">
        <v>175.78450000000001</v>
      </c>
      <c r="E10" s="715">
        <v>0</v>
      </c>
      <c r="F10" s="811">
        <v>0</v>
      </c>
      <c r="G10" s="715">
        <v>0</v>
      </c>
      <c r="H10" s="811">
        <v>0</v>
      </c>
      <c r="I10" s="715">
        <v>21000</v>
      </c>
      <c r="J10" s="811">
        <v>175.58</v>
      </c>
      <c r="K10" s="715">
        <v>0</v>
      </c>
      <c r="L10" s="811">
        <v>0</v>
      </c>
    </row>
    <row r="11" spans="1:12" s="230" customFormat="1" ht="18" customHeight="1">
      <c r="A11" s="744">
        <v>45535</v>
      </c>
      <c r="B11" s="809">
        <v>21</v>
      </c>
      <c r="C11" s="715">
        <v>70000</v>
      </c>
      <c r="D11" s="823">
        <v>587.61249999999995</v>
      </c>
      <c r="E11" s="715">
        <v>0</v>
      </c>
      <c r="F11" s="811">
        <v>0</v>
      </c>
      <c r="G11" s="715">
        <v>0</v>
      </c>
      <c r="H11" s="811">
        <v>0</v>
      </c>
      <c r="I11" s="715">
        <v>70000</v>
      </c>
      <c r="J11" s="811">
        <v>587.61249999999995</v>
      </c>
      <c r="K11" s="715">
        <v>0</v>
      </c>
      <c r="L11" s="811">
        <v>0</v>
      </c>
    </row>
    <row r="12" spans="1:12" s="230" customFormat="1" ht="14.25" customHeight="1">
      <c r="A12" s="744">
        <v>45565</v>
      </c>
      <c r="B12" s="715">
        <v>20</v>
      </c>
      <c r="C12" s="715">
        <v>308000</v>
      </c>
      <c r="D12" s="823">
        <v>2582.8355000000001</v>
      </c>
      <c r="E12" s="715">
        <v>0</v>
      </c>
      <c r="F12" s="811">
        <v>0</v>
      </c>
      <c r="G12" s="715">
        <v>0</v>
      </c>
      <c r="H12" s="811">
        <v>0</v>
      </c>
      <c r="I12" s="715">
        <v>308000</v>
      </c>
      <c r="J12" s="811">
        <v>2582.8355000000001</v>
      </c>
      <c r="K12" s="715">
        <v>0</v>
      </c>
      <c r="L12" s="811">
        <v>0</v>
      </c>
    </row>
    <row r="13" spans="1:12" s="230" customFormat="1" ht="13.5" customHeight="1">
      <c r="A13" s="727" t="s">
        <v>1373</v>
      </c>
      <c r="B13" s="814"/>
      <c r="C13" s="816"/>
      <c r="D13" s="817"/>
      <c r="E13" s="817"/>
      <c r="F13" s="817"/>
      <c r="G13" s="817"/>
      <c r="H13" s="824"/>
      <c r="I13" s="816"/>
      <c r="J13" s="817"/>
      <c r="K13" s="817"/>
      <c r="L13" s="817"/>
    </row>
    <row r="14" spans="1:12" s="230" customFormat="1" ht="15" customHeight="1">
      <c r="A14" s="1556" t="s">
        <v>265</v>
      </c>
      <c r="B14" s="1556"/>
      <c r="C14" s="1556"/>
      <c r="D14" s="1556"/>
      <c r="E14" s="1556"/>
      <c r="F14" s="1556"/>
      <c r="G14" s="1556"/>
      <c r="H14" s="1556"/>
      <c r="I14" s="1556"/>
      <c r="J14" s="1556"/>
    </row>
    <row r="15" spans="1:12" s="230" customFormat="1" ht="15" customHeight="1">
      <c r="A15" s="750"/>
    </row>
    <row r="16" spans="1:12" s="230" customFormat="1">
      <c r="A16" s="683"/>
      <c r="B16" s="683"/>
      <c r="C16" s="683"/>
      <c r="D16" s="683"/>
      <c r="E16" s="683"/>
      <c r="F16" s="683"/>
      <c r="G16" s="683"/>
      <c r="H16" s="683"/>
      <c r="I16" s="683"/>
      <c r="J16" s="683"/>
    </row>
  </sheetData>
  <mergeCells count="15">
    <mergeCell ref="A14:J14"/>
    <mergeCell ref="I3:I4"/>
    <mergeCell ref="J3:J4"/>
    <mergeCell ref="K3:K4"/>
    <mergeCell ref="L3:L4"/>
    <mergeCell ref="A2:A4"/>
    <mergeCell ref="B2:B4"/>
    <mergeCell ref="C2:D2"/>
    <mergeCell ref="E2:H2"/>
    <mergeCell ref="I2:J2"/>
    <mergeCell ref="K2:L2"/>
    <mergeCell ref="C3:C4"/>
    <mergeCell ref="D3:D4"/>
    <mergeCell ref="E3:F3"/>
    <mergeCell ref="G3:H3"/>
  </mergeCells>
  <printOptions horizontalCentered="1"/>
  <pageMargins left="0.78431372549019618" right="0.78431372549019618" top="0.98039215686274517" bottom="0.98039215686274517" header="0.50980392156862753" footer="0.50980392156862753"/>
  <pageSetup paperSize="9" scale="88" orientation="landscape" useFirstPageNumber="1" r:id="rId1"/>
  <headerFooter alignWithMargin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18"/>
  <sheetViews>
    <sheetView workbookViewId="0"/>
  </sheetViews>
  <sheetFormatPr defaultColWidth="9.140625" defaultRowHeight="15"/>
  <cols>
    <col min="1" max="1" width="13.5703125" style="683" bestFit="1" customWidth="1"/>
    <col min="2" max="5" width="12.28515625" style="683" bestFit="1" customWidth="1"/>
    <col min="6" max="6" width="10.140625" style="683" bestFit="1" customWidth="1"/>
    <col min="7" max="7" width="12.5703125" style="683" bestFit="1" customWidth="1"/>
    <col min="8" max="8" width="12.42578125" style="683" bestFit="1" customWidth="1"/>
    <col min="9" max="9" width="12.5703125" style="683" bestFit="1" customWidth="1"/>
    <col min="10" max="10" width="12.42578125" style="683" bestFit="1" customWidth="1"/>
    <col min="11" max="11" width="11" style="683" customWidth="1"/>
    <col min="12" max="15" width="12.140625" style="683" bestFit="1" customWidth="1"/>
    <col min="16" max="16" width="9.42578125" style="683" bestFit="1" customWidth="1"/>
    <col min="17" max="17" width="4.5703125" style="683" bestFit="1" customWidth="1"/>
    <col min="18" max="16384" width="9.140625" style="683"/>
  </cols>
  <sheetData>
    <row r="1" spans="1:16" ht="18" customHeight="1">
      <c r="A1" s="733" t="s">
        <v>548</v>
      </c>
      <c r="B1" s="733"/>
      <c r="C1" s="733"/>
      <c r="D1" s="733"/>
      <c r="E1" s="733"/>
      <c r="F1" s="733"/>
      <c r="G1" s="733"/>
      <c r="H1" s="733"/>
      <c r="I1" s="733"/>
      <c r="J1" s="733"/>
      <c r="K1" s="733"/>
      <c r="L1" s="733"/>
      <c r="M1" s="733"/>
      <c r="N1" s="733"/>
      <c r="O1" s="733"/>
    </row>
    <row r="2" spans="1:16" s="230" customFormat="1" ht="18" customHeight="1">
      <c r="A2" s="1542" t="s">
        <v>509</v>
      </c>
      <c r="B2" s="1547" t="s">
        <v>73</v>
      </c>
      <c r="C2" s="1545"/>
      <c r="D2" s="1545"/>
      <c r="E2" s="1546"/>
      <c r="F2" s="1552" t="s">
        <v>96</v>
      </c>
      <c r="G2" s="1547" t="s">
        <v>74</v>
      </c>
      <c r="H2" s="1545"/>
      <c r="I2" s="1545"/>
      <c r="J2" s="1546"/>
      <c r="K2" s="1542" t="s">
        <v>96</v>
      </c>
      <c r="L2" s="1547" t="s">
        <v>75</v>
      </c>
      <c r="M2" s="1545"/>
      <c r="N2" s="1545"/>
      <c r="O2" s="1546"/>
      <c r="P2" s="1552" t="s">
        <v>96</v>
      </c>
    </row>
    <row r="3" spans="1:16" s="230" customFormat="1" ht="27" customHeight="1">
      <c r="A3" s="1543"/>
      <c r="B3" s="1548" t="s">
        <v>534</v>
      </c>
      <c r="C3" s="1551"/>
      <c r="D3" s="1547" t="s">
        <v>541</v>
      </c>
      <c r="E3" s="1546"/>
      <c r="F3" s="1564"/>
      <c r="G3" s="1548" t="s">
        <v>534</v>
      </c>
      <c r="H3" s="1551"/>
      <c r="I3" s="1547" t="s">
        <v>541</v>
      </c>
      <c r="J3" s="1546"/>
      <c r="K3" s="1543"/>
      <c r="L3" s="1548" t="s">
        <v>549</v>
      </c>
      <c r="M3" s="1551"/>
      <c r="N3" s="1547" t="s">
        <v>541</v>
      </c>
      <c r="O3" s="1546"/>
      <c r="P3" s="1564"/>
    </row>
    <row r="4" spans="1:16" s="230" customFormat="1" ht="27" customHeight="1">
      <c r="A4" s="1451"/>
      <c r="B4" s="755" t="s">
        <v>513</v>
      </c>
      <c r="C4" s="755" t="s">
        <v>514</v>
      </c>
      <c r="D4" s="755" t="s">
        <v>516</v>
      </c>
      <c r="E4" s="755" t="s">
        <v>517</v>
      </c>
      <c r="F4" s="1464"/>
      <c r="G4" s="755" t="s">
        <v>513</v>
      </c>
      <c r="H4" s="755" t="s">
        <v>514</v>
      </c>
      <c r="I4" s="755" t="s">
        <v>516</v>
      </c>
      <c r="J4" s="755" t="s">
        <v>517</v>
      </c>
      <c r="K4" s="1451"/>
      <c r="L4" s="755" t="s">
        <v>513</v>
      </c>
      <c r="M4" s="755" t="s">
        <v>514</v>
      </c>
      <c r="N4" s="755" t="s">
        <v>516</v>
      </c>
      <c r="O4" s="755" t="s">
        <v>517</v>
      </c>
      <c r="P4" s="1464"/>
    </row>
    <row r="5" spans="1:16" s="685" customFormat="1" ht="18" customHeight="1">
      <c r="A5" s="802" t="s">
        <v>505</v>
      </c>
      <c r="B5" s="805">
        <v>6550.62</v>
      </c>
      <c r="C5" s="805">
        <v>194.57000000000002</v>
      </c>
      <c r="D5" s="805">
        <v>9296.52</v>
      </c>
      <c r="E5" s="805">
        <v>381.98000000000008</v>
      </c>
      <c r="F5" s="805">
        <v>16423.689999999999</v>
      </c>
      <c r="G5" s="805">
        <v>6645.7642925999999</v>
      </c>
      <c r="H5" s="805">
        <v>209.98746928</v>
      </c>
      <c r="I5" s="805">
        <v>2068.4298365000004</v>
      </c>
      <c r="J5" s="805">
        <v>745.28976819000002</v>
      </c>
      <c r="K5" s="805">
        <v>9669.4713665699983</v>
      </c>
      <c r="L5" s="805" t="s">
        <v>221</v>
      </c>
      <c r="M5" s="805" t="s">
        <v>221</v>
      </c>
      <c r="N5" s="805" t="s">
        <v>221</v>
      </c>
      <c r="O5" s="805" t="s">
        <v>221</v>
      </c>
      <c r="P5" s="805" t="s">
        <v>221</v>
      </c>
    </row>
    <row r="6" spans="1:16" s="685" customFormat="1" ht="18" customHeight="1">
      <c r="A6" s="808" t="s">
        <v>703</v>
      </c>
      <c r="B6" s="758">
        <f t="shared" ref="B6:K6" si="0">SUM(B7:B12)</f>
        <v>1992.03</v>
      </c>
      <c r="C6" s="758">
        <f t="shared" si="0"/>
        <v>63.290000000000006</v>
      </c>
      <c r="D6" s="758">
        <f t="shared" si="0"/>
        <v>151.02000000000004</v>
      </c>
      <c r="E6" s="758">
        <f t="shared" si="0"/>
        <v>17.799999999999997</v>
      </c>
      <c r="F6" s="758">
        <f t="shared" si="0"/>
        <v>2224.1400000000003</v>
      </c>
      <c r="G6" s="758">
        <f t="shared" si="0"/>
        <v>1686.3970037900001</v>
      </c>
      <c r="H6" s="758">
        <f t="shared" si="0"/>
        <v>45.443416950000007</v>
      </c>
      <c r="I6" s="758">
        <f t="shared" si="0"/>
        <v>153.64210375000002</v>
      </c>
      <c r="J6" s="758">
        <f t="shared" si="0"/>
        <v>22.755196679999994</v>
      </c>
      <c r="K6" s="758">
        <f t="shared" si="0"/>
        <v>1908.23772117</v>
      </c>
      <c r="L6" s="758" t="s">
        <v>221</v>
      </c>
      <c r="M6" s="758" t="s">
        <v>221</v>
      </c>
      <c r="N6" s="758" t="s">
        <v>221</v>
      </c>
      <c r="O6" s="758" t="s">
        <v>221</v>
      </c>
      <c r="P6" s="825" t="s">
        <v>221</v>
      </c>
    </row>
    <row r="7" spans="1:16" s="230" customFormat="1" ht="18" customHeight="1">
      <c r="A7" s="744">
        <v>45412</v>
      </c>
      <c r="B7" s="811">
        <v>399.36</v>
      </c>
      <c r="C7" s="811">
        <v>2.65</v>
      </c>
      <c r="D7" s="811">
        <v>147.27000000000001</v>
      </c>
      <c r="E7" s="811">
        <v>16.29</v>
      </c>
      <c r="F7" s="811">
        <v>565.57000000000005</v>
      </c>
      <c r="G7" s="811">
        <v>290.54980611000002</v>
      </c>
      <c r="H7" s="811">
        <v>1.2335245100000001</v>
      </c>
      <c r="I7" s="811">
        <v>146.26018450000001</v>
      </c>
      <c r="J7" s="811">
        <v>17.952041999999999</v>
      </c>
      <c r="K7" s="811">
        <v>455.99555712</v>
      </c>
      <c r="L7" s="811" t="s">
        <v>221</v>
      </c>
      <c r="M7" s="811" t="s">
        <v>221</v>
      </c>
      <c r="N7" s="811" t="s">
        <v>221</v>
      </c>
      <c r="O7" s="811" t="s">
        <v>221</v>
      </c>
      <c r="P7" s="811" t="s">
        <v>221</v>
      </c>
    </row>
    <row r="8" spans="1:16" s="230" customFormat="1" ht="18" customHeight="1">
      <c r="A8" s="744">
        <v>45443</v>
      </c>
      <c r="B8" s="811">
        <v>345.68</v>
      </c>
      <c r="C8" s="811">
        <v>20.85</v>
      </c>
      <c r="D8" s="811">
        <v>2.33</v>
      </c>
      <c r="E8" s="811">
        <v>1.27</v>
      </c>
      <c r="F8" s="811">
        <v>370.13</v>
      </c>
      <c r="G8" s="811">
        <v>303.24492935000001</v>
      </c>
      <c r="H8" s="811">
        <v>18.722498999999999</v>
      </c>
      <c r="I8" s="811">
        <v>3.3531594999999998</v>
      </c>
      <c r="J8" s="811">
        <v>3.7566815</v>
      </c>
      <c r="K8" s="811">
        <v>329.07726934999999</v>
      </c>
      <c r="L8" s="811" t="s">
        <v>221</v>
      </c>
      <c r="M8" s="811" t="s">
        <v>221</v>
      </c>
      <c r="N8" s="811" t="s">
        <v>221</v>
      </c>
      <c r="O8" s="811" t="s">
        <v>221</v>
      </c>
      <c r="P8" s="811" t="s">
        <v>221</v>
      </c>
    </row>
    <row r="9" spans="1:16" s="230" customFormat="1" ht="18" customHeight="1">
      <c r="A9" s="744">
        <v>45473</v>
      </c>
      <c r="B9" s="811">
        <v>608.74</v>
      </c>
      <c r="C9" s="811">
        <v>16.010000000000002</v>
      </c>
      <c r="D9" s="811">
        <v>0.56000000000000005</v>
      </c>
      <c r="E9" s="811">
        <v>0.15</v>
      </c>
      <c r="F9" s="811">
        <v>625.46</v>
      </c>
      <c r="G9" s="811">
        <v>498.90203063000001</v>
      </c>
      <c r="H9" s="811">
        <v>11.680053770000001</v>
      </c>
      <c r="I9" s="811">
        <v>1.7202010000000001</v>
      </c>
      <c r="J9" s="811">
        <v>0.61476662999999998</v>
      </c>
      <c r="K9" s="811">
        <v>512.91705203000004</v>
      </c>
      <c r="L9" s="811" t="s">
        <v>221</v>
      </c>
      <c r="M9" s="811" t="s">
        <v>221</v>
      </c>
      <c r="N9" s="811" t="s">
        <v>221</v>
      </c>
      <c r="O9" s="811" t="s">
        <v>221</v>
      </c>
      <c r="P9" s="811" t="s">
        <v>221</v>
      </c>
    </row>
    <row r="10" spans="1:16" s="230" customFormat="1" ht="18" customHeight="1">
      <c r="A10" s="744">
        <v>45504</v>
      </c>
      <c r="B10" s="811">
        <v>183.09</v>
      </c>
      <c r="C10" s="811">
        <v>1.52</v>
      </c>
      <c r="D10" s="811">
        <v>0.49</v>
      </c>
      <c r="E10" s="811">
        <v>0.08</v>
      </c>
      <c r="F10" s="811">
        <v>185.18</v>
      </c>
      <c r="G10" s="811">
        <v>150.78474476</v>
      </c>
      <c r="H10" s="811">
        <v>1.06736437</v>
      </c>
      <c r="I10" s="811">
        <v>0.96335124999999999</v>
      </c>
      <c r="J10" s="811">
        <v>0.24519189999999999</v>
      </c>
      <c r="K10" s="811">
        <v>153.06065228</v>
      </c>
      <c r="L10" s="811" t="s">
        <v>221</v>
      </c>
      <c r="M10" s="811" t="s">
        <v>221</v>
      </c>
      <c r="N10" s="811" t="s">
        <v>221</v>
      </c>
      <c r="O10" s="811" t="s">
        <v>221</v>
      </c>
      <c r="P10" s="811" t="s">
        <v>221</v>
      </c>
    </row>
    <row r="11" spans="1:16" s="230" customFormat="1" ht="18" customHeight="1">
      <c r="A11" s="744">
        <v>45535</v>
      </c>
      <c r="B11" s="811">
        <v>247.74000000000004</v>
      </c>
      <c r="C11" s="811">
        <v>6.9</v>
      </c>
      <c r="D11" s="811">
        <v>0.31</v>
      </c>
      <c r="E11" s="811">
        <v>0</v>
      </c>
      <c r="F11" s="811">
        <v>254.95000000000002</v>
      </c>
      <c r="G11" s="811">
        <v>247.02611866000001</v>
      </c>
      <c r="H11" s="811">
        <v>4.0140290199999997</v>
      </c>
      <c r="I11" s="811">
        <v>0.78218325</v>
      </c>
      <c r="J11" s="811">
        <v>1.67075E-2</v>
      </c>
      <c r="K11" s="811">
        <v>251.83903842999999</v>
      </c>
      <c r="L11" s="811" t="s">
        <v>221</v>
      </c>
      <c r="M11" s="811" t="s">
        <v>221</v>
      </c>
      <c r="N11" s="811" t="s">
        <v>221</v>
      </c>
      <c r="O11" s="811" t="s">
        <v>221</v>
      </c>
      <c r="P11" s="811" t="s">
        <v>221</v>
      </c>
    </row>
    <row r="12" spans="1:16" s="230" customFormat="1">
      <c r="A12" s="744">
        <v>45565</v>
      </c>
      <c r="B12" s="811">
        <v>207.42</v>
      </c>
      <c r="C12" s="811">
        <v>15.36</v>
      </c>
      <c r="D12" s="811">
        <v>0.06</v>
      </c>
      <c r="E12" s="811">
        <v>0.01</v>
      </c>
      <c r="F12" s="811">
        <v>222.85</v>
      </c>
      <c r="G12" s="811">
        <v>195.88937428</v>
      </c>
      <c r="H12" s="811">
        <v>8.7259462800000005</v>
      </c>
      <c r="I12" s="811">
        <v>0.56302425</v>
      </c>
      <c r="J12" s="811">
        <v>0.16980714999999999</v>
      </c>
      <c r="K12" s="811">
        <v>205.34815196</v>
      </c>
      <c r="L12" s="811" t="s">
        <v>221</v>
      </c>
      <c r="M12" s="811" t="s">
        <v>221</v>
      </c>
      <c r="N12" s="811" t="s">
        <v>221</v>
      </c>
      <c r="O12" s="811" t="s">
        <v>221</v>
      </c>
      <c r="P12" s="811" t="s">
        <v>221</v>
      </c>
    </row>
    <row r="13" spans="1:16" s="230" customFormat="1" ht="13.5" customHeight="1">
      <c r="A13" s="727" t="s">
        <v>1373</v>
      </c>
      <c r="B13" s="826"/>
      <c r="C13" s="826"/>
      <c r="D13" s="826"/>
      <c r="E13" s="826"/>
      <c r="F13" s="817"/>
      <c r="G13" s="826"/>
      <c r="H13" s="826"/>
      <c r="I13" s="826"/>
      <c r="J13" s="826"/>
      <c r="K13" s="817"/>
      <c r="L13" s="826"/>
      <c r="M13" s="826"/>
      <c r="N13" s="826"/>
      <c r="O13" s="826"/>
      <c r="P13" s="826"/>
    </row>
    <row r="14" spans="1:16" s="230" customFormat="1" ht="15" customHeight="1">
      <c r="A14" s="1556" t="s">
        <v>168</v>
      </c>
      <c r="B14" s="1556"/>
      <c r="C14" s="1556"/>
      <c r="D14" s="1556"/>
      <c r="E14" s="1556"/>
      <c r="F14" s="1556"/>
      <c r="G14" s="1556"/>
      <c r="H14" s="1556"/>
      <c r="I14" s="1556"/>
      <c r="J14" s="1556"/>
      <c r="K14" s="1556"/>
      <c r="L14" s="1556"/>
      <c r="M14" s="1556"/>
      <c r="N14" s="1556"/>
      <c r="O14" s="1556"/>
    </row>
    <row r="15" spans="1:16" s="230" customFormat="1" ht="15" customHeight="1">
      <c r="A15" s="683"/>
      <c r="B15" s="827"/>
      <c r="C15" s="827"/>
      <c r="D15" s="827"/>
      <c r="E15" s="827"/>
      <c r="F15" s="827"/>
      <c r="G15" s="827"/>
      <c r="H15" s="827"/>
      <c r="I15" s="827"/>
      <c r="J15" s="827"/>
      <c r="K15" s="827"/>
      <c r="L15" s="827"/>
      <c r="M15" s="827"/>
      <c r="N15" s="827"/>
      <c r="O15" s="827"/>
    </row>
    <row r="16" spans="1:16">
      <c r="A16" s="750"/>
      <c r="P16" s="827"/>
    </row>
    <row r="17" spans="2:17">
      <c r="B17" s="827"/>
      <c r="C17" s="827"/>
      <c r="D17" s="827"/>
      <c r="E17" s="827"/>
      <c r="F17" s="827"/>
      <c r="G17" s="827"/>
      <c r="H17" s="827"/>
      <c r="I17" s="827"/>
      <c r="J17" s="827"/>
      <c r="K17" s="827"/>
      <c r="L17" s="827"/>
      <c r="M17" s="827"/>
      <c r="N17" s="827"/>
      <c r="O17" s="827"/>
    </row>
    <row r="18" spans="2:17">
      <c r="P18" s="827"/>
      <c r="Q18" s="827"/>
    </row>
  </sheetData>
  <mergeCells count="14">
    <mergeCell ref="P2:P4"/>
    <mergeCell ref="B3:C3"/>
    <mergeCell ref="D3:E3"/>
    <mergeCell ref="G3:H3"/>
    <mergeCell ref="I3:J3"/>
    <mergeCell ref="L3:M3"/>
    <mergeCell ref="N3:O3"/>
    <mergeCell ref="L2:O2"/>
    <mergeCell ref="A14:O14"/>
    <mergeCell ref="A2:A4"/>
    <mergeCell ref="B2:E2"/>
    <mergeCell ref="F2:F4"/>
    <mergeCell ref="G2:J2"/>
    <mergeCell ref="K2:K4"/>
  </mergeCells>
  <printOptions horizontalCentered="1"/>
  <pageMargins left="0.78431372549019618" right="0.78431372549019618" top="0.98039215686274517" bottom="0.98039215686274517" header="0.50980392156862753" footer="0.50980392156862753"/>
  <pageSetup paperSize="9" scale="66" orientation="landscape" useFirstPageNumber="1" r:id="rId1"/>
  <headerFooter alignWithMargin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17"/>
  <sheetViews>
    <sheetView workbookViewId="0"/>
  </sheetViews>
  <sheetFormatPr defaultColWidth="9.140625" defaultRowHeight="15"/>
  <cols>
    <col min="1" max="1" width="12.140625" style="683" customWidth="1"/>
    <col min="2" max="2" width="12.5703125" style="683" bestFit="1" customWidth="1"/>
    <col min="3" max="8" width="12.140625" style="683" customWidth="1"/>
    <col min="9" max="9" width="12.5703125" style="683" bestFit="1" customWidth="1"/>
    <col min="10" max="15" width="12.140625" style="683" bestFit="1" customWidth="1"/>
    <col min="16" max="16" width="4.5703125" style="683" bestFit="1" customWidth="1"/>
    <col min="17" max="16384" width="9.140625" style="683"/>
  </cols>
  <sheetData>
    <row r="1" spans="1:15">
      <c r="A1" s="733" t="s">
        <v>550</v>
      </c>
      <c r="B1" s="733"/>
      <c r="C1" s="733"/>
      <c r="D1" s="733"/>
      <c r="E1" s="733"/>
      <c r="F1" s="733"/>
      <c r="G1" s="733"/>
      <c r="H1" s="733"/>
      <c r="I1" s="733"/>
    </row>
    <row r="2" spans="1:15" s="230" customFormat="1" ht="18" customHeight="1">
      <c r="A2" s="1552" t="s">
        <v>169</v>
      </c>
      <c r="B2" s="1553" t="s">
        <v>546</v>
      </c>
      <c r="C2" s="1554"/>
      <c r="D2" s="1554"/>
      <c r="E2" s="1554"/>
      <c r="F2" s="1554"/>
      <c r="G2" s="1554"/>
      <c r="H2" s="1555"/>
      <c r="I2" s="1553" t="s">
        <v>551</v>
      </c>
      <c r="J2" s="1554"/>
      <c r="K2" s="1554"/>
      <c r="L2" s="1554"/>
      <c r="M2" s="1554"/>
      <c r="N2" s="1554"/>
      <c r="O2" s="1555"/>
    </row>
    <row r="3" spans="1:15" s="230" customFormat="1" ht="18" customHeight="1">
      <c r="A3" s="1464"/>
      <c r="B3" s="771" t="s">
        <v>552</v>
      </c>
      <c r="C3" s="771" t="s">
        <v>553</v>
      </c>
      <c r="D3" s="771" t="s">
        <v>554</v>
      </c>
      <c r="E3" s="771" t="s">
        <v>555</v>
      </c>
      <c r="F3" s="771" t="s">
        <v>556</v>
      </c>
      <c r="G3" s="771" t="s">
        <v>557</v>
      </c>
      <c r="H3" s="771" t="s">
        <v>558</v>
      </c>
      <c r="I3" s="771" t="s">
        <v>552</v>
      </c>
      <c r="J3" s="771" t="s">
        <v>553</v>
      </c>
      <c r="K3" s="771" t="s">
        <v>554</v>
      </c>
      <c r="L3" s="771" t="s">
        <v>555</v>
      </c>
      <c r="M3" s="771" t="s">
        <v>556</v>
      </c>
      <c r="N3" s="771" t="s">
        <v>557</v>
      </c>
      <c r="O3" s="771" t="s">
        <v>558</v>
      </c>
    </row>
    <row r="4" spans="1:15" s="685" customFormat="1" ht="18" customHeight="1">
      <c r="A4" s="764" t="s">
        <v>505</v>
      </c>
      <c r="B4" s="805">
        <v>2288114.5998154995</v>
      </c>
      <c r="C4" s="805">
        <v>14552.657838250001</v>
      </c>
      <c r="D4" s="805">
        <v>34351.92843475</v>
      </c>
      <c r="E4" s="805">
        <v>8795.9715429999997</v>
      </c>
      <c r="F4" s="805">
        <v>8.7103064999999993E-2</v>
      </c>
      <c r="G4" s="805">
        <v>0</v>
      </c>
      <c r="H4" s="805">
        <v>8.4343625000000005E-2</v>
      </c>
      <c r="I4" s="828">
        <v>1146547</v>
      </c>
      <c r="J4" s="828">
        <v>1361</v>
      </c>
      <c r="K4" s="828">
        <v>7470</v>
      </c>
      <c r="L4" s="828">
        <v>3407</v>
      </c>
      <c r="M4" s="828">
        <v>0</v>
      </c>
      <c r="N4" s="828">
        <v>0</v>
      </c>
      <c r="O4" s="828">
        <v>0</v>
      </c>
    </row>
    <row r="5" spans="1:15" s="685" customFormat="1" ht="18" customHeight="1">
      <c r="A5" s="740" t="s">
        <v>703</v>
      </c>
      <c r="B5" s="829">
        <f t="shared" ref="B5:H5" si="0">SUM(B6:B11)</f>
        <v>30839.726930499997</v>
      </c>
      <c r="C5" s="829">
        <f t="shared" si="0"/>
        <v>109.8955505</v>
      </c>
      <c r="D5" s="829">
        <f t="shared" si="0"/>
        <v>130.21486200000001</v>
      </c>
      <c r="E5" s="829">
        <f t="shared" si="0"/>
        <v>42.435428000000002</v>
      </c>
      <c r="F5" s="830">
        <f t="shared" si="0"/>
        <v>0</v>
      </c>
      <c r="G5" s="830">
        <f t="shared" si="0"/>
        <v>0</v>
      </c>
      <c r="H5" s="830">
        <f t="shared" si="0"/>
        <v>0</v>
      </c>
      <c r="I5" s="831">
        <f t="shared" ref="I5:O5" si="1">INDEX(I6:I11,COUNT(I6:I11))</f>
        <v>90</v>
      </c>
      <c r="J5" s="831">
        <f t="shared" si="1"/>
        <v>0</v>
      </c>
      <c r="K5" s="831">
        <f t="shared" si="1"/>
        <v>0</v>
      </c>
      <c r="L5" s="831">
        <f t="shared" si="1"/>
        <v>0</v>
      </c>
      <c r="M5" s="831">
        <f t="shared" si="1"/>
        <v>0</v>
      </c>
      <c r="N5" s="831">
        <f t="shared" si="1"/>
        <v>0</v>
      </c>
      <c r="O5" s="831">
        <f t="shared" si="1"/>
        <v>0</v>
      </c>
    </row>
    <row r="6" spans="1:15" s="230" customFormat="1">
      <c r="A6" s="744">
        <v>45412</v>
      </c>
      <c r="B6" s="811">
        <v>26383.751637249999</v>
      </c>
      <c r="C6" s="811">
        <v>109.8955505</v>
      </c>
      <c r="D6" s="811">
        <v>130.21486200000001</v>
      </c>
      <c r="E6" s="811">
        <v>42.435428000000002</v>
      </c>
      <c r="F6" s="811">
        <v>0</v>
      </c>
      <c r="G6" s="811">
        <v>0</v>
      </c>
      <c r="H6" s="811">
        <v>0</v>
      </c>
      <c r="I6" s="813">
        <v>252110</v>
      </c>
      <c r="J6" s="813">
        <v>17</v>
      </c>
      <c r="K6" s="813">
        <v>548</v>
      </c>
      <c r="L6" s="813">
        <v>10</v>
      </c>
      <c r="M6" s="813">
        <v>0</v>
      </c>
      <c r="N6" s="813">
        <v>0</v>
      </c>
      <c r="O6" s="813">
        <v>0</v>
      </c>
    </row>
    <row r="7" spans="1:15" s="230" customFormat="1">
      <c r="A7" s="744">
        <v>45443</v>
      </c>
      <c r="B7" s="811">
        <v>2011.5061392499999</v>
      </c>
      <c r="C7" s="811">
        <v>0</v>
      </c>
      <c r="D7" s="811">
        <v>0</v>
      </c>
      <c r="E7" s="811">
        <v>0</v>
      </c>
      <c r="F7" s="811">
        <v>0</v>
      </c>
      <c r="G7" s="811">
        <v>0</v>
      </c>
      <c r="H7" s="811">
        <v>0</v>
      </c>
      <c r="I7" s="813">
        <v>9076</v>
      </c>
      <c r="J7" s="813">
        <v>0</v>
      </c>
      <c r="K7" s="813">
        <v>0</v>
      </c>
      <c r="L7" s="813">
        <v>0</v>
      </c>
      <c r="M7" s="813">
        <v>0</v>
      </c>
      <c r="N7" s="813">
        <v>0</v>
      </c>
      <c r="O7" s="813">
        <v>0</v>
      </c>
    </row>
    <row r="8" spans="1:15" s="230" customFormat="1">
      <c r="A8" s="744">
        <v>45473</v>
      </c>
      <c r="B8" s="811">
        <v>2268.5628320000001</v>
      </c>
      <c r="C8" s="811">
        <v>0</v>
      </c>
      <c r="D8" s="811">
        <v>0</v>
      </c>
      <c r="E8" s="811">
        <v>0</v>
      </c>
      <c r="F8" s="811">
        <v>0</v>
      </c>
      <c r="G8" s="811">
        <v>0</v>
      </c>
      <c r="H8" s="811">
        <v>0</v>
      </c>
      <c r="I8" s="813">
        <v>45810</v>
      </c>
      <c r="J8" s="813">
        <v>0</v>
      </c>
      <c r="K8" s="813">
        <v>0</v>
      </c>
      <c r="L8" s="813">
        <v>0</v>
      </c>
      <c r="M8" s="813">
        <v>0</v>
      </c>
      <c r="N8" s="813">
        <v>0</v>
      </c>
      <c r="O8" s="813">
        <v>0</v>
      </c>
    </row>
    <row r="9" spans="1:15" s="230" customFormat="1">
      <c r="A9" s="744">
        <v>45504</v>
      </c>
      <c r="B9" s="811">
        <v>175.826322</v>
      </c>
      <c r="C9" s="811">
        <v>0</v>
      </c>
      <c r="D9" s="811">
        <v>0</v>
      </c>
      <c r="E9" s="811">
        <v>0</v>
      </c>
      <c r="F9" s="811">
        <v>0</v>
      </c>
      <c r="G9" s="811">
        <v>0</v>
      </c>
      <c r="H9" s="811">
        <v>0</v>
      </c>
      <c r="I9" s="813">
        <v>535</v>
      </c>
      <c r="J9" s="813">
        <v>0</v>
      </c>
      <c r="K9" s="813">
        <v>0</v>
      </c>
      <c r="L9" s="813">
        <v>0</v>
      </c>
      <c r="M9" s="813">
        <v>0</v>
      </c>
      <c r="N9" s="813">
        <v>0</v>
      </c>
      <c r="O9" s="813">
        <v>0</v>
      </c>
    </row>
    <row r="10" spans="1:15" s="230" customFormat="1">
      <c r="A10" s="744">
        <v>45535</v>
      </c>
      <c r="B10" s="811">
        <v>0.01</v>
      </c>
      <c r="C10" s="811">
        <v>0</v>
      </c>
      <c r="D10" s="811">
        <v>0</v>
      </c>
      <c r="E10" s="811">
        <v>0</v>
      </c>
      <c r="F10" s="811">
        <v>0</v>
      </c>
      <c r="G10" s="811">
        <v>0</v>
      </c>
      <c r="H10" s="811">
        <v>0</v>
      </c>
      <c r="I10" s="813">
        <v>514</v>
      </c>
      <c r="J10" s="813">
        <v>0</v>
      </c>
      <c r="K10" s="813">
        <v>0</v>
      </c>
      <c r="L10" s="813">
        <v>0</v>
      </c>
      <c r="M10" s="813">
        <v>0</v>
      </c>
      <c r="N10" s="813">
        <v>0</v>
      </c>
      <c r="O10" s="813">
        <v>0</v>
      </c>
    </row>
    <row r="11" spans="1:15" s="230" customFormat="1">
      <c r="A11" s="744">
        <v>45565</v>
      </c>
      <c r="B11" s="811">
        <v>7.0000000000000007E-2</v>
      </c>
      <c r="C11" s="811">
        <v>0</v>
      </c>
      <c r="D11" s="811">
        <v>0</v>
      </c>
      <c r="E11" s="811">
        <v>0</v>
      </c>
      <c r="F11" s="811">
        <v>0</v>
      </c>
      <c r="G11" s="811">
        <v>0</v>
      </c>
      <c r="H11" s="811">
        <v>0</v>
      </c>
      <c r="I11" s="813">
        <v>90</v>
      </c>
      <c r="J11" s="813">
        <v>0</v>
      </c>
      <c r="K11" s="813">
        <v>0</v>
      </c>
      <c r="L11" s="813">
        <v>0</v>
      </c>
      <c r="M11" s="813">
        <v>0</v>
      </c>
      <c r="N11" s="813">
        <v>0</v>
      </c>
      <c r="O11" s="813">
        <v>0</v>
      </c>
    </row>
    <row r="12" spans="1:15" s="230" customFormat="1">
      <c r="A12" s="727" t="s">
        <v>1373</v>
      </c>
      <c r="B12" s="832"/>
      <c r="C12" s="832"/>
      <c r="D12" s="832"/>
      <c r="E12" s="832"/>
      <c r="F12" s="832"/>
      <c r="G12" s="832"/>
      <c r="H12" s="832"/>
      <c r="I12" s="832"/>
    </row>
    <row r="13" spans="1:15" s="230" customFormat="1" ht="15" customHeight="1">
      <c r="A13" s="1556" t="s">
        <v>249</v>
      </c>
      <c r="B13" s="1556"/>
      <c r="C13" s="1556"/>
      <c r="D13" s="1556"/>
      <c r="E13" s="1556"/>
      <c r="F13" s="1556"/>
      <c r="G13" s="1556"/>
      <c r="H13" s="1556"/>
      <c r="I13" s="1556"/>
    </row>
    <row r="14" spans="1:15" s="230" customFormat="1" ht="15" customHeight="1">
      <c r="A14" s="750"/>
      <c r="B14" s="833"/>
      <c r="C14" s="833"/>
      <c r="D14" s="833"/>
      <c r="E14" s="833"/>
      <c r="F14" s="833"/>
      <c r="G14" s="833"/>
      <c r="H14" s="833"/>
      <c r="I14" s="833"/>
    </row>
    <row r="15" spans="1:15" s="230" customFormat="1">
      <c r="A15" s="683"/>
      <c r="B15" s="820"/>
      <c r="C15" s="820"/>
      <c r="D15" s="820"/>
      <c r="E15" s="820"/>
      <c r="F15" s="820"/>
      <c r="G15" s="820"/>
      <c r="H15" s="820"/>
      <c r="I15" s="820"/>
      <c r="J15" s="833"/>
      <c r="K15" s="833"/>
      <c r="L15" s="833"/>
      <c r="M15" s="833"/>
      <c r="N15" s="833"/>
      <c r="O15" s="833"/>
    </row>
    <row r="16" spans="1:15">
      <c r="B16" s="820"/>
      <c r="C16" s="820"/>
      <c r="D16" s="820"/>
      <c r="E16" s="820"/>
      <c r="F16" s="820"/>
      <c r="G16" s="820"/>
      <c r="J16" s="820"/>
      <c r="K16" s="820"/>
      <c r="L16" s="820"/>
      <c r="M16" s="820"/>
      <c r="N16" s="820"/>
      <c r="O16" s="820"/>
    </row>
    <row r="17" spans="7:7">
      <c r="G17" s="820"/>
    </row>
  </sheetData>
  <mergeCells count="4">
    <mergeCell ref="A2:A3"/>
    <mergeCell ref="B2:H2"/>
    <mergeCell ref="I2:O2"/>
    <mergeCell ref="A13:I13"/>
  </mergeCells>
  <printOptions horizontalCentered="1"/>
  <pageMargins left="0.78431372549019618" right="0.78431372549019618" top="0.98039215686274517" bottom="0.98039215686274517" header="0.50980392156862753" footer="0.50980392156862753"/>
  <pageSetup paperSize="9" scale="70" fitToHeight="0" orientation="landscape" useFirstPageNumber="1" r:id="rId1"/>
  <headerFooter alignWithMargin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19"/>
  <sheetViews>
    <sheetView workbookViewId="0"/>
  </sheetViews>
  <sheetFormatPr defaultColWidth="9.140625" defaultRowHeight="15"/>
  <cols>
    <col min="1" max="15" width="14.5703125" style="683" bestFit="1" customWidth="1"/>
    <col min="16" max="16" width="4.5703125" style="683" bestFit="1" customWidth="1"/>
    <col min="17" max="16384" width="9.140625" style="683"/>
  </cols>
  <sheetData>
    <row r="1" spans="1:15" ht="18.75" customHeight="1">
      <c r="A1" s="733" t="s">
        <v>559</v>
      </c>
      <c r="B1" s="733"/>
      <c r="C1" s="733"/>
      <c r="D1" s="733"/>
      <c r="E1" s="733"/>
      <c r="F1" s="733"/>
      <c r="G1" s="733"/>
    </row>
    <row r="2" spans="1:15" s="230" customFormat="1" ht="18" customHeight="1">
      <c r="A2" s="1552" t="s">
        <v>169</v>
      </c>
      <c r="B2" s="1553" t="s">
        <v>560</v>
      </c>
      <c r="C2" s="1554"/>
      <c r="D2" s="1554"/>
      <c r="E2" s="1554"/>
      <c r="F2" s="1554"/>
      <c r="G2" s="1554"/>
      <c r="H2" s="1555"/>
      <c r="I2" s="1553" t="s">
        <v>561</v>
      </c>
      <c r="J2" s="1554"/>
      <c r="K2" s="1554"/>
      <c r="L2" s="1554"/>
      <c r="M2" s="1554"/>
      <c r="N2" s="1554"/>
      <c r="O2" s="1555"/>
    </row>
    <row r="3" spans="1:15" s="230" customFormat="1" ht="18" customHeight="1">
      <c r="A3" s="1464"/>
      <c r="B3" s="771" t="s">
        <v>552</v>
      </c>
      <c r="C3" s="771" t="s">
        <v>553</v>
      </c>
      <c r="D3" s="771" t="s">
        <v>554</v>
      </c>
      <c r="E3" s="771" t="s">
        <v>555</v>
      </c>
      <c r="F3" s="771" t="s">
        <v>556</v>
      </c>
      <c r="G3" s="771" t="s">
        <v>557</v>
      </c>
      <c r="H3" s="771" t="s">
        <v>558</v>
      </c>
      <c r="I3" s="771" t="s">
        <v>552</v>
      </c>
      <c r="J3" s="771" t="s">
        <v>553</v>
      </c>
      <c r="K3" s="771" t="s">
        <v>554</v>
      </c>
      <c r="L3" s="771" t="s">
        <v>555</v>
      </c>
      <c r="M3" s="771" t="s">
        <v>556</v>
      </c>
      <c r="N3" s="771" t="s">
        <v>557</v>
      </c>
      <c r="O3" s="771" t="s">
        <v>558</v>
      </c>
    </row>
    <row r="4" spans="1:15" s="685" customFormat="1" ht="18" customHeight="1">
      <c r="A4" s="764" t="s">
        <v>505</v>
      </c>
      <c r="B4" s="805">
        <v>33624479.010000005</v>
      </c>
      <c r="C4" s="805">
        <v>482803.10000000003</v>
      </c>
      <c r="D4" s="805">
        <v>887082.6</v>
      </c>
      <c r="E4" s="805">
        <v>142697.10999999999</v>
      </c>
      <c r="F4" s="805">
        <v>3473.4500000000003</v>
      </c>
      <c r="G4" s="805">
        <v>2765.37</v>
      </c>
      <c r="H4" s="805">
        <v>737.5100000000001</v>
      </c>
      <c r="I4" s="804">
        <v>17252112</v>
      </c>
      <c r="J4" s="834">
        <v>158115</v>
      </c>
      <c r="K4" s="834">
        <v>260489</v>
      </c>
      <c r="L4" s="822">
        <v>133270</v>
      </c>
      <c r="M4" s="822">
        <v>306</v>
      </c>
      <c r="N4" s="822">
        <v>373</v>
      </c>
      <c r="O4" s="822">
        <v>38</v>
      </c>
    </row>
    <row r="5" spans="1:15" s="685" customFormat="1" ht="18" customHeight="1">
      <c r="A5" s="740" t="s">
        <v>703</v>
      </c>
      <c r="B5" s="829">
        <f t="shared" ref="B5:H5" si="0">SUM(B6:B11)</f>
        <v>786414.34</v>
      </c>
      <c r="C5" s="829">
        <f t="shared" si="0"/>
        <v>11016.369999999999</v>
      </c>
      <c r="D5" s="829">
        <f t="shared" si="0"/>
        <v>17154.650000000001</v>
      </c>
      <c r="E5" s="829">
        <f t="shared" si="0"/>
        <v>2755.34</v>
      </c>
      <c r="F5" s="829">
        <f t="shared" si="0"/>
        <v>993.52</v>
      </c>
      <c r="G5" s="829">
        <f t="shared" si="0"/>
        <v>995.02</v>
      </c>
      <c r="H5" s="829">
        <f t="shared" si="0"/>
        <v>82.960000000000008</v>
      </c>
      <c r="I5" s="701">
        <f t="shared" ref="I5:O5" si="1">INDEX(I6:I11,COUNT(I6:I11))</f>
        <v>1360536</v>
      </c>
      <c r="J5" s="701">
        <f t="shared" si="1"/>
        <v>49421</v>
      </c>
      <c r="K5" s="701">
        <f t="shared" si="1"/>
        <v>60780</v>
      </c>
      <c r="L5" s="701">
        <f t="shared" si="1"/>
        <v>5567</v>
      </c>
      <c r="M5" s="701">
        <f t="shared" si="1"/>
        <v>2467</v>
      </c>
      <c r="N5" s="701">
        <f t="shared" si="1"/>
        <v>2172</v>
      </c>
      <c r="O5" s="701">
        <f t="shared" si="1"/>
        <v>250</v>
      </c>
    </row>
    <row r="6" spans="1:15" s="230" customFormat="1">
      <c r="A6" s="744">
        <v>45412</v>
      </c>
      <c r="B6" s="811">
        <v>354714.26</v>
      </c>
      <c r="C6" s="811">
        <v>5457.25</v>
      </c>
      <c r="D6" s="811">
        <v>9130.51</v>
      </c>
      <c r="E6" s="811">
        <v>1761.07</v>
      </c>
      <c r="F6" s="811">
        <v>120.69</v>
      </c>
      <c r="G6" s="811">
        <v>427.2</v>
      </c>
      <c r="H6" s="811">
        <v>15.61</v>
      </c>
      <c r="I6" s="715">
        <v>4135879</v>
      </c>
      <c r="J6" s="715">
        <v>22073</v>
      </c>
      <c r="K6" s="715">
        <v>15433</v>
      </c>
      <c r="L6" s="715">
        <v>10464</v>
      </c>
      <c r="M6" s="715">
        <v>1904</v>
      </c>
      <c r="N6" s="715">
        <v>19090</v>
      </c>
      <c r="O6" s="715">
        <v>318</v>
      </c>
    </row>
    <row r="7" spans="1:15" s="230" customFormat="1">
      <c r="A7" s="744">
        <v>45443</v>
      </c>
      <c r="B7" s="811">
        <v>108114.93</v>
      </c>
      <c r="C7" s="811">
        <v>1005.53</v>
      </c>
      <c r="D7" s="811">
        <v>1120.0999999999999</v>
      </c>
      <c r="E7" s="811">
        <v>203.68</v>
      </c>
      <c r="F7" s="811">
        <v>125.51</v>
      </c>
      <c r="G7" s="811">
        <v>393.48</v>
      </c>
      <c r="H7" s="811">
        <v>8.3800000000000008</v>
      </c>
      <c r="I7" s="715">
        <v>3018383</v>
      </c>
      <c r="J7" s="715">
        <v>18716</v>
      </c>
      <c r="K7" s="715">
        <v>17914</v>
      </c>
      <c r="L7" s="715">
        <v>5104</v>
      </c>
      <c r="M7" s="715">
        <v>2907</v>
      </c>
      <c r="N7" s="715">
        <v>941</v>
      </c>
      <c r="O7" s="715">
        <v>220</v>
      </c>
    </row>
    <row r="8" spans="1:15" s="230" customFormat="1">
      <c r="A8" s="744">
        <v>45473</v>
      </c>
      <c r="B8" s="811">
        <v>110875.45</v>
      </c>
      <c r="C8" s="811">
        <v>930.84</v>
      </c>
      <c r="D8" s="811">
        <v>1128.03</v>
      </c>
      <c r="E8" s="811">
        <v>83.59</v>
      </c>
      <c r="F8" s="811">
        <v>169.57</v>
      </c>
      <c r="G8" s="811">
        <v>31.06</v>
      </c>
      <c r="H8" s="811">
        <v>21.32</v>
      </c>
      <c r="I8" s="715">
        <v>2858464</v>
      </c>
      <c r="J8" s="715">
        <v>12750</v>
      </c>
      <c r="K8" s="715">
        <v>6616</v>
      </c>
      <c r="L8" s="715">
        <v>2378</v>
      </c>
      <c r="M8" s="715">
        <v>909</v>
      </c>
      <c r="N8" s="715">
        <v>287</v>
      </c>
      <c r="O8" s="715">
        <v>847</v>
      </c>
    </row>
    <row r="9" spans="1:15" s="230" customFormat="1">
      <c r="A9" s="744">
        <v>45504</v>
      </c>
      <c r="B9" s="811">
        <v>44463.49</v>
      </c>
      <c r="C9" s="811">
        <v>872.69</v>
      </c>
      <c r="D9" s="811">
        <v>1712.31</v>
      </c>
      <c r="E9" s="811">
        <v>327.56</v>
      </c>
      <c r="F9" s="811">
        <v>186.95</v>
      </c>
      <c r="G9" s="811">
        <v>43.6</v>
      </c>
      <c r="H9" s="811">
        <v>17.98</v>
      </c>
      <c r="I9" s="715">
        <v>1261707</v>
      </c>
      <c r="J9" s="715">
        <v>21945</v>
      </c>
      <c r="K9" s="715">
        <v>29722</v>
      </c>
      <c r="L9" s="715">
        <v>16987</v>
      </c>
      <c r="M9" s="715">
        <v>981</v>
      </c>
      <c r="N9" s="715">
        <v>813</v>
      </c>
      <c r="O9" s="715">
        <v>233</v>
      </c>
    </row>
    <row r="10" spans="1:15" s="230" customFormat="1">
      <c r="A10" s="744">
        <v>45535</v>
      </c>
      <c r="B10" s="811">
        <v>106361.34</v>
      </c>
      <c r="C10" s="811">
        <v>1437.79</v>
      </c>
      <c r="D10" s="811">
        <v>2005.26</v>
      </c>
      <c r="E10" s="811">
        <v>209.56</v>
      </c>
      <c r="F10" s="811">
        <v>195.98</v>
      </c>
      <c r="G10" s="811">
        <v>44.18</v>
      </c>
      <c r="H10" s="811">
        <v>10.17</v>
      </c>
      <c r="I10" s="715">
        <v>1804916</v>
      </c>
      <c r="J10" s="715">
        <v>45010</v>
      </c>
      <c r="K10" s="715">
        <v>58613</v>
      </c>
      <c r="L10" s="715">
        <v>2713</v>
      </c>
      <c r="M10" s="715">
        <v>1760</v>
      </c>
      <c r="N10" s="715">
        <v>1509</v>
      </c>
      <c r="O10" s="715">
        <v>301</v>
      </c>
    </row>
    <row r="11" spans="1:15" s="230" customFormat="1">
      <c r="A11" s="744">
        <v>45565</v>
      </c>
      <c r="B11" s="811">
        <v>61884.87</v>
      </c>
      <c r="C11" s="811">
        <v>1312.27</v>
      </c>
      <c r="D11" s="811">
        <v>2058.44</v>
      </c>
      <c r="E11" s="811">
        <v>169.88</v>
      </c>
      <c r="F11" s="811">
        <v>194.82</v>
      </c>
      <c r="G11" s="811">
        <v>55.5</v>
      </c>
      <c r="H11" s="811">
        <v>9.5</v>
      </c>
      <c r="I11" s="715">
        <v>1360536</v>
      </c>
      <c r="J11" s="715">
        <v>49421</v>
      </c>
      <c r="K11" s="715">
        <v>60780</v>
      </c>
      <c r="L11" s="715">
        <v>5567</v>
      </c>
      <c r="M11" s="715">
        <v>2467</v>
      </c>
      <c r="N11" s="715">
        <v>2172</v>
      </c>
      <c r="O11" s="715">
        <v>250</v>
      </c>
    </row>
    <row r="12" spans="1:15" s="230" customFormat="1">
      <c r="A12" s="727" t="s">
        <v>1373</v>
      </c>
      <c r="B12" s="728"/>
      <c r="C12" s="728"/>
      <c r="D12" s="728"/>
      <c r="E12" s="728"/>
      <c r="F12" s="728"/>
      <c r="G12" s="728"/>
      <c r="H12" s="728"/>
      <c r="I12" s="728"/>
    </row>
    <row r="13" spans="1:15" s="230" customFormat="1">
      <c r="A13" s="1510" t="s">
        <v>297</v>
      </c>
      <c r="B13" s="1510"/>
      <c r="C13" s="1510"/>
      <c r="D13" s="1510"/>
      <c r="E13" s="1510"/>
      <c r="F13" s="1510"/>
      <c r="G13" s="1510"/>
      <c r="H13" s="1510"/>
      <c r="I13" s="1510"/>
    </row>
    <row r="14" spans="1:15" s="230" customFormat="1">
      <c r="A14" s="750"/>
      <c r="B14" s="820"/>
      <c r="C14" s="820"/>
      <c r="D14" s="820"/>
      <c r="E14" s="820"/>
      <c r="F14" s="820"/>
      <c r="G14" s="820"/>
      <c r="H14" s="820"/>
      <c r="I14" s="683"/>
    </row>
    <row r="15" spans="1:15">
      <c r="B15" s="730"/>
      <c r="C15" s="730"/>
      <c r="D15" s="730"/>
      <c r="E15" s="730"/>
      <c r="F15" s="730"/>
      <c r="G15" s="730"/>
      <c r="H15" s="730"/>
    </row>
    <row r="19" spans="4:4">
      <c r="D19" s="835"/>
    </row>
  </sheetData>
  <mergeCells count="4">
    <mergeCell ref="A2:A3"/>
    <mergeCell ref="B2:H2"/>
    <mergeCell ref="I2:O2"/>
    <mergeCell ref="A13:I13"/>
  </mergeCells>
  <printOptions horizontalCentered="1"/>
  <pageMargins left="0.78431372549019618" right="0.78431372549019618" top="0.98039215686274517" bottom="0.98039215686274517" header="0.50980392156862753" footer="0.50980392156862753"/>
  <pageSetup paperSize="9" scale="59" orientation="landscape" useFirstPageNumber="1" r:id="rId1"/>
  <headerFooter alignWithMargins="0"/>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17"/>
  <sheetViews>
    <sheetView workbookViewId="0"/>
  </sheetViews>
  <sheetFormatPr defaultColWidth="9.140625" defaultRowHeight="15"/>
  <cols>
    <col min="1" max="9" width="14.5703125" style="683" bestFit="1" customWidth="1"/>
    <col min="10" max="16384" width="9.140625" style="683"/>
  </cols>
  <sheetData>
    <row r="1" spans="1:9" ht="18.75" customHeight="1">
      <c r="A1" s="836" t="s">
        <v>562</v>
      </c>
      <c r="B1" s="836"/>
      <c r="C1" s="836"/>
      <c r="D1" s="836"/>
      <c r="E1" s="836"/>
      <c r="F1" s="836"/>
      <c r="G1" s="836"/>
    </row>
    <row r="2" spans="1:9" s="230" customFormat="1" ht="27" customHeight="1">
      <c r="A2" s="1552" t="s">
        <v>169</v>
      </c>
      <c r="B2" s="1547" t="s">
        <v>258</v>
      </c>
      <c r="C2" s="1545"/>
      <c r="D2" s="1545"/>
      <c r="E2" s="1546"/>
      <c r="F2" s="1573" t="s">
        <v>563</v>
      </c>
      <c r="G2" s="1574"/>
      <c r="H2" s="1574"/>
      <c r="I2" s="1575"/>
    </row>
    <row r="3" spans="1:9" s="230" customFormat="1" ht="18" customHeight="1">
      <c r="A3" s="1464"/>
      <c r="B3" s="771" t="s">
        <v>552</v>
      </c>
      <c r="C3" s="771" t="s">
        <v>553</v>
      </c>
      <c r="D3" s="771" t="s">
        <v>554</v>
      </c>
      <c r="E3" s="771" t="s">
        <v>555</v>
      </c>
      <c r="F3" s="771" t="s">
        <v>552</v>
      </c>
      <c r="G3" s="771" t="s">
        <v>553</v>
      </c>
      <c r="H3" s="771" t="s">
        <v>554</v>
      </c>
      <c r="I3" s="771" t="s">
        <v>555</v>
      </c>
    </row>
    <row r="4" spans="1:9" s="685" customFormat="1" ht="18" customHeight="1">
      <c r="A4" s="764" t="s">
        <v>505</v>
      </c>
      <c r="B4" s="805">
        <v>247087.80125950006</v>
      </c>
      <c r="C4" s="805">
        <v>41.063919250000005</v>
      </c>
      <c r="D4" s="805">
        <v>553.48741949999999</v>
      </c>
      <c r="E4" s="805">
        <v>55.695217749999998</v>
      </c>
      <c r="F4" s="822">
        <v>103178</v>
      </c>
      <c r="G4" s="822">
        <v>0</v>
      </c>
      <c r="H4" s="822">
        <v>8</v>
      </c>
      <c r="I4" s="822">
        <v>0</v>
      </c>
    </row>
    <row r="5" spans="1:9" s="685" customFormat="1" ht="18" customHeight="1">
      <c r="A5" s="740" t="s">
        <v>703</v>
      </c>
      <c r="B5" s="758">
        <f>SUM(B6:B11)</f>
        <v>10311.583043000001</v>
      </c>
      <c r="C5" s="758">
        <f>SUM(C6:C11)</f>
        <v>0</v>
      </c>
      <c r="D5" s="758">
        <f>SUM(D6:D11)</f>
        <v>0</v>
      </c>
      <c r="E5" s="758">
        <f>SUM(E6:E11)</f>
        <v>0</v>
      </c>
      <c r="F5" s="701">
        <f>INDEX(F6:F11,COUNT(F6:F11))</f>
        <v>0</v>
      </c>
      <c r="G5" s="701">
        <f>IFERROR(INDEX(G6:G11,COUNT(G6:G11)), "0")</f>
        <v>0</v>
      </c>
      <c r="H5" s="701">
        <f>IFERROR(INDEX(H6:H11,COUNT(H6:H11)), "0")</f>
        <v>0</v>
      </c>
      <c r="I5" s="701">
        <f>IFERROR(INDEX(I6:I11,COUNT(I6:I11)), "0")</f>
        <v>0</v>
      </c>
    </row>
    <row r="6" spans="1:9" s="230" customFormat="1">
      <c r="A6" s="744">
        <v>45412</v>
      </c>
      <c r="B6" s="811">
        <v>5312.076293000001</v>
      </c>
      <c r="C6" s="811">
        <v>0</v>
      </c>
      <c r="D6" s="811">
        <v>0</v>
      </c>
      <c r="E6" s="811">
        <v>0</v>
      </c>
      <c r="F6" s="715">
        <v>40175</v>
      </c>
      <c r="G6" s="715" t="s">
        <v>233</v>
      </c>
      <c r="H6" s="715" t="s">
        <v>233</v>
      </c>
      <c r="I6" s="715" t="s">
        <v>233</v>
      </c>
    </row>
    <row r="7" spans="1:9" s="230" customFormat="1">
      <c r="A7" s="744">
        <v>45443</v>
      </c>
      <c r="B7" s="811">
        <v>1001.7</v>
      </c>
      <c r="C7" s="811">
        <v>0</v>
      </c>
      <c r="D7" s="811">
        <v>0</v>
      </c>
      <c r="E7" s="811">
        <v>0</v>
      </c>
      <c r="F7" s="715">
        <v>4</v>
      </c>
      <c r="G7" s="715">
        <v>0</v>
      </c>
      <c r="H7" s="715">
        <v>0</v>
      </c>
      <c r="I7" s="715">
        <v>0</v>
      </c>
    </row>
    <row r="8" spans="1:9" s="230" customFormat="1">
      <c r="A8" s="744">
        <v>45473</v>
      </c>
      <c r="B8" s="811">
        <v>651.57425000000001</v>
      </c>
      <c r="C8" s="811">
        <v>0</v>
      </c>
      <c r="D8" s="811">
        <v>0</v>
      </c>
      <c r="E8" s="811">
        <v>0</v>
      </c>
      <c r="F8" s="715">
        <v>28000</v>
      </c>
      <c r="G8" s="715">
        <v>0</v>
      </c>
      <c r="H8" s="715">
        <v>0</v>
      </c>
      <c r="I8" s="715">
        <v>0</v>
      </c>
    </row>
    <row r="9" spans="1:9" s="230" customFormat="1">
      <c r="A9" s="744">
        <v>45504</v>
      </c>
      <c r="B9" s="811">
        <v>175.78450000000001</v>
      </c>
      <c r="C9" s="811">
        <v>0</v>
      </c>
      <c r="D9" s="811">
        <v>0</v>
      </c>
      <c r="E9" s="811">
        <v>0</v>
      </c>
      <c r="F9" s="715">
        <v>0</v>
      </c>
      <c r="G9" s="715">
        <v>0</v>
      </c>
      <c r="H9" s="715">
        <v>0</v>
      </c>
      <c r="I9" s="715">
        <v>0</v>
      </c>
    </row>
    <row r="10" spans="1:9" s="230" customFormat="1">
      <c r="A10" s="744">
        <v>45535</v>
      </c>
      <c r="B10" s="811">
        <v>587.61249999999995</v>
      </c>
      <c r="C10" s="811">
        <v>0</v>
      </c>
      <c r="D10" s="811">
        <v>0</v>
      </c>
      <c r="E10" s="811">
        <v>0</v>
      </c>
      <c r="F10" s="715">
        <v>0</v>
      </c>
      <c r="G10" s="715">
        <v>0</v>
      </c>
      <c r="H10" s="715">
        <v>0</v>
      </c>
      <c r="I10" s="715">
        <v>0</v>
      </c>
    </row>
    <row r="11" spans="1:9" s="230" customFormat="1">
      <c r="A11" s="744">
        <v>45565</v>
      </c>
      <c r="B11" s="811">
        <v>2582.8355000000001</v>
      </c>
      <c r="C11" s="811">
        <v>0</v>
      </c>
      <c r="D11" s="811">
        <v>0</v>
      </c>
      <c r="E11" s="811">
        <v>0</v>
      </c>
      <c r="F11" s="715">
        <v>0</v>
      </c>
      <c r="G11" s="715">
        <v>0</v>
      </c>
      <c r="H11" s="715">
        <v>0</v>
      </c>
      <c r="I11" s="715">
        <v>0</v>
      </c>
    </row>
    <row r="12" spans="1:9" s="230" customFormat="1">
      <c r="A12" s="727" t="s">
        <v>1373</v>
      </c>
      <c r="B12" s="728"/>
      <c r="C12" s="728"/>
      <c r="D12" s="728"/>
      <c r="E12" s="728"/>
      <c r="F12" s="728"/>
      <c r="G12" s="728"/>
      <c r="H12" s="728"/>
      <c r="I12" s="728"/>
    </row>
    <row r="13" spans="1:9" s="230" customFormat="1">
      <c r="A13" s="728" t="s">
        <v>265</v>
      </c>
      <c r="B13" s="728"/>
      <c r="C13" s="728"/>
      <c r="D13" s="728"/>
      <c r="E13" s="728"/>
      <c r="F13" s="728"/>
      <c r="G13" s="728"/>
      <c r="H13" s="728"/>
      <c r="I13" s="728"/>
    </row>
    <row r="14" spans="1:9" s="230" customFormat="1">
      <c r="A14" s="750"/>
      <c r="B14" s="728"/>
      <c r="C14" s="728"/>
      <c r="D14" s="728"/>
      <c r="E14" s="728"/>
      <c r="F14" s="728"/>
      <c r="G14" s="728"/>
      <c r="H14" s="728"/>
      <c r="I14" s="728"/>
    </row>
    <row r="15" spans="1:9" s="230" customFormat="1">
      <c r="A15" s="683"/>
      <c r="B15" s="837"/>
      <c r="C15" s="837"/>
      <c r="D15" s="837"/>
      <c r="E15" s="837"/>
      <c r="F15" s="837"/>
      <c r="G15" s="837"/>
      <c r="H15" s="837"/>
      <c r="I15" s="837"/>
    </row>
    <row r="16" spans="1:9">
      <c r="B16" s="762"/>
      <c r="C16" s="762"/>
      <c r="D16" s="762"/>
      <c r="E16" s="762"/>
    </row>
    <row r="17" spans="2:5">
      <c r="B17" s="762"/>
      <c r="C17" s="762"/>
      <c r="D17" s="762"/>
      <c r="E17" s="762"/>
    </row>
  </sheetData>
  <mergeCells count="3">
    <mergeCell ref="A2:A3"/>
    <mergeCell ref="B2:E2"/>
    <mergeCell ref="F2:I2"/>
  </mergeCells>
  <printOptions horizontalCentered="1"/>
  <pageMargins left="0.78431372549019618" right="0.78431372549019618" top="0.98039215686274517" bottom="0.98039215686274517" header="0.50980392156862753" footer="0.50980392156862753"/>
  <pageSetup paperSize="9" scale="98" orientation="landscape" useFirstPageNumber="1" r:id="rId1"/>
  <headerFooter alignWithMargin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21"/>
  <sheetViews>
    <sheetView workbookViewId="0"/>
  </sheetViews>
  <sheetFormatPr defaultColWidth="9.140625" defaultRowHeight="15"/>
  <cols>
    <col min="1" max="1" width="12.140625" style="683" bestFit="1" customWidth="1"/>
    <col min="2" max="2" width="12.140625" style="683" customWidth="1"/>
    <col min="3" max="3" width="12.5703125" style="683" bestFit="1" customWidth="1"/>
    <col min="4" max="6" width="12.28515625" style="683" bestFit="1" customWidth="1"/>
    <col min="7" max="7" width="12.140625" style="683" customWidth="1"/>
    <col min="8" max="11" width="12.28515625" style="683" bestFit="1" customWidth="1"/>
    <col min="12" max="12" width="22.42578125" style="683" bestFit="1" customWidth="1"/>
    <col min="13" max="13" width="4.5703125" style="683" bestFit="1" customWidth="1"/>
    <col min="14" max="16384" width="9.140625" style="683"/>
  </cols>
  <sheetData>
    <row r="1" spans="1:12" ht="15.75" customHeight="1">
      <c r="A1" s="836" t="s">
        <v>564</v>
      </c>
      <c r="B1" s="836"/>
      <c r="C1" s="836"/>
      <c r="D1" s="836"/>
      <c r="E1" s="836"/>
      <c r="F1" s="836"/>
      <c r="G1" s="836"/>
      <c r="H1" s="836"/>
      <c r="I1" s="836"/>
      <c r="J1" s="836"/>
      <c r="K1" s="836"/>
      <c r="L1" s="836"/>
    </row>
    <row r="2" spans="1:12" s="230" customFormat="1" ht="19.5" customHeight="1">
      <c r="A2" s="1565" t="s">
        <v>169</v>
      </c>
      <c r="B2" s="1576" t="s">
        <v>534</v>
      </c>
      <c r="C2" s="1577"/>
      <c r="D2" s="1577"/>
      <c r="E2" s="1577"/>
      <c r="F2" s="1578"/>
      <c r="G2" s="1553" t="s">
        <v>541</v>
      </c>
      <c r="H2" s="1554"/>
      <c r="I2" s="1554"/>
      <c r="J2" s="1554"/>
      <c r="K2" s="1555"/>
    </row>
    <row r="3" spans="1:12" s="230" customFormat="1">
      <c r="A3" s="1443"/>
      <c r="B3" s="674" t="s">
        <v>565</v>
      </c>
      <c r="C3" s="775" t="s">
        <v>566</v>
      </c>
      <c r="D3" s="771" t="s">
        <v>567</v>
      </c>
      <c r="E3" s="771" t="s">
        <v>568</v>
      </c>
      <c r="F3" s="771" t="s">
        <v>569</v>
      </c>
      <c r="G3" s="771" t="s">
        <v>565</v>
      </c>
      <c r="H3" s="771" t="s">
        <v>566</v>
      </c>
      <c r="I3" s="771" t="s">
        <v>567</v>
      </c>
      <c r="J3" s="771" t="s">
        <v>568</v>
      </c>
      <c r="K3" s="771" t="s">
        <v>569</v>
      </c>
    </row>
    <row r="4" spans="1:12" s="685" customFormat="1" ht="17.25" customHeight="1">
      <c r="A4" s="764" t="s">
        <v>505</v>
      </c>
      <c r="B4" s="838">
        <v>265155.58940524998</v>
      </c>
      <c r="C4" s="805">
        <v>1582715.4185500001</v>
      </c>
      <c r="D4" s="805">
        <v>323528.36560299998</v>
      </c>
      <c r="E4" s="805">
        <v>14354.014708000001</v>
      </c>
      <c r="F4" s="805">
        <v>3740.2410360000022</v>
      </c>
      <c r="G4" s="805">
        <v>87232.275318500004</v>
      </c>
      <c r="H4" s="805">
        <v>51139.150599250024</v>
      </c>
      <c r="I4" s="805">
        <v>16606.64022175</v>
      </c>
      <c r="J4" s="805">
        <v>1343.6427497500003</v>
      </c>
      <c r="K4" s="805">
        <v>0</v>
      </c>
    </row>
    <row r="5" spans="1:12" s="685" customFormat="1" ht="17.25" customHeight="1">
      <c r="A5" s="740" t="s">
        <v>703</v>
      </c>
      <c r="B5" s="758">
        <f t="shared" ref="B5:K5" si="0">SUM(B6:B11)</f>
        <v>425.11490000000003</v>
      </c>
      <c r="C5" s="758">
        <f t="shared" si="0"/>
        <v>223204.24890000001</v>
      </c>
      <c r="D5" s="758">
        <f t="shared" si="0"/>
        <v>5922.6667000000007</v>
      </c>
      <c r="E5" s="758">
        <f t="shared" si="0"/>
        <v>186.8305</v>
      </c>
      <c r="F5" s="758">
        <f t="shared" si="0"/>
        <v>167.45919999999998</v>
      </c>
      <c r="G5" s="758">
        <f t="shared" si="0"/>
        <v>91.471999999999994</v>
      </c>
      <c r="H5" s="758">
        <f t="shared" si="0"/>
        <v>264.4076</v>
      </c>
      <c r="I5" s="758">
        <f t="shared" si="0"/>
        <v>1.6799999999999999E-2</v>
      </c>
      <c r="J5" s="758">
        <f t="shared" si="0"/>
        <v>0</v>
      </c>
      <c r="K5" s="758">
        <f t="shared" si="0"/>
        <v>0</v>
      </c>
      <c r="L5" s="230"/>
    </row>
    <row r="6" spans="1:12" s="230" customFormat="1">
      <c r="A6" s="744">
        <v>45412</v>
      </c>
      <c r="B6" s="811">
        <v>425.11490000000003</v>
      </c>
      <c r="C6" s="811">
        <v>24202.961899999998</v>
      </c>
      <c r="D6" s="811">
        <v>1328.1263000000001</v>
      </c>
      <c r="E6" s="811">
        <v>186.73869999999999</v>
      </c>
      <c r="F6" s="811">
        <v>167.45919999999998</v>
      </c>
      <c r="G6" s="811">
        <v>91.471999999999994</v>
      </c>
      <c r="H6" s="811">
        <v>264.4076</v>
      </c>
      <c r="I6" s="811">
        <v>1.6799999999999999E-2</v>
      </c>
      <c r="J6" s="811">
        <v>0</v>
      </c>
      <c r="K6" s="811">
        <v>0</v>
      </c>
    </row>
    <row r="7" spans="1:12" s="230" customFormat="1">
      <c r="A7" s="744">
        <v>45443</v>
      </c>
      <c r="B7" s="811">
        <v>0</v>
      </c>
      <c r="C7" s="811">
        <v>196923.91000000003</v>
      </c>
      <c r="D7" s="811">
        <v>4226.71</v>
      </c>
      <c r="E7" s="811">
        <v>0</v>
      </c>
      <c r="F7" s="811">
        <v>0</v>
      </c>
      <c r="G7" s="811">
        <v>0</v>
      </c>
      <c r="H7" s="811">
        <v>0</v>
      </c>
      <c r="I7" s="811">
        <v>0</v>
      </c>
      <c r="J7" s="811">
        <v>0</v>
      </c>
      <c r="K7" s="811">
        <v>0</v>
      </c>
    </row>
    <row r="8" spans="1:12" s="230" customFormat="1">
      <c r="A8" s="744">
        <v>45473</v>
      </c>
      <c r="B8" s="811">
        <v>0</v>
      </c>
      <c r="C8" s="811">
        <v>1900.6690999999998</v>
      </c>
      <c r="D8" s="811">
        <v>367.81039999999996</v>
      </c>
      <c r="E8" s="811">
        <v>8.3400000000000002E-2</v>
      </c>
      <c r="F8" s="811">
        <v>0</v>
      </c>
      <c r="G8" s="811">
        <v>0</v>
      </c>
      <c r="H8" s="811">
        <v>0</v>
      </c>
      <c r="I8" s="811">
        <v>0</v>
      </c>
      <c r="J8" s="811">
        <v>0</v>
      </c>
      <c r="K8" s="811">
        <v>0</v>
      </c>
    </row>
    <row r="9" spans="1:12" s="230" customFormat="1">
      <c r="A9" s="744">
        <v>45504</v>
      </c>
      <c r="B9" s="811">
        <v>0</v>
      </c>
      <c r="C9" s="811">
        <v>175.81789999999998</v>
      </c>
      <c r="D9" s="811">
        <v>0</v>
      </c>
      <c r="E9" s="811">
        <v>8.3999999999999995E-3</v>
      </c>
      <c r="F9" s="811">
        <v>0</v>
      </c>
      <c r="G9" s="811">
        <v>0</v>
      </c>
      <c r="H9" s="811">
        <v>0</v>
      </c>
      <c r="I9" s="811">
        <v>0</v>
      </c>
      <c r="J9" s="811">
        <v>0</v>
      </c>
      <c r="K9" s="811">
        <v>0</v>
      </c>
    </row>
    <row r="10" spans="1:12" s="230" customFormat="1">
      <c r="A10" s="744">
        <v>45535</v>
      </c>
      <c r="B10" s="811">
        <v>0</v>
      </c>
      <c r="C10" s="811">
        <v>0.84</v>
      </c>
      <c r="D10" s="811">
        <v>0</v>
      </c>
      <c r="E10" s="811">
        <v>0</v>
      </c>
      <c r="F10" s="811">
        <v>0</v>
      </c>
      <c r="G10" s="811">
        <v>0</v>
      </c>
      <c r="H10" s="811">
        <v>0</v>
      </c>
      <c r="I10" s="811">
        <v>0</v>
      </c>
      <c r="J10" s="811">
        <v>0</v>
      </c>
      <c r="K10" s="811">
        <v>0</v>
      </c>
    </row>
    <row r="11" spans="1:12" s="230" customFormat="1">
      <c r="A11" s="744">
        <v>45565</v>
      </c>
      <c r="B11" s="811">
        <v>0</v>
      </c>
      <c r="C11" s="811">
        <v>0.05</v>
      </c>
      <c r="D11" s="811">
        <v>0.02</v>
      </c>
      <c r="E11" s="811">
        <v>0</v>
      </c>
      <c r="F11" s="811">
        <v>0</v>
      </c>
      <c r="G11" s="811">
        <v>0</v>
      </c>
      <c r="H11" s="811">
        <v>0</v>
      </c>
      <c r="I11" s="811">
        <v>0</v>
      </c>
      <c r="J11" s="811">
        <v>0</v>
      </c>
      <c r="K11" s="811">
        <v>0</v>
      </c>
    </row>
    <row r="12" spans="1:12" s="230" customFormat="1">
      <c r="A12" s="727" t="s">
        <v>1373</v>
      </c>
      <c r="B12" s="817"/>
      <c r="C12" s="816"/>
      <c r="D12" s="817"/>
      <c r="E12" s="817"/>
      <c r="F12" s="817"/>
      <c r="G12" s="817"/>
      <c r="H12" s="817"/>
      <c r="I12" s="817"/>
      <c r="J12" s="817"/>
      <c r="K12" s="817"/>
    </row>
    <row r="13" spans="1:12" s="230" customFormat="1" ht="15" customHeight="1">
      <c r="A13" s="1556" t="s">
        <v>249</v>
      </c>
      <c r="B13" s="1556"/>
      <c r="C13" s="1556"/>
      <c r="D13" s="1556"/>
      <c r="E13" s="1556"/>
      <c r="F13" s="1556"/>
      <c r="G13" s="1556"/>
      <c r="H13" s="1556"/>
      <c r="I13" s="1556"/>
      <c r="J13" s="1556"/>
      <c r="K13" s="1556"/>
    </row>
    <row r="14" spans="1:12" s="230" customFormat="1" ht="15" customHeight="1">
      <c r="A14" s="750"/>
      <c r="B14" s="837"/>
      <c r="C14" s="837"/>
      <c r="D14" s="837"/>
      <c r="E14" s="837"/>
      <c r="F14" s="837"/>
      <c r="G14" s="837"/>
      <c r="H14" s="837"/>
      <c r="I14" s="837"/>
      <c r="J14" s="837"/>
      <c r="K14" s="837"/>
    </row>
    <row r="15" spans="1:12">
      <c r="B15" s="762"/>
      <c r="C15" s="762"/>
      <c r="D15" s="762"/>
      <c r="E15" s="762"/>
      <c r="F15" s="762"/>
      <c r="G15" s="762"/>
      <c r="H15" s="762"/>
      <c r="I15" s="762"/>
      <c r="J15" s="762"/>
      <c r="K15" s="762"/>
    </row>
    <row r="16" spans="1:12">
      <c r="B16" s="839"/>
      <c r="C16" s="839"/>
      <c r="F16" s="762"/>
      <c r="K16" s="762"/>
    </row>
    <row r="17" spans="2:11">
      <c r="B17" s="839"/>
      <c r="C17" s="839"/>
      <c r="F17" s="762"/>
      <c r="K17" s="762"/>
    </row>
    <row r="18" spans="2:11">
      <c r="B18" s="839"/>
      <c r="C18" s="839"/>
      <c r="F18" s="762"/>
      <c r="K18" s="762"/>
    </row>
    <row r="19" spans="2:11">
      <c r="B19" s="752"/>
      <c r="C19" s="752"/>
      <c r="F19" s="762"/>
      <c r="K19" s="762"/>
    </row>
    <row r="20" spans="2:11">
      <c r="F20" s="762"/>
      <c r="K20" s="762"/>
    </row>
    <row r="21" spans="2:11">
      <c r="F21" s="762"/>
    </row>
  </sheetData>
  <mergeCells count="4">
    <mergeCell ref="A2:A3"/>
    <mergeCell ref="B2:F2"/>
    <mergeCell ref="G2:K2"/>
    <mergeCell ref="A13:K13"/>
  </mergeCells>
  <printOptions horizontalCentered="1"/>
  <pageMargins left="0.78431372549019618" right="0.78431372549019618" top="0.98039215686274517" bottom="0.98039215686274517" header="0.50980392156862753" footer="0.50980392156862753"/>
  <pageSetup paperSize="9" scale="82" fitToHeight="0" orientation="landscape" useFirstPageNumber="1" r:id="rId1"/>
  <headerFooter alignWithMargins="0"/>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22"/>
  <sheetViews>
    <sheetView workbookViewId="0"/>
  </sheetViews>
  <sheetFormatPr defaultColWidth="9.140625" defaultRowHeight="15"/>
  <cols>
    <col min="1" max="1" width="12.42578125" style="683" bestFit="1" customWidth="1"/>
    <col min="2" max="2" width="12.42578125" style="683" customWidth="1"/>
    <col min="3" max="3" width="12.85546875" style="683" bestFit="1" customWidth="1"/>
    <col min="4" max="6" width="12.5703125" style="683" bestFit="1" customWidth="1"/>
    <col min="7" max="7" width="14.42578125" style="683" bestFit="1" customWidth="1"/>
    <col min="8" max="8" width="12.85546875" style="683" bestFit="1" customWidth="1"/>
    <col min="9" max="9" width="12.5703125" style="683" bestFit="1" customWidth="1"/>
    <col min="10" max="10" width="12.28515625" style="683" bestFit="1" customWidth="1"/>
    <col min="11" max="11" width="12.5703125" style="683" bestFit="1" customWidth="1"/>
    <col min="12" max="13" width="9.140625" style="683"/>
    <col min="14" max="14" width="10.5703125" style="683" bestFit="1" customWidth="1"/>
    <col min="15" max="15" width="10.28515625" style="683" bestFit="1" customWidth="1"/>
    <col min="16" max="16384" width="9.140625" style="683"/>
  </cols>
  <sheetData>
    <row r="1" spans="1:15" ht="17.25" customHeight="1">
      <c r="A1" s="840" t="s">
        <v>570</v>
      </c>
      <c r="B1" s="841"/>
      <c r="C1" s="841"/>
      <c r="D1" s="841"/>
      <c r="E1" s="841"/>
      <c r="F1" s="841"/>
      <c r="G1" s="841"/>
      <c r="H1" s="841"/>
      <c r="I1" s="841"/>
      <c r="J1" s="841"/>
      <c r="K1" s="841"/>
    </row>
    <row r="2" spans="1:15" s="230" customFormat="1" ht="18" customHeight="1">
      <c r="A2" s="1552" t="s">
        <v>169</v>
      </c>
      <c r="B2" s="1565" t="s">
        <v>534</v>
      </c>
      <c r="C2" s="1579"/>
      <c r="D2" s="1579"/>
      <c r="E2" s="1579"/>
      <c r="F2" s="1580"/>
      <c r="G2" s="1547" t="s">
        <v>541</v>
      </c>
      <c r="H2" s="1581"/>
      <c r="I2" s="1581"/>
      <c r="J2" s="1581"/>
      <c r="K2" s="1582"/>
    </row>
    <row r="3" spans="1:15" s="230" customFormat="1" ht="18" customHeight="1">
      <c r="A3" s="1443"/>
      <c r="B3" s="674" t="s">
        <v>565</v>
      </c>
      <c r="C3" s="842" t="s">
        <v>566</v>
      </c>
      <c r="D3" s="763" t="s">
        <v>571</v>
      </c>
      <c r="E3" s="763" t="s">
        <v>568</v>
      </c>
      <c r="F3" s="763" t="s">
        <v>569</v>
      </c>
      <c r="G3" s="763" t="s">
        <v>565</v>
      </c>
      <c r="H3" s="763" t="s">
        <v>566</v>
      </c>
      <c r="I3" s="763" t="s">
        <v>567</v>
      </c>
      <c r="J3" s="763" t="s">
        <v>568</v>
      </c>
      <c r="K3" s="763" t="s">
        <v>569</v>
      </c>
    </row>
    <row r="4" spans="1:15" s="685" customFormat="1" ht="16.5" customHeight="1">
      <c r="A4" s="764" t="s">
        <v>505</v>
      </c>
      <c r="B4" s="843">
        <v>619188.15919525002</v>
      </c>
      <c r="C4" s="844">
        <v>4685370.8459481057</v>
      </c>
      <c r="D4" s="844">
        <v>1501948.9385291443</v>
      </c>
      <c r="E4" s="844">
        <v>222220.96535619488</v>
      </c>
      <c r="F4" s="844">
        <v>173012.63311431001</v>
      </c>
      <c r="G4" s="845">
        <v>19093760.92444725</v>
      </c>
      <c r="H4" s="844">
        <v>7358692.7990452508</v>
      </c>
      <c r="I4" s="844">
        <v>1360063.1282590001</v>
      </c>
      <c r="J4" s="844">
        <v>122684.10330375</v>
      </c>
      <c r="K4" s="844">
        <v>7094.0754217499998</v>
      </c>
    </row>
    <row r="5" spans="1:15" s="685" customFormat="1" ht="16.5" customHeight="1">
      <c r="A5" s="740" t="s">
        <v>703</v>
      </c>
      <c r="B5" s="758">
        <f t="shared" ref="B5:K5" si="0">SUM(B6:B11)</f>
        <v>31838.272591268498</v>
      </c>
      <c r="C5" s="758">
        <f t="shared" si="0"/>
        <v>494523.47538128961</v>
      </c>
      <c r="D5" s="758">
        <f t="shared" si="0"/>
        <v>111875.09683508286</v>
      </c>
      <c r="E5" s="758">
        <f t="shared" si="0"/>
        <v>4685.0053577499984</v>
      </c>
      <c r="F5" s="758">
        <f t="shared" si="0"/>
        <v>7005.5298395000063</v>
      </c>
      <c r="G5" s="758">
        <f t="shared" si="0"/>
        <v>57232.363930999985</v>
      </c>
      <c r="H5" s="758">
        <f t="shared" si="0"/>
        <v>92853.812052999972</v>
      </c>
      <c r="I5" s="758">
        <f t="shared" si="0"/>
        <v>15433.207265000003</v>
      </c>
      <c r="J5" s="758">
        <f t="shared" si="0"/>
        <v>3558.9993515000006</v>
      </c>
      <c r="K5" s="758">
        <f t="shared" si="0"/>
        <v>406.4674235</v>
      </c>
      <c r="L5" s="846"/>
      <c r="M5" s="846"/>
      <c r="N5" s="847"/>
      <c r="O5" s="747"/>
    </row>
    <row r="6" spans="1:15" s="230" customFormat="1" ht="16.5" customHeight="1">
      <c r="A6" s="744">
        <v>45412</v>
      </c>
      <c r="B6" s="811">
        <v>2881.8392305000002</v>
      </c>
      <c r="C6" s="811">
        <v>160682.56208672433</v>
      </c>
      <c r="D6" s="811">
        <v>45518.748263879817</v>
      </c>
      <c r="E6" s="811">
        <v>2917.7947239999994</v>
      </c>
      <c r="F6" s="811">
        <v>5437.4272440000068</v>
      </c>
      <c r="G6" s="811">
        <v>54900.824904749985</v>
      </c>
      <c r="H6" s="811">
        <v>82105.088391749989</v>
      </c>
      <c r="I6" s="811">
        <v>13265.001724250002</v>
      </c>
      <c r="J6" s="811">
        <v>3541.6720505000003</v>
      </c>
      <c r="K6" s="811">
        <v>375.64347524999999</v>
      </c>
      <c r="L6" s="837"/>
      <c r="M6" s="847"/>
      <c r="N6" s="847"/>
      <c r="O6" s="747"/>
    </row>
    <row r="7" spans="1:15" s="230" customFormat="1" ht="16.5" customHeight="1">
      <c r="A7" s="744">
        <v>45443</v>
      </c>
      <c r="B7" s="811">
        <v>28953.808095518496</v>
      </c>
      <c r="C7" s="811">
        <v>75037.492755135987</v>
      </c>
      <c r="D7" s="811">
        <v>125.46981049999999</v>
      </c>
      <c r="E7" s="811">
        <v>531.01790325000002</v>
      </c>
      <c r="F7" s="811">
        <v>502.71215499999994</v>
      </c>
      <c r="G7" s="811">
        <v>2253.3843769999999</v>
      </c>
      <c r="H7" s="811">
        <v>3540.1047944999996</v>
      </c>
      <c r="I7" s="811">
        <v>0</v>
      </c>
      <c r="J7" s="811">
        <v>0</v>
      </c>
      <c r="K7" s="811">
        <v>27.615787999999998</v>
      </c>
      <c r="L7" s="837"/>
      <c r="M7" s="847"/>
      <c r="N7" s="847"/>
      <c r="O7" s="747"/>
    </row>
    <row r="8" spans="1:15" s="230" customFormat="1" ht="16.5" customHeight="1">
      <c r="A8" s="744">
        <v>45473</v>
      </c>
      <c r="B8" s="811">
        <v>4.1729000000000002E-2</v>
      </c>
      <c r="C8" s="811">
        <v>83575.053086768166</v>
      </c>
      <c r="D8" s="811">
        <v>25076.659561358545</v>
      </c>
      <c r="E8" s="811">
        <v>389.94100775000004</v>
      </c>
      <c r="F8" s="811">
        <v>270.36145599999992</v>
      </c>
      <c r="G8" s="811">
        <v>55.23289900000001</v>
      </c>
      <c r="H8" s="811">
        <v>3220.9740507499992</v>
      </c>
      <c r="I8" s="811">
        <v>647.45904300000007</v>
      </c>
      <c r="J8" s="811">
        <v>1.0430699999999999</v>
      </c>
      <c r="K8" s="811">
        <v>3.0918145000000004</v>
      </c>
      <c r="L8" s="837"/>
      <c r="M8" s="847"/>
      <c r="N8" s="847"/>
      <c r="O8" s="747"/>
    </row>
    <row r="9" spans="1:15" s="230" customFormat="1" ht="16.5" customHeight="1">
      <c r="A9" s="744">
        <v>45504</v>
      </c>
      <c r="B9" s="811">
        <v>0.41903750000000001</v>
      </c>
      <c r="C9" s="811">
        <v>33185.635814308131</v>
      </c>
      <c r="D9" s="811">
        <v>11751.722607733509</v>
      </c>
      <c r="E9" s="811">
        <v>351.79797424999998</v>
      </c>
      <c r="F9" s="811">
        <v>316.86098825000005</v>
      </c>
      <c r="G9" s="811">
        <v>8.0968350000000004</v>
      </c>
      <c r="H9" s="811">
        <v>1461.6090860000004</v>
      </c>
      <c r="I9" s="811">
        <v>547.51209674999996</v>
      </c>
      <c r="J9" s="811">
        <v>0.9352975</v>
      </c>
      <c r="K9" s="811">
        <v>0</v>
      </c>
      <c r="L9" s="837"/>
      <c r="M9" s="847"/>
      <c r="N9" s="847"/>
      <c r="O9" s="747"/>
    </row>
    <row r="10" spans="1:15" s="230" customFormat="1" ht="16.5" customHeight="1">
      <c r="A10" s="744">
        <v>45535</v>
      </c>
      <c r="B10" s="811">
        <v>0.86635974999999998</v>
      </c>
      <c r="C10" s="811">
        <v>91123.24253136311</v>
      </c>
      <c r="D10" s="811">
        <v>16773.446507157398</v>
      </c>
      <c r="E10" s="811">
        <v>244.71033200000002</v>
      </c>
      <c r="F10" s="811">
        <v>252.35905149999999</v>
      </c>
      <c r="G10" s="811">
        <v>14.824915249999998</v>
      </c>
      <c r="H10" s="811">
        <v>1343.798235</v>
      </c>
      <c r="I10" s="811">
        <v>508.29314699999998</v>
      </c>
      <c r="J10" s="811">
        <v>2.7331097499999997</v>
      </c>
      <c r="K10" s="811">
        <v>8.3125000000000004E-3</v>
      </c>
      <c r="L10" s="837"/>
      <c r="M10" s="847"/>
      <c r="N10" s="847"/>
      <c r="O10" s="747"/>
    </row>
    <row r="11" spans="1:15" s="230" customFormat="1">
      <c r="A11" s="744">
        <v>45565</v>
      </c>
      <c r="B11" s="811">
        <v>1.2981390000000002</v>
      </c>
      <c r="C11" s="811">
        <v>50919.489106989953</v>
      </c>
      <c r="D11" s="811">
        <v>12629.050084453598</v>
      </c>
      <c r="E11" s="811">
        <v>249.74341649999997</v>
      </c>
      <c r="F11" s="811">
        <v>225.80894475000002</v>
      </c>
      <c r="G11" s="811">
        <v>0</v>
      </c>
      <c r="H11" s="811">
        <v>1182.2374950000001</v>
      </c>
      <c r="I11" s="811">
        <v>464.94125399999996</v>
      </c>
      <c r="J11" s="811">
        <v>12.615823749999999</v>
      </c>
      <c r="K11" s="811">
        <v>0.10803325</v>
      </c>
      <c r="L11" s="837"/>
      <c r="M11" s="847"/>
      <c r="N11" s="847"/>
      <c r="O11" s="747"/>
    </row>
    <row r="12" spans="1:15" s="230" customFormat="1">
      <c r="A12" s="727" t="s">
        <v>1373</v>
      </c>
      <c r="L12" s="837"/>
      <c r="M12" s="847"/>
      <c r="N12" s="847"/>
      <c r="O12" s="747"/>
    </row>
    <row r="13" spans="1:15" s="230" customFormat="1" ht="15" customHeight="1">
      <c r="A13" s="1583" t="s">
        <v>572</v>
      </c>
      <c r="B13" s="1583"/>
      <c r="C13" s="1583"/>
      <c r="D13" s="1583"/>
      <c r="E13" s="1583"/>
      <c r="F13" s="1583"/>
      <c r="G13" s="1583"/>
      <c r="H13" s="1583"/>
      <c r="I13" s="1583"/>
      <c r="J13" s="1583"/>
      <c r="K13" s="1583"/>
      <c r="L13" s="837"/>
    </row>
    <row r="14" spans="1:15" s="230" customFormat="1">
      <c r="A14" s="230" t="s">
        <v>297</v>
      </c>
    </row>
    <row r="15" spans="1:15" s="230" customFormat="1">
      <c r="A15" s="750"/>
    </row>
    <row r="16" spans="1:15" s="230" customFormat="1">
      <c r="A16" s="683"/>
      <c r="B16" s="747"/>
      <c r="C16" s="747"/>
      <c r="D16" s="747"/>
      <c r="E16" s="747"/>
      <c r="F16" s="747"/>
      <c r="G16" s="747"/>
      <c r="H16" s="747"/>
      <c r="I16" s="747"/>
      <c r="J16" s="747"/>
      <c r="K16" s="747"/>
    </row>
    <row r="17" spans="5:11">
      <c r="F17" s="752"/>
      <c r="K17" s="752"/>
    </row>
    <row r="18" spans="5:11">
      <c r="F18" s="752"/>
      <c r="K18" s="752"/>
    </row>
    <row r="19" spans="5:11">
      <c r="F19" s="752"/>
      <c r="K19" s="752"/>
    </row>
    <row r="20" spans="5:11">
      <c r="F20" s="752"/>
      <c r="K20" s="752"/>
    </row>
    <row r="21" spans="5:11">
      <c r="E21" s="752"/>
      <c r="F21" s="752"/>
      <c r="K21" s="752"/>
    </row>
    <row r="22" spans="5:11">
      <c r="F22" s="752"/>
    </row>
  </sheetData>
  <mergeCells count="4">
    <mergeCell ref="A2:A3"/>
    <mergeCell ref="B2:F2"/>
    <mergeCell ref="G2:K2"/>
    <mergeCell ref="A13:K13"/>
  </mergeCells>
  <printOptions horizontalCentered="1"/>
  <pageMargins left="0.78431372549019618" right="0.78431372549019618" top="0.98039215686274517" bottom="0.98039215686274517" header="0.50980392156862753" footer="0.50980392156862753"/>
  <pageSetup paperSize="9" scale="95" orientation="landscape" useFirstPageNumber="1" r:id="rId1"/>
  <headerFooter alignWithMargins="0"/>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15"/>
  <sheetViews>
    <sheetView workbookViewId="0"/>
  </sheetViews>
  <sheetFormatPr defaultColWidth="9.140625" defaultRowHeight="15"/>
  <cols>
    <col min="1" max="1" width="12.140625" style="683" bestFit="1" customWidth="1"/>
    <col min="2" max="2" width="12.140625" style="683" customWidth="1"/>
    <col min="3" max="6" width="12.140625" style="683" bestFit="1" customWidth="1"/>
    <col min="7" max="7" width="12.140625" style="683" customWidth="1"/>
    <col min="8" max="11" width="12.140625" style="683" bestFit="1" customWidth="1"/>
    <col min="12" max="12" width="4.5703125" style="683" bestFit="1" customWidth="1"/>
    <col min="13" max="16384" width="9.140625" style="683"/>
  </cols>
  <sheetData>
    <row r="1" spans="1:11" ht="18" customHeight="1">
      <c r="A1" s="840" t="s">
        <v>573</v>
      </c>
      <c r="B1" s="840"/>
      <c r="C1" s="840"/>
      <c r="D1" s="840"/>
      <c r="E1" s="840"/>
      <c r="F1" s="840"/>
      <c r="G1" s="840"/>
      <c r="H1" s="840"/>
      <c r="I1" s="840"/>
      <c r="J1" s="840"/>
      <c r="K1" s="840"/>
    </row>
    <row r="2" spans="1:11" s="230" customFormat="1" ht="18" customHeight="1">
      <c r="A2" s="1552" t="s">
        <v>169</v>
      </c>
      <c r="B2" s="1565" t="s">
        <v>534</v>
      </c>
      <c r="C2" s="1579"/>
      <c r="D2" s="1579"/>
      <c r="E2" s="1579"/>
      <c r="F2" s="1580"/>
      <c r="G2" s="1547" t="s">
        <v>541</v>
      </c>
      <c r="H2" s="1581"/>
      <c r="I2" s="1581"/>
      <c r="J2" s="1581"/>
      <c r="K2" s="1582"/>
    </row>
    <row r="3" spans="1:11" s="230" customFormat="1" ht="18" customHeight="1">
      <c r="A3" s="1443"/>
      <c r="B3" s="674" t="s">
        <v>565</v>
      </c>
      <c r="C3" s="842" t="s">
        <v>566</v>
      </c>
      <c r="D3" s="763" t="s">
        <v>571</v>
      </c>
      <c r="E3" s="763" t="s">
        <v>568</v>
      </c>
      <c r="F3" s="763" t="s">
        <v>569</v>
      </c>
      <c r="G3" s="763" t="s">
        <v>565</v>
      </c>
      <c r="H3" s="763" t="s">
        <v>566</v>
      </c>
      <c r="I3" s="763" t="s">
        <v>567</v>
      </c>
      <c r="J3" s="763" t="s">
        <v>568</v>
      </c>
      <c r="K3" s="763" t="s">
        <v>569</v>
      </c>
    </row>
    <row r="4" spans="1:11" s="685" customFormat="1" ht="17.25" customHeight="1">
      <c r="A4" s="764" t="s">
        <v>505</v>
      </c>
      <c r="B4" s="843">
        <v>14.802290500000003</v>
      </c>
      <c r="C4" s="844">
        <v>145944.96059725003</v>
      </c>
      <c r="D4" s="844">
        <v>72897.092392749997</v>
      </c>
      <c r="E4" s="844">
        <v>28876.607645249998</v>
      </c>
      <c r="F4" s="844">
        <v>4.5848877499999992</v>
      </c>
      <c r="G4" s="845">
        <v>0</v>
      </c>
      <c r="H4" s="844">
        <v>0</v>
      </c>
      <c r="I4" s="844">
        <v>0</v>
      </c>
      <c r="J4" s="844">
        <v>0</v>
      </c>
      <c r="K4" s="844">
        <v>0</v>
      </c>
    </row>
    <row r="5" spans="1:11" s="685" customFormat="1" ht="17.25" customHeight="1">
      <c r="A5" s="740" t="s">
        <v>703</v>
      </c>
      <c r="B5" s="758">
        <f t="shared" ref="B5:K5" si="0">SUM(B6:B11)</f>
        <v>0.78358949999999994</v>
      </c>
      <c r="C5" s="758">
        <f t="shared" si="0"/>
        <v>8154.5357375000003</v>
      </c>
      <c r="D5" s="758">
        <f t="shared" si="0"/>
        <v>2156.1633980000001</v>
      </c>
      <c r="E5" s="758">
        <f t="shared" si="0"/>
        <v>0.10031799999999999</v>
      </c>
      <c r="F5" s="758">
        <f t="shared" si="0"/>
        <v>0</v>
      </c>
      <c r="G5" s="758">
        <f t="shared" si="0"/>
        <v>0</v>
      </c>
      <c r="H5" s="758">
        <f t="shared" si="0"/>
        <v>0</v>
      </c>
      <c r="I5" s="758">
        <f t="shared" si="0"/>
        <v>0</v>
      </c>
      <c r="J5" s="758">
        <f t="shared" si="0"/>
        <v>0</v>
      </c>
      <c r="K5" s="758">
        <f t="shared" si="0"/>
        <v>0</v>
      </c>
    </row>
    <row r="6" spans="1:11" s="230" customFormat="1" ht="17.25" customHeight="1">
      <c r="A6" s="744">
        <v>45412</v>
      </c>
      <c r="B6" s="811">
        <v>0.78358949999999994</v>
      </c>
      <c r="C6" s="811">
        <v>3389.2969875000008</v>
      </c>
      <c r="D6" s="811">
        <v>1921.8953980000001</v>
      </c>
      <c r="E6" s="811">
        <v>0.10031799999999999</v>
      </c>
      <c r="F6" s="811">
        <v>0</v>
      </c>
      <c r="G6" s="811">
        <v>0</v>
      </c>
      <c r="H6" s="811">
        <v>0</v>
      </c>
      <c r="I6" s="811">
        <v>0</v>
      </c>
      <c r="J6" s="811">
        <v>0</v>
      </c>
      <c r="K6" s="811">
        <v>0</v>
      </c>
    </row>
    <row r="7" spans="1:11" s="230" customFormat="1" ht="17.25" customHeight="1">
      <c r="A7" s="744">
        <v>45443</v>
      </c>
      <c r="B7" s="811">
        <v>0</v>
      </c>
      <c r="C7" s="811">
        <v>1001.7</v>
      </c>
      <c r="D7" s="811">
        <v>0</v>
      </c>
      <c r="E7" s="811">
        <v>0</v>
      </c>
      <c r="F7" s="811">
        <v>0</v>
      </c>
      <c r="G7" s="811">
        <v>0</v>
      </c>
      <c r="H7" s="811">
        <v>0</v>
      </c>
      <c r="I7" s="811">
        <v>0</v>
      </c>
      <c r="J7" s="811">
        <v>0</v>
      </c>
      <c r="K7" s="811">
        <v>0</v>
      </c>
    </row>
    <row r="8" spans="1:11" s="230" customFormat="1" ht="17.25" customHeight="1">
      <c r="A8" s="744">
        <v>45473</v>
      </c>
      <c r="B8" s="811">
        <v>0</v>
      </c>
      <c r="C8" s="811">
        <v>417.30624999999998</v>
      </c>
      <c r="D8" s="811">
        <v>234.268</v>
      </c>
      <c r="E8" s="811">
        <v>0</v>
      </c>
      <c r="F8" s="811">
        <v>0</v>
      </c>
      <c r="G8" s="811">
        <v>0</v>
      </c>
      <c r="H8" s="811">
        <v>0</v>
      </c>
      <c r="I8" s="811">
        <v>0</v>
      </c>
      <c r="J8" s="811">
        <v>0</v>
      </c>
      <c r="K8" s="811">
        <v>0</v>
      </c>
    </row>
    <row r="9" spans="1:11" s="230" customFormat="1" ht="17.25" customHeight="1">
      <c r="A9" s="744">
        <v>45504</v>
      </c>
      <c r="B9" s="811">
        <v>0</v>
      </c>
      <c r="C9" s="811">
        <v>175.78450000000001</v>
      </c>
      <c r="D9" s="811">
        <v>0</v>
      </c>
      <c r="E9" s="811">
        <v>0</v>
      </c>
      <c r="F9" s="811">
        <v>0</v>
      </c>
      <c r="G9" s="811">
        <v>0</v>
      </c>
      <c r="H9" s="811">
        <v>0</v>
      </c>
      <c r="I9" s="811">
        <v>0</v>
      </c>
      <c r="J9" s="811">
        <v>0</v>
      </c>
      <c r="K9" s="811">
        <v>0</v>
      </c>
    </row>
    <row r="10" spans="1:11" s="230" customFormat="1" ht="17.25" customHeight="1">
      <c r="A10" s="744">
        <v>45535</v>
      </c>
      <c r="B10" s="811">
        <v>0</v>
      </c>
      <c r="C10" s="811">
        <v>587.61249999999995</v>
      </c>
      <c r="D10" s="811">
        <v>0</v>
      </c>
      <c r="E10" s="811">
        <v>0</v>
      </c>
      <c r="F10" s="811">
        <v>0</v>
      </c>
      <c r="G10" s="811">
        <v>0</v>
      </c>
      <c r="H10" s="811">
        <v>0</v>
      </c>
      <c r="I10" s="811">
        <v>0</v>
      </c>
      <c r="J10" s="811">
        <v>0</v>
      </c>
      <c r="K10" s="811">
        <v>0</v>
      </c>
    </row>
    <row r="11" spans="1:11" s="230" customFormat="1">
      <c r="A11" s="744">
        <v>45565</v>
      </c>
      <c r="B11" s="811">
        <v>0</v>
      </c>
      <c r="C11" s="811">
        <v>2582.8355000000006</v>
      </c>
      <c r="D11" s="811">
        <v>0</v>
      </c>
      <c r="E11" s="811">
        <v>0</v>
      </c>
      <c r="F11" s="811">
        <v>0</v>
      </c>
      <c r="G11" s="811">
        <v>0</v>
      </c>
      <c r="H11" s="811">
        <v>0</v>
      </c>
      <c r="I11" s="811">
        <v>0</v>
      </c>
      <c r="J11" s="811">
        <v>0</v>
      </c>
      <c r="K11" s="811">
        <v>0</v>
      </c>
    </row>
    <row r="12" spans="1:11" s="230" customFormat="1" ht="13.5" customHeight="1">
      <c r="A12" s="727" t="s">
        <v>1373</v>
      </c>
      <c r="B12" s="848"/>
      <c r="C12" s="849"/>
      <c r="D12" s="849"/>
      <c r="E12" s="848"/>
      <c r="F12" s="848"/>
      <c r="G12" s="848"/>
      <c r="H12" s="850"/>
      <c r="I12" s="850"/>
      <c r="J12" s="850"/>
      <c r="K12" s="848"/>
    </row>
    <row r="13" spans="1:11" s="230" customFormat="1" ht="15" customHeight="1">
      <c r="A13" s="1556" t="s">
        <v>265</v>
      </c>
      <c r="B13" s="1556"/>
      <c r="C13" s="1556"/>
      <c r="D13" s="1556"/>
      <c r="E13" s="1556"/>
      <c r="F13" s="1556"/>
      <c r="G13" s="1556"/>
      <c r="H13" s="1556"/>
      <c r="I13" s="1556"/>
      <c r="J13" s="1556"/>
      <c r="K13" s="1556"/>
    </row>
    <row r="14" spans="1:11" s="230" customFormat="1" ht="15" customHeight="1">
      <c r="A14" s="750"/>
      <c r="B14" s="747"/>
      <c r="C14" s="747"/>
      <c r="D14" s="747"/>
      <c r="E14" s="747"/>
      <c r="F14" s="747"/>
    </row>
    <row r="15" spans="1:11" s="230" customFormat="1">
      <c r="A15" s="683"/>
      <c r="B15" s="752"/>
      <c r="C15" s="752"/>
      <c r="D15" s="752"/>
      <c r="E15" s="752"/>
      <c r="F15" s="752"/>
      <c r="G15" s="752"/>
      <c r="H15" s="752"/>
      <c r="I15" s="752"/>
      <c r="J15" s="752"/>
      <c r="K15" s="752"/>
    </row>
  </sheetData>
  <mergeCells count="4">
    <mergeCell ref="A2:A3"/>
    <mergeCell ref="B2:F2"/>
    <mergeCell ref="G2:K2"/>
    <mergeCell ref="A13:K13"/>
  </mergeCells>
  <printOptions horizontalCentered="1"/>
  <pageMargins left="0.78431372549019618" right="0.78431372549019618" top="0.98039215686274517" bottom="0.98039215686274517" header="0.50980392156862753" footer="0.50980392156862753"/>
  <pageSetup paperSize="9" scale="96" orientation="landscape" useFirstPageNumber="1" r:id="rId1"/>
  <headerFooter alignWithMargin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23"/>
  <sheetViews>
    <sheetView workbookViewId="0"/>
  </sheetViews>
  <sheetFormatPr defaultColWidth="9.140625" defaultRowHeight="15"/>
  <cols>
    <col min="1" max="1" width="12.140625" style="683" bestFit="1" customWidth="1"/>
    <col min="2" max="2" width="13.42578125" style="683" customWidth="1"/>
    <col min="3" max="14" width="13.7109375" style="683" customWidth="1"/>
    <col min="15" max="15" width="6.140625" style="683" bestFit="1" customWidth="1"/>
    <col min="16" max="16384" width="9.140625" style="683"/>
  </cols>
  <sheetData>
    <row r="1" spans="1:14">
      <c r="A1" s="840" t="s">
        <v>47</v>
      </c>
      <c r="B1" s="840"/>
      <c r="C1" s="840"/>
      <c r="D1" s="840"/>
      <c r="E1" s="840"/>
      <c r="F1" s="840"/>
      <c r="G1" s="840"/>
      <c r="H1" s="840"/>
      <c r="I1" s="840"/>
      <c r="J1" s="840"/>
      <c r="K1" s="840"/>
      <c r="L1" s="840"/>
      <c r="M1" s="840"/>
      <c r="N1" s="840"/>
    </row>
    <row r="2" spans="1:14" s="230" customFormat="1">
      <c r="A2" s="1542" t="s">
        <v>141</v>
      </c>
      <c r="B2" s="1542" t="s">
        <v>239</v>
      </c>
      <c r="C2" s="1547" t="s">
        <v>73</v>
      </c>
      <c r="D2" s="1545"/>
      <c r="E2" s="1545"/>
      <c r="F2" s="1546"/>
      <c r="G2" s="1547" t="s">
        <v>74</v>
      </c>
      <c r="H2" s="1545"/>
      <c r="I2" s="1545"/>
      <c r="J2" s="1546"/>
      <c r="K2" s="1547" t="s">
        <v>75</v>
      </c>
      <c r="L2" s="1545"/>
      <c r="M2" s="1545"/>
      <c r="N2" s="1546"/>
    </row>
    <row r="3" spans="1:14" s="230" customFormat="1">
      <c r="A3" s="1543"/>
      <c r="B3" s="1543"/>
      <c r="C3" s="1547" t="s">
        <v>574</v>
      </c>
      <c r="D3" s="1546"/>
      <c r="E3" s="1548" t="s">
        <v>575</v>
      </c>
      <c r="F3" s="1551"/>
      <c r="G3" s="1547" t="s">
        <v>574</v>
      </c>
      <c r="H3" s="1546"/>
      <c r="I3" s="1548" t="s">
        <v>575</v>
      </c>
      <c r="J3" s="1551"/>
      <c r="K3" s="1547" t="s">
        <v>576</v>
      </c>
      <c r="L3" s="1546"/>
      <c r="M3" s="1547" t="s">
        <v>577</v>
      </c>
      <c r="N3" s="1546"/>
    </row>
    <row r="4" spans="1:14" s="230" customFormat="1" ht="30">
      <c r="A4" s="1451"/>
      <c r="B4" s="1451"/>
      <c r="C4" s="774" t="s">
        <v>501</v>
      </c>
      <c r="D4" s="755" t="s">
        <v>578</v>
      </c>
      <c r="E4" s="774" t="s">
        <v>501</v>
      </c>
      <c r="F4" s="755" t="s">
        <v>539</v>
      </c>
      <c r="G4" s="774" t="s">
        <v>501</v>
      </c>
      <c r="H4" s="755" t="s">
        <v>578</v>
      </c>
      <c r="I4" s="774" t="s">
        <v>501</v>
      </c>
      <c r="J4" s="755" t="s">
        <v>539</v>
      </c>
      <c r="K4" s="774" t="s">
        <v>501</v>
      </c>
      <c r="L4" s="755" t="s">
        <v>578</v>
      </c>
      <c r="M4" s="774" t="s">
        <v>501</v>
      </c>
      <c r="N4" s="755" t="s">
        <v>539</v>
      </c>
    </row>
    <row r="5" spans="1:14" s="685" customFormat="1">
      <c r="A5" s="764" t="s">
        <v>505</v>
      </c>
      <c r="B5" s="851">
        <v>240</v>
      </c>
      <c r="C5" s="852">
        <v>1443270</v>
      </c>
      <c r="D5" s="844">
        <v>28700.029499999997</v>
      </c>
      <c r="E5" s="852">
        <v>1000</v>
      </c>
      <c r="F5" s="844">
        <v>20.143139999999999</v>
      </c>
      <c r="G5" s="853">
        <v>1471765</v>
      </c>
      <c r="H5" s="844">
        <v>29570.77</v>
      </c>
      <c r="I5" s="852">
        <v>36097</v>
      </c>
      <c r="J5" s="844">
        <v>720.77629999999999</v>
      </c>
      <c r="K5" s="715" t="s">
        <v>233</v>
      </c>
      <c r="L5" s="715" t="s">
        <v>233</v>
      </c>
      <c r="M5" s="854" t="s">
        <v>233</v>
      </c>
      <c r="N5" s="854" t="s">
        <v>233</v>
      </c>
    </row>
    <row r="6" spans="1:14" s="685" customFormat="1">
      <c r="A6" s="740" t="s">
        <v>703</v>
      </c>
      <c r="B6" s="741">
        <f>SUM(B7:B12)</f>
        <v>120</v>
      </c>
      <c r="C6" s="741">
        <f>SUM(C7:C12)</f>
        <v>0</v>
      </c>
      <c r="D6" s="758">
        <f>SUM(D7:D12)</f>
        <v>0</v>
      </c>
      <c r="E6" s="741">
        <f>INDEX(E7:E12,COUNT(E7:E12))</f>
        <v>0</v>
      </c>
      <c r="F6" s="758">
        <f>INDEX(F7:F12,COUNT(F7:F12))</f>
        <v>0</v>
      </c>
      <c r="G6" s="741">
        <f>SUM(G7:G12)</f>
        <v>594249</v>
      </c>
      <c r="H6" s="758">
        <f>SUM(H7:H12)</f>
        <v>12023.42</v>
      </c>
      <c r="I6" s="741">
        <f>INDEX(I7:I12,COUNT(I7:I12))</f>
        <v>50077</v>
      </c>
      <c r="J6" s="758">
        <f>INDEX(J7:J12,COUNT(J7:J12))</f>
        <v>1016.9571999999999</v>
      </c>
      <c r="K6" s="855" t="s">
        <v>233</v>
      </c>
      <c r="L6" s="855" t="s">
        <v>233</v>
      </c>
      <c r="M6" s="856" t="s">
        <v>233</v>
      </c>
      <c r="N6" s="856" t="s">
        <v>233</v>
      </c>
    </row>
    <row r="7" spans="1:14" s="230" customFormat="1">
      <c r="A7" s="744">
        <v>45412</v>
      </c>
      <c r="B7" s="857">
        <v>18</v>
      </c>
      <c r="C7" s="215">
        <v>0</v>
      </c>
      <c r="D7" s="811">
        <v>0</v>
      </c>
      <c r="E7" s="857">
        <v>0</v>
      </c>
      <c r="F7" s="811">
        <v>0</v>
      </c>
      <c r="G7" s="857">
        <v>88690</v>
      </c>
      <c r="H7" s="811">
        <v>1772.13</v>
      </c>
      <c r="I7" s="857">
        <v>39210</v>
      </c>
      <c r="J7" s="811">
        <v>775.52210000000002</v>
      </c>
      <c r="K7" s="715" t="s">
        <v>233</v>
      </c>
      <c r="L7" s="715" t="s">
        <v>233</v>
      </c>
      <c r="M7" s="715" t="s">
        <v>233</v>
      </c>
      <c r="N7" s="715" t="s">
        <v>233</v>
      </c>
    </row>
    <row r="8" spans="1:14" s="230" customFormat="1">
      <c r="A8" s="744">
        <v>45443</v>
      </c>
      <c r="B8" s="857">
        <v>20</v>
      </c>
      <c r="C8" s="857">
        <v>0</v>
      </c>
      <c r="D8" s="811">
        <v>0</v>
      </c>
      <c r="E8" s="857">
        <v>0</v>
      </c>
      <c r="F8" s="811">
        <v>0</v>
      </c>
      <c r="G8" s="857">
        <v>111208</v>
      </c>
      <c r="H8" s="811">
        <v>2238.9899999999998</v>
      </c>
      <c r="I8" s="857">
        <v>39430</v>
      </c>
      <c r="J8" s="811">
        <v>787.33489999999995</v>
      </c>
      <c r="K8" s="715" t="s">
        <v>233</v>
      </c>
      <c r="L8" s="715" t="s">
        <v>233</v>
      </c>
      <c r="M8" s="715" t="s">
        <v>233</v>
      </c>
      <c r="N8" s="715" t="s">
        <v>233</v>
      </c>
    </row>
    <row r="9" spans="1:14" s="230" customFormat="1">
      <c r="A9" s="744">
        <v>45473</v>
      </c>
      <c r="B9" s="216">
        <v>19</v>
      </c>
      <c r="C9" s="857">
        <v>0</v>
      </c>
      <c r="D9" s="811">
        <v>0</v>
      </c>
      <c r="E9" s="857">
        <v>0</v>
      </c>
      <c r="F9" s="811">
        <v>0</v>
      </c>
      <c r="G9" s="857">
        <v>110642</v>
      </c>
      <c r="H9" s="811">
        <v>2231.21</v>
      </c>
      <c r="I9" s="857">
        <v>39728</v>
      </c>
      <c r="J9" s="811">
        <v>793.4221</v>
      </c>
      <c r="K9" s="715" t="s">
        <v>233</v>
      </c>
      <c r="L9" s="715" t="s">
        <v>233</v>
      </c>
      <c r="M9" s="715" t="s">
        <v>233</v>
      </c>
      <c r="N9" s="715" t="s">
        <v>233</v>
      </c>
    </row>
    <row r="10" spans="1:14" s="230" customFormat="1">
      <c r="A10" s="744">
        <v>45504</v>
      </c>
      <c r="B10" s="857">
        <v>22</v>
      </c>
      <c r="C10" s="857">
        <v>0</v>
      </c>
      <c r="D10" s="811">
        <v>0</v>
      </c>
      <c r="E10" s="857">
        <v>0</v>
      </c>
      <c r="F10" s="811">
        <v>0</v>
      </c>
      <c r="G10" s="857">
        <v>88299</v>
      </c>
      <c r="H10" s="811">
        <v>1785.82</v>
      </c>
      <c r="I10" s="857">
        <v>39082</v>
      </c>
      <c r="J10" s="811">
        <v>784.48360000000002</v>
      </c>
      <c r="K10" s="715" t="s">
        <v>233</v>
      </c>
      <c r="L10" s="715" t="s">
        <v>233</v>
      </c>
      <c r="M10" s="715" t="s">
        <v>233</v>
      </c>
      <c r="N10" s="715" t="s">
        <v>233</v>
      </c>
    </row>
    <row r="11" spans="1:14" s="230" customFormat="1">
      <c r="A11" s="744">
        <v>45535</v>
      </c>
      <c r="B11" s="857">
        <v>21</v>
      </c>
      <c r="C11" s="857">
        <v>0</v>
      </c>
      <c r="D11" s="811">
        <v>0</v>
      </c>
      <c r="E11" s="857">
        <v>0</v>
      </c>
      <c r="F11" s="811">
        <v>0</v>
      </c>
      <c r="G11" s="857">
        <v>82866</v>
      </c>
      <c r="H11" s="811">
        <v>1688.45</v>
      </c>
      <c r="I11" s="857">
        <v>39449</v>
      </c>
      <c r="J11" s="811">
        <v>796.39059999999995</v>
      </c>
      <c r="K11" s="715" t="s">
        <v>233</v>
      </c>
      <c r="L11" s="715" t="s">
        <v>233</v>
      </c>
      <c r="M11" s="715" t="s">
        <v>233</v>
      </c>
      <c r="N11" s="715" t="s">
        <v>233</v>
      </c>
    </row>
    <row r="12" spans="1:14" s="230" customFormat="1">
      <c r="A12" s="744">
        <v>45565</v>
      </c>
      <c r="B12" s="857">
        <v>20</v>
      </c>
      <c r="C12" s="857">
        <v>0</v>
      </c>
      <c r="D12" s="811">
        <v>0</v>
      </c>
      <c r="E12" s="857">
        <v>0</v>
      </c>
      <c r="F12" s="811">
        <v>0</v>
      </c>
      <c r="G12" s="857">
        <v>112544</v>
      </c>
      <c r="H12" s="811">
        <v>2306.8200000000002</v>
      </c>
      <c r="I12" s="857">
        <v>50077</v>
      </c>
      <c r="J12" s="811">
        <v>1016.9571999999999</v>
      </c>
      <c r="K12" s="715" t="s">
        <v>233</v>
      </c>
      <c r="L12" s="715" t="s">
        <v>233</v>
      </c>
      <c r="M12" s="715" t="s">
        <v>233</v>
      </c>
      <c r="N12" s="715" t="s">
        <v>233</v>
      </c>
    </row>
    <row r="13" spans="1:14" s="230" customFormat="1">
      <c r="A13" s="727" t="s">
        <v>1373</v>
      </c>
      <c r="B13" s="858"/>
      <c r="C13" s="797"/>
      <c r="D13" s="797"/>
      <c r="E13" s="797"/>
      <c r="F13" s="797"/>
      <c r="G13" s="797"/>
      <c r="H13" s="797"/>
      <c r="I13" s="797"/>
      <c r="J13" s="797"/>
      <c r="K13" s="797"/>
      <c r="L13" s="797"/>
      <c r="M13" s="797"/>
      <c r="N13" s="797"/>
    </row>
    <row r="14" spans="1:14" s="230" customFormat="1" ht="15" customHeight="1">
      <c r="A14" s="1556" t="s">
        <v>579</v>
      </c>
      <c r="B14" s="1556"/>
      <c r="C14" s="1556"/>
      <c r="D14" s="1556"/>
      <c r="E14" s="1556"/>
      <c r="F14" s="1556"/>
      <c r="G14" s="1556"/>
      <c r="H14" s="1556"/>
      <c r="I14" s="1556"/>
      <c r="J14" s="1556"/>
      <c r="K14" s="1556"/>
      <c r="L14" s="1556"/>
      <c r="M14" s="1556"/>
      <c r="N14" s="1556"/>
    </row>
    <row r="15" spans="1:14" s="230" customFormat="1">
      <c r="A15" s="750"/>
      <c r="B15" s="752"/>
      <c r="C15" s="752"/>
      <c r="D15" s="752"/>
      <c r="E15" s="752"/>
      <c r="F15" s="752"/>
      <c r="G15" s="752"/>
      <c r="H15" s="752"/>
      <c r="I15" s="752"/>
      <c r="J15" s="752"/>
      <c r="K15" s="752"/>
      <c r="L15" s="752"/>
      <c r="M15" s="752"/>
      <c r="N15" s="752"/>
    </row>
    <row r="16" spans="1:14">
      <c r="B16" s="752"/>
      <c r="C16" s="752"/>
      <c r="D16" s="752"/>
      <c r="E16" s="752"/>
      <c r="F16" s="752"/>
      <c r="G16" s="752"/>
      <c r="H16" s="752"/>
      <c r="I16" s="752"/>
      <c r="J16" s="752"/>
      <c r="K16" s="752"/>
      <c r="L16" s="752"/>
      <c r="M16" s="752"/>
    </row>
    <row r="18" spans="5:8">
      <c r="E18" s="197"/>
      <c r="F18" s="197"/>
      <c r="G18" s="197"/>
      <c r="H18" s="197"/>
    </row>
    <row r="19" spans="5:8">
      <c r="E19" s="197"/>
      <c r="F19" s="197"/>
      <c r="G19" s="197"/>
      <c r="H19" s="197"/>
    </row>
    <row r="20" spans="5:8">
      <c r="E20" s="197"/>
      <c r="F20" s="197"/>
      <c r="G20" s="197"/>
      <c r="H20" s="197"/>
    </row>
    <row r="21" spans="5:8" ht="23.25" customHeight="1">
      <c r="E21" s="197"/>
      <c r="F21" s="197"/>
      <c r="G21" s="197"/>
      <c r="H21" s="197"/>
    </row>
    <row r="22" spans="5:8">
      <c r="E22" s="197"/>
      <c r="F22" s="197"/>
      <c r="G22" s="197"/>
      <c r="H22" s="197"/>
    </row>
    <row r="23" spans="5:8">
      <c r="E23" s="197"/>
      <c r="F23" s="197"/>
      <c r="G23" s="197"/>
      <c r="H23" s="197"/>
    </row>
  </sheetData>
  <mergeCells count="12">
    <mergeCell ref="A14:N14"/>
    <mergeCell ref="M3:N3"/>
    <mergeCell ref="A2:A4"/>
    <mergeCell ref="B2:B4"/>
    <mergeCell ref="C2:F2"/>
    <mergeCell ref="G2:J2"/>
    <mergeCell ref="K2:N2"/>
    <mergeCell ref="C3:D3"/>
    <mergeCell ref="E3:F3"/>
    <mergeCell ref="G3:H3"/>
    <mergeCell ref="I3:J3"/>
    <mergeCell ref="K3:L3"/>
  </mergeCells>
  <printOptions horizontalCentered="1"/>
  <pageMargins left="0.78431372549019618" right="0.78431372549019618" top="0.98039215686274517" bottom="0.98039215686274517" header="0.50980392156862753" footer="0.50980392156862753"/>
  <pageSetup paperSize="9" scale="67" orientation="landscape" useFirstPageNumber="1" r:id="rId1"/>
  <headerFooter alignWithMargins="0"/>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15"/>
  <sheetViews>
    <sheetView workbookViewId="0"/>
  </sheetViews>
  <sheetFormatPr defaultColWidth="9.140625" defaultRowHeight="15"/>
  <cols>
    <col min="1" max="1" width="14.5703125" style="683" bestFit="1" customWidth="1"/>
    <col min="2" max="2" width="16.5703125" style="683" bestFit="1" customWidth="1"/>
    <col min="3" max="6" width="12.140625" style="683" bestFit="1" customWidth="1"/>
    <col min="7" max="7" width="14.5703125" style="683" customWidth="1"/>
    <col min="8" max="8" width="22.140625" style="683" bestFit="1" customWidth="1"/>
    <col min="9" max="9" width="4.5703125" style="683" bestFit="1" customWidth="1"/>
    <col min="10" max="16384" width="9.140625" style="683"/>
  </cols>
  <sheetData>
    <row r="1" spans="1:9" ht="18" customHeight="1">
      <c r="A1" s="859" t="s">
        <v>580</v>
      </c>
      <c r="B1" s="859"/>
      <c r="C1" s="859"/>
      <c r="D1" s="859"/>
      <c r="E1" s="859"/>
      <c r="F1" s="859"/>
      <c r="G1" s="859"/>
      <c r="H1" s="733"/>
    </row>
    <row r="2" spans="1:9" s="230" customFormat="1" ht="18" customHeight="1">
      <c r="A2" s="1552" t="s">
        <v>141</v>
      </c>
      <c r="B2" s="1547" t="s">
        <v>73</v>
      </c>
      <c r="C2" s="1546"/>
      <c r="D2" s="1547" t="s">
        <v>74</v>
      </c>
      <c r="E2" s="1546"/>
      <c r="F2" s="1547" t="s">
        <v>75</v>
      </c>
      <c r="G2" s="1546"/>
    </row>
    <row r="3" spans="1:9" s="230" customFormat="1" ht="43.5" customHeight="1">
      <c r="A3" s="1464"/>
      <c r="B3" s="755" t="s">
        <v>513</v>
      </c>
      <c r="C3" s="774" t="s">
        <v>581</v>
      </c>
      <c r="D3" s="755" t="s">
        <v>513</v>
      </c>
      <c r="E3" s="774" t="s">
        <v>581</v>
      </c>
      <c r="F3" s="774" t="s">
        <v>582</v>
      </c>
      <c r="G3" s="774" t="s">
        <v>581</v>
      </c>
    </row>
    <row r="4" spans="1:9" s="685" customFormat="1" ht="18" customHeight="1">
      <c r="A4" s="764" t="s">
        <v>505</v>
      </c>
      <c r="B4" s="805">
        <v>135.67188899999996</v>
      </c>
      <c r="C4" s="805">
        <v>2.0217879999999999</v>
      </c>
      <c r="D4" s="805">
        <v>388.70098350000001</v>
      </c>
      <c r="E4" s="805">
        <v>5.0480749399999993</v>
      </c>
      <c r="F4" s="805">
        <v>0</v>
      </c>
      <c r="G4" s="805">
        <v>0</v>
      </c>
    </row>
    <row r="5" spans="1:9" s="685" customFormat="1" ht="18" customHeight="1">
      <c r="A5" s="740" t="s">
        <v>703</v>
      </c>
      <c r="B5" s="758">
        <f t="shared" ref="B5:G5" si="0">SUM(B6:B11)</f>
        <v>60.690652999999998</v>
      </c>
      <c r="C5" s="758">
        <f t="shared" si="0"/>
        <v>11.25211</v>
      </c>
      <c r="D5" s="758">
        <f t="shared" si="0"/>
        <v>81.687603499999994</v>
      </c>
      <c r="E5" s="758">
        <f t="shared" si="0"/>
        <v>1.2017094400000001</v>
      </c>
      <c r="F5" s="758">
        <f t="shared" si="0"/>
        <v>0</v>
      </c>
      <c r="G5" s="758">
        <f t="shared" si="0"/>
        <v>0</v>
      </c>
      <c r="H5" s="860"/>
      <c r="I5" s="860"/>
    </row>
    <row r="6" spans="1:9" s="230" customFormat="1" ht="18" customHeight="1">
      <c r="A6" s="744">
        <v>45412</v>
      </c>
      <c r="B6" s="811">
        <v>0.51230799999999999</v>
      </c>
      <c r="C6" s="811">
        <v>0</v>
      </c>
      <c r="D6" s="811">
        <v>16.1061415</v>
      </c>
      <c r="E6" s="811">
        <v>9.5859180000000002E-2</v>
      </c>
      <c r="F6" s="811">
        <v>0</v>
      </c>
      <c r="G6" s="811">
        <v>0</v>
      </c>
    </row>
    <row r="7" spans="1:9" s="230" customFormat="1" ht="18" customHeight="1">
      <c r="A7" s="744">
        <v>45443</v>
      </c>
      <c r="B7" s="811">
        <v>2.0300880000000001</v>
      </c>
      <c r="C7" s="811">
        <v>0</v>
      </c>
      <c r="D7" s="811">
        <v>18.2131945</v>
      </c>
      <c r="E7" s="811">
        <v>2.4916799999999999E-2</v>
      </c>
      <c r="F7" s="811">
        <v>0</v>
      </c>
      <c r="G7" s="811">
        <v>0</v>
      </c>
    </row>
    <row r="8" spans="1:9" s="230" customFormat="1" ht="18" customHeight="1">
      <c r="A8" s="744">
        <v>45473</v>
      </c>
      <c r="B8" s="811">
        <v>10.538827</v>
      </c>
      <c r="C8" s="811">
        <v>1.6324999999999999E-2</v>
      </c>
      <c r="D8" s="811">
        <v>19.767966000000001</v>
      </c>
      <c r="E8" s="811">
        <v>1.985234E-2</v>
      </c>
      <c r="F8" s="811">
        <v>0</v>
      </c>
      <c r="G8" s="811">
        <v>0</v>
      </c>
    </row>
    <row r="9" spans="1:9" s="230" customFormat="1" ht="18" customHeight="1">
      <c r="A9" s="744">
        <v>45504</v>
      </c>
      <c r="B9" s="811">
        <v>4.0770999999999997</v>
      </c>
      <c r="C9" s="811">
        <v>1.4985000000000002E-2</v>
      </c>
      <c r="D9" s="811">
        <v>8.4165655000000008</v>
      </c>
      <c r="E9" s="811">
        <v>0.15745086</v>
      </c>
      <c r="F9" s="811">
        <v>0</v>
      </c>
      <c r="G9" s="811">
        <v>0</v>
      </c>
    </row>
    <row r="10" spans="1:9" s="230" customFormat="1" ht="18" customHeight="1">
      <c r="A10" s="744">
        <v>45535</v>
      </c>
      <c r="B10" s="811">
        <v>4.4723300000000004</v>
      </c>
      <c r="C10" s="811">
        <v>0.11080000000000001</v>
      </c>
      <c r="D10" s="811">
        <v>8.7233540000000005</v>
      </c>
      <c r="E10" s="811">
        <v>0.16312088</v>
      </c>
      <c r="F10" s="811">
        <v>0</v>
      </c>
      <c r="G10" s="811">
        <v>0</v>
      </c>
    </row>
    <row r="11" spans="1:9" s="230" customFormat="1" ht="19.5" customHeight="1">
      <c r="A11" s="744">
        <v>45565</v>
      </c>
      <c r="B11" s="811">
        <v>39.06</v>
      </c>
      <c r="C11" s="811">
        <v>11.11</v>
      </c>
      <c r="D11" s="811">
        <v>10.460381999999999</v>
      </c>
      <c r="E11" s="811">
        <v>0.74050937999999999</v>
      </c>
      <c r="F11" s="811">
        <v>0</v>
      </c>
      <c r="G11" s="811">
        <v>0</v>
      </c>
    </row>
    <row r="12" spans="1:9" s="230" customFormat="1" ht="18" customHeight="1">
      <c r="A12" s="727" t="s">
        <v>1373</v>
      </c>
      <c r="B12" s="826"/>
      <c r="C12" s="826"/>
      <c r="D12" s="826"/>
      <c r="E12" s="826"/>
      <c r="F12" s="861"/>
      <c r="G12" s="861"/>
    </row>
    <row r="13" spans="1:9" s="230" customFormat="1">
      <c r="A13" s="1510" t="s">
        <v>583</v>
      </c>
      <c r="B13" s="1510"/>
      <c r="C13" s="1510"/>
      <c r="D13" s="1510"/>
      <c r="E13" s="1510"/>
      <c r="F13" s="1510"/>
      <c r="G13" s="1510"/>
    </row>
    <row r="14" spans="1:9" s="230" customFormat="1">
      <c r="A14" s="750"/>
      <c r="B14" s="827"/>
      <c r="C14" s="827"/>
      <c r="D14" s="827"/>
      <c r="E14" s="827"/>
      <c r="F14" s="827"/>
      <c r="G14" s="827"/>
    </row>
    <row r="15" spans="1:9">
      <c r="B15" s="827"/>
      <c r="C15" s="827"/>
      <c r="D15" s="827"/>
      <c r="E15" s="827"/>
      <c r="F15" s="827"/>
      <c r="G15" s="827"/>
    </row>
  </sheetData>
  <mergeCells count="5">
    <mergeCell ref="A2:A3"/>
    <mergeCell ref="B2:C2"/>
    <mergeCell ref="D2:E2"/>
    <mergeCell ref="F2:G2"/>
    <mergeCell ref="A13:G13"/>
  </mergeCells>
  <printOptions horizontalCentered="1"/>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6"/>
  <sheetViews>
    <sheetView workbookViewId="0">
      <selection sqref="A1:F1"/>
    </sheetView>
  </sheetViews>
  <sheetFormatPr defaultRowHeight="15"/>
  <cols>
    <col min="1" max="1" width="14.42578125" style="241" bestFit="1" customWidth="1"/>
    <col min="2" max="3" width="16.28515625" style="241" bestFit="1" customWidth="1"/>
    <col min="4" max="4" width="15.85546875" style="241" bestFit="1" customWidth="1"/>
    <col min="5" max="5" width="16.28515625" style="241" customWidth="1"/>
    <col min="6" max="6" width="21.42578125" style="241" customWidth="1"/>
    <col min="7" max="7" width="9.140625" style="241"/>
    <col min="8" max="8" width="9.7109375" style="241" bestFit="1" customWidth="1"/>
    <col min="9" max="9" width="9.85546875" style="241" customWidth="1"/>
    <col min="10" max="16384" width="9.140625" style="241"/>
  </cols>
  <sheetData>
    <row r="1" spans="1:9" s="323" customFormat="1" ht="15" customHeight="1">
      <c r="A1" s="1584" t="s">
        <v>49</v>
      </c>
      <c r="B1" s="1584"/>
      <c r="C1" s="1584"/>
      <c r="D1" s="1584"/>
      <c r="E1" s="1584"/>
      <c r="F1" s="1584"/>
    </row>
    <row r="2" spans="1:9" ht="45">
      <c r="A2" s="862" t="s">
        <v>115</v>
      </c>
      <c r="B2" s="862" t="s">
        <v>819</v>
      </c>
      <c r="C2" s="862" t="s">
        <v>820</v>
      </c>
      <c r="D2" s="862" t="s">
        <v>821</v>
      </c>
      <c r="E2" s="862" t="s">
        <v>822</v>
      </c>
      <c r="F2" s="862" t="s">
        <v>823</v>
      </c>
    </row>
    <row r="3" spans="1:9">
      <c r="A3" s="764" t="s">
        <v>505</v>
      </c>
      <c r="B3" s="863">
        <v>3617496.66</v>
      </c>
      <c r="C3" s="863">
        <v>3278432.04</v>
      </c>
      <c r="D3" s="863">
        <v>339064.62</v>
      </c>
      <c r="E3" s="863">
        <v>41044.090000000004</v>
      </c>
      <c r="F3" s="863">
        <v>300808.43000000005</v>
      </c>
      <c r="G3" s="864"/>
      <c r="H3" s="865"/>
    </row>
    <row r="4" spans="1:9">
      <c r="A4" s="740" t="s">
        <v>703</v>
      </c>
      <c r="B4" s="866">
        <f>SUM(B5:B10)</f>
        <v>2681585.2199999997</v>
      </c>
      <c r="C4" s="866">
        <f>SUM(C5:C10)</f>
        <v>2501171.7000000002</v>
      </c>
      <c r="D4" s="866">
        <f>SUM(D5:D10)</f>
        <v>180413.52000000002</v>
      </c>
      <c r="E4" s="866">
        <f>SUM(E5:E10)</f>
        <v>21562.989999999998</v>
      </c>
      <c r="F4" s="866">
        <f>F3+E4</f>
        <v>322371.42000000004</v>
      </c>
      <c r="G4" s="864"/>
      <c r="H4" s="865"/>
      <c r="I4" s="864"/>
    </row>
    <row r="5" spans="1:9">
      <c r="A5" s="867">
        <v>45412</v>
      </c>
      <c r="B5" s="868">
        <v>360879.1</v>
      </c>
      <c r="C5" s="868">
        <v>377139.12</v>
      </c>
      <c r="D5" s="868">
        <v>-16260.02</v>
      </c>
      <c r="E5" s="868">
        <v>-1944.68</v>
      </c>
      <c r="F5" s="868">
        <f>F3+E5</f>
        <v>298863.75000000006</v>
      </c>
      <c r="G5" s="864"/>
      <c r="H5" s="865"/>
    </row>
    <row r="6" spans="1:9">
      <c r="A6" s="867">
        <v>45443</v>
      </c>
      <c r="B6" s="868">
        <v>371456.14</v>
      </c>
      <c r="C6" s="868">
        <v>384367</v>
      </c>
      <c r="D6" s="868">
        <v>-12910.86</v>
      </c>
      <c r="E6" s="868">
        <v>-1540.86</v>
      </c>
      <c r="F6" s="868">
        <f>F5+E6</f>
        <v>297322.89000000007</v>
      </c>
      <c r="G6" s="864"/>
      <c r="H6" s="865"/>
      <c r="I6" s="864"/>
    </row>
    <row r="7" spans="1:9" ht="15" customHeight="1">
      <c r="A7" s="867">
        <v>45473</v>
      </c>
      <c r="B7" s="868">
        <v>535577.62000000011</v>
      </c>
      <c r="C7" s="868">
        <v>493820.18</v>
      </c>
      <c r="D7" s="868">
        <v>41757.440000000002</v>
      </c>
      <c r="E7" s="868">
        <v>5007.1799999999994</v>
      </c>
      <c r="F7" s="868">
        <f>F6+E7</f>
        <v>302330.07000000007</v>
      </c>
      <c r="G7" s="864"/>
      <c r="H7" s="865"/>
    </row>
    <row r="8" spans="1:9">
      <c r="A8" s="867">
        <v>45504</v>
      </c>
      <c r="B8" s="868">
        <v>436258.05</v>
      </c>
      <c r="C8" s="868">
        <v>387462.01</v>
      </c>
      <c r="D8" s="868">
        <v>48796.04</v>
      </c>
      <c r="E8" s="868">
        <v>5839.71</v>
      </c>
      <c r="F8" s="868">
        <f>F7+E8</f>
        <v>308169.78000000009</v>
      </c>
      <c r="G8" s="864"/>
    </row>
    <row r="9" spans="1:9">
      <c r="A9" s="867">
        <v>45535</v>
      </c>
      <c r="B9" s="868">
        <v>413096.57</v>
      </c>
      <c r="C9" s="868">
        <v>387603.28</v>
      </c>
      <c r="D9" s="868">
        <v>25493.29</v>
      </c>
      <c r="E9" s="868">
        <v>3039.45</v>
      </c>
      <c r="F9" s="868">
        <f>F8+E9</f>
        <v>311209.2300000001</v>
      </c>
      <c r="G9" s="864"/>
    </row>
    <row r="10" spans="1:9">
      <c r="A10" s="867">
        <v>45565</v>
      </c>
      <c r="B10" s="868">
        <v>564317.74</v>
      </c>
      <c r="C10" s="868">
        <v>470780.11</v>
      </c>
      <c r="D10" s="868">
        <v>93537.63</v>
      </c>
      <c r="E10" s="868">
        <v>11162.19</v>
      </c>
      <c r="F10" s="868">
        <f>F9+E10</f>
        <v>322371.4200000001</v>
      </c>
      <c r="G10" s="864"/>
    </row>
    <row r="11" spans="1:9">
      <c r="A11" s="727" t="s">
        <v>1373</v>
      </c>
      <c r="B11" s="869"/>
      <c r="C11" s="332"/>
      <c r="D11" s="332"/>
      <c r="E11" s="332"/>
      <c r="F11" s="870"/>
    </row>
    <row r="12" spans="1:9" ht="15" customHeight="1">
      <c r="A12" s="1585" t="s">
        <v>824</v>
      </c>
      <c r="B12" s="1585"/>
      <c r="C12" s="1585"/>
      <c r="D12" s="1585"/>
      <c r="E12" s="1585"/>
      <c r="F12" s="1585"/>
    </row>
    <row r="13" spans="1:9">
      <c r="B13" s="871"/>
      <c r="C13" s="871"/>
      <c r="D13" s="871"/>
      <c r="E13" s="871"/>
      <c r="F13" s="871"/>
    </row>
    <row r="16" spans="1:9" s="872" customFormat="1" ht="11.25">
      <c r="B16" s="873"/>
      <c r="C16" s="873"/>
      <c r="D16" s="873"/>
      <c r="E16" s="873"/>
    </row>
  </sheetData>
  <mergeCells count="2">
    <mergeCell ref="A1:F1"/>
    <mergeCell ref="A12:F12"/>
  </mergeCells>
  <printOptions horizontalCentered="1"/>
  <pageMargins left="0.7" right="0.7" top="0.75" bottom="0.75" header="0.3" footer="0.3"/>
  <pageSetup paperSize="9" orientation="landscape"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18"/>
  <sheetViews>
    <sheetView workbookViewId="0">
      <selection sqref="A1:F1"/>
    </sheetView>
  </sheetViews>
  <sheetFormatPr defaultRowHeight="15"/>
  <cols>
    <col min="1" max="1" width="14.42578125" style="875" bestFit="1" customWidth="1"/>
    <col min="2" max="2" width="31.140625" style="875" customWidth="1"/>
    <col min="3" max="3" width="30.28515625" style="875" customWidth="1"/>
    <col min="4" max="4" width="23.85546875" style="875" customWidth="1"/>
    <col min="5" max="5" width="40.7109375" style="875" customWidth="1"/>
    <col min="6" max="6" width="40.85546875" style="875" customWidth="1"/>
    <col min="7" max="16384" width="9.140625" style="875"/>
  </cols>
  <sheetData>
    <row r="1" spans="1:11" s="325" customFormat="1" ht="15" customHeight="1">
      <c r="A1" s="1584" t="s">
        <v>825</v>
      </c>
      <c r="B1" s="1584"/>
      <c r="C1" s="1584"/>
      <c r="D1" s="1584"/>
      <c r="E1" s="1584"/>
      <c r="F1" s="1584"/>
      <c r="G1" s="324"/>
      <c r="H1" s="324"/>
      <c r="I1" s="324"/>
      <c r="J1" s="324"/>
      <c r="K1" s="324"/>
    </row>
    <row r="2" spans="1:11" ht="60">
      <c r="A2" s="874" t="s">
        <v>115</v>
      </c>
      <c r="B2" s="874" t="s">
        <v>826</v>
      </c>
      <c r="C2" s="874" t="s">
        <v>827</v>
      </c>
      <c r="D2" s="874" t="s">
        <v>828</v>
      </c>
      <c r="E2" s="874" t="s">
        <v>829</v>
      </c>
      <c r="F2" s="862" t="s">
        <v>830</v>
      </c>
    </row>
    <row r="3" spans="1:11">
      <c r="A3" s="876" t="s">
        <v>505</v>
      </c>
      <c r="B3" s="877">
        <v>149119.91718537293</v>
      </c>
      <c r="C3" s="877">
        <v>149119.91718537293</v>
      </c>
      <c r="D3" s="877">
        <v>6953988</v>
      </c>
      <c r="E3" s="878">
        <v>2.1443798462892505</v>
      </c>
      <c r="F3" s="878">
        <v>2.1443798462892505</v>
      </c>
    </row>
    <row r="4" spans="1:11">
      <c r="A4" s="879" t="s">
        <v>703</v>
      </c>
      <c r="B4" s="158">
        <f>INDEX(B5:B8,COUNT(B5:B8))</f>
        <v>158429</v>
      </c>
      <c r="C4" s="158">
        <f>INDEX(C5:C8,COUNT(C5:C8))</f>
        <v>158429</v>
      </c>
      <c r="D4" s="158">
        <f>INDEX(D5:D8,COUNT(D5:D8))</f>
        <v>8038982</v>
      </c>
      <c r="E4" s="326">
        <f>INDEX(E5:E8,COUNT(E5:E8))</f>
        <v>1.970759481735374</v>
      </c>
      <c r="F4" s="326">
        <f>INDEX(F5:F8,COUNT(F5:F8))</f>
        <v>1.970759481735374</v>
      </c>
    </row>
    <row r="5" spans="1:11">
      <c r="A5" s="744">
        <v>45412</v>
      </c>
      <c r="B5" s="880">
        <v>156651</v>
      </c>
      <c r="C5" s="880">
        <v>156651</v>
      </c>
      <c r="D5" s="880">
        <v>7155782</v>
      </c>
      <c r="E5" s="664">
        <f>B5/$D5*100</f>
        <v>2.1891527718424069</v>
      </c>
      <c r="F5" s="664">
        <f>C5/$D5*100</f>
        <v>2.1891527718424069</v>
      </c>
    </row>
    <row r="6" spans="1:11">
      <c r="A6" s="744">
        <v>45443</v>
      </c>
      <c r="B6" s="880">
        <v>134149</v>
      </c>
      <c r="C6" s="880">
        <v>134149</v>
      </c>
      <c r="D6" s="880">
        <v>7187455</v>
      </c>
      <c r="E6" s="664">
        <f t="shared" ref="E6:F8" si="0">B6/$D6*100</f>
        <v>1.8664325550559968</v>
      </c>
      <c r="F6" s="664">
        <f t="shared" si="0"/>
        <v>1.8664325550559968</v>
      </c>
    </row>
    <row r="7" spans="1:11">
      <c r="A7" s="744">
        <v>45473</v>
      </c>
      <c r="B7" s="880">
        <v>155222</v>
      </c>
      <c r="C7" s="880">
        <v>155222</v>
      </c>
      <c r="D7" s="880">
        <v>7708848</v>
      </c>
      <c r="E7" s="664">
        <f t="shared" si="0"/>
        <v>2.013556370549789</v>
      </c>
      <c r="F7" s="664">
        <f t="shared" si="0"/>
        <v>2.013556370549789</v>
      </c>
    </row>
    <row r="8" spans="1:11">
      <c r="A8" s="744">
        <v>45504</v>
      </c>
      <c r="B8" s="880">
        <v>158429</v>
      </c>
      <c r="C8" s="880">
        <v>158429</v>
      </c>
      <c r="D8" s="880">
        <v>8038982</v>
      </c>
      <c r="E8" s="664">
        <f t="shared" si="0"/>
        <v>1.970759481735374</v>
      </c>
      <c r="F8" s="664">
        <f t="shared" si="0"/>
        <v>1.970759481735374</v>
      </c>
    </row>
    <row r="9" spans="1:11" s="241" customFormat="1" ht="15" customHeight="1">
      <c r="A9" s="727" t="s">
        <v>1446</v>
      </c>
      <c r="B9" s="881"/>
      <c r="C9" s="881"/>
      <c r="D9" s="881"/>
      <c r="E9" s="881"/>
      <c r="F9" s="881"/>
    </row>
    <row r="10" spans="1:11" ht="15" customHeight="1">
      <c r="A10" s="1586" t="s">
        <v>831</v>
      </c>
      <c r="B10" s="1586"/>
      <c r="C10" s="1586"/>
      <c r="D10" s="1586"/>
      <c r="E10" s="1586"/>
      <c r="F10" s="1586"/>
    </row>
    <row r="11" spans="1:11">
      <c r="A11" s="1587" t="s">
        <v>832</v>
      </c>
      <c r="B11" s="1587"/>
      <c r="C11" s="1587"/>
      <c r="D11" s="1587"/>
      <c r="E11" s="1587"/>
      <c r="F11" s="1587"/>
    </row>
    <row r="18" ht="53.25" customHeight="1"/>
  </sheetData>
  <mergeCells count="3">
    <mergeCell ref="A1:F1"/>
    <mergeCell ref="A10:F10"/>
    <mergeCell ref="A11:F11"/>
  </mergeCells>
  <printOptions horizontalCentered="1"/>
  <pageMargins left="0.7" right="0.7" top="0.75" bottom="0.75" header="0.3" footer="0.3"/>
  <pageSetup paperSize="9" scale="98" fitToHeight="0" orientation="landscape"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16"/>
  <sheetViews>
    <sheetView workbookViewId="0">
      <selection sqref="A1:Z1"/>
    </sheetView>
  </sheetViews>
  <sheetFormatPr defaultColWidth="9.140625" defaultRowHeight="15"/>
  <cols>
    <col min="1" max="1" width="11.140625" style="197" bestFit="1" customWidth="1"/>
    <col min="2" max="2" width="12.85546875" style="197" customWidth="1"/>
    <col min="3" max="3" width="16.42578125" style="197" bestFit="1" customWidth="1"/>
    <col min="4" max="4" width="8.42578125" style="197" bestFit="1" customWidth="1"/>
    <col min="5" max="5" width="15.140625" style="197" bestFit="1" customWidth="1"/>
    <col min="6" max="6" width="11.7109375" style="197" bestFit="1" customWidth="1"/>
    <col min="7" max="7" width="16.42578125" style="197" bestFit="1" customWidth="1"/>
    <col min="8" max="8" width="9.7109375" style="197" bestFit="1" customWidth="1"/>
    <col min="9" max="9" width="13" style="197" bestFit="1" customWidth="1"/>
    <col min="10" max="10" width="8.42578125" style="197" bestFit="1" customWidth="1"/>
    <col min="11" max="11" width="9.85546875" style="197" customWidth="1"/>
    <col min="12" max="14" width="11.7109375" style="197" bestFit="1" customWidth="1"/>
    <col min="15" max="15" width="14.5703125" style="197" customWidth="1"/>
    <col min="16" max="16" width="11.7109375" style="197" bestFit="1" customWidth="1"/>
    <col min="17" max="17" width="15.140625" style="197" bestFit="1" customWidth="1"/>
    <col min="18" max="18" width="8.42578125" style="197" bestFit="1" customWidth="1"/>
    <col min="19" max="19" width="15.140625" style="197" bestFit="1" customWidth="1"/>
    <col min="20" max="20" width="9.7109375" style="197" bestFit="1" customWidth="1"/>
    <col min="21" max="21" width="16.42578125" style="197" bestFit="1" customWidth="1"/>
    <col min="22" max="22" width="9.7109375" style="197" bestFit="1" customWidth="1"/>
    <col min="23" max="23" width="16.28515625" style="197" bestFit="1" customWidth="1"/>
    <col min="24" max="24" width="8.42578125" style="197" bestFit="1" customWidth="1"/>
    <col min="25" max="25" width="13" style="197" bestFit="1" customWidth="1"/>
    <col min="26" max="26" width="12.85546875" style="197" customWidth="1"/>
    <col min="27" max="27" width="16.42578125" style="327" bestFit="1" customWidth="1"/>
    <col min="28" max="28" width="13" style="327" bestFit="1" customWidth="1"/>
    <col min="29" max="29" width="14.140625" style="327" customWidth="1"/>
    <col min="30" max="30" width="4.5703125" style="327" bestFit="1" customWidth="1"/>
    <col min="31" max="31" width="10" style="327" bestFit="1" customWidth="1"/>
    <col min="32" max="16384" width="9.140625" style="327"/>
  </cols>
  <sheetData>
    <row r="1" spans="1:31" ht="15" customHeight="1">
      <c r="A1" s="1591" t="s">
        <v>51</v>
      </c>
      <c r="B1" s="1592"/>
      <c r="C1" s="1592"/>
      <c r="D1" s="1592"/>
      <c r="E1" s="1592"/>
      <c r="F1" s="1592"/>
      <c r="G1" s="1592"/>
      <c r="H1" s="1592"/>
      <c r="I1" s="1592"/>
      <c r="J1" s="1592"/>
      <c r="K1" s="1592"/>
      <c r="L1" s="1592"/>
      <c r="M1" s="1592"/>
      <c r="N1" s="1592"/>
      <c r="O1" s="1592"/>
      <c r="P1" s="1592"/>
      <c r="Q1" s="1592"/>
      <c r="R1" s="1592"/>
      <c r="S1" s="1592"/>
      <c r="T1" s="1592"/>
      <c r="U1" s="1592"/>
      <c r="V1" s="1592"/>
      <c r="W1" s="1592"/>
      <c r="X1" s="1592"/>
      <c r="Y1" s="1592"/>
      <c r="Z1" s="1592"/>
    </row>
    <row r="2" spans="1:31" s="882" customFormat="1" ht="60" customHeight="1">
      <c r="A2" s="1593" t="s">
        <v>833</v>
      </c>
      <c r="B2" s="1593" t="s">
        <v>834</v>
      </c>
      <c r="C2" s="1594"/>
      <c r="D2" s="1595" t="s">
        <v>835</v>
      </c>
      <c r="E2" s="1595"/>
      <c r="F2" s="1595" t="s">
        <v>836</v>
      </c>
      <c r="G2" s="1595"/>
      <c r="H2" s="1595" t="s">
        <v>837</v>
      </c>
      <c r="I2" s="1595"/>
      <c r="J2" s="1593" t="s">
        <v>838</v>
      </c>
      <c r="K2" s="1594"/>
      <c r="L2" s="1593" t="s">
        <v>839</v>
      </c>
      <c r="M2" s="1594"/>
      <c r="N2" s="1595" t="s">
        <v>80</v>
      </c>
      <c r="O2" s="1595"/>
      <c r="P2" s="1593" t="s">
        <v>840</v>
      </c>
      <c r="Q2" s="1594"/>
      <c r="R2" s="1593" t="s">
        <v>294</v>
      </c>
      <c r="S2" s="1594"/>
      <c r="T2" s="1595" t="s">
        <v>841</v>
      </c>
      <c r="U2" s="1595"/>
      <c r="V2" s="1596" t="s">
        <v>842</v>
      </c>
      <c r="W2" s="1597"/>
      <c r="X2" s="1598" t="s">
        <v>843</v>
      </c>
      <c r="Y2" s="1597"/>
      <c r="Z2" s="1589" t="s">
        <v>290</v>
      </c>
      <c r="AA2" s="1590"/>
      <c r="AB2" s="1589" t="s">
        <v>96</v>
      </c>
      <c r="AC2" s="1590"/>
    </row>
    <row r="3" spans="1:31" s="882" customFormat="1" ht="30">
      <c r="A3" s="1593"/>
      <c r="B3" s="883" t="s">
        <v>844</v>
      </c>
      <c r="C3" s="883" t="s">
        <v>1249</v>
      </c>
      <c r="D3" s="883" t="s">
        <v>844</v>
      </c>
      <c r="E3" s="883" t="s">
        <v>1365</v>
      </c>
      <c r="F3" s="883" t="s">
        <v>844</v>
      </c>
      <c r="G3" s="883" t="s">
        <v>1249</v>
      </c>
      <c r="H3" s="883" t="s">
        <v>844</v>
      </c>
      <c r="I3" s="883" t="s">
        <v>1249</v>
      </c>
      <c r="J3" s="883" t="s">
        <v>844</v>
      </c>
      <c r="K3" s="884" t="s">
        <v>1249</v>
      </c>
      <c r="L3" s="883" t="s">
        <v>844</v>
      </c>
      <c r="M3" s="883" t="s">
        <v>1249</v>
      </c>
      <c r="N3" s="883" t="s">
        <v>844</v>
      </c>
      <c r="O3" s="883" t="s">
        <v>1249</v>
      </c>
      <c r="P3" s="883" t="s">
        <v>844</v>
      </c>
      <c r="Q3" s="883" t="s">
        <v>1249</v>
      </c>
      <c r="R3" s="883" t="s">
        <v>844</v>
      </c>
      <c r="S3" s="883" t="s">
        <v>1249</v>
      </c>
      <c r="T3" s="883" t="s">
        <v>844</v>
      </c>
      <c r="U3" s="883" t="s">
        <v>1249</v>
      </c>
      <c r="V3" s="883" t="s">
        <v>844</v>
      </c>
      <c r="W3" s="883" t="s">
        <v>1249</v>
      </c>
      <c r="X3" s="883" t="s">
        <v>844</v>
      </c>
      <c r="Y3" s="883" t="s">
        <v>1249</v>
      </c>
      <c r="Z3" s="883" t="s">
        <v>844</v>
      </c>
      <c r="AA3" s="883" t="s">
        <v>1249</v>
      </c>
      <c r="AB3" s="883" t="s">
        <v>844</v>
      </c>
      <c r="AC3" s="883" t="s">
        <v>1249</v>
      </c>
    </row>
    <row r="4" spans="1:31" s="328" customFormat="1">
      <c r="A4" s="764" t="s">
        <v>505</v>
      </c>
      <c r="B4" s="885">
        <v>11365</v>
      </c>
      <c r="C4" s="886">
        <v>6953987.6900000004</v>
      </c>
      <c r="D4" s="885">
        <v>9</v>
      </c>
      <c r="E4" s="886">
        <v>526941.28</v>
      </c>
      <c r="F4" s="885">
        <v>3382</v>
      </c>
      <c r="G4" s="886">
        <v>2723152.54</v>
      </c>
      <c r="H4" s="885">
        <v>234</v>
      </c>
      <c r="I4" s="886">
        <v>40878.49</v>
      </c>
      <c r="J4" s="885">
        <v>23</v>
      </c>
      <c r="K4" s="887">
        <v>627.4</v>
      </c>
      <c r="L4" s="885">
        <v>2071</v>
      </c>
      <c r="M4" s="886">
        <v>6760.93</v>
      </c>
      <c r="N4" s="885">
        <v>1563</v>
      </c>
      <c r="O4" s="886">
        <v>4702435.43</v>
      </c>
      <c r="P4" s="885">
        <v>1677</v>
      </c>
      <c r="Q4" s="886">
        <v>315572.77</v>
      </c>
      <c r="R4" s="885">
        <v>88</v>
      </c>
      <c r="S4" s="886">
        <v>786385.51</v>
      </c>
      <c r="T4" s="885">
        <v>811</v>
      </c>
      <c r="U4" s="886">
        <v>3691165.73</v>
      </c>
      <c r="V4" s="885">
        <v>141</v>
      </c>
      <c r="W4" s="886">
        <v>1149735.92</v>
      </c>
      <c r="X4" s="885">
        <v>21</v>
      </c>
      <c r="Y4" s="886">
        <v>47547.05</v>
      </c>
      <c r="Z4" s="885">
        <v>63193</v>
      </c>
      <c r="AA4" s="886">
        <v>2284017.4500000002</v>
      </c>
      <c r="AB4" s="885">
        <v>84578</v>
      </c>
      <c r="AC4" s="886">
        <v>23229208.190000001</v>
      </c>
      <c r="AE4" s="329"/>
    </row>
    <row r="5" spans="1:31" s="328" customFormat="1">
      <c r="A5" s="740" t="s">
        <v>703</v>
      </c>
      <c r="B5" s="330">
        <f t="shared" ref="B5:AC5" si="0">INDEX(B6:B11,COUNT(B6:B11))</f>
        <v>11829</v>
      </c>
      <c r="C5" s="888">
        <f t="shared" si="0"/>
        <v>8197956.7800000003</v>
      </c>
      <c r="D5" s="330">
        <f t="shared" si="0"/>
        <v>10</v>
      </c>
      <c r="E5" s="888">
        <f t="shared" si="0"/>
        <v>599893.01</v>
      </c>
      <c r="F5" s="330">
        <f t="shared" si="0"/>
        <v>3743</v>
      </c>
      <c r="G5" s="888">
        <f t="shared" si="0"/>
        <v>3162671.57</v>
      </c>
      <c r="H5" s="330">
        <f t="shared" si="0"/>
        <v>235</v>
      </c>
      <c r="I5" s="888">
        <f t="shared" si="0"/>
        <v>45294.34</v>
      </c>
      <c r="J5" s="330">
        <f t="shared" si="0"/>
        <v>22</v>
      </c>
      <c r="K5" s="888">
        <f t="shared" si="0"/>
        <v>910.76</v>
      </c>
      <c r="L5" s="330">
        <f t="shared" si="0"/>
        <v>2876</v>
      </c>
      <c r="M5" s="888">
        <f t="shared" si="0"/>
        <v>13257.78</v>
      </c>
      <c r="N5" s="330">
        <f t="shared" si="0"/>
        <v>1653</v>
      </c>
      <c r="O5" s="888">
        <f t="shared" si="0"/>
        <v>5801097.3600000003</v>
      </c>
      <c r="P5" s="330">
        <f t="shared" si="0"/>
        <v>2383</v>
      </c>
      <c r="Q5" s="888">
        <f t="shared" si="0"/>
        <v>315979.57</v>
      </c>
      <c r="R5" s="330">
        <f t="shared" si="0"/>
        <v>90</v>
      </c>
      <c r="S5" s="888">
        <f t="shared" si="0"/>
        <v>856964.79</v>
      </c>
      <c r="T5" s="330">
        <f t="shared" si="0"/>
        <v>834</v>
      </c>
      <c r="U5" s="888">
        <f t="shared" si="0"/>
        <v>4087565.89</v>
      </c>
      <c r="V5" s="330">
        <f t="shared" si="0"/>
        <v>141</v>
      </c>
      <c r="W5" s="888">
        <f t="shared" si="0"/>
        <v>1074924.02</v>
      </c>
      <c r="X5" s="330">
        <f t="shared" si="0"/>
        <v>21</v>
      </c>
      <c r="Y5" s="888">
        <f t="shared" si="0"/>
        <v>56929.03</v>
      </c>
      <c r="Z5" s="330">
        <f t="shared" si="0"/>
        <v>90211</v>
      </c>
      <c r="AA5" s="888">
        <f t="shared" si="0"/>
        <v>2047841.5</v>
      </c>
      <c r="AB5" s="331">
        <f t="shared" si="0"/>
        <v>114048</v>
      </c>
      <c r="AC5" s="889">
        <f t="shared" si="0"/>
        <v>26261286.399999999</v>
      </c>
      <c r="AE5" s="329"/>
    </row>
    <row r="6" spans="1:31" s="896" customFormat="1">
      <c r="A6" s="744">
        <v>45412</v>
      </c>
      <c r="B6" s="890">
        <v>11430</v>
      </c>
      <c r="C6" s="891">
        <v>7155781.8899999997</v>
      </c>
      <c r="D6" s="890">
        <v>9</v>
      </c>
      <c r="E6" s="891">
        <v>543626.87</v>
      </c>
      <c r="F6" s="890">
        <v>3429</v>
      </c>
      <c r="G6" s="891">
        <v>2817729.07</v>
      </c>
      <c r="H6" s="890">
        <v>236</v>
      </c>
      <c r="I6" s="891">
        <v>42437.18</v>
      </c>
      <c r="J6" s="892">
        <v>23</v>
      </c>
      <c r="K6" s="893">
        <v>686.7</v>
      </c>
      <c r="L6" s="890">
        <v>2154</v>
      </c>
      <c r="M6" s="891">
        <v>7243.41</v>
      </c>
      <c r="N6" s="890">
        <v>1564</v>
      </c>
      <c r="O6" s="891">
        <v>4960090.78</v>
      </c>
      <c r="P6" s="890">
        <v>1782</v>
      </c>
      <c r="Q6" s="891">
        <v>322224.53000000003</v>
      </c>
      <c r="R6" s="890">
        <v>88</v>
      </c>
      <c r="S6" s="891">
        <v>770469.53</v>
      </c>
      <c r="T6" s="890">
        <v>814</v>
      </c>
      <c r="U6" s="891">
        <v>3784190.55</v>
      </c>
      <c r="V6" s="890">
        <v>141</v>
      </c>
      <c r="W6" s="891">
        <v>1169293.6200000001</v>
      </c>
      <c r="X6" s="890">
        <v>21</v>
      </c>
      <c r="Y6" s="891">
        <v>48302.44</v>
      </c>
      <c r="Z6" s="890">
        <v>66377</v>
      </c>
      <c r="AA6" s="894">
        <v>2340309.33</v>
      </c>
      <c r="AB6" s="895">
        <v>88068</v>
      </c>
      <c r="AC6" s="894">
        <v>23962385.899999999</v>
      </c>
      <c r="AD6" s="329"/>
      <c r="AE6" s="329"/>
    </row>
    <row r="7" spans="1:31" s="896" customFormat="1">
      <c r="A7" s="744">
        <v>45443</v>
      </c>
      <c r="B7" s="890">
        <v>11503</v>
      </c>
      <c r="C7" s="891">
        <v>7187455.0999999996</v>
      </c>
      <c r="D7" s="890">
        <v>9</v>
      </c>
      <c r="E7" s="891">
        <v>537469.1</v>
      </c>
      <c r="F7" s="890">
        <v>3487</v>
      </c>
      <c r="G7" s="891">
        <v>2878459.06</v>
      </c>
      <c r="H7" s="890">
        <v>233</v>
      </c>
      <c r="I7" s="891">
        <v>42225.45</v>
      </c>
      <c r="J7" s="890">
        <v>23</v>
      </c>
      <c r="K7" s="891">
        <v>638.35</v>
      </c>
      <c r="L7" s="890">
        <v>2285</v>
      </c>
      <c r="M7" s="891">
        <v>7384.54</v>
      </c>
      <c r="N7" s="890">
        <v>1573</v>
      </c>
      <c r="O7" s="891">
        <v>5052831.16</v>
      </c>
      <c r="P7" s="890">
        <v>1866</v>
      </c>
      <c r="Q7" s="891">
        <v>331318.31</v>
      </c>
      <c r="R7" s="890">
        <v>88</v>
      </c>
      <c r="S7" s="891">
        <v>763526.05</v>
      </c>
      <c r="T7" s="890">
        <v>817</v>
      </c>
      <c r="U7" s="891">
        <v>3809804.16</v>
      </c>
      <c r="V7" s="890">
        <v>141</v>
      </c>
      <c r="W7" s="891">
        <v>1189654.69</v>
      </c>
      <c r="X7" s="890">
        <v>21</v>
      </c>
      <c r="Y7" s="891">
        <v>47610.45</v>
      </c>
      <c r="Z7" s="890">
        <v>70642</v>
      </c>
      <c r="AA7" s="891">
        <v>2366320.3199999998</v>
      </c>
      <c r="AB7" s="890">
        <v>92688</v>
      </c>
      <c r="AC7" s="891">
        <v>24214696.739999998</v>
      </c>
      <c r="AD7" s="329"/>
      <c r="AE7" s="329"/>
    </row>
    <row r="8" spans="1:31" s="896" customFormat="1" ht="15" customHeight="1">
      <c r="A8" s="744">
        <v>45473</v>
      </c>
      <c r="B8" s="890">
        <v>11619</v>
      </c>
      <c r="C8" s="891">
        <v>7708847.6699999999</v>
      </c>
      <c r="D8" s="890">
        <v>9</v>
      </c>
      <c r="E8" s="891">
        <v>584958.61</v>
      </c>
      <c r="F8" s="890">
        <v>3535</v>
      </c>
      <c r="G8" s="891">
        <v>3001809.38</v>
      </c>
      <c r="H8" s="890">
        <v>233</v>
      </c>
      <c r="I8" s="891">
        <v>44218.74</v>
      </c>
      <c r="J8" s="890">
        <v>23</v>
      </c>
      <c r="K8" s="891">
        <v>711.9</v>
      </c>
      <c r="L8" s="890">
        <v>2390</v>
      </c>
      <c r="M8" s="891">
        <v>8059.06</v>
      </c>
      <c r="N8" s="890">
        <v>1625</v>
      </c>
      <c r="O8" s="891">
        <v>5387836.5499999998</v>
      </c>
      <c r="P8" s="890">
        <v>1984</v>
      </c>
      <c r="Q8" s="891">
        <v>339672.66</v>
      </c>
      <c r="R8" s="890">
        <v>88</v>
      </c>
      <c r="S8" s="891">
        <v>773244.52</v>
      </c>
      <c r="T8" s="890">
        <v>820</v>
      </c>
      <c r="U8" s="891">
        <v>3953336.98</v>
      </c>
      <c r="V8" s="890">
        <v>141</v>
      </c>
      <c r="W8" s="891">
        <v>1220904.6299999999</v>
      </c>
      <c r="X8" s="890">
        <v>21</v>
      </c>
      <c r="Y8" s="891">
        <v>47410.63</v>
      </c>
      <c r="Z8" s="890">
        <v>75335</v>
      </c>
      <c r="AA8" s="891">
        <v>2461801.42</v>
      </c>
      <c r="AB8" s="890">
        <f>SUM(B8,D8,F8,H8,J8,L8,N8,P8,R8,T8,V8,X8,Z8)</f>
        <v>97823</v>
      </c>
      <c r="AC8" s="891">
        <f>SUM(C8,E8,G8,I8,K8,M8,O8,Q8,S8,U8,W8,Y8,AA8)</f>
        <v>25532812.75</v>
      </c>
      <c r="AD8" s="329"/>
      <c r="AE8" s="329"/>
    </row>
    <row r="9" spans="1:31" s="896" customFormat="1" ht="15" customHeight="1">
      <c r="A9" s="744">
        <v>45504</v>
      </c>
      <c r="B9" s="890">
        <v>11667</v>
      </c>
      <c r="C9" s="891">
        <v>8038981.5099999998</v>
      </c>
      <c r="D9" s="890">
        <v>9</v>
      </c>
      <c r="E9" s="891">
        <v>585683.86</v>
      </c>
      <c r="F9" s="890">
        <v>3575</v>
      </c>
      <c r="G9" s="891">
        <v>3099751.25</v>
      </c>
      <c r="H9" s="890">
        <v>236</v>
      </c>
      <c r="I9" s="891">
        <v>44482.11</v>
      </c>
      <c r="J9" s="890">
        <v>23</v>
      </c>
      <c r="K9" s="891">
        <v>793.66</v>
      </c>
      <c r="L9" s="890">
        <v>2596</v>
      </c>
      <c r="M9" s="891">
        <v>8752.2000000000007</v>
      </c>
      <c r="N9" s="890">
        <v>1630</v>
      </c>
      <c r="O9" s="891">
        <v>5689542.2400000002</v>
      </c>
      <c r="P9" s="890">
        <v>2130</v>
      </c>
      <c r="Q9" s="891">
        <v>353510.43</v>
      </c>
      <c r="R9" s="890">
        <v>88</v>
      </c>
      <c r="S9" s="891">
        <v>840458.03</v>
      </c>
      <c r="T9" s="890">
        <v>821</v>
      </c>
      <c r="U9" s="891">
        <v>4124262.93</v>
      </c>
      <c r="V9" s="890">
        <v>141</v>
      </c>
      <c r="W9" s="891">
        <v>1253223.0900000001</v>
      </c>
      <c r="X9" s="890">
        <v>21</v>
      </c>
      <c r="Y9" s="891">
        <v>54323.68</v>
      </c>
      <c r="Z9" s="890">
        <v>80934</v>
      </c>
      <c r="AA9" s="891">
        <v>2571863.39</v>
      </c>
      <c r="AB9" s="890">
        <v>103871</v>
      </c>
      <c r="AC9" s="891">
        <v>26665628.379999999</v>
      </c>
      <c r="AD9" s="329"/>
      <c r="AE9" s="329"/>
    </row>
    <row r="10" spans="1:31" s="896" customFormat="1" ht="15" customHeight="1">
      <c r="A10" s="744">
        <v>45535</v>
      </c>
      <c r="B10" s="890">
        <v>11748</v>
      </c>
      <c r="C10" s="891">
        <v>7942235.7699999996</v>
      </c>
      <c r="D10" s="890">
        <v>10</v>
      </c>
      <c r="E10" s="891">
        <v>586598.91</v>
      </c>
      <c r="F10" s="890">
        <v>3677</v>
      </c>
      <c r="G10" s="891">
        <v>2997276.84</v>
      </c>
      <c r="H10" s="890">
        <v>235</v>
      </c>
      <c r="I10" s="891">
        <v>44415.16</v>
      </c>
      <c r="J10" s="890">
        <v>23</v>
      </c>
      <c r="K10" s="891">
        <v>815.17</v>
      </c>
      <c r="L10" s="890">
        <v>2748</v>
      </c>
      <c r="M10" s="891">
        <v>8659.93</v>
      </c>
      <c r="N10" s="890">
        <v>1656</v>
      </c>
      <c r="O10" s="891">
        <v>5671595.8799999999</v>
      </c>
      <c r="P10" s="890">
        <v>2219</v>
      </c>
      <c r="Q10" s="891">
        <v>329981.76</v>
      </c>
      <c r="R10" s="890">
        <v>88</v>
      </c>
      <c r="S10" s="891">
        <v>847965.94</v>
      </c>
      <c r="T10" s="890">
        <v>826</v>
      </c>
      <c r="U10" s="891">
        <v>4023533.07</v>
      </c>
      <c r="V10" s="890">
        <v>141</v>
      </c>
      <c r="W10" s="891">
        <v>1053367.01</v>
      </c>
      <c r="X10" s="890">
        <v>21</v>
      </c>
      <c r="Y10" s="891">
        <v>55150.36</v>
      </c>
      <c r="Z10" s="890">
        <v>85694</v>
      </c>
      <c r="AA10" s="891">
        <v>1971771.92</v>
      </c>
      <c r="AB10" s="890">
        <v>109086</v>
      </c>
      <c r="AC10" s="891">
        <v>25533367.720000006</v>
      </c>
      <c r="AD10" s="197"/>
      <c r="AE10" s="329"/>
    </row>
    <row r="11" spans="1:31" s="896" customFormat="1" ht="15" customHeight="1">
      <c r="A11" s="744">
        <v>45565</v>
      </c>
      <c r="B11" s="890">
        <v>11829</v>
      </c>
      <c r="C11" s="891">
        <v>8197956.7800000003</v>
      </c>
      <c r="D11" s="890">
        <v>10</v>
      </c>
      <c r="E11" s="891">
        <v>599893.01</v>
      </c>
      <c r="F11" s="890">
        <v>3743</v>
      </c>
      <c r="G11" s="891">
        <v>3162671.57</v>
      </c>
      <c r="H11" s="890">
        <v>235</v>
      </c>
      <c r="I11" s="891">
        <v>45294.34</v>
      </c>
      <c r="J11" s="890">
        <v>22</v>
      </c>
      <c r="K11" s="891">
        <v>910.76</v>
      </c>
      <c r="L11" s="890">
        <v>2876</v>
      </c>
      <c r="M11" s="891">
        <v>13257.78</v>
      </c>
      <c r="N11" s="890">
        <v>1653</v>
      </c>
      <c r="O11" s="891">
        <v>5801097.3600000003</v>
      </c>
      <c r="P11" s="890">
        <v>2383</v>
      </c>
      <c r="Q11" s="891">
        <v>315979.57</v>
      </c>
      <c r="R11" s="890">
        <v>90</v>
      </c>
      <c r="S11" s="891">
        <v>856964.79</v>
      </c>
      <c r="T11" s="890">
        <v>834</v>
      </c>
      <c r="U11" s="891">
        <v>4087565.89</v>
      </c>
      <c r="V11" s="890">
        <v>141</v>
      </c>
      <c r="W11" s="891">
        <v>1074924.02</v>
      </c>
      <c r="X11" s="890">
        <v>21</v>
      </c>
      <c r="Y11" s="891">
        <v>56929.03</v>
      </c>
      <c r="Z11" s="890">
        <v>90211</v>
      </c>
      <c r="AA11" s="891">
        <v>2047841.5</v>
      </c>
      <c r="AB11" s="890">
        <v>114048</v>
      </c>
      <c r="AC11" s="891">
        <v>26261286.399999999</v>
      </c>
    </row>
    <row r="12" spans="1:31">
      <c r="A12" s="727" t="s">
        <v>1373</v>
      </c>
      <c r="B12" s="897"/>
      <c r="C12" s="897"/>
      <c r="D12" s="897"/>
      <c r="E12" s="897"/>
      <c r="F12" s="897"/>
      <c r="G12" s="897"/>
      <c r="H12" s="897"/>
      <c r="I12" s="897"/>
      <c r="J12" s="897"/>
      <c r="K12" s="897"/>
      <c r="L12" s="897"/>
      <c r="M12" s="897"/>
      <c r="N12" s="897"/>
      <c r="O12" s="897"/>
      <c r="P12" s="897"/>
      <c r="Q12" s="897"/>
      <c r="R12" s="897"/>
      <c r="S12" s="897"/>
      <c r="T12" s="897"/>
      <c r="U12" s="897"/>
      <c r="V12" s="897"/>
      <c r="W12" s="897"/>
      <c r="X12" s="897"/>
      <c r="Y12" s="897"/>
      <c r="Z12" s="897"/>
    </row>
    <row r="13" spans="1:31">
      <c r="A13" s="1599" t="s">
        <v>845</v>
      </c>
      <c r="B13" s="1599"/>
      <c r="C13" s="1599"/>
      <c r="D13" s="1599"/>
      <c r="E13" s="1599"/>
      <c r="F13" s="1599"/>
      <c r="G13" s="1599"/>
      <c r="H13" s="1599"/>
      <c r="I13" s="1599"/>
      <c r="J13" s="1599"/>
      <c r="K13" s="1599"/>
      <c r="L13" s="1599"/>
      <c r="M13" s="1599"/>
      <c r="N13" s="1599"/>
      <c r="O13" s="1599"/>
      <c r="P13" s="1599"/>
      <c r="Q13" s="1599"/>
      <c r="R13" s="1599"/>
      <c r="S13" s="1599"/>
      <c r="T13" s="1599"/>
      <c r="U13" s="1599"/>
      <c r="V13" s="1599"/>
      <c r="W13" s="1599"/>
      <c r="X13" s="1599"/>
      <c r="Y13" s="1599"/>
      <c r="Z13" s="1599"/>
    </row>
    <row r="14" spans="1:31" ht="15" customHeight="1">
      <c r="A14" s="1587" t="s">
        <v>846</v>
      </c>
      <c r="B14" s="1587"/>
      <c r="C14" s="1587"/>
      <c r="D14" s="1587"/>
      <c r="E14" s="1587"/>
      <c r="F14" s="1587"/>
      <c r="G14" s="1587"/>
      <c r="H14" s="1587"/>
      <c r="I14" s="1587"/>
      <c r="J14" s="1587"/>
      <c r="K14" s="1587"/>
      <c r="L14" s="1587"/>
      <c r="M14" s="1587"/>
      <c r="N14" s="1587"/>
      <c r="O14" s="1587"/>
      <c r="P14" s="1587"/>
      <c r="Q14" s="1587"/>
      <c r="R14" s="1587"/>
      <c r="S14" s="1587"/>
      <c r="T14" s="1587"/>
      <c r="U14" s="1587"/>
      <c r="V14" s="1587"/>
      <c r="W14" s="1587"/>
      <c r="X14" s="1587"/>
      <c r="Y14" s="1587"/>
      <c r="Z14" s="1587"/>
    </row>
    <row r="15" spans="1:31" ht="15" customHeight="1">
      <c r="A15" s="1588" t="s">
        <v>1233</v>
      </c>
      <c r="B15" s="1588"/>
      <c r="C15" s="1588"/>
      <c r="D15" s="1588"/>
      <c r="E15" s="1588"/>
      <c r="F15" s="1588"/>
      <c r="G15" s="1588"/>
      <c r="H15" s="1588"/>
      <c r="I15" s="1588"/>
      <c r="J15" s="1588"/>
      <c r="K15" s="1588"/>
      <c r="L15" s="1588"/>
      <c r="M15" s="1588"/>
      <c r="N15" s="1588"/>
      <c r="O15" s="1588"/>
      <c r="P15" s="1588"/>
      <c r="Q15" s="1588"/>
      <c r="R15" s="1588"/>
      <c r="S15" s="1588"/>
      <c r="T15" s="1588"/>
      <c r="U15" s="1588"/>
      <c r="V15" s="1588"/>
      <c r="W15" s="1588"/>
      <c r="X15" s="1588"/>
      <c r="Y15" s="1588"/>
      <c r="Z15" s="1588"/>
    </row>
    <row r="16" spans="1:31">
      <c r="A16" s="327"/>
    </row>
  </sheetData>
  <mergeCells count="19">
    <mergeCell ref="Z2:AA2"/>
    <mergeCell ref="A13:Z13"/>
    <mergeCell ref="A14:Z14"/>
    <mergeCell ref="A15:Z15"/>
    <mergeCell ref="AB2:AC2"/>
    <mergeCell ref="A1:Z1"/>
    <mergeCell ref="A2:A3"/>
    <mergeCell ref="B2:C2"/>
    <mergeCell ref="D2:E2"/>
    <mergeCell ref="F2:G2"/>
    <mergeCell ref="H2:I2"/>
    <mergeCell ref="J2:K2"/>
    <mergeCell ref="L2:M2"/>
    <mergeCell ref="N2:O2"/>
    <mergeCell ref="P2:Q2"/>
    <mergeCell ref="R2:S2"/>
    <mergeCell ref="T2:U2"/>
    <mergeCell ref="V2:W2"/>
    <mergeCell ref="X2:Y2"/>
  </mergeCells>
  <printOptions horizontalCentered="1"/>
  <pageMargins left="0.7" right="0.7" top="0.75" bottom="0.75" header="0.3" footer="0.3"/>
  <pageSetup paperSize="9" fitToHeight="0" orientation="landscape"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4"/>
  <sheetViews>
    <sheetView workbookViewId="0">
      <selection sqref="A1:J1"/>
    </sheetView>
  </sheetViews>
  <sheetFormatPr defaultRowHeight="15"/>
  <cols>
    <col min="1" max="1" width="20.7109375" style="332" bestFit="1" customWidth="1"/>
    <col min="2" max="9" width="12.140625" style="332" customWidth="1"/>
    <col min="10" max="10" width="10.28515625" style="332" customWidth="1"/>
    <col min="11" max="16384" width="9.140625" style="332"/>
  </cols>
  <sheetData>
    <row r="1" spans="1:10" ht="15" customHeight="1">
      <c r="A1" s="1600" t="s">
        <v>847</v>
      </c>
      <c r="B1" s="1601"/>
      <c r="C1" s="1601"/>
      <c r="D1" s="1601"/>
      <c r="E1" s="1601"/>
      <c r="F1" s="1601"/>
      <c r="G1" s="1601"/>
      <c r="H1" s="1601"/>
      <c r="I1" s="1601"/>
      <c r="J1" s="1601"/>
    </row>
    <row r="2" spans="1:10" ht="15" customHeight="1">
      <c r="A2" s="1602" t="s">
        <v>848</v>
      </c>
      <c r="B2" s="1604" t="s">
        <v>849</v>
      </c>
      <c r="C2" s="1604"/>
      <c r="D2" s="1604"/>
      <c r="E2" s="1604"/>
      <c r="F2" s="1604"/>
      <c r="G2" s="1604"/>
      <c r="H2" s="1604"/>
      <c r="I2" s="1604"/>
      <c r="J2" s="1604"/>
    </row>
    <row r="3" spans="1:10">
      <c r="A3" s="1603"/>
      <c r="B3" s="898">
        <v>44713</v>
      </c>
      <c r="C3" s="898">
        <v>44805</v>
      </c>
      <c r="D3" s="899">
        <v>44896</v>
      </c>
      <c r="E3" s="899">
        <v>44986</v>
      </c>
      <c r="F3" s="899">
        <v>45078</v>
      </c>
      <c r="G3" s="899">
        <v>45170</v>
      </c>
      <c r="H3" s="899">
        <v>45261</v>
      </c>
      <c r="I3" s="899">
        <v>45352</v>
      </c>
      <c r="J3" s="899">
        <v>45444</v>
      </c>
    </row>
    <row r="4" spans="1:10">
      <c r="A4" s="900" t="s">
        <v>850</v>
      </c>
      <c r="B4" s="901">
        <v>3110</v>
      </c>
      <c r="C4" s="901">
        <v>3176</v>
      </c>
      <c r="D4" s="901">
        <v>3176</v>
      </c>
      <c r="E4" s="902">
        <v>3448</v>
      </c>
      <c r="F4" s="903">
        <v>2300</v>
      </c>
      <c r="G4" s="904">
        <v>2072</v>
      </c>
      <c r="H4" s="905">
        <v>2138</v>
      </c>
      <c r="I4" s="905">
        <v>2040</v>
      </c>
      <c r="J4" s="905">
        <v>1953</v>
      </c>
    </row>
    <row r="5" spans="1:10">
      <c r="A5" s="900" t="s">
        <v>851</v>
      </c>
      <c r="B5" s="901">
        <v>133</v>
      </c>
      <c r="C5" s="901">
        <v>166</v>
      </c>
      <c r="D5" s="901">
        <v>57</v>
      </c>
      <c r="E5" s="902">
        <v>166</v>
      </c>
      <c r="F5" s="903">
        <v>271</v>
      </c>
      <c r="G5" s="904">
        <v>136</v>
      </c>
      <c r="H5" s="905">
        <v>461</v>
      </c>
      <c r="I5" s="905">
        <v>494</v>
      </c>
      <c r="J5" s="905">
        <v>166</v>
      </c>
    </row>
    <row r="6" spans="1:10">
      <c r="A6" s="900" t="s">
        <v>852</v>
      </c>
      <c r="B6" s="901">
        <v>687</v>
      </c>
      <c r="C6" s="901">
        <v>687</v>
      </c>
      <c r="D6" s="901">
        <v>656</v>
      </c>
      <c r="E6" s="902">
        <v>656</v>
      </c>
      <c r="F6" s="903">
        <v>656</v>
      </c>
      <c r="G6" s="904">
        <v>564</v>
      </c>
      <c r="H6" s="905">
        <v>658</v>
      </c>
      <c r="I6" s="905">
        <v>658</v>
      </c>
      <c r="J6" s="905">
        <v>606</v>
      </c>
    </row>
    <row r="7" spans="1:10">
      <c r="A7" s="900" t="s">
        <v>853</v>
      </c>
      <c r="B7" s="901">
        <v>0</v>
      </c>
      <c r="C7" s="901">
        <v>0</v>
      </c>
      <c r="D7" s="901">
        <v>0</v>
      </c>
      <c r="E7" s="902">
        <v>0</v>
      </c>
      <c r="F7" s="903">
        <v>0</v>
      </c>
      <c r="G7" s="904">
        <v>45</v>
      </c>
      <c r="H7" s="905">
        <v>0</v>
      </c>
      <c r="I7" s="905">
        <v>0</v>
      </c>
      <c r="J7" s="905">
        <v>0</v>
      </c>
    </row>
    <row r="8" spans="1:10">
      <c r="A8" s="900" t="s">
        <v>854</v>
      </c>
      <c r="B8" s="901">
        <v>547</v>
      </c>
      <c r="C8" s="901">
        <v>581</v>
      </c>
      <c r="D8" s="901">
        <v>213</v>
      </c>
      <c r="E8" s="902">
        <v>219</v>
      </c>
      <c r="F8" s="903">
        <v>219</v>
      </c>
      <c r="G8" s="904">
        <v>187</v>
      </c>
      <c r="H8" s="905">
        <v>180</v>
      </c>
      <c r="I8" s="905">
        <v>219</v>
      </c>
      <c r="J8" s="905">
        <v>219</v>
      </c>
    </row>
    <row r="9" spans="1:10">
      <c r="A9" s="900" t="s">
        <v>855</v>
      </c>
      <c r="B9" s="901">
        <v>213</v>
      </c>
      <c r="C9" s="901">
        <v>206</v>
      </c>
      <c r="D9" s="901">
        <v>197</v>
      </c>
      <c r="E9" s="902">
        <v>1416</v>
      </c>
      <c r="F9" s="903">
        <v>2066</v>
      </c>
      <c r="G9" s="904">
        <v>2106</v>
      </c>
      <c r="H9" s="905">
        <v>1899</v>
      </c>
      <c r="I9" s="905">
        <v>1649</v>
      </c>
      <c r="J9" s="905">
        <v>1355</v>
      </c>
    </row>
    <row r="10" spans="1:10">
      <c r="A10" s="900" t="s">
        <v>856</v>
      </c>
      <c r="B10" s="901">
        <v>12</v>
      </c>
      <c r="C10" s="901">
        <v>42</v>
      </c>
      <c r="D10" s="901">
        <v>12</v>
      </c>
      <c r="E10" s="902">
        <v>12</v>
      </c>
      <c r="F10" s="903">
        <v>632</v>
      </c>
      <c r="G10" s="904">
        <v>316</v>
      </c>
      <c r="H10" s="905">
        <v>188</v>
      </c>
      <c r="I10" s="905">
        <v>188</v>
      </c>
      <c r="J10" s="905">
        <v>44</v>
      </c>
    </row>
    <row r="11" spans="1:10">
      <c r="A11" s="900" t="s">
        <v>290</v>
      </c>
      <c r="B11" s="901">
        <v>35000</v>
      </c>
      <c r="C11" s="901">
        <v>39239</v>
      </c>
      <c r="D11" s="901">
        <v>37132</v>
      </c>
      <c r="E11" s="902">
        <v>42369</v>
      </c>
      <c r="F11" s="903">
        <v>37055</v>
      </c>
      <c r="G11" s="906">
        <v>42119</v>
      </c>
      <c r="H11" s="905">
        <v>41728</v>
      </c>
      <c r="I11" s="905">
        <v>48673</v>
      </c>
      <c r="J11" s="905">
        <v>48854</v>
      </c>
    </row>
    <row r="12" spans="1:10">
      <c r="A12" s="907" t="s">
        <v>96</v>
      </c>
      <c r="B12" s="908">
        <f t="shared" ref="B12:I12" si="0">SUM(B4:B11)</f>
        <v>39702</v>
      </c>
      <c r="C12" s="908">
        <f t="shared" si="0"/>
        <v>44097</v>
      </c>
      <c r="D12" s="908">
        <f t="shared" si="0"/>
        <v>41443</v>
      </c>
      <c r="E12" s="908">
        <f t="shared" si="0"/>
        <v>48286</v>
      </c>
      <c r="F12" s="908">
        <f t="shared" si="0"/>
        <v>43199</v>
      </c>
      <c r="G12" s="908">
        <f t="shared" si="0"/>
        <v>47545</v>
      </c>
      <c r="H12" s="908">
        <f t="shared" si="0"/>
        <v>47252</v>
      </c>
      <c r="I12" s="908">
        <f t="shared" si="0"/>
        <v>53921</v>
      </c>
      <c r="J12" s="908">
        <v>53197</v>
      </c>
    </row>
    <row r="13" spans="1:10">
      <c r="A13" s="909" t="s">
        <v>857</v>
      </c>
      <c r="B13" s="910"/>
      <c r="C13" s="910"/>
      <c r="D13" s="911"/>
      <c r="E13" s="911"/>
      <c r="F13" s="911"/>
      <c r="G13" s="911"/>
      <c r="H13" s="911"/>
      <c r="I13" s="911"/>
      <c r="J13" s="911"/>
    </row>
    <row r="14" spans="1:10">
      <c r="B14" s="1299"/>
      <c r="C14" s="1299"/>
      <c r="D14" s="1299"/>
      <c r="E14" s="1299"/>
      <c r="F14" s="1299"/>
      <c r="G14" s="1299"/>
      <c r="H14" s="1299"/>
      <c r="I14" s="1299"/>
      <c r="J14" s="1299"/>
    </row>
  </sheetData>
  <mergeCells count="3">
    <mergeCell ref="A1:J1"/>
    <mergeCell ref="A2:A3"/>
    <mergeCell ref="B2:J2"/>
  </mergeCells>
  <printOptions horizontalCentered="1"/>
  <pageMargins left="0.7" right="0.7" top="0.75" bottom="0.75" header="0.3" footer="0.3"/>
  <pageSetup paperSize="9" orientation="landscape" r:id="rId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6"/>
  <sheetViews>
    <sheetView workbookViewId="0">
      <selection sqref="A1:K1"/>
    </sheetView>
  </sheetViews>
  <sheetFormatPr defaultColWidth="9.140625" defaultRowHeight="15"/>
  <cols>
    <col min="1" max="1" width="14.5703125" style="197" bestFit="1" customWidth="1"/>
    <col min="2" max="3" width="17.7109375" style="197" bestFit="1" customWidth="1"/>
    <col min="4" max="4" width="19.28515625" style="197" bestFit="1" customWidth="1"/>
    <col min="5" max="6" width="17.7109375" style="197" bestFit="1" customWidth="1"/>
    <col min="7" max="7" width="18.5703125" style="197" bestFit="1" customWidth="1"/>
    <col min="8" max="8" width="15.28515625" style="197" bestFit="1" customWidth="1"/>
    <col min="9" max="9" width="13.85546875" style="197" bestFit="1" customWidth="1"/>
    <col min="10" max="10" width="15.42578125" style="197" bestFit="1" customWidth="1"/>
    <col min="11" max="11" width="19.5703125" style="197" bestFit="1" customWidth="1"/>
    <col min="12" max="13" width="13.7109375" style="327" bestFit="1" customWidth="1"/>
    <col min="14" max="16384" width="9.140625" style="327"/>
  </cols>
  <sheetData>
    <row r="1" spans="1:13" ht="15" customHeight="1">
      <c r="A1" s="1607" t="s">
        <v>858</v>
      </c>
      <c r="B1" s="1607"/>
      <c r="C1" s="1607"/>
      <c r="D1" s="1607"/>
      <c r="E1" s="1607"/>
      <c r="F1" s="1607"/>
      <c r="G1" s="1607"/>
      <c r="H1" s="1607"/>
      <c r="I1" s="1607"/>
      <c r="J1" s="1607"/>
      <c r="K1" s="1607"/>
    </row>
    <row r="2" spans="1:13" s="896" customFormat="1" ht="15" customHeight="1">
      <c r="A2" s="1608" t="s">
        <v>115</v>
      </c>
      <c r="B2" s="1610" t="s">
        <v>859</v>
      </c>
      <c r="C2" s="1610"/>
      <c r="D2" s="1610"/>
      <c r="E2" s="1611" t="s">
        <v>860</v>
      </c>
      <c r="F2" s="1611"/>
      <c r="G2" s="1611"/>
      <c r="H2" s="1610" t="s">
        <v>861</v>
      </c>
      <c r="I2" s="1610"/>
      <c r="J2" s="1610"/>
      <c r="K2" s="1612" t="s">
        <v>862</v>
      </c>
    </row>
    <row r="3" spans="1:13" s="896" customFormat="1">
      <c r="A3" s="1609"/>
      <c r="B3" s="912" t="s">
        <v>863</v>
      </c>
      <c r="C3" s="912" t="s">
        <v>864</v>
      </c>
      <c r="D3" s="912" t="s">
        <v>96</v>
      </c>
      <c r="E3" s="912" t="s">
        <v>863</v>
      </c>
      <c r="F3" s="912" t="s">
        <v>864</v>
      </c>
      <c r="G3" s="912" t="s">
        <v>96</v>
      </c>
      <c r="H3" s="912" t="s">
        <v>863</v>
      </c>
      <c r="I3" s="912" t="s">
        <v>864</v>
      </c>
      <c r="J3" s="912" t="s">
        <v>96</v>
      </c>
      <c r="K3" s="1612"/>
    </row>
    <row r="4" spans="1:13" s="328" customFormat="1">
      <c r="A4" s="913" t="s">
        <v>505</v>
      </c>
      <c r="B4" s="914">
        <v>8841564.8542797305</v>
      </c>
      <c r="C4" s="914">
        <v>2606649.9309260407</v>
      </c>
      <c r="D4" s="914">
        <v>11448214.78520577</v>
      </c>
      <c r="E4" s="914">
        <v>8532666.8482885826</v>
      </c>
      <c r="F4" s="914">
        <v>2560846.6137513546</v>
      </c>
      <c r="G4" s="914">
        <v>11093513.462039936</v>
      </c>
      <c r="H4" s="914">
        <v>308898.00599114149</v>
      </c>
      <c r="I4" s="914">
        <v>45803.317174686148</v>
      </c>
      <c r="J4" s="914">
        <v>354701.32316582766</v>
      </c>
      <c r="K4" s="914">
        <v>5340194.6749522863</v>
      </c>
    </row>
    <row r="5" spans="1:13" s="328" customFormat="1">
      <c r="A5" s="915" t="s">
        <v>703</v>
      </c>
      <c r="B5" s="916">
        <f t="shared" ref="B5:J5" si="0">SUM(B6:B11)</f>
        <v>5255947.5758864051</v>
      </c>
      <c r="C5" s="916">
        <f t="shared" si="0"/>
        <v>1393658.6128699204</v>
      </c>
      <c r="D5" s="916">
        <f t="shared" si="0"/>
        <v>6649606.1887563253</v>
      </c>
      <c r="E5" s="916">
        <f t="shared" si="0"/>
        <v>4810236.6496563116</v>
      </c>
      <c r="F5" s="916">
        <f t="shared" si="0"/>
        <v>1307203.2510079392</v>
      </c>
      <c r="G5" s="916">
        <f t="shared" si="0"/>
        <v>6117439.9006642513</v>
      </c>
      <c r="H5" s="916">
        <f t="shared" si="0"/>
        <v>445710.92623009143</v>
      </c>
      <c r="I5" s="916">
        <f t="shared" si="0"/>
        <v>86455.361861981728</v>
      </c>
      <c r="J5" s="916">
        <f t="shared" si="0"/>
        <v>532166.28809207317</v>
      </c>
      <c r="K5" s="917">
        <f>INDEX(K6:K11,COUNT(K6:K11))</f>
        <v>6709259.14374917</v>
      </c>
    </row>
    <row r="6" spans="1:13" s="896" customFormat="1">
      <c r="A6" s="867">
        <v>45412</v>
      </c>
      <c r="B6" s="918">
        <v>881430.02513550152</v>
      </c>
      <c r="C6" s="918">
        <v>233054.31953251455</v>
      </c>
      <c r="D6" s="918">
        <f>B6+C6</f>
        <v>1114484.3446680161</v>
      </c>
      <c r="E6" s="918">
        <v>681885.24491182459</v>
      </c>
      <c r="F6" s="918">
        <v>193366.30208995071</v>
      </c>
      <c r="G6" s="918">
        <f>E6+F6</f>
        <v>875251.54700177535</v>
      </c>
      <c r="H6" s="918">
        <v>199544.78022367728</v>
      </c>
      <c r="I6" s="918">
        <v>39688.017442563738</v>
      </c>
      <c r="J6" s="918">
        <f>H6+I6</f>
        <v>239232.79766624101</v>
      </c>
      <c r="K6" s="919">
        <v>5725898.0232708147</v>
      </c>
    </row>
    <row r="7" spans="1:13" s="896" customFormat="1">
      <c r="A7" s="867">
        <v>45443</v>
      </c>
      <c r="B7" s="918">
        <v>792839.22503205109</v>
      </c>
      <c r="C7" s="918">
        <v>195701.39598213934</v>
      </c>
      <c r="D7" s="918">
        <v>988540.6210141906</v>
      </c>
      <c r="E7" s="918">
        <v>690962.66577725741</v>
      </c>
      <c r="F7" s="918">
        <v>187060.94780343864</v>
      </c>
      <c r="G7" s="918">
        <v>878023.61358069605</v>
      </c>
      <c r="H7" s="918">
        <v>101876.5592547931</v>
      </c>
      <c r="I7" s="918">
        <v>8640.4481787007244</v>
      </c>
      <c r="J7" s="918">
        <v>110517.00743349385</v>
      </c>
      <c r="K7" s="918">
        <v>5891160.5167409051</v>
      </c>
    </row>
    <row r="8" spans="1:13" s="896" customFormat="1">
      <c r="A8" s="867">
        <v>45473</v>
      </c>
      <c r="B8" s="918">
        <v>836611.86083407258</v>
      </c>
      <c r="C8" s="918">
        <v>222192.46142933128</v>
      </c>
      <c r="D8" s="918">
        <v>1058804.3222634038</v>
      </c>
      <c r="E8" s="918">
        <v>878194.62179201376</v>
      </c>
      <c r="F8" s="918">
        <v>224246.28983096097</v>
      </c>
      <c r="G8" s="918">
        <v>1102440.9116229748</v>
      </c>
      <c r="H8" s="918">
        <v>-41582.760957941238</v>
      </c>
      <c r="I8" s="918">
        <v>-2053.8284016295001</v>
      </c>
      <c r="J8" s="918">
        <v>-43636.58935957076</v>
      </c>
      <c r="K8" s="918">
        <v>6115581.8946445212</v>
      </c>
    </row>
    <row r="9" spans="1:13" s="896" customFormat="1">
      <c r="A9" s="867">
        <v>45504</v>
      </c>
      <c r="B9" s="918">
        <v>988217.0189983747</v>
      </c>
      <c r="C9" s="918">
        <v>245322.21305601485</v>
      </c>
      <c r="D9" s="918">
        <v>1233539.2320543891</v>
      </c>
      <c r="E9" s="918">
        <v>828405.8775189044</v>
      </c>
      <c r="F9" s="918">
        <v>216089.6102756497</v>
      </c>
      <c r="G9" s="918">
        <v>1044495.4877945539</v>
      </c>
      <c r="H9" s="918">
        <v>159811.14147947083</v>
      </c>
      <c r="I9" s="918">
        <v>29232.602780365043</v>
      </c>
      <c r="J9" s="918">
        <v>189043.74425983592</v>
      </c>
      <c r="K9" s="918">
        <v>6496653.0700000003</v>
      </c>
      <c r="L9" s="920"/>
      <c r="M9" s="921"/>
    </row>
    <row r="10" spans="1:13">
      <c r="A10" s="867">
        <v>45535</v>
      </c>
      <c r="B10" s="918">
        <v>843068.87081782799</v>
      </c>
      <c r="C10" s="918">
        <v>236729.83680865273</v>
      </c>
      <c r="D10" s="918">
        <v>1079798.7076264806</v>
      </c>
      <c r="E10" s="918">
        <v>757418.87520194473</v>
      </c>
      <c r="F10" s="918">
        <v>214256.35408489394</v>
      </c>
      <c r="G10" s="918">
        <v>971675.22928683879</v>
      </c>
      <c r="H10" s="918">
        <v>85649.995615883439</v>
      </c>
      <c r="I10" s="918">
        <v>22473.482723758556</v>
      </c>
      <c r="J10" s="918">
        <v>108123.478339642</v>
      </c>
      <c r="K10" s="918">
        <v>6670305.1594206765</v>
      </c>
    </row>
    <row r="11" spans="1:13">
      <c r="A11" s="867">
        <v>45565</v>
      </c>
      <c r="B11" s="918">
        <v>913780.57506857719</v>
      </c>
      <c r="C11" s="918">
        <v>260658.38606126769</v>
      </c>
      <c r="D11" s="918">
        <v>1174438.9611298451</v>
      </c>
      <c r="E11" s="918">
        <v>973369.36445436673</v>
      </c>
      <c r="F11" s="918">
        <v>272183.74692304526</v>
      </c>
      <c r="G11" s="918">
        <v>1245553.1113774125</v>
      </c>
      <c r="H11" s="918">
        <v>-59588.789385791984</v>
      </c>
      <c r="I11" s="918">
        <v>-11525.360861776833</v>
      </c>
      <c r="J11" s="918">
        <v>-71114.150247568847</v>
      </c>
      <c r="K11" s="918">
        <v>6709259.14374917</v>
      </c>
    </row>
    <row r="12" spans="1:13" ht="15" customHeight="1">
      <c r="A12" s="727" t="s">
        <v>1373</v>
      </c>
      <c r="B12" s="922"/>
      <c r="C12" s="922"/>
      <c r="D12" s="922"/>
      <c r="E12" s="922"/>
      <c r="F12" s="922"/>
      <c r="G12" s="922"/>
      <c r="H12" s="922"/>
      <c r="I12" s="922"/>
      <c r="J12" s="922"/>
      <c r="K12" s="922"/>
    </row>
    <row r="13" spans="1:13" ht="15" customHeight="1">
      <c r="A13" s="1605" t="s">
        <v>1366</v>
      </c>
      <c r="B13" s="1605"/>
      <c r="C13" s="1605"/>
      <c r="D13" s="1605"/>
      <c r="E13" s="1605"/>
      <c r="F13" s="1605"/>
      <c r="G13" s="1605"/>
      <c r="H13" s="1605"/>
      <c r="I13" s="1605"/>
      <c r="J13" s="1605"/>
      <c r="K13" s="1605"/>
    </row>
    <row r="14" spans="1:13">
      <c r="A14" s="1606" t="s">
        <v>129</v>
      </c>
      <c r="B14" s="1606"/>
      <c r="C14" s="1606"/>
      <c r="D14" s="1606"/>
      <c r="E14" s="1606"/>
      <c r="F14" s="1606"/>
      <c r="G14" s="1606"/>
      <c r="H14" s="1606"/>
      <c r="I14" s="1606"/>
      <c r="J14" s="1606"/>
      <c r="K14" s="1606"/>
    </row>
    <row r="16" spans="1:13">
      <c r="B16" s="923"/>
      <c r="C16" s="923"/>
      <c r="D16" s="923"/>
      <c r="E16" s="923"/>
      <c r="F16" s="923"/>
      <c r="G16" s="923"/>
      <c r="H16" s="923"/>
      <c r="I16" s="923"/>
      <c r="J16" s="923"/>
      <c r="K16" s="923"/>
    </row>
  </sheetData>
  <mergeCells count="8">
    <mergeCell ref="A13:K13"/>
    <mergeCell ref="A14:K14"/>
    <mergeCell ref="A1:K1"/>
    <mergeCell ref="A2:A3"/>
    <mergeCell ref="B2:D2"/>
    <mergeCell ref="E2:G2"/>
    <mergeCell ref="H2:J2"/>
    <mergeCell ref="K2:K3"/>
  </mergeCells>
  <pageMargins left="0.7" right="0.7" top="0.75" bottom="0.75" header="0.3" footer="0.3"/>
  <pageSetup paperSize="9" orientation="landscape" r:id="rId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100"/>
  <sheetViews>
    <sheetView workbookViewId="0">
      <selection sqref="A1:D1"/>
    </sheetView>
  </sheetViews>
  <sheetFormatPr defaultColWidth="8.85546875" defaultRowHeight="15"/>
  <cols>
    <col min="1" max="1" width="8.140625" style="953" bestFit="1" customWidth="1"/>
    <col min="2" max="2" width="43.28515625" style="953" customWidth="1"/>
    <col min="3" max="3" width="12.42578125" style="953" bestFit="1" customWidth="1"/>
    <col min="4" max="4" width="19.5703125" style="953" bestFit="1" customWidth="1"/>
    <col min="5" max="6" width="18.42578125" style="984" bestFit="1" customWidth="1"/>
    <col min="7" max="7" width="16.140625" style="984" bestFit="1" customWidth="1"/>
    <col min="8" max="8" width="16.5703125" style="984" bestFit="1" customWidth="1"/>
    <col min="9" max="9" width="16.42578125" style="983" bestFit="1" customWidth="1"/>
    <col min="10" max="10" width="19.5703125" style="983" bestFit="1" customWidth="1"/>
    <col min="11" max="11" width="15.7109375" style="984" bestFit="1" customWidth="1"/>
    <col min="12" max="12" width="18.140625" style="984" customWidth="1"/>
    <col min="13" max="13" width="17.28515625" style="984" bestFit="1" customWidth="1"/>
    <col min="14" max="14" width="17" style="984" bestFit="1" customWidth="1"/>
    <col min="15" max="16384" width="8.85546875" style="953"/>
  </cols>
  <sheetData>
    <row r="1" spans="1:14" s="926" customFormat="1" ht="15" customHeight="1" thickBot="1">
      <c r="A1" s="1617" t="s">
        <v>54</v>
      </c>
      <c r="B1" s="1617"/>
      <c r="C1" s="1617"/>
      <c r="D1" s="1617"/>
      <c r="E1" s="924"/>
      <c r="F1" s="924"/>
      <c r="G1" s="924"/>
      <c r="H1" s="924"/>
      <c r="I1" s="925"/>
      <c r="J1" s="925"/>
      <c r="K1" s="924"/>
      <c r="L1" s="924"/>
      <c r="M1" s="924"/>
      <c r="N1" s="924"/>
    </row>
    <row r="2" spans="1:14" s="926" customFormat="1" ht="15.75" thickBot="1">
      <c r="A2" s="1618" t="s">
        <v>1250</v>
      </c>
      <c r="B2" s="1620" t="s">
        <v>865</v>
      </c>
      <c r="C2" s="1622" t="s">
        <v>505</v>
      </c>
      <c r="D2" s="1623"/>
      <c r="E2" s="1623"/>
      <c r="F2" s="1623"/>
      <c r="G2" s="1623"/>
      <c r="H2" s="1623"/>
      <c r="I2" s="1624" t="s">
        <v>703</v>
      </c>
      <c r="J2" s="1625"/>
      <c r="K2" s="1625"/>
      <c r="L2" s="1625"/>
      <c r="M2" s="1625"/>
      <c r="N2" s="1626"/>
    </row>
    <row r="3" spans="1:14" s="931" customFormat="1" ht="105.75" thickBot="1">
      <c r="A3" s="1619"/>
      <c r="B3" s="1621"/>
      <c r="C3" s="927" t="s">
        <v>866</v>
      </c>
      <c r="D3" s="928" t="s">
        <v>867</v>
      </c>
      <c r="E3" s="929" t="s">
        <v>868</v>
      </c>
      <c r="F3" s="929" t="s">
        <v>869</v>
      </c>
      <c r="G3" s="929" t="s">
        <v>870</v>
      </c>
      <c r="H3" s="930" t="s">
        <v>871</v>
      </c>
      <c r="I3" s="927" t="s">
        <v>1367</v>
      </c>
      <c r="J3" s="928" t="s">
        <v>1368</v>
      </c>
      <c r="K3" s="929" t="s">
        <v>1369</v>
      </c>
      <c r="L3" s="929" t="s">
        <v>1370</v>
      </c>
      <c r="M3" s="929" t="s">
        <v>1371</v>
      </c>
      <c r="N3" s="930" t="s">
        <v>1372</v>
      </c>
    </row>
    <row r="4" spans="1:14" s="926" customFormat="1">
      <c r="A4" s="932" t="s">
        <v>872</v>
      </c>
      <c r="B4" s="933" t="s">
        <v>873</v>
      </c>
      <c r="C4" s="934"/>
      <c r="D4" s="935"/>
      <c r="E4" s="936"/>
      <c r="F4" s="937"/>
      <c r="G4" s="937"/>
      <c r="H4" s="938"/>
      <c r="I4" s="939"/>
      <c r="J4" s="940"/>
      <c r="K4" s="941"/>
      <c r="L4" s="942"/>
      <c r="M4" s="942"/>
      <c r="N4" s="943"/>
    </row>
    <row r="5" spans="1:14">
      <c r="A5" s="944" t="s">
        <v>874</v>
      </c>
      <c r="B5" s="945" t="s">
        <v>875</v>
      </c>
      <c r="C5" s="946"/>
      <c r="D5" s="947"/>
      <c r="E5" s="948"/>
      <c r="F5" s="948"/>
      <c r="G5" s="948"/>
      <c r="H5" s="949"/>
      <c r="I5" s="946"/>
      <c r="J5" s="950"/>
      <c r="K5" s="951"/>
      <c r="L5" s="951"/>
      <c r="M5" s="951"/>
      <c r="N5" s="952"/>
    </row>
    <row r="6" spans="1:14">
      <c r="A6" s="954">
        <v>1</v>
      </c>
      <c r="B6" s="955" t="s">
        <v>876</v>
      </c>
      <c r="C6" s="956">
        <v>34</v>
      </c>
      <c r="D6" s="957">
        <v>787375</v>
      </c>
      <c r="E6" s="958">
        <v>2549033.3660787628</v>
      </c>
      <c r="F6" s="958">
        <v>2566071.2468651729</v>
      </c>
      <c r="G6" s="958">
        <v>-17037.880786410846</v>
      </c>
      <c r="H6" s="959">
        <v>82048.330541344068</v>
      </c>
      <c r="I6" s="956">
        <v>35</v>
      </c>
      <c r="J6" s="957">
        <v>859383</v>
      </c>
      <c r="K6" s="958">
        <v>2766672.6070325659</v>
      </c>
      <c r="L6" s="958">
        <v>2763780.3847323875</v>
      </c>
      <c r="M6" s="958">
        <v>2892.2223001781695</v>
      </c>
      <c r="N6" s="960">
        <v>67274.569525766507</v>
      </c>
    </row>
    <row r="7" spans="1:14">
      <c r="A7" s="954">
        <v>2</v>
      </c>
      <c r="B7" s="955" t="s">
        <v>877</v>
      </c>
      <c r="C7" s="956">
        <v>36</v>
      </c>
      <c r="D7" s="957">
        <v>1797810</v>
      </c>
      <c r="E7" s="958">
        <v>2017947.226804839</v>
      </c>
      <c r="F7" s="958">
        <v>1987100.9533116657</v>
      </c>
      <c r="G7" s="958">
        <v>30846.273493173274</v>
      </c>
      <c r="H7" s="959">
        <v>378356.38879828155</v>
      </c>
      <c r="I7" s="956">
        <v>36</v>
      </c>
      <c r="J7" s="957">
        <v>1800818</v>
      </c>
      <c r="K7" s="958">
        <v>2316123.0930000124</v>
      </c>
      <c r="L7" s="958">
        <v>2256862.470557109</v>
      </c>
      <c r="M7" s="958">
        <v>59260.622442903354</v>
      </c>
      <c r="N7" s="960">
        <v>440332.54159297008</v>
      </c>
    </row>
    <row r="8" spans="1:14">
      <c r="A8" s="954">
        <v>3</v>
      </c>
      <c r="B8" s="955" t="s">
        <v>878</v>
      </c>
      <c r="C8" s="956">
        <v>24</v>
      </c>
      <c r="D8" s="957">
        <v>644072</v>
      </c>
      <c r="E8" s="958">
        <v>109331.08305881255</v>
      </c>
      <c r="F8" s="958">
        <v>99395.912645713062</v>
      </c>
      <c r="G8" s="958">
        <v>9935.1704130994804</v>
      </c>
      <c r="H8" s="959">
        <v>92386.339710373257</v>
      </c>
      <c r="I8" s="956">
        <v>25</v>
      </c>
      <c r="J8" s="957">
        <v>639768</v>
      </c>
      <c r="K8" s="958">
        <v>143447.57427866102</v>
      </c>
      <c r="L8" s="958">
        <v>130401.49090272981</v>
      </c>
      <c r="M8" s="958">
        <v>13046.083375931181</v>
      </c>
      <c r="N8" s="960">
        <v>100179.46684758196</v>
      </c>
    </row>
    <row r="9" spans="1:14">
      <c r="A9" s="954">
        <v>4</v>
      </c>
      <c r="B9" s="955" t="s">
        <v>879</v>
      </c>
      <c r="C9" s="956">
        <v>20</v>
      </c>
      <c r="D9" s="957">
        <v>916847</v>
      </c>
      <c r="E9" s="958">
        <v>71608.317777688251</v>
      </c>
      <c r="F9" s="958">
        <v>55482.969644488461</v>
      </c>
      <c r="G9" s="958">
        <v>16125.348133199801</v>
      </c>
      <c r="H9" s="959">
        <v>106354.10963474726</v>
      </c>
      <c r="I9" s="956">
        <v>20</v>
      </c>
      <c r="J9" s="957">
        <v>836038</v>
      </c>
      <c r="K9" s="958">
        <v>92097.542153922608</v>
      </c>
      <c r="L9" s="958">
        <v>79488.81958678519</v>
      </c>
      <c r="M9" s="958">
        <v>12608.722567137422</v>
      </c>
      <c r="N9" s="960">
        <v>106572.00442496758</v>
      </c>
    </row>
    <row r="10" spans="1:14">
      <c r="A10" s="954">
        <v>5</v>
      </c>
      <c r="B10" s="955" t="s">
        <v>880</v>
      </c>
      <c r="C10" s="956">
        <v>23</v>
      </c>
      <c r="D10" s="957">
        <v>439558</v>
      </c>
      <c r="E10" s="958">
        <v>188957.01906265874</v>
      </c>
      <c r="F10" s="958">
        <v>159896.26910931425</v>
      </c>
      <c r="G10" s="958">
        <v>29060.749953344508</v>
      </c>
      <c r="H10" s="959">
        <v>142307.36813117948</v>
      </c>
      <c r="I10" s="956">
        <v>23</v>
      </c>
      <c r="J10" s="957">
        <v>431111</v>
      </c>
      <c r="K10" s="958">
        <v>351974.23194571637</v>
      </c>
      <c r="L10" s="958">
        <v>284617.64228647028</v>
      </c>
      <c r="M10" s="958">
        <v>67356.589659246078</v>
      </c>
      <c r="N10" s="960">
        <v>223990.041922395</v>
      </c>
    </row>
    <row r="11" spans="1:14">
      <c r="A11" s="954">
        <v>6</v>
      </c>
      <c r="B11" s="955" t="s">
        <v>881</v>
      </c>
      <c r="C11" s="956">
        <v>23</v>
      </c>
      <c r="D11" s="957">
        <v>489352</v>
      </c>
      <c r="E11" s="958">
        <v>21400.965521414237</v>
      </c>
      <c r="F11" s="958">
        <v>18108.661776973287</v>
      </c>
      <c r="G11" s="958">
        <v>3292.3037444409483</v>
      </c>
      <c r="H11" s="959">
        <v>98287.496889507558</v>
      </c>
      <c r="I11" s="956">
        <v>23</v>
      </c>
      <c r="J11" s="957">
        <v>439391</v>
      </c>
      <c r="K11" s="958">
        <v>34518.039950604616</v>
      </c>
      <c r="L11" s="958">
        <v>24754.309536565579</v>
      </c>
      <c r="M11" s="958">
        <v>9763.7304140390279</v>
      </c>
      <c r="N11" s="960">
        <v>113068.17832008042</v>
      </c>
    </row>
    <row r="12" spans="1:14">
      <c r="A12" s="954">
        <v>7</v>
      </c>
      <c r="B12" s="955" t="s">
        <v>882</v>
      </c>
      <c r="C12" s="956">
        <v>15</v>
      </c>
      <c r="D12" s="957">
        <v>247469</v>
      </c>
      <c r="E12" s="958">
        <v>1860.1699836342416</v>
      </c>
      <c r="F12" s="958">
        <v>2878.1649841779999</v>
      </c>
      <c r="G12" s="958">
        <v>-1017.9950005437586</v>
      </c>
      <c r="H12" s="959">
        <v>27027.143937979879</v>
      </c>
      <c r="I12" s="956">
        <v>14</v>
      </c>
      <c r="J12" s="957">
        <v>212263</v>
      </c>
      <c r="K12" s="958">
        <v>2356.2515805192165</v>
      </c>
      <c r="L12" s="958">
        <v>3789.7948962103328</v>
      </c>
      <c r="M12" s="958">
        <v>-1433.5433156911174</v>
      </c>
      <c r="N12" s="960">
        <v>25602.01135429538</v>
      </c>
    </row>
    <row r="13" spans="1:14">
      <c r="A13" s="954">
        <v>8</v>
      </c>
      <c r="B13" s="955" t="s">
        <v>883</v>
      </c>
      <c r="C13" s="956">
        <v>12</v>
      </c>
      <c r="D13" s="957">
        <v>105080</v>
      </c>
      <c r="E13" s="958">
        <v>1834.50366237973</v>
      </c>
      <c r="F13" s="958">
        <v>923.09643945199991</v>
      </c>
      <c r="G13" s="958">
        <v>911.40722292773046</v>
      </c>
      <c r="H13" s="959">
        <v>10164.554760066972</v>
      </c>
      <c r="I13" s="956">
        <v>13</v>
      </c>
      <c r="J13" s="957">
        <v>102847</v>
      </c>
      <c r="K13" s="958">
        <v>1317.5711253168356</v>
      </c>
      <c r="L13" s="958">
        <v>779.26066789799995</v>
      </c>
      <c r="M13" s="958">
        <v>538.31045741883577</v>
      </c>
      <c r="N13" s="960">
        <v>11554.713372595816</v>
      </c>
    </row>
    <row r="14" spans="1:14">
      <c r="A14" s="954">
        <v>9</v>
      </c>
      <c r="B14" s="955" t="s">
        <v>884</v>
      </c>
      <c r="C14" s="956">
        <v>7</v>
      </c>
      <c r="D14" s="957">
        <v>47417</v>
      </c>
      <c r="E14" s="958">
        <v>788.29377179699998</v>
      </c>
      <c r="F14" s="958">
        <v>322.37005946600004</v>
      </c>
      <c r="G14" s="958">
        <v>465.92371233099988</v>
      </c>
      <c r="H14" s="959">
        <v>9570.0856389227101</v>
      </c>
      <c r="I14" s="956">
        <v>9</v>
      </c>
      <c r="J14" s="957">
        <v>77892</v>
      </c>
      <c r="K14" s="958">
        <v>5604.4966492619997</v>
      </c>
      <c r="L14" s="958">
        <v>1002.583488743</v>
      </c>
      <c r="M14" s="958">
        <v>4601.9131605190005</v>
      </c>
      <c r="N14" s="960">
        <v>18276.30842140003</v>
      </c>
    </row>
    <row r="15" spans="1:14">
      <c r="A15" s="954">
        <v>10</v>
      </c>
      <c r="B15" s="955" t="s">
        <v>885</v>
      </c>
      <c r="C15" s="956">
        <v>22</v>
      </c>
      <c r="D15" s="957">
        <v>227917</v>
      </c>
      <c r="E15" s="958">
        <v>3245.1869369369233</v>
      </c>
      <c r="F15" s="958">
        <v>3165.1813504759998</v>
      </c>
      <c r="G15" s="958">
        <v>80.005586460922984</v>
      </c>
      <c r="H15" s="959">
        <v>30470.287422671317</v>
      </c>
      <c r="I15" s="956">
        <v>22</v>
      </c>
      <c r="J15" s="957">
        <v>220354</v>
      </c>
      <c r="K15" s="958">
        <v>5762.908716698902</v>
      </c>
      <c r="L15" s="958">
        <v>4499.822284162</v>
      </c>
      <c r="M15" s="958">
        <v>1263.0864325369039</v>
      </c>
      <c r="N15" s="960">
        <v>34512.113986403929</v>
      </c>
    </row>
    <row r="16" spans="1:14">
      <c r="A16" s="954">
        <v>11</v>
      </c>
      <c r="B16" s="955" t="s">
        <v>886</v>
      </c>
      <c r="C16" s="956">
        <v>21</v>
      </c>
      <c r="D16" s="957">
        <v>604977</v>
      </c>
      <c r="E16" s="958">
        <v>19749.604812980189</v>
      </c>
      <c r="F16" s="958">
        <v>18579.33192511852</v>
      </c>
      <c r="G16" s="958">
        <v>1170.2728878616622</v>
      </c>
      <c r="H16" s="959">
        <v>137775.07229674602</v>
      </c>
      <c r="I16" s="956">
        <v>21</v>
      </c>
      <c r="J16" s="957">
        <v>531965</v>
      </c>
      <c r="K16" s="958">
        <v>34965.316263407847</v>
      </c>
      <c r="L16" s="958">
        <v>26787.925349124878</v>
      </c>
      <c r="M16" s="958">
        <v>8177.3909142829589</v>
      </c>
      <c r="N16" s="960">
        <v>162570.26353586023</v>
      </c>
    </row>
    <row r="17" spans="1:14">
      <c r="A17" s="954">
        <v>12</v>
      </c>
      <c r="B17" s="955" t="s">
        <v>887</v>
      </c>
      <c r="C17" s="956">
        <v>14</v>
      </c>
      <c r="D17" s="957">
        <v>227228</v>
      </c>
      <c r="E17" s="958">
        <v>668.23744856463918</v>
      </c>
      <c r="F17" s="958">
        <v>2383.9553721819998</v>
      </c>
      <c r="G17" s="958">
        <v>-1715.7179236173611</v>
      </c>
      <c r="H17" s="959">
        <v>23929.930134168535</v>
      </c>
      <c r="I17" s="956">
        <v>14</v>
      </c>
      <c r="J17" s="957">
        <v>190077</v>
      </c>
      <c r="K17" s="958">
        <v>260.19357851433</v>
      </c>
      <c r="L17" s="958">
        <v>3054.8758801659997</v>
      </c>
      <c r="M17" s="958">
        <v>-2794.6823016516701</v>
      </c>
      <c r="N17" s="960">
        <v>21304.861731113262</v>
      </c>
    </row>
    <row r="18" spans="1:14">
      <c r="A18" s="954">
        <v>13</v>
      </c>
      <c r="B18" s="955" t="s">
        <v>888</v>
      </c>
      <c r="C18" s="956">
        <v>22</v>
      </c>
      <c r="D18" s="957">
        <v>274697</v>
      </c>
      <c r="E18" s="958">
        <v>4673.2245475154232</v>
      </c>
      <c r="F18" s="958">
        <v>8850.6077761527849</v>
      </c>
      <c r="G18" s="958">
        <v>-4177.3832286373608</v>
      </c>
      <c r="H18" s="959">
        <v>79633.739745628773</v>
      </c>
      <c r="I18" s="956">
        <v>22</v>
      </c>
      <c r="J18" s="957">
        <v>241073</v>
      </c>
      <c r="K18" s="958">
        <v>7709.3705477405347</v>
      </c>
      <c r="L18" s="958">
        <v>14731.228275246003</v>
      </c>
      <c r="M18" s="958">
        <v>-7021.8577275054677</v>
      </c>
      <c r="N18" s="960">
        <v>76726.420555242294</v>
      </c>
    </row>
    <row r="19" spans="1:14">
      <c r="A19" s="954">
        <v>14</v>
      </c>
      <c r="B19" s="955" t="s">
        <v>889</v>
      </c>
      <c r="C19" s="956">
        <v>21</v>
      </c>
      <c r="D19" s="957">
        <v>180961</v>
      </c>
      <c r="E19" s="958">
        <v>3832.7154833038803</v>
      </c>
      <c r="F19" s="958">
        <v>2128.1309957360004</v>
      </c>
      <c r="G19" s="958">
        <v>1704.5844875678808</v>
      </c>
      <c r="H19" s="959">
        <v>23958.706561093528</v>
      </c>
      <c r="I19" s="956">
        <v>21</v>
      </c>
      <c r="J19" s="957">
        <v>202816</v>
      </c>
      <c r="K19" s="958">
        <v>17235.851701335923</v>
      </c>
      <c r="L19" s="958">
        <v>7929.070416769001</v>
      </c>
      <c r="M19" s="958">
        <v>9306.7812845669268</v>
      </c>
      <c r="N19" s="960">
        <v>38409.407050312744</v>
      </c>
    </row>
    <row r="20" spans="1:14">
      <c r="A20" s="954">
        <v>15</v>
      </c>
      <c r="B20" s="955" t="s">
        <v>890</v>
      </c>
      <c r="C20" s="956">
        <v>5</v>
      </c>
      <c r="D20" s="957">
        <v>40773</v>
      </c>
      <c r="E20" s="958">
        <v>937.98954490100004</v>
      </c>
      <c r="F20" s="958">
        <v>826.09197179700004</v>
      </c>
      <c r="G20" s="958">
        <v>111.89757310399999</v>
      </c>
      <c r="H20" s="959">
        <v>4025.861107163822</v>
      </c>
      <c r="I20" s="956">
        <v>5</v>
      </c>
      <c r="J20" s="957">
        <v>36148</v>
      </c>
      <c r="K20" s="958">
        <v>957.84969440400005</v>
      </c>
      <c r="L20" s="958">
        <v>1270.0201557726064</v>
      </c>
      <c r="M20" s="958">
        <v>-312.17046136860654</v>
      </c>
      <c r="N20" s="960">
        <v>4672.9885278145339</v>
      </c>
    </row>
    <row r="21" spans="1:14">
      <c r="A21" s="954">
        <v>16</v>
      </c>
      <c r="B21" s="955" t="s">
        <v>891</v>
      </c>
      <c r="C21" s="956">
        <v>13</v>
      </c>
      <c r="D21" s="957">
        <v>228427</v>
      </c>
      <c r="E21" s="958">
        <v>26803.775064089456</v>
      </c>
      <c r="F21" s="958">
        <v>24002.093512246996</v>
      </c>
      <c r="G21" s="958">
        <v>2801.681551842461</v>
      </c>
      <c r="H21" s="959">
        <v>58909.810950913612</v>
      </c>
      <c r="I21" s="956">
        <v>12</v>
      </c>
      <c r="J21" s="957">
        <v>202562</v>
      </c>
      <c r="K21" s="958">
        <v>10963.659989339352</v>
      </c>
      <c r="L21" s="958">
        <v>12465.959902673667</v>
      </c>
      <c r="M21" s="958">
        <v>-1502.2999133343137</v>
      </c>
      <c r="N21" s="960">
        <v>52141.381818541689</v>
      </c>
    </row>
    <row r="22" spans="1:14">
      <c r="A22" s="954"/>
      <c r="B22" s="945" t="s">
        <v>892</v>
      </c>
      <c r="C22" s="946">
        <v>312</v>
      </c>
      <c r="D22" s="950">
        <v>7259960</v>
      </c>
      <c r="E22" s="961">
        <v>5022671.6795602785</v>
      </c>
      <c r="F22" s="961">
        <v>4950115.0377401337</v>
      </c>
      <c r="G22" s="961">
        <v>72556.64182014433</v>
      </c>
      <c r="H22" s="962">
        <v>1305205.2262607885</v>
      </c>
      <c r="I22" s="946">
        <v>315</v>
      </c>
      <c r="J22" s="950">
        <f>SUM(J6:J21)</f>
        <v>7024506</v>
      </c>
      <c r="K22" s="961">
        <v>5791966.5582080223</v>
      </c>
      <c r="L22" s="961">
        <v>5616215.6589188138</v>
      </c>
      <c r="M22" s="961">
        <v>175750.89928920873</v>
      </c>
      <c r="N22" s="963">
        <v>1497187.2729873415</v>
      </c>
    </row>
    <row r="23" spans="1:14">
      <c r="A23" s="954"/>
      <c r="B23" s="964"/>
      <c r="C23" s="956"/>
      <c r="D23" s="957"/>
      <c r="E23" s="958"/>
      <c r="F23" s="958"/>
      <c r="G23" s="958"/>
      <c r="H23" s="959"/>
      <c r="I23" s="965"/>
      <c r="J23" s="966"/>
      <c r="K23" s="958"/>
      <c r="L23" s="958"/>
      <c r="M23" s="958"/>
      <c r="N23" s="960"/>
    </row>
    <row r="24" spans="1:14">
      <c r="A24" s="944" t="s">
        <v>893</v>
      </c>
      <c r="B24" s="945" t="s">
        <v>894</v>
      </c>
      <c r="C24" s="956"/>
      <c r="D24" s="957"/>
      <c r="E24" s="958"/>
      <c r="F24" s="958"/>
      <c r="G24" s="958"/>
      <c r="H24" s="959"/>
      <c r="I24" s="965"/>
      <c r="J24" s="966"/>
      <c r="K24" s="958"/>
      <c r="L24" s="958"/>
      <c r="M24" s="958"/>
      <c r="N24" s="960"/>
    </row>
    <row r="25" spans="1:14">
      <c r="A25" s="954">
        <v>17</v>
      </c>
      <c r="B25" s="967" t="s">
        <v>895</v>
      </c>
      <c r="C25" s="956">
        <v>19</v>
      </c>
      <c r="D25" s="957">
        <v>4281290</v>
      </c>
      <c r="E25" s="958">
        <v>5316.09</v>
      </c>
      <c r="F25" s="958">
        <v>4270.59</v>
      </c>
      <c r="G25" s="958">
        <v>1045.49</v>
      </c>
      <c r="H25" s="959">
        <v>78415.3</v>
      </c>
      <c r="I25" s="956">
        <v>27</v>
      </c>
      <c r="J25" s="957">
        <v>7988882</v>
      </c>
      <c r="K25" s="958">
        <v>35207.927766713117</v>
      </c>
      <c r="L25" s="958">
        <v>12062.072539053743</v>
      </c>
      <c r="M25" s="958">
        <v>23145.855227659365</v>
      </c>
      <c r="N25" s="960">
        <v>180180.6617319519</v>
      </c>
    </row>
    <row r="26" spans="1:14">
      <c r="A26" s="954">
        <v>18</v>
      </c>
      <c r="B26" s="967" t="s">
        <v>896</v>
      </c>
      <c r="C26" s="956">
        <v>31</v>
      </c>
      <c r="D26" s="957">
        <v>12937115</v>
      </c>
      <c r="E26" s="958">
        <v>9006.39</v>
      </c>
      <c r="F26" s="958">
        <v>12365.66</v>
      </c>
      <c r="G26" s="958">
        <v>-3359.26</v>
      </c>
      <c r="H26" s="959">
        <v>259583.23</v>
      </c>
      <c r="I26" s="956">
        <v>32</v>
      </c>
      <c r="J26" s="957">
        <v>14891416</v>
      </c>
      <c r="K26" s="958">
        <v>35295.481629966511</v>
      </c>
      <c r="L26" s="958">
        <v>28227.910727145667</v>
      </c>
      <c r="M26" s="958">
        <v>7067.5709028208457</v>
      </c>
      <c r="N26" s="960">
        <v>379010.08617144951</v>
      </c>
    </row>
    <row r="27" spans="1:14">
      <c r="A27" s="954">
        <v>19</v>
      </c>
      <c r="B27" s="967" t="s">
        <v>897</v>
      </c>
      <c r="C27" s="956">
        <v>26</v>
      </c>
      <c r="D27" s="957">
        <v>7986403</v>
      </c>
      <c r="E27" s="958">
        <v>9033.5400000000009</v>
      </c>
      <c r="F27" s="958">
        <v>6014.88</v>
      </c>
      <c r="G27" s="958">
        <v>3018.66</v>
      </c>
      <c r="H27" s="959">
        <v>148217.79999999999</v>
      </c>
      <c r="I27" s="956">
        <v>30</v>
      </c>
      <c r="J27" s="957">
        <v>10606224</v>
      </c>
      <c r="K27" s="958">
        <v>34444.020350016115</v>
      </c>
      <c r="L27" s="958">
        <v>16981.90306057164</v>
      </c>
      <c r="M27" s="958">
        <v>17462.117289444468</v>
      </c>
      <c r="N27" s="960">
        <v>272809.06486963056</v>
      </c>
    </row>
    <row r="28" spans="1:14">
      <c r="A28" s="954">
        <v>20</v>
      </c>
      <c r="B28" s="967" t="s">
        <v>898</v>
      </c>
      <c r="C28" s="956">
        <v>29</v>
      </c>
      <c r="D28" s="957">
        <v>11049628</v>
      </c>
      <c r="E28" s="958">
        <v>12644.72</v>
      </c>
      <c r="F28" s="958">
        <v>7909.58</v>
      </c>
      <c r="G28" s="958">
        <v>4735.1400000000003</v>
      </c>
      <c r="H28" s="959">
        <v>218145.99</v>
      </c>
      <c r="I28" s="956">
        <v>29</v>
      </c>
      <c r="J28" s="957">
        <v>17511890</v>
      </c>
      <c r="K28" s="958">
        <v>41915.480790894537</v>
      </c>
      <c r="L28" s="958">
        <v>27159.543781894896</v>
      </c>
      <c r="M28" s="958">
        <v>14755.937008999639</v>
      </c>
      <c r="N28" s="960">
        <v>397009.72250742291</v>
      </c>
    </row>
    <row r="29" spans="1:14">
      <c r="A29" s="954">
        <v>21</v>
      </c>
      <c r="B29" s="967" t="s">
        <v>899</v>
      </c>
      <c r="C29" s="956">
        <v>24</v>
      </c>
      <c r="D29" s="957">
        <v>12267299</v>
      </c>
      <c r="E29" s="958">
        <v>16076.07</v>
      </c>
      <c r="F29" s="958">
        <v>5139.37</v>
      </c>
      <c r="G29" s="958">
        <v>10936.69</v>
      </c>
      <c r="H29" s="959">
        <v>168434.34</v>
      </c>
      <c r="I29" s="956">
        <v>28</v>
      </c>
      <c r="J29" s="957">
        <v>22338121</v>
      </c>
      <c r="K29" s="958">
        <v>41408.538795479508</v>
      </c>
      <c r="L29" s="958">
        <v>25822.322918976923</v>
      </c>
      <c r="M29" s="958">
        <v>15586.215876502578</v>
      </c>
      <c r="N29" s="960">
        <v>328837.50114098837</v>
      </c>
    </row>
    <row r="30" spans="1:14">
      <c r="A30" s="954">
        <v>22</v>
      </c>
      <c r="B30" s="967" t="s">
        <v>900</v>
      </c>
      <c r="C30" s="956">
        <v>9</v>
      </c>
      <c r="D30" s="957">
        <v>752821</v>
      </c>
      <c r="E30" s="958">
        <v>1394.39</v>
      </c>
      <c r="F30" s="958">
        <v>584.84</v>
      </c>
      <c r="G30" s="958">
        <v>809.55</v>
      </c>
      <c r="H30" s="959">
        <v>16236.99</v>
      </c>
      <c r="I30" s="956">
        <v>10</v>
      </c>
      <c r="J30" s="957">
        <v>1103567</v>
      </c>
      <c r="K30" s="958">
        <v>6354.048754819999</v>
      </c>
      <c r="L30" s="958">
        <v>2387.0397003452213</v>
      </c>
      <c r="M30" s="958">
        <v>3967.0090544747791</v>
      </c>
      <c r="N30" s="960">
        <v>33439.37510795868</v>
      </c>
    </row>
    <row r="31" spans="1:14">
      <c r="A31" s="954">
        <v>23</v>
      </c>
      <c r="B31" s="967" t="s">
        <v>901</v>
      </c>
      <c r="C31" s="956">
        <v>23</v>
      </c>
      <c r="D31" s="957">
        <v>4936198</v>
      </c>
      <c r="E31" s="958">
        <v>6433.32</v>
      </c>
      <c r="F31" s="958">
        <v>3320.92</v>
      </c>
      <c r="G31" s="958">
        <v>3112.4</v>
      </c>
      <c r="H31" s="959">
        <v>104685.73</v>
      </c>
      <c r="I31" s="956">
        <v>23</v>
      </c>
      <c r="J31" s="957">
        <v>7522759</v>
      </c>
      <c r="K31" s="958">
        <v>22913.076276620573</v>
      </c>
      <c r="L31" s="958">
        <v>11631.829218308656</v>
      </c>
      <c r="M31" s="958">
        <v>11281.247058311921</v>
      </c>
      <c r="N31" s="960">
        <v>195613.57787268559</v>
      </c>
    </row>
    <row r="32" spans="1:14">
      <c r="A32" s="954">
        <v>24</v>
      </c>
      <c r="B32" s="967" t="s">
        <v>902</v>
      </c>
      <c r="C32" s="956">
        <v>27</v>
      </c>
      <c r="D32" s="957">
        <v>5232806</v>
      </c>
      <c r="E32" s="958">
        <v>4795.54</v>
      </c>
      <c r="F32" s="958">
        <v>6888.55</v>
      </c>
      <c r="G32" s="958">
        <v>-2093.0100000000002</v>
      </c>
      <c r="H32" s="959">
        <v>109698.37</v>
      </c>
      <c r="I32" s="956">
        <v>28</v>
      </c>
      <c r="J32" s="957">
        <v>5096721</v>
      </c>
      <c r="K32" s="958">
        <v>12773.692919083216</v>
      </c>
      <c r="L32" s="958">
        <v>14671.459960384156</v>
      </c>
      <c r="M32" s="958">
        <v>-1897.7670413009378</v>
      </c>
      <c r="N32" s="960">
        <v>154190.98613324473</v>
      </c>
    </row>
    <row r="33" spans="1:14">
      <c r="A33" s="954">
        <v>25</v>
      </c>
      <c r="B33" s="967" t="s">
        <v>903</v>
      </c>
      <c r="C33" s="956">
        <v>130</v>
      </c>
      <c r="D33" s="957">
        <v>13344178</v>
      </c>
      <c r="E33" s="958">
        <v>13411.02</v>
      </c>
      <c r="F33" s="958">
        <v>12506.16</v>
      </c>
      <c r="G33" s="958">
        <v>904.86</v>
      </c>
      <c r="H33" s="959">
        <v>196178.06</v>
      </c>
      <c r="I33" s="956">
        <v>183</v>
      </c>
      <c r="J33" s="957">
        <v>27528614</v>
      </c>
      <c r="K33" s="958">
        <v>143274.82721539403</v>
      </c>
      <c r="L33" s="958">
        <v>46785.476902484763</v>
      </c>
      <c r="M33" s="958">
        <v>96489.350312909271</v>
      </c>
      <c r="N33" s="960">
        <v>467187.91913224332</v>
      </c>
    </row>
    <row r="34" spans="1:14">
      <c r="A34" s="954">
        <v>26</v>
      </c>
      <c r="B34" s="967" t="s">
        <v>904</v>
      </c>
      <c r="C34" s="956">
        <v>43</v>
      </c>
      <c r="D34" s="957">
        <v>15301801</v>
      </c>
      <c r="E34" s="958">
        <v>4541.6899999999996</v>
      </c>
      <c r="F34" s="958">
        <v>5459.99</v>
      </c>
      <c r="G34" s="958">
        <v>-918.31</v>
      </c>
      <c r="H34" s="959">
        <v>171034.5</v>
      </c>
      <c r="I34" s="956">
        <v>42</v>
      </c>
      <c r="J34" s="957">
        <v>16625720</v>
      </c>
      <c r="K34" s="958">
        <v>12100.54798190693</v>
      </c>
      <c r="L34" s="958">
        <v>14131.434583237427</v>
      </c>
      <c r="M34" s="958">
        <v>-2030.8866013305008</v>
      </c>
      <c r="N34" s="960">
        <v>257824.28281298713</v>
      </c>
    </row>
    <row r="35" spans="1:14">
      <c r="A35" s="954">
        <v>27</v>
      </c>
      <c r="B35" s="967" t="s">
        <v>905</v>
      </c>
      <c r="C35" s="956">
        <v>36</v>
      </c>
      <c r="D35" s="957">
        <v>12784279</v>
      </c>
      <c r="E35" s="958">
        <v>11599.9</v>
      </c>
      <c r="F35" s="958">
        <v>11434.04</v>
      </c>
      <c r="G35" s="958">
        <v>165.86</v>
      </c>
      <c r="H35" s="959">
        <v>272743.18</v>
      </c>
      <c r="I35" s="956">
        <v>39</v>
      </c>
      <c r="J35" s="957">
        <v>16036032</v>
      </c>
      <c r="K35" s="958">
        <v>47963.343480281284</v>
      </c>
      <c r="L35" s="958">
        <v>29795.897920143136</v>
      </c>
      <c r="M35" s="958">
        <v>18167.445560138156</v>
      </c>
      <c r="N35" s="960">
        <v>444375.4367868242</v>
      </c>
    </row>
    <row r="36" spans="1:14">
      <c r="A36" s="954"/>
      <c r="B36" s="945" t="s">
        <v>906</v>
      </c>
      <c r="C36" s="946">
        <v>397</v>
      </c>
      <c r="D36" s="950">
        <v>100873818</v>
      </c>
      <c r="E36" s="961">
        <v>94252.68</v>
      </c>
      <c r="F36" s="961">
        <v>75894.570000000007</v>
      </c>
      <c r="G36" s="961">
        <v>18358.080000000002</v>
      </c>
      <c r="H36" s="962">
        <v>1743373.48</v>
      </c>
      <c r="I36" s="946">
        <v>471</v>
      </c>
      <c r="J36" s="950">
        <f>SUM(J25:J35)</f>
        <v>147249946</v>
      </c>
      <c r="K36" s="961">
        <v>433650.98596117587</v>
      </c>
      <c r="L36" s="961">
        <v>229656.89131254621</v>
      </c>
      <c r="M36" s="961">
        <v>203994.09464862957</v>
      </c>
      <c r="N36" s="963">
        <v>3110478.614267387</v>
      </c>
    </row>
    <row r="37" spans="1:14">
      <c r="A37" s="954"/>
      <c r="B37" s="964"/>
      <c r="C37" s="956"/>
      <c r="D37" s="957"/>
      <c r="E37" s="958"/>
      <c r="F37" s="958"/>
      <c r="G37" s="958"/>
      <c r="H37" s="959"/>
      <c r="I37" s="965"/>
      <c r="J37" s="966"/>
      <c r="K37" s="958"/>
      <c r="L37" s="958"/>
      <c r="M37" s="958"/>
      <c r="N37" s="960"/>
    </row>
    <row r="38" spans="1:14">
      <c r="A38" s="944" t="s">
        <v>907</v>
      </c>
      <c r="B38" s="945" t="s">
        <v>908</v>
      </c>
      <c r="C38" s="956"/>
      <c r="D38" s="957"/>
      <c r="E38" s="958"/>
      <c r="F38" s="958"/>
      <c r="G38" s="958"/>
      <c r="H38" s="959"/>
      <c r="I38" s="965"/>
      <c r="J38" s="966"/>
      <c r="K38" s="958"/>
      <c r="L38" s="958"/>
      <c r="M38" s="958"/>
      <c r="N38" s="960"/>
    </row>
    <row r="39" spans="1:14">
      <c r="A39" s="954">
        <v>28</v>
      </c>
      <c r="B39" s="967" t="s">
        <v>909</v>
      </c>
      <c r="C39" s="956">
        <v>20</v>
      </c>
      <c r="D39" s="957">
        <v>519553</v>
      </c>
      <c r="E39" s="958">
        <v>1094.69</v>
      </c>
      <c r="F39" s="958">
        <v>1165.98</v>
      </c>
      <c r="G39" s="958">
        <v>-71.290000000000006</v>
      </c>
      <c r="H39" s="959">
        <v>24158.37</v>
      </c>
      <c r="I39" s="956">
        <v>19</v>
      </c>
      <c r="J39" s="957">
        <v>551053</v>
      </c>
      <c r="K39" s="958">
        <v>2749.0924291819097</v>
      </c>
      <c r="L39" s="958">
        <v>3274.4054852008908</v>
      </c>
      <c r="M39" s="958">
        <v>-525.31305601898111</v>
      </c>
      <c r="N39" s="960">
        <v>28574.796709942402</v>
      </c>
    </row>
    <row r="40" spans="1:14">
      <c r="A40" s="954">
        <v>29</v>
      </c>
      <c r="B40" s="967" t="s">
        <v>910</v>
      </c>
      <c r="C40" s="956">
        <v>31</v>
      </c>
      <c r="D40" s="957">
        <v>5291966</v>
      </c>
      <c r="E40" s="958">
        <v>5628.26</v>
      </c>
      <c r="F40" s="958">
        <v>7445.59</v>
      </c>
      <c r="G40" s="958">
        <v>-1817.33</v>
      </c>
      <c r="H40" s="959">
        <v>166686.76</v>
      </c>
      <c r="I40" s="956">
        <v>31</v>
      </c>
      <c r="J40" s="957">
        <v>5595878</v>
      </c>
      <c r="K40" s="958">
        <v>17323.228471412662</v>
      </c>
      <c r="L40" s="958">
        <v>16181.858198071803</v>
      </c>
      <c r="M40" s="958">
        <v>1141.3702733408575</v>
      </c>
      <c r="N40" s="960">
        <v>229296.60038188487</v>
      </c>
    </row>
    <row r="41" spans="1:14">
      <c r="A41" s="954">
        <v>30</v>
      </c>
      <c r="B41" s="967" t="s">
        <v>911</v>
      </c>
      <c r="C41" s="956">
        <v>29</v>
      </c>
      <c r="D41" s="957">
        <v>4430919</v>
      </c>
      <c r="E41" s="958">
        <v>9637.68</v>
      </c>
      <c r="F41" s="958">
        <v>10680.04</v>
      </c>
      <c r="G41" s="958">
        <v>-1042.3599999999999</v>
      </c>
      <c r="H41" s="959">
        <v>204997.12</v>
      </c>
      <c r="I41" s="956">
        <v>34</v>
      </c>
      <c r="J41" s="957">
        <v>4921853</v>
      </c>
      <c r="K41" s="958">
        <v>33941.132860366</v>
      </c>
      <c r="L41" s="958">
        <v>23957.056871911467</v>
      </c>
      <c r="M41" s="958">
        <v>9984.0759884545223</v>
      </c>
      <c r="N41" s="960">
        <v>289102.26198439149</v>
      </c>
    </row>
    <row r="42" spans="1:14">
      <c r="A42" s="954">
        <v>31</v>
      </c>
      <c r="B42" s="967" t="s">
        <v>912</v>
      </c>
      <c r="C42" s="956">
        <v>13</v>
      </c>
      <c r="D42" s="957">
        <v>1139849</v>
      </c>
      <c r="E42" s="958">
        <v>3726.78</v>
      </c>
      <c r="F42" s="958">
        <v>1220.27</v>
      </c>
      <c r="G42" s="958">
        <v>2506.52</v>
      </c>
      <c r="H42" s="959">
        <v>31148.94</v>
      </c>
      <c r="I42" s="956">
        <v>25</v>
      </c>
      <c r="J42" s="957">
        <v>2596723</v>
      </c>
      <c r="K42" s="958">
        <v>26225.278134943059</v>
      </c>
      <c r="L42" s="958">
        <v>6276.2075455204695</v>
      </c>
      <c r="M42" s="958">
        <v>19949.07058942259</v>
      </c>
      <c r="N42" s="960">
        <v>98515.765974845664</v>
      </c>
    </row>
    <row r="43" spans="1:14">
      <c r="A43" s="954">
        <v>32</v>
      </c>
      <c r="B43" s="967" t="s">
        <v>913</v>
      </c>
      <c r="C43" s="956">
        <v>26</v>
      </c>
      <c r="D43" s="957">
        <v>435281</v>
      </c>
      <c r="E43" s="958">
        <v>29686.63</v>
      </c>
      <c r="F43" s="958">
        <v>15965.01</v>
      </c>
      <c r="G43" s="958">
        <v>13721.62</v>
      </c>
      <c r="H43" s="959">
        <v>80625.37</v>
      </c>
      <c r="I43" s="956">
        <v>28</v>
      </c>
      <c r="J43" s="957">
        <v>551949</v>
      </c>
      <c r="K43" s="958">
        <v>151337.32253949522</v>
      </c>
      <c r="L43" s="958">
        <v>110986.40983490397</v>
      </c>
      <c r="M43" s="958">
        <v>40350.912704591319</v>
      </c>
      <c r="N43" s="960">
        <v>189863.14858743313</v>
      </c>
    </row>
    <row r="44" spans="1:14">
      <c r="A44" s="954">
        <v>33</v>
      </c>
      <c r="B44" s="967" t="s">
        <v>914</v>
      </c>
      <c r="C44" s="956">
        <v>22</v>
      </c>
      <c r="D44" s="957">
        <v>362326</v>
      </c>
      <c r="E44" s="958">
        <v>2495.87</v>
      </c>
      <c r="F44" s="958">
        <v>1771.98</v>
      </c>
      <c r="G44" s="958">
        <v>723.89</v>
      </c>
      <c r="H44" s="959">
        <v>17888.919999999998</v>
      </c>
      <c r="I44" s="956">
        <v>22</v>
      </c>
      <c r="J44" s="957">
        <v>450253</v>
      </c>
      <c r="K44" s="958">
        <v>17033.479819461521</v>
      </c>
      <c r="L44" s="958">
        <v>8882.8244781270841</v>
      </c>
      <c r="M44" s="958">
        <v>8150.6553413344391</v>
      </c>
      <c r="N44" s="960">
        <v>39546.400856360087</v>
      </c>
    </row>
    <row r="45" spans="1:14">
      <c r="A45" s="954"/>
      <c r="B45" s="945" t="s">
        <v>915</v>
      </c>
      <c r="C45" s="946">
        <v>141</v>
      </c>
      <c r="D45" s="950">
        <v>12179894</v>
      </c>
      <c r="E45" s="961">
        <v>52269.91</v>
      </c>
      <c r="F45" s="961">
        <v>38248.870000000003</v>
      </c>
      <c r="G45" s="961">
        <v>14021.04</v>
      </c>
      <c r="H45" s="962">
        <v>525505.48</v>
      </c>
      <c r="I45" s="946">
        <v>159</v>
      </c>
      <c r="J45" s="950">
        <v>14667709</v>
      </c>
      <c r="K45" s="961">
        <v>248609.53425486037</v>
      </c>
      <c r="L45" s="961">
        <v>169558.76241373571</v>
      </c>
      <c r="M45" s="961">
        <v>79050.771841124748</v>
      </c>
      <c r="N45" s="963">
        <v>874898.9744948576</v>
      </c>
    </row>
    <row r="46" spans="1:14">
      <c r="A46" s="954"/>
      <c r="B46" s="964"/>
      <c r="C46" s="956"/>
      <c r="D46" s="957"/>
      <c r="E46" s="958"/>
      <c r="F46" s="958"/>
      <c r="G46" s="958"/>
      <c r="H46" s="959"/>
      <c r="I46" s="965"/>
      <c r="J46" s="966"/>
      <c r="K46" s="958"/>
      <c r="L46" s="958"/>
      <c r="M46" s="958"/>
      <c r="N46" s="960"/>
    </row>
    <row r="47" spans="1:14">
      <c r="A47" s="944" t="s">
        <v>916</v>
      </c>
      <c r="B47" s="945" t="s">
        <v>917</v>
      </c>
      <c r="C47" s="956"/>
      <c r="D47" s="957"/>
      <c r="E47" s="958"/>
      <c r="F47" s="958"/>
      <c r="G47" s="958"/>
      <c r="H47" s="959"/>
      <c r="I47" s="965"/>
      <c r="J47" s="966"/>
      <c r="K47" s="958"/>
      <c r="L47" s="958"/>
      <c r="M47" s="958"/>
      <c r="N47" s="960"/>
    </row>
    <row r="48" spans="1:14">
      <c r="A48" s="954">
        <v>34</v>
      </c>
      <c r="B48" s="967" t="s">
        <v>918</v>
      </c>
      <c r="C48" s="956">
        <v>26</v>
      </c>
      <c r="D48" s="957">
        <v>2774489</v>
      </c>
      <c r="E48" s="958">
        <v>701.19</v>
      </c>
      <c r="F48" s="958">
        <v>435.96</v>
      </c>
      <c r="G48" s="958">
        <v>265.23</v>
      </c>
      <c r="H48" s="959">
        <v>20199.11</v>
      </c>
      <c r="I48" s="956">
        <v>29</v>
      </c>
      <c r="J48" s="957">
        <v>2957658</v>
      </c>
      <c r="K48" s="958">
        <v>2311.7671050670001</v>
      </c>
      <c r="L48" s="958">
        <v>1195.726697363737</v>
      </c>
      <c r="M48" s="958">
        <v>1116.0404077032631</v>
      </c>
      <c r="N48" s="960">
        <v>31047.154938352684</v>
      </c>
    </row>
    <row r="49" spans="1:14">
      <c r="A49" s="954">
        <v>35</v>
      </c>
      <c r="B49" s="967" t="s">
        <v>919</v>
      </c>
      <c r="C49" s="956">
        <v>10</v>
      </c>
      <c r="D49" s="957">
        <v>2933164</v>
      </c>
      <c r="E49" s="958">
        <v>336.48</v>
      </c>
      <c r="F49" s="958">
        <v>182.65</v>
      </c>
      <c r="G49" s="958">
        <v>153.83000000000001</v>
      </c>
      <c r="H49" s="959">
        <v>15887.98</v>
      </c>
      <c r="I49" s="956">
        <v>11</v>
      </c>
      <c r="J49" s="957">
        <v>3016144</v>
      </c>
      <c r="K49" s="958">
        <v>980.22009979100005</v>
      </c>
      <c r="L49" s="958">
        <v>513.23623315339466</v>
      </c>
      <c r="M49" s="958">
        <v>466.98386663760527</v>
      </c>
      <c r="N49" s="960">
        <v>22891.564803998339</v>
      </c>
    </row>
    <row r="50" spans="1:14">
      <c r="A50" s="954"/>
      <c r="B50" s="945" t="s">
        <v>920</v>
      </c>
      <c r="C50" s="946">
        <v>36</v>
      </c>
      <c r="D50" s="950">
        <v>5707653</v>
      </c>
      <c r="E50" s="961">
        <v>1037.67</v>
      </c>
      <c r="F50" s="961">
        <v>618.62</v>
      </c>
      <c r="G50" s="961">
        <v>419.06</v>
      </c>
      <c r="H50" s="962">
        <v>36087.08</v>
      </c>
      <c r="I50" s="946">
        <v>40</v>
      </c>
      <c r="J50" s="950">
        <v>5973802</v>
      </c>
      <c r="K50" s="961">
        <v>3291.987204858</v>
      </c>
      <c r="L50" s="961">
        <v>1708.9629305171316</v>
      </c>
      <c r="M50" s="961">
        <v>1583.0242743408685</v>
      </c>
      <c r="N50" s="963">
        <v>53938.719742351022</v>
      </c>
    </row>
    <row r="51" spans="1:14">
      <c r="A51" s="954"/>
      <c r="B51" s="964"/>
      <c r="C51" s="956"/>
      <c r="D51" s="957"/>
      <c r="E51" s="958"/>
      <c r="F51" s="958"/>
      <c r="G51" s="958"/>
      <c r="H51" s="959"/>
      <c r="I51" s="965"/>
      <c r="J51" s="966"/>
      <c r="K51" s="958"/>
      <c r="L51" s="958"/>
      <c r="M51" s="958"/>
      <c r="N51" s="960"/>
    </row>
    <row r="52" spans="1:14">
      <c r="A52" s="944" t="s">
        <v>921</v>
      </c>
      <c r="B52" s="945" t="s">
        <v>922</v>
      </c>
      <c r="C52" s="956"/>
      <c r="D52" s="957"/>
      <c r="E52" s="958"/>
      <c r="F52" s="958"/>
      <c r="G52" s="958"/>
      <c r="H52" s="959"/>
      <c r="I52" s="965"/>
      <c r="J52" s="966"/>
      <c r="K52" s="958"/>
      <c r="L52" s="958"/>
      <c r="M52" s="958"/>
      <c r="N52" s="960"/>
    </row>
    <row r="53" spans="1:14">
      <c r="A53" s="954">
        <v>36</v>
      </c>
      <c r="B53" s="955" t="s">
        <v>923</v>
      </c>
      <c r="C53" s="956">
        <v>185</v>
      </c>
      <c r="D53" s="957">
        <v>4495761</v>
      </c>
      <c r="E53" s="958">
        <v>9475.4699999999993</v>
      </c>
      <c r="F53" s="958">
        <v>10125.17</v>
      </c>
      <c r="G53" s="958">
        <v>-649.69000000000005</v>
      </c>
      <c r="H53" s="959">
        <v>175468.04</v>
      </c>
      <c r="I53" s="956">
        <v>243</v>
      </c>
      <c r="J53" s="957">
        <v>11233678</v>
      </c>
      <c r="K53" s="958">
        <v>59879.661295450715</v>
      </c>
      <c r="L53" s="958">
        <v>30566.20755492464</v>
      </c>
      <c r="M53" s="958">
        <v>29313.453740526074</v>
      </c>
      <c r="N53" s="960">
        <v>269691.22961992212</v>
      </c>
    </row>
    <row r="54" spans="1:14">
      <c r="A54" s="954">
        <v>37</v>
      </c>
      <c r="B54" s="955" t="s">
        <v>924</v>
      </c>
      <c r="C54" s="956">
        <v>13</v>
      </c>
      <c r="D54" s="957">
        <v>4752363</v>
      </c>
      <c r="E54" s="958">
        <v>605.99</v>
      </c>
      <c r="F54" s="958">
        <v>308.01</v>
      </c>
      <c r="G54" s="958">
        <v>297.97000000000003</v>
      </c>
      <c r="H54" s="959">
        <v>22339.39</v>
      </c>
      <c r="I54" s="956">
        <v>17</v>
      </c>
      <c r="J54" s="957">
        <v>5710499</v>
      </c>
      <c r="K54" s="958">
        <v>7329.4303568949999</v>
      </c>
      <c r="L54" s="958">
        <v>1989.8053797739999</v>
      </c>
      <c r="M54" s="958">
        <v>5339.6249771209996</v>
      </c>
      <c r="N54" s="960">
        <v>39823.500736411057</v>
      </c>
    </row>
    <row r="55" spans="1:14">
      <c r="A55" s="954">
        <v>38</v>
      </c>
      <c r="B55" s="955" t="s">
        <v>925</v>
      </c>
      <c r="C55" s="956">
        <v>161</v>
      </c>
      <c r="D55" s="957">
        <v>12124531</v>
      </c>
      <c r="E55" s="958">
        <v>28829.61</v>
      </c>
      <c r="F55" s="958">
        <v>14113.07</v>
      </c>
      <c r="G55" s="958">
        <v>14716.54</v>
      </c>
      <c r="H55" s="959">
        <v>538872.99</v>
      </c>
      <c r="I55" s="956">
        <v>209</v>
      </c>
      <c r="J55" s="957">
        <v>16728549</v>
      </c>
      <c r="K55" s="958">
        <v>103269.35193911901</v>
      </c>
      <c r="L55" s="958">
        <v>61436.740721174829</v>
      </c>
      <c r="M55" s="958">
        <v>41832.611217944177</v>
      </c>
      <c r="N55" s="960">
        <v>810272.77089760825</v>
      </c>
    </row>
    <row r="56" spans="1:14">
      <c r="A56" s="954">
        <v>39</v>
      </c>
      <c r="B56" s="955" t="s">
        <v>926</v>
      </c>
      <c r="C56" s="956">
        <v>50</v>
      </c>
      <c r="D56" s="957">
        <v>1348079</v>
      </c>
      <c r="E56" s="958">
        <v>781.08</v>
      </c>
      <c r="F56" s="958">
        <v>1656.37</v>
      </c>
      <c r="G56" s="958">
        <v>-875.29</v>
      </c>
      <c r="H56" s="959">
        <v>23869.39</v>
      </c>
      <c r="I56" s="956">
        <v>55</v>
      </c>
      <c r="J56" s="957">
        <v>1387107</v>
      </c>
      <c r="K56" s="958">
        <v>1494.5549642960002</v>
      </c>
      <c r="L56" s="958">
        <v>3586.9440846582179</v>
      </c>
      <c r="M56" s="958">
        <v>-2092.3891203622179</v>
      </c>
      <c r="N56" s="960">
        <v>25866.393264723069</v>
      </c>
    </row>
    <row r="57" spans="1:14">
      <c r="A57" s="954"/>
      <c r="B57" s="945" t="s">
        <v>927</v>
      </c>
      <c r="C57" s="946">
        <v>409</v>
      </c>
      <c r="D57" s="950">
        <v>22720734</v>
      </c>
      <c r="E57" s="961">
        <v>39692.15</v>
      </c>
      <c r="F57" s="961">
        <v>26202.62</v>
      </c>
      <c r="G57" s="961">
        <v>13489.53</v>
      </c>
      <c r="H57" s="962">
        <v>760549.8</v>
      </c>
      <c r="I57" s="946">
        <v>524</v>
      </c>
      <c r="J57" s="950">
        <v>35059833</v>
      </c>
      <c r="K57" s="961">
        <v>171972.99855576071</v>
      </c>
      <c r="L57" s="961">
        <v>97579.697740531687</v>
      </c>
      <c r="M57" s="961">
        <v>74393.300815229028</v>
      </c>
      <c r="N57" s="963">
        <v>1145653.8945186646</v>
      </c>
    </row>
    <row r="58" spans="1:14">
      <c r="A58" s="954"/>
      <c r="B58" s="964"/>
      <c r="C58" s="956"/>
      <c r="D58" s="957"/>
      <c r="E58" s="958"/>
      <c r="F58" s="958"/>
      <c r="G58" s="958"/>
      <c r="H58" s="959"/>
      <c r="I58" s="965"/>
      <c r="J58" s="966"/>
      <c r="K58" s="958"/>
      <c r="L58" s="958"/>
      <c r="M58" s="958"/>
      <c r="N58" s="960"/>
    </row>
    <row r="59" spans="1:14">
      <c r="A59" s="954"/>
      <c r="B59" s="945" t="s">
        <v>928</v>
      </c>
      <c r="C59" s="946">
        <v>1299</v>
      </c>
      <c r="D59" s="950">
        <v>148689499</v>
      </c>
      <c r="E59" s="961">
        <v>2630139.44</v>
      </c>
      <c r="F59" s="961">
        <v>2445350.7799999998</v>
      </c>
      <c r="G59" s="961">
        <v>184788.63</v>
      </c>
      <c r="H59" s="962">
        <v>4412998.4400000004</v>
      </c>
      <c r="I59" s="946">
        <v>1509</v>
      </c>
      <c r="J59" s="950">
        <v>209975796</v>
      </c>
      <c r="K59" s="961">
        <v>6649492.0641846769</v>
      </c>
      <c r="L59" s="961">
        <v>6114719.9733161442</v>
      </c>
      <c r="M59" s="961">
        <v>534772.09086853301</v>
      </c>
      <c r="N59" s="963">
        <v>6682157.476010602</v>
      </c>
    </row>
    <row r="60" spans="1:14">
      <c r="A60" s="954"/>
      <c r="B60" s="964"/>
      <c r="C60" s="956"/>
      <c r="D60" s="957"/>
      <c r="E60" s="958"/>
      <c r="F60" s="958"/>
      <c r="G60" s="958"/>
      <c r="H60" s="959"/>
      <c r="I60" s="965"/>
      <c r="J60" s="966"/>
      <c r="K60" s="958"/>
      <c r="L60" s="958"/>
      <c r="M60" s="958"/>
      <c r="N60" s="960"/>
    </row>
    <row r="61" spans="1:14" s="926" customFormat="1">
      <c r="A61" s="968" t="s">
        <v>929</v>
      </c>
      <c r="B61" s="945" t="s">
        <v>930</v>
      </c>
      <c r="C61" s="956"/>
      <c r="D61" s="957"/>
      <c r="E61" s="958"/>
      <c r="F61" s="958"/>
      <c r="G61" s="958"/>
      <c r="H61" s="959"/>
      <c r="I61" s="965"/>
      <c r="J61" s="966"/>
      <c r="K61" s="958"/>
      <c r="L61" s="958"/>
      <c r="M61" s="958"/>
      <c r="N61" s="960"/>
    </row>
    <row r="62" spans="1:14">
      <c r="A62" s="954" t="s">
        <v>874</v>
      </c>
      <c r="B62" s="955" t="s">
        <v>875</v>
      </c>
      <c r="C62" s="956"/>
      <c r="D62" s="957"/>
      <c r="E62" s="958"/>
      <c r="F62" s="958"/>
      <c r="G62" s="958"/>
      <c r="H62" s="959"/>
      <c r="I62" s="965"/>
      <c r="J62" s="966"/>
      <c r="K62" s="958"/>
      <c r="L62" s="958"/>
      <c r="M62" s="958"/>
      <c r="N62" s="960"/>
    </row>
    <row r="63" spans="1:14">
      <c r="A63" s="954" t="s">
        <v>931</v>
      </c>
      <c r="B63" s="955" t="s">
        <v>932</v>
      </c>
      <c r="C63" s="956">
        <v>92</v>
      </c>
      <c r="D63" s="957">
        <v>134471</v>
      </c>
      <c r="E63" s="958">
        <v>102.64</v>
      </c>
      <c r="F63" s="958">
        <v>4850.99</v>
      </c>
      <c r="G63" s="958">
        <v>-4748.3500000000004</v>
      </c>
      <c r="H63" s="959">
        <v>19564.330000000002</v>
      </c>
      <c r="I63" s="956">
        <v>79</v>
      </c>
      <c r="J63" s="957">
        <v>67821</v>
      </c>
      <c r="K63" s="958">
        <v>0</v>
      </c>
      <c r="L63" s="958">
        <v>1088.5217587509999</v>
      </c>
      <c r="M63" s="958">
        <v>-1088.5217587509999</v>
      </c>
      <c r="N63" s="960">
        <v>15518.763301906682</v>
      </c>
    </row>
    <row r="64" spans="1:14">
      <c r="A64" s="954" t="s">
        <v>933</v>
      </c>
      <c r="B64" s="955" t="s">
        <v>934</v>
      </c>
      <c r="C64" s="956">
        <v>3</v>
      </c>
      <c r="D64" s="957">
        <v>2883</v>
      </c>
      <c r="E64" s="958">
        <v>0</v>
      </c>
      <c r="F64" s="958">
        <v>533.65</v>
      </c>
      <c r="G64" s="958">
        <v>-533.65</v>
      </c>
      <c r="H64" s="959">
        <v>119.12</v>
      </c>
      <c r="I64" s="956">
        <v>0</v>
      </c>
      <c r="J64" s="957">
        <v>0</v>
      </c>
      <c r="K64" s="958">
        <v>0</v>
      </c>
      <c r="L64" s="958">
        <v>0</v>
      </c>
      <c r="M64" s="958">
        <v>0</v>
      </c>
      <c r="N64" s="960">
        <v>0</v>
      </c>
    </row>
    <row r="65" spans="1:14">
      <c r="A65" s="954" t="s">
        <v>935</v>
      </c>
      <c r="B65" s="955" t="s">
        <v>936</v>
      </c>
      <c r="C65" s="956">
        <v>7</v>
      </c>
      <c r="D65" s="957">
        <v>52</v>
      </c>
      <c r="E65" s="958">
        <v>0</v>
      </c>
      <c r="F65" s="958">
        <v>0</v>
      </c>
      <c r="G65" s="958">
        <v>0</v>
      </c>
      <c r="H65" s="959">
        <v>2055.17</v>
      </c>
      <c r="I65" s="956">
        <v>4</v>
      </c>
      <c r="J65" s="957">
        <v>30</v>
      </c>
      <c r="K65" s="958">
        <v>0</v>
      </c>
      <c r="L65" s="958">
        <v>606.48123177704792</v>
      </c>
      <c r="M65" s="958">
        <v>-606.48123177704804</v>
      </c>
      <c r="N65" s="960">
        <v>1073.7231904577</v>
      </c>
    </row>
    <row r="66" spans="1:14">
      <c r="A66" s="954" t="s">
        <v>937</v>
      </c>
      <c r="B66" s="955" t="s">
        <v>938</v>
      </c>
      <c r="C66" s="956">
        <v>0</v>
      </c>
      <c r="D66" s="957">
        <v>0</v>
      </c>
      <c r="E66" s="958">
        <v>0</v>
      </c>
      <c r="F66" s="958">
        <v>0</v>
      </c>
      <c r="G66" s="958">
        <v>0</v>
      </c>
      <c r="H66" s="959">
        <v>0</v>
      </c>
      <c r="I66" s="956">
        <v>1</v>
      </c>
      <c r="J66" s="957">
        <v>199861</v>
      </c>
      <c r="K66" s="958">
        <v>114.1</v>
      </c>
      <c r="L66" s="958">
        <v>437.43</v>
      </c>
      <c r="M66" s="958">
        <v>-323.33000000000004</v>
      </c>
      <c r="N66" s="960">
        <v>5611.17</v>
      </c>
    </row>
    <row r="67" spans="1:14">
      <c r="A67" s="954"/>
      <c r="B67" s="945" t="s">
        <v>939</v>
      </c>
      <c r="C67" s="946">
        <v>102</v>
      </c>
      <c r="D67" s="950">
        <v>137406</v>
      </c>
      <c r="E67" s="961">
        <v>102.64</v>
      </c>
      <c r="F67" s="961">
        <v>5384.64</v>
      </c>
      <c r="G67" s="961">
        <v>-5282</v>
      </c>
      <c r="H67" s="962">
        <v>21738.61</v>
      </c>
      <c r="I67" s="946">
        <v>84</v>
      </c>
      <c r="J67" s="950">
        <v>267712</v>
      </c>
      <c r="K67" s="961">
        <v>114.1</v>
      </c>
      <c r="L67" s="961">
        <v>2132.4329905280479</v>
      </c>
      <c r="M67" s="961">
        <v>-2018.332990528048</v>
      </c>
      <c r="N67" s="963">
        <v>22203.656492364382</v>
      </c>
    </row>
    <row r="68" spans="1:14">
      <c r="A68" s="954"/>
      <c r="B68" s="964"/>
      <c r="C68" s="956"/>
      <c r="D68" s="957"/>
      <c r="E68" s="958"/>
      <c r="F68" s="958"/>
      <c r="G68" s="958"/>
      <c r="H68" s="959"/>
      <c r="I68" s="965"/>
      <c r="J68" s="966"/>
      <c r="K68" s="958"/>
      <c r="L68" s="958"/>
      <c r="M68" s="958"/>
      <c r="N68" s="960"/>
    </row>
    <row r="69" spans="1:14">
      <c r="A69" s="954" t="s">
        <v>893</v>
      </c>
      <c r="B69" s="955" t="s">
        <v>894</v>
      </c>
      <c r="C69" s="956"/>
      <c r="D69" s="957"/>
      <c r="E69" s="958"/>
      <c r="F69" s="958"/>
      <c r="G69" s="958"/>
      <c r="H69" s="959"/>
      <c r="I69" s="965"/>
      <c r="J69" s="966"/>
      <c r="K69" s="958"/>
      <c r="L69" s="958"/>
      <c r="M69" s="958"/>
      <c r="N69" s="960"/>
    </row>
    <row r="70" spans="1:14">
      <c r="A70" s="954" t="s">
        <v>931</v>
      </c>
      <c r="B70" s="955" t="s">
        <v>904</v>
      </c>
      <c r="C70" s="956">
        <v>19</v>
      </c>
      <c r="D70" s="957">
        <v>292193</v>
      </c>
      <c r="E70" s="958">
        <v>0</v>
      </c>
      <c r="F70" s="958">
        <v>93.94</v>
      </c>
      <c r="G70" s="958">
        <v>-93.94</v>
      </c>
      <c r="H70" s="959">
        <v>3723.64</v>
      </c>
      <c r="I70" s="956">
        <v>18</v>
      </c>
      <c r="J70" s="957">
        <v>269909</v>
      </c>
      <c r="K70" s="958">
        <v>0</v>
      </c>
      <c r="L70" s="958">
        <v>174.3229454687085</v>
      </c>
      <c r="M70" s="958">
        <v>-174.3229454687085</v>
      </c>
      <c r="N70" s="960">
        <v>4781.2143845240416</v>
      </c>
    </row>
    <row r="71" spans="1:14">
      <c r="A71" s="954" t="s">
        <v>933</v>
      </c>
      <c r="B71" s="955" t="s">
        <v>290</v>
      </c>
      <c r="C71" s="956">
        <v>5</v>
      </c>
      <c r="D71" s="957">
        <v>9876</v>
      </c>
      <c r="E71" s="958">
        <v>0</v>
      </c>
      <c r="F71" s="958">
        <v>1837.48</v>
      </c>
      <c r="G71" s="958">
        <v>-1837.48</v>
      </c>
      <c r="H71" s="959">
        <v>479.58</v>
      </c>
      <c r="I71" s="956">
        <v>0</v>
      </c>
      <c r="J71" s="957">
        <v>0</v>
      </c>
      <c r="K71" s="958">
        <v>0</v>
      </c>
      <c r="L71" s="958">
        <v>0</v>
      </c>
      <c r="M71" s="958">
        <v>0</v>
      </c>
      <c r="N71" s="960">
        <v>0</v>
      </c>
    </row>
    <row r="72" spans="1:14">
      <c r="A72" s="954"/>
      <c r="B72" s="945" t="s">
        <v>939</v>
      </c>
      <c r="C72" s="946">
        <v>24</v>
      </c>
      <c r="D72" s="950">
        <v>302069</v>
      </c>
      <c r="E72" s="961">
        <v>0</v>
      </c>
      <c r="F72" s="961">
        <v>1931.42</v>
      </c>
      <c r="G72" s="961">
        <v>-1931.42</v>
      </c>
      <c r="H72" s="962">
        <v>4203.22</v>
      </c>
      <c r="I72" s="946">
        <v>18</v>
      </c>
      <c r="J72" s="950">
        <v>269909</v>
      </c>
      <c r="K72" s="961">
        <v>0</v>
      </c>
      <c r="L72" s="961">
        <v>174.3229454687085</v>
      </c>
      <c r="M72" s="961">
        <v>-174.3229454687085</v>
      </c>
      <c r="N72" s="963">
        <v>4781.2143845240416</v>
      </c>
    </row>
    <row r="73" spans="1:14">
      <c r="A73" s="954"/>
      <c r="B73" s="964"/>
      <c r="C73" s="956"/>
      <c r="D73" s="957"/>
      <c r="E73" s="958"/>
      <c r="F73" s="958"/>
      <c r="G73" s="958"/>
      <c r="H73" s="959"/>
      <c r="I73" s="965"/>
      <c r="J73" s="966"/>
      <c r="K73" s="958"/>
      <c r="L73" s="958"/>
      <c r="M73" s="958"/>
      <c r="N73" s="960"/>
    </row>
    <row r="74" spans="1:14">
      <c r="A74" s="954" t="s">
        <v>907</v>
      </c>
      <c r="B74" s="955" t="s">
        <v>922</v>
      </c>
      <c r="C74" s="946">
        <v>0</v>
      </c>
      <c r="D74" s="950">
        <v>0</v>
      </c>
      <c r="E74" s="961">
        <v>0</v>
      </c>
      <c r="F74" s="961">
        <v>0</v>
      </c>
      <c r="G74" s="961">
        <v>0</v>
      </c>
      <c r="H74" s="962">
        <v>0</v>
      </c>
      <c r="I74" s="969">
        <v>0</v>
      </c>
      <c r="J74" s="970">
        <v>0</v>
      </c>
      <c r="K74" s="961">
        <v>0</v>
      </c>
      <c r="L74" s="961">
        <v>0</v>
      </c>
      <c r="M74" s="961">
        <v>0</v>
      </c>
      <c r="N74" s="963">
        <v>0</v>
      </c>
    </row>
    <row r="75" spans="1:14">
      <c r="A75" s="954"/>
      <c r="B75" s="964"/>
      <c r="C75" s="956"/>
      <c r="D75" s="957"/>
      <c r="E75" s="958"/>
      <c r="F75" s="958"/>
      <c r="G75" s="958"/>
      <c r="H75" s="959"/>
      <c r="I75" s="965"/>
      <c r="J75" s="966"/>
      <c r="K75" s="958"/>
      <c r="L75" s="958"/>
      <c r="M75" s="958"/>
      <c r="N75" s="960"/>
    </row>
    <row r="76" spans="1:14">
      <c r="A76" s="954"/>
      <c r="B76" s="945" t="s">
        <v>940</v>
      </c>
      <c r="C76" s="946">
        <v>126</v>
      </c>
      <c r="D76" s="950">
        <v>439475</v>
      </c>
      <c r="E76" s="961">
        <v>102.64</v>
      </c>
      <c r="F76" s="961">
        <v>7316.05</v>
      </c>
      <c r="G76" s="961">
        <v>-7213.41</v>
      </c>
      <c r="H76" s="962">
        <v>25941.83</v>
      </c>
      <c r="I76" s="946">
        <v>102</v>
      </c>
      <c r="J76" s="950">
        <v>537621</v>
      </c>
      <c r="K76" s="961">
        <v>114.1</v>
      </c>
      <c r="L76" s="961">
        <v>2306.7559359967563</v>
      </c>
      <c r="M76" s="961">
        <v>-2192.6559359967564</v>
      </c>
      <c r="N76" s="963">
        <v>26984.870876888424</v>
      </c>
    </row>
    <row r="77" spans="1:14">
      <c r="A77" s="954"/>
      <c r="B77" s="964"/>
      <c r="C77" s="956"/>
      <c r="D77" s="957"/>
      <c r="E77" s="958"/>
      <c r="F77" s="958"/>
      <c r="G77" s="958"/>
      <c r="H77" s="959"/>
      <c r="I77" s="965"/>
      <c r="J77" s="966"/>
      <c r="K77" s="958"/>
      <c r="L77" s="958"/>
      <c r="M77" s="958"/>
      <c r="N77" s="960"/>
    </row>
    <row r="78" spans="1:14" s="926" customFormat="1">
      <c r="A78" s="968" t="s">
        <v>941</v>
      </c>
      <c r="B78" s="945" t="s">
        <v>942</v>
      </c>
      <c r="C78" s="956"/>
      <c r="D78" s="957"/>
      <c r="E78" s="958"/>
      <c r="F78" s="958"/>
      <c r="G78" s="958"/>
      <c r="H78" s="959"/>
      <c r="I78" s="965"/>
      <c r="J78" s="966"/>
      <c r="K78" s="958"/>
      <c r="L78" s="958"/>
      <c r="M78" s="958"/>
      <c r="N78" s="960"/>
    </row>
    <row r="79" spans="1:14">
      <c r="A79" s="954" t="s">
        <v>874</v>
      </c>
      <c r="B79" s="955" t="s">
        <v>875</v>
      </c>
      <c r="C79" s="946">
        <v>12</v>
      </c>
      <c r="D79" s="950">
        <v>2734</v>
      </c>
      <c r="E79" s="961">
        <v>11.01</v>
      </c>
      <c r="F79" s="961">
        <v>753.31</v>
      </c>
      <c r="G79" s="961">
        <v>-742.3</v>
      </c>
      <c r="H79" s="962">
        <v>246.94</v>
      </c>
      <c r="I79" s="946">
        <v>12</v>
      </c>
      <c r="J79" s="950">
        <v>2267</v>
      </c>
      <c r="K79" s="961">
        <v>2.4571647000000002E-2</v>
      </c>
      <c r="L79" s="961">
        <v>413.17141211000001</v>
      </c>
      <c r="M79" s="961">
        <v>-413.14684046299999</v>
      </c>
      <c r="N79" s="963">
        <v>116.79686167665585</v>
      </c>
    </row>
    <row r="80" spans="1:14">
      <c r="A80" s="954"/>
      <c r="B80" s="964"/>
      <c r="C80" s="956"/>
      <c r="D80" s="957"/>
      <c r="E80" s="958"/>
      <c r="F80" s="958"/>
      <c r="G80" s="958"/>
      <c r="H80" s="959"/>
      <c r="I80" s="956"/>
      <c r="J80" s="957"/>
      <c r="K80" s="958"/>
      <c r="L80" s="958"/>
      <c r="M80" s="958"/>
      <c r="N80" s="960"/>
    </row>
    <row r="81" spans="1:14">
      <c r="A81" s="954" t="s">
        <v>893</v>
      </c>
      <c r="B81" s="955" t="s">
        <v>943</v>
      </c>
      <c r="C81" s="946">
        <v>0</v>
      </c>
      <c r="D81" s="950">
        <v>0</v>
      </c>
      <c r="E81" s="961">
        <v>0</v>
      </c>
      <c r="F81" s="961">
        <v>0</v>
      </c>
      <c r="G81" s="961">
        <v>0</v>
      </c>
      <c r="H81" s="962">
        <v>0</v>
      </c>
      <c r="I81" s="946">
        <v>0</v>
      </c>
      <c r="J81" s="950">
        <v>0</v>
      </c>
      <c r="K81" s="961">
        <v>0</v>
      </c>
      <c r="L81" s="961">
        <v>0</v>
      </c>
      <c r="M81" s="961">
        <v>0</v>
      </c>
      <c r="N81" s="963">
        <v>0</v>
      </c>
    </row>
    <row r="82" spans="1:14">
      <c r="A82" s="954"/>
      <c r="B82" s="964"/>
      <c r="C82" s="956"/>
      <c r="D82" s="957"/>
      <c r="E82" s="958"/>
      <c r="F82" s="958"/>
      <c r="G82" s="958"/>
      <c r="H82" s="959"/>
      <c r="I82" s="956"/>
      <c r="J82" s="957"/>
      <c r="K82" s="958"/>
      <c r="L82" s="958"/>
      <c r="M82" s="958"/>
      <c r="N82" s="960"/>
    </row>
    <row r="83" spans="1:14">
      <c r="A83" s="954" t="s">
        <v>907</v>
      </c>
      <c r="B83" s="955" t="s">
        <v>922</v>
      </c>
      <c r="C83" s="946">
        <v>0</v>
      </c>
      <c r="D83" s="950">
        <v>0</v>
      </c>
      <c r="E83" s="961">
        <v>0</v>
      </c>
      <c r="F83" s="961">
        <v>0</v>
      </c>
      <c r="G83" s="961">
        <v>0</v>
      </c>
      <c r="H83" s="962">
        <v>0</v>
      </c>
      <c r="I83" s="946">
        <v>0</v>
      </c>
      <c r="J83" s="950">
        <v>0</v>
      </c>
      <c r="K83" s="961">
        <v>0</v>
      </c>
      <c r="L83" s="961">
        <v>0</v>
      </c>
      <c r="M83" s="961">
        <v>0</v>
      </c>
      <c r="N83" s="963">
        <v>0</v>
      </c>
    </row>
    <row r="84" spans="1:14">
      <c r="A84" s="954"/>
      <c r="B84" s="964"/>
      <c r="C84" s="956"/>
      <c r="D84" s="957"/>
      <c r="E84" s="958"/>
      <c r="F84" s="958"/>
      <c r="G84" s="958"/>
      <c r="H84" s="959"/>
      <c r="I84" s="956"/>
      <c r="J84" s="957"/>
      <c r="K84" s="958"/>
      <c r="L84" s="958"/>
      <c r="M84" s="958"/>
      <c r="N84" s="960"/>
    </row>
    <row r="85" spans="1:14">
      <c r="A85" s="954"/>
      <c r="B85" s="945" t="s">
        <v>944</v>
      </c>
      <c r="C85" s="946">
        <v>12</v>
      </c>
      <c r="D85" s="950">
        <v>2734</v>
      </c>
      <c r="E85" s="961">
        <v>11.01</v>
      </c>
      <c r="F85" s="961">
        <v>753.31</v>
      </c>
      <c r="G85" s="961">
        <v>-742.3</v>
      </c>
      <c r="H85" s="962">
        <v>246.94</v>
      </c>
      <c r="I85" s="946">
        <v>12</v>
      </c>
      <c r="J85" s="950">
        <v>2267</v>
      </c>
      <c r="K85" s="961">
        <v>2.4571647000000002E-2</v>
      </c>
      <c r="L85" s="961">
        <v>413.17141211000001</v>
      </c>
      <c r="M85" s="961">
        <v>-413.14684046299999</v>
      </c>
      <c r="N85" s="963">
        <v>116.79686167665585</v>
      </c>
    </row>
    <row r="86" spans="1:14">
      <c r="A86" s="954"/>
      <c r="B86" s="964"/>
      <c r="C86" s="956"/>
      <c r="D86" s="957"/>
      <c r="E86" s="958"/>
      <c r="F86" s="958"/>
      <c r="G86" s="958"/>
      <c r="H86" s="959"/>
      <c r="I86" s="956"/>
      <c r="J86" s="957"/>
      <c r="K86" s="958"/>
      <c r="L86" s="958"/>
      <c r="M86" s="958"/>
      <c r="N86" s="960"/>
    </row>
    <row r="87" spans="1:14" s="926" customFormat="1">
      <c r="A87" s="971"/>
      <c r="B87" s="945" t="s">
        <v>945</v>
      </c>
      <c r="C87" s="946">
        <v>1437</v>
      </c>
      <c r="D87" s="950">
        <v>149131708</v>
      </c>
      <c r="E87" s="961">
        <v>2630253.1</v>
      </c>
      <c r="F87" s="961">
        <v>2453420.14</v>
      </c>
      <c r="G87" s="961">
        <v>176832.92</v>
      </c>
      <c r="H87" s="962">
        <v>4439187.21</v>
      </c>
      <c r="I87" s="946">
        <v>1623</v>
      </c>
      <c r="J87" s="950">
        <v>210515684</v>
      </c>
      <c r="K87" s="961">
        <v>6649606.1887563234</v>
      </c>
      <c r="L87" s="961">
        <v>6117439.9006642513</v>
      </c>
      <c r="M87" s="961">
        <v>532166.28809207329</v>
      </c>
      <c r="N87" s="963">
        <v>6709259.1437491672</v>
      </c>
    </row>
    <row r="88" spans="1:14">
      <c r="A88" s="954"/>
      <c r="B88" s="964"/>
      <c r="C88" s="956"/>
      <c r="D88" s="957"/>
      <c r="E88" s="958"/>
      <c r="F88" s="958"/>
      <c r="G88" s="958"/>
      <c r="H88" s="959"/>
      <c r="I88" s="956"/>
      <c r="J88" s="957"/>
      <c r="K88" s="958"/>
      <c r="L88" s="958"/>
      <c r="M88" s="958"/>
      <c r="N88" s="960"/>
    </row>
    <row r="89" spans="1:14" ht="15.75" thickBot="1">
      <c r="A89" s="972"/>
      <c r="B89" s="973" t="s">
        <v>946</v>
      </c>
      <c r="C89" s="974">
        <v>76</v>
      </c>
      <c r="D89" s="975">
        <v>1870167</v>
      </c>
      <c r="E89" s="976">
        <v>2720.01</v>
      </c>
      <c r="F89" s="976">
        <v>4622.68</v>
      </c>
      <c r="G89" s="976">
        <v>-1902.68</v>
      </c>
      <c r="H89" s="977">
        <v>67690.490000000005</v>
      </c>
      <c r="I89" s="974">
        <v>84</v>
      </c>
      <c r="J89" s="975">
        <v>2786632</v>
      </c>
      <c r="K89" s="976">
        <v>10374.489101625419</v>
      </c>
      <c r="L89" s="976">
        <v>7940.8089088179586</v>
      </c>
      <c r="M89" s="976">
        <v>2433.6801928074592</v>
      </c>
      <c r="N89" s="978">
        <v>86599.527184871011</v>
      </c>
    </row>
    <row r="90" spans="1:14">
      <c r="A90" s="979" t="s">
        <v>81</v>
      </c>
      <c r="B90" s="979"/>
      <c r="C90" s="980"/>
      <c r="D90" s="980"/>
      <c r="E90" s="981"/>
      <c r="F90" s="981"/>
      <c r="G90" s="981"/>
      <c r="H90" s="982"/>
    </row>
    <row r="91" spans="1:14" ht="15" customHeight="1">
      <c r="A91" s="1613" t="s">
        <v>947</v>
      </c>
      <c r="B91" s="1613"/>
      <c r="C91" s="1613"/>
      <c r="D91" s="1613"/>
      <c r="E91" s="981"/>
      <c r="F91" s="981"/>
      <c r="G91" s="981"/>
      <c r="H91" s="982"/>
    </row>
    <row r="92" spans="1:14" ht="15" customHeight="1">
      <c r="A92" s="1614" t="s">
        <v>1373</v>
      </c>
      <c r="B92" s="1614"/>
      <c r="C92" s="985"/>
      <c r="D92" s="985"/>
      <c r="E92" s="986"/>
      <c r="F92" s="986"/>
      <c r="G92" s="986"/>
    </row>
    <row r="93" spans="1:14" ht="15" customHeight="1">
      <c r="A93" s="1615" t="s">
        <v>948</v>
      </c>
      <c r="B93" s="1616"/>
      <c r="C93" s="1616"/>
      <c r="D93" s="1616"/>
      <c r="E93" s="1616"/>
      <c r="F93" s="1616"/>
      <c r="G93" s="1616"/>
    </row>
    <row r="94" spans="1:14" ht="15" customHeight="1">
      <c r="A94" s="1615" t="s">
        <v>129</v>
      </c>
      <c r="B94" s="1615"/>
      <c r="C94" s="985"/>
      <c r="D94" s="985"/>
      <c r="E94" s="986"/>
      <c r="F94" s="986"/>
      <c r="G94" s="986"/>
    </row>
    <row r="98" spans="3:3">
      <c r="C98" s="987"/>
    </row>
    <row r="99" spans="3:3">
      <c r="C99" s="987"/>
    </row>
    <row r="100" spans="3:3">
      <c r="C100" s="987"/>
    </row>
  </sheetData>
  <mergeCells count="9">
    <mergeCell ref="I2:N2"/>
    <mergeCell ref="A91:D91"/>
    <mergeCell ref="A92:B92"/>
    <mergeCell ref="A93:G93"/>
    <mergeCell ref="A94:B94"/>
    <mergeCell ref="A1:D1"/>
    <mergeCell ref="A2:A3"/>
    <mergeCell ref="B2:B3"/>
    <mergeCell ref="C2:H2"/>
  </mergeCells>
  <pageMargins left="0.7" right="0.7" top="0.75" bottom="0.75" header="0.3" footer="0.3"/>
  <pageSetup paperSize="9" scale="51" fitToHeight="0" orientation="landscape" r:id="rId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14"/>
  <sheetViews>
    <sheetView workbookViewId="0">
      <selection sqref="A1:J1"/>
    </sheetView>
  </sheetViews>
  <sheetFormatPr defaultColWidth="9.140625" defaultRowHeight="15"/>
  <cols>
    <col min="1" max="1" width="14.42578125" style="911" bestFit="1" customWidth="1"/>
    <col min="2" max="3" width="14.85546875" style="911" bestFit="1" customWidth="1"/>
    <col min="4" max="4" width="13.7109375" style="911" bestFit="1" customWidth="1"/>
    <col min="5" max="6" width="14.85546875" style="911" bestFit="1" customWidth="1"/>
    <col min="7" max="7" width="13.7109375" style="911" bestFit="1" customWidth="1"/>
    <col min="8" max="9" width="12.85546875" style="911" bestFit="1" customWidth="1"/>
    <col min="10" max="10" width="16.140625" style="911" bestFit="1" customWidth="1"/>
    <col min="11" max="11" width="10" style="911" customWidth="1"/>
    <col min="12" max="16384" width="9.140625" style="911"/>
  </cols>
  <sheetData>
    <row r="1" spans="1:18" ht="15" customHeight="1">
      <c r="A1" s="1628" t="s">
        <v>949</v>
      </c>
      <c r="B1" s="1629"/>
      <c r="C1" s="1629"/>
      <c r="D1" s="1629"/>
      <c r="E1" s="1629"/>
      <c r="F1" s="1629"/>
      <c r="G1" s="1629"/>
      <c r="H1" s="1629"/>
      <c r="I1" s="1629"/>
      <c r="J1" s="1630"/>
    </row>
    <row r="2" spans="1:18" s="988" customFormat="1">
      <c r="A2" s="1631" t="s">
        <v>115</v>
      </c>
      <c r="B2" s="1632" t="s">
        <v>603</v>
      </c>
      <c r="C2" s="1632"/>
      <c r="D2" s="1632"/>
      <c r="E2" s="1632" t="s">
        <v>139</v>
      </c>
      <c r="F2" s="1632"/>
      <c r="G2" s="1632"/>
      <c r="H2" s="1632" t="s">
        <v>96</v>
      </c>
      <c r="I2" s="1632"/>
      <c r="J2" s="1632"/>
      <c r="K2" s="911"/>
      <c r="L2" s="911"/>
      <c r="M2" s="911"/>
      <c r="N2" s="911"/>
      <c r="O2" s="911"/>
      <c r="P2" s="911"/>
      <c r="Q2" s="911"/>
      <c r="R2" s="911"/>
    </row>
    <row r="3" spans="1:18" s="988" customFormat="1" ht="45">
      <c r="A3" s="1631"/>
      <c r="B3" s="989" t="s">
        <v>950</v>
      </c>
      <c r="C3" s="989" t="s">
        <v>951</v>
      </c>
      <c r="D3" s="989" t="s">
        <v>952</v>
      </c>
      <c r="E3" s="989" t="s">
        <v>950</v>
      </c>
      <c r="F3" s="989" t="s">
        <v>951</v>
      </c>
      <c r="G3" s="989" t="s">
        <v>952</v>
      </c>
      <c r="H3" s="989" t="s">
        <v>950</v>
      </c>
      <c r="I3" s="989" t="s">
        <v>951</v>
      </c>
      <c r="J3" s="989" t="s">
        <v>952</v>
      </c>
      <c r="K3" s="911"/>
      <c r="L3" s="911"/>
      <c r="M3" s="911"/>
      <c r="N3" s="911"/>
      <c r="O3" s="911"/>
      <c r="P3" s="911"/>
      <c r="Q3" s="911"/>
      <c r="R3" s="911"/>
    </row>
    <row r="4" spans="1:18" s="991" customFormat="1">
      <c r="A4" s="764" t="s">
        <v>505</v>
      </c>
      <c r="B4" s="990">
        <v>1689869.16</v>
      </c>
      <c r="C4" s="990">
        <v>1489137.0499999998</v>
      </c>
      <c r="D4" s="990">
        <v>200732.11000000004</v>
      </c>
      <c r="E4" s="990">
        <v>1900513.16</v>
      </c>
      <c r="F4" s="990">
        <v>2096290.51</v>
      </c>
      <c r="G4" s="990">
        <v>-195777.35</v>
      </c>
      <c r="H4" s="990">
        <v>3590382.3200000003</v>
      </c>
      <c r="I4" s="990">
        <v>3585427.5599999996</v>
      </c>
      <c r="J4" s="990">
        <v>4954.7600000000239</v>
      </c>
      <c r="K4" s="911"/>
      <c r="L4" s="911"/>
      <c r="M4" s="911"/>
      <c r="N4" s="911"/>
      <c r="O4" s="911"/>
      <c r="P4" s="911"/>
      <c r="Q4" s="911"/>
      <c r="R4" s="911"/>
    </row>
    <row r="5" spans="1:18" s="991" customFormat="1">
      <c r="A5" s="740" t="s">
        <v>703</v>
      </c>
      <c r="B5" s="992">
        <f t="shared" ref="B5:J5" si="0">SUM(B6:B11)</f>
        <v>1477697.8499999999</v>
      </c>
      <c r="C5" s="992">
        <f t="shared" si="0"/>
        <v>1279213.6299999999</v>
      </c>
      <c r="D5" s="992">
        <f t="shared" si="0"/>
        <v>198484.22</v>
      </c>
      <c r="E5" s="992">
        <f t="shared" si="0"/>
        <v>988753.11</v>
      </c>
      <c r="F5" s="992">
        <f t="shared" si="0"/>
        <v>1122565.4500000002</v>
      </c>
      <c r="G5" s="992">
        <f t="shared" si="0"/>
        <v>-133812.34000000003</v>
      </c>
      <c r="H5" s="992">
        <f t="shared" si="0"/>
        <v>2466450.96</v>
      </c>
      <c r="I5" s="992">
        <f t="shared" si="0"/>
        <v>2401779.08</v>
      </c>
      <c r="J5" s="992">
        <f t="shared" si="0"/>
        <v>64671.879999999976</v>
      </c>
      <c r="K5" s="993"/>
      <c r="L5" s="993"/>
      <c r="M5" s="993"/>
      <c r="N5" s="993"/>
      <c r="O5" s="993"/>
      <c r="P5" s="993"/>
      <c r="Q5" s="993"/>
      <c r="R5" s="993"/>
    </row>
    <row r="6" spans="1:18" s="988" customFormat="1">
      <c r="A6" s="744">
        <v>45412</v>
      </c>
      <c r="B6" s="994">
        <v>206765.05</v>
      </c>
      <c r="C6" s="994">
        <v>173941.35</v>
      </c>
      <c r="D6" s="995">
        <f>B6-C6</f>
        <v>32823.699999999983</v>
      </c>
      <c r="E6" s="994">
        <v>141518.29999999999</v>
      </c>
      <c r="F6" s="996">
        <v>126989.36</v>
      </c>
      <c r="G6" s="995">
        <f>E6-F6</f>
        <v>14528.939999999988</v>
      </c>
      <c r="H6" s="995">
        <f t="shared" ref="H6:J11" si="1">B6+E6</f>
        <v>348283.35</v>
      </c>
      <c r="I6" s="995">
        <f t="shared" si="1"/>
        <v>300930.71000000002</v>
      </c>
      <c r="J6" s="995">
        <f t="shared" si="1"/>
        <v>47352.63999999997</v>
      </c>
      <c r="K6" s="911"/>
      <c r="L6" s="911"/>
      <c r="M6" s="911"/>
      <c r="N6" s="911"/>
      <c r="O6" s="911"/>
      <c r="P6" s="911"/>
      <c r="Q6" s="911"/>
      <c r="R6" s="911"/>
    </row>
    <row r="7" spans="1:18" s="197" customFormat="1" ht="15" customHeight="1">
      <c r="A7" s="744">
        <v>45443</v>
      </c>
      <c r="B7" s="997">
        <v>250702.03</v>
      </c>
      <c r="C7" s="997">
        <v>202603.02</v>
      </c>
      <c r="D7" s="997">
        <v>48099.01</v>
      </c>
      <c r="E7" s="997">
        <v>181627.12</v>
      </c>
      <c r="F7" s="997">
        <v>225723.47</v>
      </c>
      <c r="G7" s="997">
        <v>-44096.35</v>
      </c>
      <c r="H7" s="995">
        <f t="shared" si="1"/>
        <v>432329.15</v>
      </c>
      <c r="I7" s="995">
        <f t="shared" si="1"/>
        <v>428326.49</v>
      </c>
      <c r="J7" s="995">
        <f t="shared" si="1"/>
        <v>4002.6600000000035</v>
      </c>
    </row>
    <row r="8" spans="1:18" s="197" customFormat="1" ht="15" customHeight="1">
      <c r="A8" s="744">
        <v>45473</v>
      </c>
      <c r="B8" s="997">
        <v>286508.09999999998</v>
      </c>
      <c r="C8" s="997">
        <v>258282.46</v>
      </c>
      <c r="D8" s="997">
        <v>28225.64</v>
      </c>
      <c r="E8" s="997">
        <v>177883.69</v>
      </c>
      <c r="F8" s="997">
        <v>182683.28</v>
      </c>
      <c r="G8" s="997">
        <v>-4799.59</v>
      </c>
      <c r="H8" s="997">
        <f t="shared" si="1"/>
        <v>464391.79</v>
      </c>
      <c r="I8" s="997">
        <f t="shared" si="1"/>
        <v>440965.74</v>
      </c>
      <c r="J8" s="997">
        <f t="shared" si="1"/>
        <v>23426.05</v>
      </c>
      <c r="M8" s="241"/>
      <c r="N8" s="241"/>
      <c r="O8" s="241"/>
    </row>
    <row r="9" spans="1:18" s="197" customFormat="1">
      <c r="A9" s="744">
        <v>45504</v>
      </c>
      <c r="B9" s="997">
        <v>225680.35</v>
      </c>
      <c r="C9" s="997">
        <v>200590.98</v>
      </c>
      <c r="D9" s="997">
        <v>25089.37</v>
      </c>
      <c r="E9" s="997">
        <v>98533.36</v>
      </c>
      <c r="F9" s="997">
        <v>109112.64</v>
      </c>
      <c r="G9" s="997">
        <v>-10579.28</v>
      </c>
      <c r="H9" s="997">
        <f t="shared" si="1"/>
        <v>324213.71000000002</v>
      </c>
      <c r="I9" s="997">
        <f t="shared" si="1"/>
        <v>309703.62</v>
      </c>
      <c r="J9" s="997">
        <f t="shared" si="1"/>
        <v>14510.089999999998</v>
      </c>
      <c r="M9" s="241"/>
      <c r="N9" s="241"/>
      <c r="O9" s="241"/>
    </row>
    <row r="10" spans="1:18" s="197" customFormat="1">
      <c r="A10" s="744">
        <v>45535</v>
      </c>
      <c r="B10" s="997">
        <v>241582.3</v>
      </c>
      <c r="C10" s="997">
        <v>209897.08</v>
      </c>
      <c r="D10" s="997">
        <v>31685.22</v>
      </c>
      <c r="E10" s="997">
        <v>180091.9</v>
      </c>
      <c r="F10" s="997">
        <v>232562.32</v>
      </c>
      <c r="G10" s="997">
        <v>-52470.42</v>
      </c>
      <c r="H10" s="997">
        <f t="shared" si="1"/>
        <v>421674.19999999995</v>
      </c>
      <c r="I10" s="997">
        <f t="shared" si="1"/>
        <v>442459.4</v>
      </c>
      <c r="J10" s="997">
        <f t="shared" si="1"/>
        <v>-20785.199999999997</v>
      </c>
    </row>
    <row r="11" spans="1:18" s="197" customFormat="1">
      <c r="A11" s="744">
        <v>45565</v>
      </c>
      <c r="B11" s="997">
        <v>266460.02</v>
      </c>
      <c r="C11" s="997">
        <v>233898.74</v>
      </c>
      <c r="D11" s="997">
        <v>32561.279999999999</v>
      </c>
      <c r="E11" s="997">
        <v>209098.74</v>
      </c>
      <c r="F11" s="997">
        <v>245494.38</v>
      </c>
      <c r="G11" s="997">
        <v>-36395.64</v>
      </c>
      <c r="H11" s="997">
        <f t="shared" si="1"/>
        <v>475558.76</v>
      </c>
      <c r="I11" s="997">
        <f t="shared" si="1"/>
        <v>479393.12</v>
      </c>
      <c r="J11" s="997">
        <f t="shared" si="1"/>
        <v>-3834.3600000000006</v>
      </c>
    </row>
    <row r="12" spans="1:18" ht="15" customHeight="1">
      <c r="A12" s="769" t="s">
        <v>1373</v>
      </c>
      <c r="B12" s="998"/>
      <c r="C12" s="998"/>
      <c r="D12" s="998"/>
      <c r="E12" s="998"/>
      <c r="F12" s="998"/>
      <c r="G12" s="998"/>
      <c r="H12" s="998"/>
      <c r="I12" s="998"/>
      <c r="J12" s="998"/>
    </row>
    <row r="13" spans="1:18" ht="15" customHeight="1">
      <c r="A13" s="1627" t="s">
        <v>953</v>
      </c>
      <c r="B13" s="1627"/>
      <c r="C13" s="1627"/>
      <c r="D13" s="1627"/>
      <c r="E13" s="1627"/>
      <c r="F13" s="1627"/>
      <c r="G13" s="1627"/>
      <c r="H13" s="1627"/>
      <c r="I13" s="1627"/>
      <c r="J13" s="1627"/>
    </row>
    <row r="14" spans="1:18">
      <c r="A14" s="999" t="s">
        <v>142</v>
      </c>
      <c r="B14" s="999"/>
      <c r="C14" s="1000"/>
      <c r="D14" s="1000"/>
      <c r="E14" s="1000"/>
      <c r="F14" s="1000"/>
      <c r="G14" s="1000"/>
      <c r="H14" s="1000"/>
      <c r="I14" s="1000"/>
      <c r="J14" s="1000"/>
    </row>
  </sheetData>
  <mergeCells count="6">
    <mergeCell ref="A13:J13"/>
    <mergeCell ref="A1:J1"/>
    <mergeCell ref="A2:A3"/>
    <mergeCell ref="B2:D2"/>
    <mergeCell ref="E2:G2"/>
    <mergeCell ref="H2:J2"/>
  </mergeCells>
  <pageMargins left="0.7" right="0.7" top="0.75" bottom="0.75" header="0.3" footer="0.3"/>
  <pageSetup paperSize="9" scale="91" fitToHeight="0" orientation="landscape" r:id="rId1"/>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3"/>
  <sheetViews>
    <sheetView workbookViewId="0"/>
  </sheetViews>
  <sheetFormatPr defaultRowHeight="15"/>
  <cols>
    <col min="1" max="1" width="29" style="241" customWidth="1"/>
    <col min="2" max="2" width="18.28515625" style="241" customWidth="1"/>
    <col min="3" max="3" width="13.28515625" style="241" customWidth="1"/>
    <col min="4" max="4" width="12.7109375" style="241" customWidth="1"/>
    <col min="5" max="5" width="11.85546875" style="241" bestFit="1" customWidth="1"/>
    <col min="6" max="6" width="12.85546875" style="241" bestFit="1" customWidth="1"/>
    <col min="7" max="7" width="14" style="241" customWidth="1"/>
    <col min="8" max="8" width="13.28515625" style="241" customWidth="1"/>
    <col min="9" max="9" width="11.7109375" style="241" customWidth="1"/>
    <col min="10" max="10" width="11.85546875" style="241" bestFit="1" customWidth="1"/>
    <col min="11" max="11" width="12.85546875" style="241" bestFit="1" customWidth="1"/>
    <col min="12" max="12" width="10.5703125" style="241" bestFit="1" customWidth="1"/>
    <col min="13" max="16384" width="9.140625" style="241"/>
  </cols>
  <sheetData>
    <row r="1" spans="1:11">
      <c r="A1" s="678" t="s">
        <v>56</v>
      </c>
      <c r="B1" s="678"/>
      <c r="C1" s="678"/>
      <c r="D1" s="678"/>
      <c r="E1" s="678"/>
      <c r="F1" s="678"/>
      <c r="G1" s="678"/>
      <c r="H1" s="678"/>
      <c r="I1" s="678"/>
      <c r="J1" s="678"/>
      <c r="K1" s="678"/>
    </row>
    <row r="2" spans="1:11">
      <c r="A2" s="1001" t="s">
        <v>115</v>
      </c>
      <c r="B2" s="1633" t="s">
        <v>1374</v>
      </c>
      <c r="C2" s="1634"/>
      <c r="D2" s="1634"/>
      <c r="E2" s="1634"/>
      <c r="F2" s="1635"/>
      <c r="G2" s="1636" t="s">
        <v>1375</v>
      </c>
      <c r="H2" s="1634"/>
      <c r="I2" s="1634"/>
      <c r="J2" s="1634"/>
      <c r="K2" s="1637"/>
    </row>
    <row r="3" spans="1:11" ht="30">
      <c r="A3" s="1002" t="s">
        <v>602</v>
      </c>
      <c r="B3" s="1003" t="s">
        <v>954</v>
      </c>
      <c r="C3" s="1003" t="s">
        <v>955</v>
      </c>
      <c r="D3" s="1003" t="s">
        <v>956</v>
      </c>
      <c r="E3" s="1003" t="s">
        <v>957</v>
      </c>
      <c r="F3" s="1003" t="s">
        <v>96</v>
      </c>
      <c r="G3" s="1003" t="s">
        <v>958</v>
      </c>
      <c r="H3" s="1003" t="s">
        <v>955</v>
      </c>
      <c r="I3" s="1003" t="s">
        <v>956</v>
      </c>
      <c r="J3" s="1003" t="s">
        <v>959</v>
      </c>
      <c r="K3" s="1004" t="s">
        <v>96</v>
      </c>
    </row>
    <row r="4" spans="1:11">
      <c r="A4" s="1005" t="s">
        <v>960</v>
      </c>
      <c r="B4" s="1006">
        <v>172801</v>
      </c>
      <c r="C4" s="1006">
        <v>5782</v>
      </c>
      <c r="D4" s="1007">
        <v>357</v>
      </c>
      <c r="E4" s="1006">
        <v>1426</v>
      </c>
      <c r="F4" s="1008">
        <v>180366</v>
      </c>
      <c r="G4" s="1006">
        <v>140403</v>
      </c>
      <c r="H4" s="1006">
        <v>4234</v>
      </c>
      <c r="I4" s="1006">
        <v>97</v>
      </c>
      <c r="J4" s="1006">
        <v>1768</v>
      </c>
      <c r="K4" s="1009">
        <v>146502</v>
      </c>
    </row>
    <row r="5" spans="1:11">
      <c r="A5" s="1638" t="s">
        <v>961</v>
      </c>
      <c r="B5" s="1639"/>
      <c r="C5" s="1639"/>
      <c r="D5" s="1639"/>
      <c r="E5" s="1639"/>
      <c r="F5" s="1639"/>
      <c r="G5" s="1639"/>
      <c r="H5" s="1639"/>
      <c r="I5" s="1639"/>
      <c r="J5" s="1639"/>
      <c r="K5" s="1640"/>
    </row>
    <row r="6" spans="1:11">
      <c r="A6" s="1005" t="s">
        <v>962</v>
      </c>
      <c r="B6" s="1010">
        <v>374883.22490999999</v>
      </c>
      <c r="C6" s="1010">
        <v>42642.393459999999</v>
      </c>
      <c r="D6" s="1010">
        <v>0</v>
      </c>
      <c r="E6" s="1010"/>
      <c r="F6" s="1011">
        <v>417525.61836999998</v>
      </c>
      <c r="G6" s="1006">
        <v>285406.14779999998</v>
      </c>
      <c r="H6" s="1006">
        <v>25684.480249999997</v>
      </c>
      <c r="I6" s="1006">
        <v>0</v>
      </c>
      <c r="J6" s="1006">
        <v>0</v>
      </c>
      <c r="K6" s="1009">
        <v>311090.62805</v>
      </c>
    </row>
    <row r="7" spans="1:11">
      <c r="A7" s="1005" t="s">
        <v>963</v>
      </c>
      <c r="B7" s="1010">
        <v>1528.345029999999</v>
      </c>
      <c r="C7" s="1010">
        <v>579.82425999999998</v>
      </c>
      <c r="D7" s="1010">
        <v>1467.3607999999999</v>
      </c>
      <c r="E7" s="1010"/>
      <c r="F7" s="1011">
        <v>3575.5300899999988</v>
      </c>
      <c r="G7" s="1006">
        <v>650.60601000000008</v>
      </c>
      <c r="H7" s="1006">
        <v>303.48940999999991</v>
      </c>
      <c r="I7" s="1006">
        <v>739.34</v>
      </c>
      <c r="J7" s="1006">
        <v>0</v>
      </c>
      <c r="K7" s="1009">
        <v>1693.43542</v>
      </c>
    </row>
    <row r="8" spans="1:11">
      <c r="A8" s="1005" t="s">
        <v>964</v>
      </c>
      <c r="B8" s="1010">
        <v>2481418.5608500005</v>
      </c>
      <c r="C8" s="1010">
        <v>187903.18169999999</v>
      </c>
      <c r="D8" s="1010">
        <v>0</v>
      </c>
      <c r="E8" s="1010"/>
      <c r="F8" s="1011">
        <v>2669321.7425500005</v>
      </c>
      <c r="G8" s="1006">
        <v>2120425.8270599996</v>
      </c>
      <c r="H8" s="1006">
        <v>166966.08676999999</v>
      </c>
      <c r="I8" s="1006">
        <v>0</v>
      </c>
      <c r="J8" s="1006">
        <v>0</v>
      </c>
      <c r="K8" s="1009">
        <v>2287391.9138299995</v>
      </c>
    </row>
    <row r="9" spans="1:11">
      <c r="A9" s="1005" t="s">
        <v>965</v>
      </c>
      <c r="B9" s="1010">
        <v>21557.02291</v>
      </c>
      <c r="C9" s="1010">
        <v>293.04621000000003</v>
      </c>
      <c r="D9" s="1010">
        <v>379.65</v>
      </c>
      <c r="E9" s="1010"/>
      <c r="F9" s="1011">
        <v>22229.719120000002</v>
      </c>
      <c r="G9" s="1006">
        <v>27787.848999999998</v>
      </c>
      <c r="H9" s="1006">
        <v>215.01000000000002</v>
      </c>
      <c r="I9" s="1006">
        <v>0</v>
      </c>
      <c r="J9" s="1006">
        <v>0</v>
      </c>
      <c r="K9" s="1009">
        <v>28002.858999999997</v>
      </c>
    </row>
    <row r="10" spans="1:11">
      <c r="A10" s="1012" t="s">
        <v>966</v>
      </c>
      <c r="B10" s="1010">
        <v>570.53874999999994</v>
      </c>
      <c r="C10" s="1010">
        <v>790.15216000000009</v>
      </c>
      <c r="D10" s="1010">
        <v>0</v>
      </c>
      <c r="E10" s="1010"/>
      <c r="F10" s="1011">
        <v>1360.69091</v>
      </c>
      <c r="G10" s="1006">
        <v>1112.22</v>
      </c>
      <c r="H10" s="1006">
        <v>1143.69</v>
      </c>
      <c r="I10" s="1006">
        <v>0</v>
      </c>
      <c r="J10" s="1006">
        <v>0</v>
      </c>
      <c r="K10" s="1009">
        <v>2255.91</v>
      </c>
    </row>
    <row r="11" spans="1:11">
      <c r="A11" s="1012" t="s">
        <v>967</v>
      </c>
      <c r="B11" s="1010">
        <v>77.82177999999999</v>
      </c>
      <c r="C11" s="1010">
        <v>12.75855</v>
      </c>
      <c r="D11" s="1010">
        <v>580.29</v>
      </c>
      <c r="E11" s="1010"/>
      <c r="F11" s="1011">
        <v>670.87032999999997</v>
      </c>
      <c r="G11" s="1006">
        <v>130.97999999999999</v>
      </c>
      <c r="H11" s="1006">
        <v>23.01</v>
      </c>
      <c r="I11" s="1006">
        <v>0</v>
      </c>
      <c r="J11" s="1006">
        <v>0</v>
      </c>
      <c r="K11" s="1009">
        <v>153.98999999999998</v>
      </c>
    </row>
    <row r="12" spans="1:11">
      <c r="A12" s="1005" t="s">
        <v>968</v>
      </c>
      <c r="B12" s="1010">
        <v>405.46584000000007</v>
      </c>
      <c r="C12" s="1010">
        <v>0</v>
      </c>
      <c r="D12" s="1010">
        <v>0</v>
      </c>
      <c r="E12" s="1010"/>
      <c r="F12" s="1011">
        <v>405.46584000000007</v>
      </c>
      <c r="G12" s="1006">
        <v>207.99698000000001</v>
      </c>
      <c r="H12" s="1006">
        <v>0</v>
      </c>
      <c r="I12" s="1006">
        <v>0</v>
      </c>
      <c r="J12" s="1006">
        <v>0</v>
      </c>
      <c r="K12" s="1009">
        <v>207.99698000000001</v>
      </c>
    </row>
    <row r="13" spans="1:11">
      <c r="A13" s="1012" t="s">
        <v>969</v>
      </c>
      <c r="B13" s="1010">
        <v>-2.85</v>
      </c>
      <c r="C13" s="1010">
        <v>0</v>
      </c>
      <c r="D13" s="1010">
        <v>0</v>
      </c>
      <c r="E13" s="1010"/>
      <c r="F13" s="1011">
        <v>-2.85</v>
      </c>
      <c r="G13" s="1006">
        <v>-0.01</v>
      </c>
      <c r="H13" s="1006">
        <v>0</v>
      </c>
      <c r="I13" s="1006">
        <v>0</v>
      </c>
      <c r="J13" s="1006">
        <v>0</v>
      </c>
      <c r="K13" s="1009">
        <v>-0.01</v>
      </c>
    </row>
    <row r="14" spans="1:11">
      <c r="A14" s="1012" t="s">
        <v>970</v>
      </c>
      <c r="B14" s="1010">
        <v>0.73</v>
      </c>
      <c r="C14" s="1010">
        <v>2.3089999999999999E-2</v>
      </c>
      <c r="D14" s="1010">
        <v>0</v>
      </c>
      <c r="E14" s="1010"/>
      <c r="F14" s="1011">
        <v>0.75309000000000004</v>
      </c>
      <c r="G14" s="1006">
        <v>0</v>
      </c>
      <c r="H14" s="1006">
        <v>0</v>
      </c>
      <c r="I14" s="1006">
        <v>0</v>
      </c>
      <c r="J14" s="1006">
        <v>0</v>
      </c>
      <c r="K14" s="1009">
        <v>0</v>
      </c>
    </row>
    <row r="15" spans="1:11">
      <c r="A15" s="1005" t="s">
        <v>80</v>
      </c>
      <c r="B15" s="1010">
        <v>88548.862210000007</v>
      </c>
      <c r="C15" s="1010">
        <v>57631.120889999984</v>
      </c>
      <c r="D15" s="1010">
        <v>0</v>
      </c>
      <c r="E15" s="1010"/>
      <c r="F15" s="1011">
        <v>146179.98309999998</v>
      </c>
      <c r="G15" s="1006">
        <v>33488.52485999999</v>
      </c>
      <c r="H15" s="1006">
        <v>27574.38709</v>
      </c>
      <c r="I15" s="1006">
        <v>1.51</v>
      </c>
      <c r="J15" s="1006">
        <v>0</v>
      </c>
      <c r="K15" s="1009">
        <v>61064.421949999996</v>
      </c>
    </row>
    <row r="16" spans="1:11">
      <c r="A16" s="1005" t="s">
        <v>290</v>
      </c>
      <c r="B16" s="1010">
        <v>19053.782599999988</v>
      </c>
      <c r="C16" s="1010">
        <v>6125.0250600000018</v>
      </c>
      <c r="D16" s="1010">
        <v>35.644819999999996</v>
      </c>
      <c r="E16" s="1010"/>
      <c r="F16" s="1011">
        <v>25214.452479999993</v>
      </c>
      <c r="G16" s="1006">
        <v>19004.710029999995</v>
      </c>
      <c r="H16" s="1006">
        <v>4733.1006899999993</v>
      </c>
      <c r="I16" s="1006">
        <v>0.89</v>
      </c>
      <c r="J16" s="1006">
        <v>0</v>
      </c>
      <c r="K16" s="1009">
        <v>23738.700719999993</v>
      </c>
    </row>
    <row r="17" spans="1:12">
      <c r="A17" s="1013" t="s">
        <v>971</v>
      </c>
      <c r="B17" s="1011">
        <v>2988041.5048799999</v>
      </c>
      <c r="C17" s="1011">
        <v>295977.52537999995</v>
      </c>
      <c r="D17" s="1011">
        <v>2462.94562</v>
      </c>
      <c r="E17" s="1011">
        <v>293296.63963999989</v>
      </c>
      <c r="F17" s="1011">
        <v>3579778.6155199995</v>
      </c>
      <c r="G17" s="1011">
        <v>2488214.8517399998</v>
      </c>
      <c r="H17" s="1011">
        <v>226643.25421000001</v>
      </c>
      <c r="I17" s="1011">
        <v>741.74</v>
      </c>
      <c r="J17" s="1014">
        <v>248233.02508999989</v>
      </c>
      <c r="K17" s="1011">
        <v>2963832.8710399996</v>
      </c>
      <c r="L17" s="1015"/>
    </row>
    <row r="18" spans="1:12">
      <c r="A18" s="1016" t="s">
        <v>81</v>
      </c>
      <c r="B18" s="1017"/>
      <c r="C18" s="1018"/>
      <c r="D18" s="1018"/>
      <c r="E18" s="1019"/>
      <c r="F18" s="1020"/>
      <c r="G18" s="1020"/>
      <c r="H18" s="1020"/>
      <c r="I18" s="1020"/>
      <c r="J18" s="1020"/>
      <c r="K18" s="1020"/>
    </row>
    <row r="19" spans="1:12" ht="15.75">
      <c r="A19" s="1021" t="s">
        <v>972</v>
      </c>
      <c r="B19" s="1022"/>
      <c r="C19" s="1022"/>
      <c r="D19" s="1022"/>
      <c r="E19" s="1022"/>
      <c r="F19" s="1020"/>
      <c r="G19" s="1020"/>
      <c r="H19" s="1020"/>
      <c r="I19" s="1020"/>
      <c r="J19" s="1020"/>
      <c r="K19" s="1023"/>
    </row>
    <row r="20" spans="1:12" ht="15.75">
      <c r="A20" s="1024" t="s">
        <v>1376</v>
      </c>
      <c r="B20" s="1025"/>
      <c r="C20" s="1025"/>
      <c r="D20" s="1025"/>
      <c r="E20" s="1025"/>
      <c r="F20" s="1025"/>
      <c r="G20" s="1025"/>
      <c r="H20" s="1025"/>
      <c r="I20" s="1025"/>
      <c r="J20" s="1025"/>
      <c r="K20" s="1025"/>
    </row>
    <row r="21" spans="1:12" ht="15.75">
      <c r="A21" s="1024" t="s">
        <v>1377</v>
      </c>
      <c r="B21" s="1026"/>
      <c r="C21" s="333"/>
      <c r="D21" s="333"/>
      <c r="E21" s="333"/>
      <c r="F21" s="1020"/>
      <c r="G21" s="1020"/>
      <c r="H21" s="1020"/>
      <c r="I21" s="1020"/>
      <c r="J21" s="1020"/>
      <c r="K21" s="1020"/>
    </row>
    <row r="22" spans="1:12" ht="15.75">
      <c r="A22" s="1021" t="s">
        <v>1378</v>
      </c>
      <c r="B22" s="333"/>
      <c r="C22" s="333"/>
      <c r="D22" s="333"/>
      <c r="E22" s="1020"/>
      <c r="F22" s="1020"/>
      <c r="G22" s="1020"/>
      <c r="H22" s="1020"/>
      <c r="I22" s="1020"/>
      <c r="J22" s="1020"/>
      <c r="K22" s="1020"/>
    </row>
    <row r="23" spans="1:12">
      <c r="A23" s="1025"/>
      <c r="B23" s="1027"/>
      <c r="C23" s="1027"/>
      <c r="D23" s="1027"/>
      <c r="E23" s="1027"/>
      <c r="F23" s="1027"/>
      <c r="G23" s="1027"/>
      <c r="H23" s="1027"/>
      <c r="I23" s="1027"/>
      <c r="J23" s="1027"/>
      <c r="K23" s="1027"/>
    </row>
  </sheetData>
  <mergeCells count="3">
    <mergeCell ref="B2:F2"/>
    <mergeCell ref="G2:K2"/>
    <mergeCell ref="A5:K5"/>
  </mergeCells>
  <printOptions horizontalCentered="1"/>
  <pageMargins left="0.7" right="0.7" top="0.75" bottom="0.75" header="0.3" footer="0.3"/>
  <pageSetup paperSize="9" orientation="portrait" r:id="rId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24"/>
  <sheetViews>
    <sheetView workbookViewId="0">
      <pane xSplit="2" topLeftCell="C1" activePane="topRight" state="frozen"/>
      <selection pane="topRight" activeCell="C1" sqref="C1"/>
    </sheetView>
  </sheetViews>
  <sheetFormatPr defaultColWidth="9.140625" defaultRowHeight="15"/>
  <cols>
    <col min="1" max="1" width="54.140625" style="683" customWidth="1"/>
    <col min="2" max="2" width="9.140625" style="683" bestFit="1" customWidth="1"/>
    <col min="3" max="5" width="10.28515625" style="683" bestFit="1" customWidth="1"/>
    <col min="6" max="6" width="14.42578125" style="683" customWidth="1"/>
    <col min="7" max="7" width="17.5703125" style="683" bestFit="1" customWidth="1"/>
    <col min="8" max="8" width="13.5703125" style="683" customWidth="1"/>
    <col min="9" max="9" width="12.85546875" style="683" customWidth="1"/>
    <col min="10" max="10" width="12.28515625" style="683" customWidth="1"/>
    <col min="11" max="11" width="14.7109375" style="683" bestFit="1" customWidth="1"/>
    <col min="12" max="12" width="17.5703125" style="683" bestFit="1" customWidth="1"/>
    <col min="13" max="16384" width="9.140625" style="683"/>
  </cols>
  <sheetData>
    <row r="1" spans="1:12" ht="15.75" customHeight="1">
      <c r="A1" s="728" t="s">
        <v>584</v>
      </c>
    </row>
    <row r="2" spans="1:12" s="230" customFormat="1" ht="18.75" customHeight="1">
      <c r="A2" s="1642" t="s">
        <v>585</v>
      </c>
      <c r="B2" s="1642" t="s">
        <v>586</v>
      </c>
      <c r="C2" s="1643" t="s">
        <v>587</v>
      </c>
      <c r="D2" s="1644"/>
      <c r="E2" s="1644"/>
      <c r="F2" s="1644"/>
      <c r="G2" s="1645"/>
      <c r="H2" s="1437" t="s">
        <v>588</v>
      </c>
      <c r="I2" s="1437"/>
      <c r="J2" s="1437"/>
      <c r="K2" s="1437"/>
      <c r="L2" s="1437"/>
    </row>
    <row r="3" spans="1:12" s="230" customFormat="1" ht="63.75" customHeight="1">
      <c r="A3" s="1464"/>
      <c r="B3" s="1464"/>
      <c r="C3" s="1028">
        <v>45536</v>
      </c>
      <c r="D3" s="1028">
        <v>45505</v>
      </c>
      <c r="E3" s="1028">
        <v>45170</v>
      </c>
      <c r="F3" s="1029" t="s">
        <v>699</v>
      </c>
      <c r="G3" s="1030" t="s">
        <v>700</v>
      </c>
      <c r="H3" s="1028">
        <v>45536</v>
      </c>
      <c r="I3" s="1028">
        <v>45505</v>
      </c>
      <c r="J3" s="1028">
        <v>45170</v>
      </c>
      <c r="K3" s="1030" t="s">
        <v>699</v>
      </c>
      <c r="L3" s="675" t="s">
        <v>700</v>
      </c>
    </row>
    <row r="4" spans="1:12" s="230" customFormat="1" ht="18" customHeight="1">
      <c r="A4" s="1031" t="s">
        <v>1379</v>
      </c>
      <c r="B4" s="1032" t="s">
        <v>589</v>
      </c>
      <c r="C4" s="1033">
        <v>6128</v>
      </c>
      <c r="D4" s="1033">
        <v>6095</v>
      </c>
      <c r="E4" s="1033">
        <v>5887</v>
      </c>
      <c r="F4" s="1034">
        <v>4.0937659249193139</v>
      </c>
      <c r="G4" s="1034">
        <v>0.54142739950779328</v>
      </c>
      <c r="H4" s="1033">
        <v>6471</v>
      </c>
      <c r="I4" s="1033">
        <v>6443</v>
      </c>
      <c r="J4" s="1033">
        <v>6124</v>
      </c>
      <c r="K4" s="1034">
        <v>5.6762893285760629</v>
      </c>
      <c r="L4" s="1034">
        <v>0.69541029207232274</v>
      </c>
    </row>
    <row r="5" spans="1:12" s="230" customFormat="1" ht="18" customHeight="1">
      <c r="A5" s="1031" t="s">
        <v>1380</v>
      </c>
      <c r="B5" s="1032" t="s">
        <v>589</v>
      </c>
      <c r="C5" s="1033">
        <v>289</v>
      </c>
      <c r="D5" s="1033">
        <v>285</v>
      </c>
      <c r="E5" s="1033">
        <v>284</v>
      </c>
      <c r="F5" s="1034">
        <v>1.7605633802816902</v>
      </c>
      <c r="G5" s="1034">
        <v>1.4035087719298245</v>
      </c>
      <c r="H5" s="1033">
        <v>569</v>
      </c>
      <c r="I5" s="1033">
        <v>569</v>
      </c>
      <c r="J5" s="1033">
        <v>585</v>
      </c>
      <c r="K5" s="1034">
        <v>-2.7350427350427351</v>
      </c>
      <c r="L5" s="1034">
        <v>0</v>
      </c>
    </row>
    <row r="6" spans="1:12" s="230" customFormat="1" ht="18" customHeight="1">
      <c r="A6" s="1031" t="s">
        <v>1381</v>
      </c>
      <c r="B6" s="1032" t="s">
        <v>589</v>
      </c>
      <c r="C6" s="1033">
        <v>5</v>
      </c>
      <c r="D6" s="1033">
        <v>5</v>
      </c>
      <c r="E6" s="1033">
        <v>4</v>
      </c>
      <c r="F6" s="1034">
        <v>25</v>
      </c>
      <c r="G6" s="1034">
        <v>0</v>
      </c>
      <c r="H6" s="1033">
        <v>3</v>
      </c>
      <c r="I6" s="1033">
        <v>3</v>
      </c>
      <c r="J6" s="1033">
        <v>3</v>
      </c>
      <c r="K6" s="1034">
        <v>0</v>
      </c>
      <c r="L6" s="1034">
        <v>0</v>
      </c>
    </row>
    <row r="7" spans="1:12" s="230" customFormat="1" ht="18" customHeight="1">
      <c r="A7" s="1031" t="s">
        <v>1382</v>
      </c>
      <c r="B7" s="1032" t="s">
        <v>590</v>
      </c>
      <c r="C7" s="864">
        <v>380.89585</v>
      </c>
      <c r="D7" s="1033">
        <v>372.03971000000001</v>
      </c>
      <c r="E7" s="1033">
        <v>334.72532999999999</v>
      </c>
      <c r="F7" s="1034">
        <v>13.793554255365143</v>
      </c>
      <c r="G7" s="1034">
        <v>2.3804286913351218</v>
      </c>
      <c r="H7" s="1033">
        <v>1373.3747599999999</v>
      </c>
      <c r="I7" s="1033">
        <v>1334.35655</v>
      </c>
      <c r="J7" s="1033">
        <v>962.00036</v>
      </c>
      <c r="K7" s="1034">
        <v>42.762395639851938</v>
      </c>
      <c r="L7" s="1034">
        <v>2.9241217424233392</v>
      </c>
    </row>
    <row r="8" spans="1:12" s="230" customFormat="1" ht="18" customHeight="1">
      <c r="A8" s="1031" t="s">
        <v>1383</v>
      </c>
      <c r="B8" s="1032" t="s">
        <v>591</v>
      </c>
      <c r="C8" s="1033">
        <v>78379.266486499997</v>
      </c>
      <c r="D8" s="1033">
        <v>76650.406812899993</v>
      </c>
      <c r="E8" s="1033">
        <v>70438.191451199993</v>
      </c>
      <c r="F8" s="1034">
        <v>11.273820170129763</v>
      </c>
      <c r="G8" s="1034">
        <v>2.2555127173950531</v>
      </c>
      <c r="H8" s="1033">
        <v>37736.361131500002</v>
      </c>
      <c r="I8" s="1033">
        <v>36989.227078099997</v>
      </c>
      <c r="J8" s="1033">
        <v>32211.891280700002</v>
      </c>
      <c r="K8" s="1034">
        <v>17.150405117969676</v>
      </c>
      <c r="L8" s="1034">
        <v>2.0198693306634574</v>
      </c>
    </row>
    <row r="9" spans="1:12" s="230" customFormat="1" ht="18" customHeight="1">
      <c r="A9" s="1031" t="s">
        <v>1384</v>
      </c>
      <c r="B9" s="1032" t="s">
        <v>592</v>
      </c>
      <c r="C9" s="1035">
        <v>40369287.727305509</v>
      </c>
      <c r="D9" s="1035">
        <v>39421322.420208693</v>
      </c>
      <c r="E9" s="1035">
        <v>27216783.781424906</v>
      </c>
      <c r="F9" s="1034">
        <v>48.324974954818181</v>
      </c>
      <c r="G9" s="1034">
        <v>2.4047019452875023</v>
      </c>
      <c r="H9" s="1033">
        <v>6958008.4835000001</v>
      </c>
      <c r="I9" s="1033">
        <v>6944364.9193000002</v>
      </c>
      <c r="J9" s="1033">
        <v>4472670.0887000002</v>
      </c>
      <c r="K9" s="1034">
        <v>55.567219256325103</v>
      </c>
      <c r="L9" s="1034">
        <v>0.19646957437506313</v>
      </c>
    </row>
    <row r="10" spans="1:12" s="230" customFormat="1" ht="18" customHeight="1">
      <c r="A10" s="1031" t="s">
        <v>1385</v>
      </c>
      <c r="B10" s="1032" t="s">
        <v>591</v>
      </c>
      <c r="C10" s="1033">
        <v>90624.512622455193</v>
      </c>
      <c r="D10" s="1033">
        <v>88844.780931630288</v>
      </c>
      <c r="E10" s="1033">
        <v>77864.437920034688</v>
      </c>
      <c r="F10" s="1034">
        <v>16.387551292060778</v>
      </c>
      <c r="G10" s="1034">
        <v>2.0031921652150642</v>
      </c>
      <c r="H10" s="1033">
        <v>44358.227050000001</v>
      </c>
      <c r="I10" s="1033">
        <v>43444.959009999999</v>
      </c>
      <c r="J10" s="1033">
        <v>36873.779690000003</v>
      </c>
      <c r="K10" s="1034">
        <v>20.297478107539231</v>
      </c>
      <c r="L10" s="1034">
        <v>2.102126600671415</v>
      </c>
    </row>
    <row r="11" spans="1:12" s="230" customFormat="1" ht="18" customHeight="1">
      <c r="A11" s="1031" t="s">
        <v>1386</v>
      </c>
      <c r="B11" s="1032" t="s">
        <v>592</v>
      </c>
      <c r="C11" s="1035">
        <v>45056923.076963849</v>
      </c>
      <c r="D11" s="1035">
        <v>44012310.497654535</v>
      </c>
      <c r="E11" s="1035">
        <v>31226236.078976519</v>
      </c>
      <c r="F11" s="1034">
        <v>44.291879953149476</v>
      </c>
      <c r="G11" s="1034">
        <v>2.3734554434832118</v>
      </c>
      <c r="H11" s="1033">
        <v>7481793.9299999997</v>
      </c>
      <c r="I11" s="1033">
        <v>7450193.1679999996</v>
      </c>
      <c r="J11" s="1033">
        <v>4814738.4440000001</v>
      </c>
      <c r="K11" s="1034">
        <v>55.393569495423236</v>
      </c>
      <c r="L11" s="1034">
        <v>0.42416030413454781</v>
      </c>
    </row>
    <row r="12" spans="1:12" s="230" customFormat="1" ht="18" customHeight="1">
      <c r="A12" s="1031" t="s">
        <v>1387</v>
      </c>
      <c r="B12" s="1032" t="s">
        <v>591</v>
      </c>
      <c r="C12" s="1033">
        <v>2956.0676216000002</v>
      </c>
      <c r="D12" s="1033">
        <v>2481.7874830000001</v>
      </c>
      <c r="E12" s="1033">
        <v>2488.0257928000001</v>
      </c>
      <c r="F12" s="1034">
        <v>18.811775591492978</v>
      </c>
      <c r="G12" s="1034">
        <v>19.110425120957068</v>
      </c>
      <c r="H12" s="1033">
        <v>4068.1006109999998</v>
      </c>
      <c r="I12" s="1033">
        <v>4324.155444</v>
      </c>
      <c r="J12" s="1033">
        <v>3812.8548719999999</v>
      </c>
      <c r="K12" s="1034">
        <v>6.694347085550441</v>
      </c>
      <c r="L12" s="1034">
        <v>-5.9214992688408117</v>
      </c>
    </row>
    <row r="13" spans="1:12" s="230" customFormat="1" ht="18" customHeight="1">
      <c r="A13" s="1031" t="s">
        <v>1388</v>
      </c>
      <c r="B13" s="1032" t="s">
        <v>591</v>
      </c>
      <c r="C13" s="1033">
        <v>155.5825064</v>
      </c>
      <c r="D13" s="1033">
        <v>118.18035633333332</v>
      </c>
      <c r="E13" s="1033">
        <v>130.9487259368421</v>
      </c>
      <c r="F13" s="1034">
        <v>18.811775591492985</v>
      </c>
      <c r="G13" s="1034">
        <v>31.648364607373608</v>
      </c>
      <c r="H13" s="1033">
        <v>214.11055847368419</v>
      </c>
      <c r="I13" s="1033">
        <v>205.91216399999999</v>
      </c>
      <c r="J13" s="1033">
        <v>190.64274359999999</v>
      </c>
      <c r="K13" s="1034">
        <v>12.309839037421515</v>
      </c>
      <c r="L13" s="1034">
        <v>3.9815008081233136</v>
      </c>
    </row>
    <row r="14" spans="1:12" s="230" customFormat="1" ht="18" customHeight="1">
      <c r="A14" s="1031" t="s">
        <v>1389</v>
      </c>
      <c r="B14" s="1032" t="s">
        <v>592</v>
      </c>
      <c r="C14" s="1033">
        <v>1078986.9063714501</v>
      </c>
      <c r="D14" s="1033">
        <v>924790.30027681112</v>
      </c>
      <c r="E14" s="1033">
        <v>687834.65388874244</v>
      </c>
      <c r="F14" s="1034">
        <v>56.867191885620905</v>
      </c>
      <c r="G14" s="1034">
        <v>16.67368332566684</v>
      </c>
      <c r="H14" s="1033">
        <v>524448.53170699999</v>
      </c>
      <c r="I14" s="1033">
        <v>542252.19794099999</v>
      </c>
      <c r="J14" s="1033">
        <v>325658.92055400001</v>
      </c>
      <c r="K14" s="1034">
        <v>61.042274172875644</v>
      </c>
      <c r="L14" s="1034">
        <v>-3.2832815250178364</v>
      </c>
    </row>
    <row r="15" spans="1:12" s="230" customFormat="1" ht="18" customHeight="1">
      <c r="A15" s="1031" t="s">
        <v>1390</v>
      </c>
      <c r="B15" s="1032" t="s">
        <v>592</v>
      </c>
      <c r="C15" s="1033">
        <v>56788.784545865783</v>
      </c>
      <c r="D15" s="1033">
        <v>44037.633346514813</v>
      </c>
      <c r="E15" s="1033">
        <v>36201.823888881176</v>
      </c>
      <c r="F15" s="1034">
        <v>56.867191885620905</v>
      </c>
      <c r="G15" s="1034">
        <v>28.955123675737017</v>
      </c>
      <c r="H15" s="1033">
        <v>27602.554300368422</v>
      </c>
      <c r="I15" s="1033">
        <v>25821.533235285715</v>
      </c>
      <c r="J15" s="1033">
        <v>16282.9460277</v>
      </c>
      <c r="K15" s="1034">
        <v>69.518183339869125</v>
      </c>
      <c r="L15" s="1034">
        <v>6.8974256828750216</v>
      </c>
    </row>
    <row r="16" spans="1:12" s="230" customFormat="1" ht="18" customHeight="1">
      <c r="A16" s="1031" t="s">
        <v>593</v>
      </c>
      <c r="B16" s="1032" t="s">
        <v>589</v>
      </c>
      <c r="C16" s="1033">
        <v>2</v>
      </c>
      <c r="D16" s="1033">
        <v>0</v>
      </c>
      <c r="E16" s="1033">
        <v>1</v>
      </c>
      <c r="F16" s="1034">
        <v>100</v>
      </c>
      <c r="G16" s="1034" t="s">
        <v>221</v>
      </c>
      <c r="H16" s="1033">
        <v>0</v>
      </c>
      <c r="I16" s="1033">
        <v>12</v>
      </c>
      <c r="J16" s="1033" t="s">
        <v>1391</v>
      </c>
      <c r="K16" s="1034" t="s">
        <v>221</v>
      </c>
      <c r="L16" s="1034">
        <v>5.8333333333329997E-2</v>
      </c>
    </row>
    <row r="17" spans="1:12" s="230" customFormat="1" ht="18" customHeight="1">
      <c r="A17" s="1031" t="s">
        <v>1392</v>
      </c>
      <c r="B17" s="1032" t="s">
        <v>594</v>
      </c>
      <c r="C17" s="1033">
        <v>86.561700000000002</v>
      </c>
      <c r="D17" s="1033">
        <v>85.869</v>
      </c>
      <c r="E17" s="1033">
        <v>84.678100000000001</v>
      </c>
      <c r="F17" s="1034">
        <v>2.2244240246297462</v>
      </c>
      <c r="G17" s="1034">
        <v>0.80669391747895292</v>
      </c>
      <c r="H17" s="1033">
        <v>14.6824926624175</v>
      </c>
      <c r="I17" s="1033">
        <v>14.96</v>
      </c>
      <c r="J17" s="1033">
        <v>14.051536177147399</v>
      </c>
      <c r="K17" s="1034">
        <v>4.4903025357202706</v>
      </c>
      <c r="L17" s="1034">
        <v>-1.8549955720755387</v>
      </c>
    </row>
    <row r="18" spans="1:12" s="230" customFormat="1" ht="18" customHeight="1">
      <c r="A18" s="1036"/>
      <c r="B18" s="1037"/>
      <c r="C18" s="1038"/>
      <c r="D18" s="1038"/>
      <c r="E18" s="1038"/>
      <c r="F18" s="1039"/>
      <c r="G18" s="1039"/>
      <c r="H18" s="817"/>
      <c r="I18" s="817"/>
      <c r="J18" s="817"/>
      <c r="K18" s="824"/>
      <c r="L18" s="824"/>
    </row>
    <row r="19" spans="1:12" s="1040" customFormat="1" ht="29.25" customHeight="1">
      <c r="A19" s="1646" t="s">
        <v>1393</v>
      </c>
      <c r="B19" s="1646"/>
      <c r="C19" s="1646"/>
      <c r="D19" s="1646"/>
      <c r="E19" s="1646"/>
      <c r="F19" s="1646"/>
      <c r="G19" s="1646"/>
      <c r="H19" s="1646"/>
      <c r="I19" s="1646"/>
      <c r="J19" s="1646"/>
      <c r="K19" s="1646"/>
      <c r="L19" s="1646"/>
    </row>
    <row r="20" spans="1:12" s="1040" customFormat="1" ht="13.5" customHeight="1">
      <c r="A20" s="1041" t="s">
        <v>1394</v>
      </c>
      <c r="B20" s="1041"/>
      <c r="C20" s="1041"/>
      <c r="D20" s="1041"/>
      <c r="E20" s="1041"/>
      <c r="F20" s="1041"/>
      <c r="G20" s="1041"/>
      <c r="H20" s="1041"/>
      <c r="I20" s="1041"/>
      <c r="J20" s="1041"/>
      <c r="K20" s="1041"/>
      <c r="L20" s="1041"/>
    </row>
    <row r="21" spans="1:12">
      <c r="A21" s="683" t="s">
        <v>1395</v>
      </c>
    </row>
    <row r="22" spans="1:12">
      <c r="A22" s="683" t="s">
        <v>1396</v>
      </c>
    </row>
    <row r="23" spans="1:12">
      <c r="A23" s="683" t="s">
        <v>1397</v>
      </c>
    </row>
    <row r="24" spans="1:12">
      <c r="A24" s="1641" t="s">
        <v>595</v>
      </c>
      <c r="B24" s="1641"/>
      <c r="C24" s="1641"/>
      <c r="D24" s="1641"/>
      <c r="E24" s="1641"/>
      <c r="F24" s="1641"/>
      <c r="G24" s="1641"/>
      <c r="H24" s="1641"/>
      <c r="I24" s="1641"/>
      <c r="J24" s="1641"/>
      <c r="K24" s="1641"/>
      <c r="L24" s="1641"/>
    </row>
  </sheetData>
  <mergeCells count="6">
    <mergeCell ref="A24:L24"/>
    <mergeCell ref="A2:A3"/>
    <mergeCell ref="B2:B3"/>
    <mergeCell ref="C2:G2"/>
    <mergeCell ref="H2:L2"/>
    <mergeCell ref="A19:L19"/>
  </mergeCells>
  <printOptions horizontalCentered="1"/>
  <pageMargins left="0.78431372549019618" right="0.78431372549019618" top="0.98039215686274517" bottom="0.98039215686274517" header="0.50980392156862753" footer="0.50980392156862753"/>
  <pageSetup paperSize="9" scale="65" orientation="landscape" useFirstPageNumber="1" r:id="rId1"/>
  <headerFooter alignWithMargins="0"/>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16"/>
  <sheetViews>
    <sheetView workbookViewId="0"/>
  </sheetViews>
  <sheetFormatPr defaultColWidth="9.140625" defaultRowHeight="15"/>
  <cols>
    <col min="1" max="1" width="14.5703125" style="683" bestFit="1" customWidth="1"/>
    <col min="2" max="2" width="19.85546875" style="683" customWidth="1"/>
    <col min="3" max="4" width="14.5703125" style="683" bestFit="1" customWidth="1"/>
    <col min="5" max="5" width="18.42578125" style="683" customWidth="1"/>
    <col min="6" max="6" width="14.140625" style="683" bestFit="1" customWidth="1"/>
    <col min="7" max="7" width="20.85546875" style="683" customWidth="1"/>
    <col min="8" max="8" width="13.140625" style="683" customWidth="1"/>
    <col min="9" max="9" width="14.5703125" style="683" bestFit="1" customWidth="1"/>
    <col min="10" max="10" width="17.85546875" style="683" customWidth="1"/>
    <col min="11" max="11" width="14" style="683" customWidth="1"/>
    <col min="12" max="12" width="4.5703125" style="683" bestFit="1" customWidth="1"/>
    <col min="13" max="16384" width="9.140625" style="683"/>
  </cols>
  <sheetData>
    <row r="1" spans="1:11" ht="16.5" customHeight="1">
      <c r="A1" s="859" t="s">
        <v>58</v>
      </c>
      <c r="B1" s="859"/>
      <c r="C1" s="859"/>
      <c r="D1" s="859"/>
      <c r="E1" s="859"/>
      <c r="F1" s="859"/>
      <c r="G1" s="859"/>
      <c r="H1" s="859"/>
      <c r="I1" s="859"/>
      <c r="J1" s="859"/>
      <c r="K1" s="859"/>
    </row>
    <row r="2" spans="1:11" s="230" customFormat="1" ht="18" customHeight="1">
      <c r="A2" s="1642" t="s">
        <v>141</v>
      </c>
      <c r="B2" s="1643" t="s">
        <v>78</v>
      </c>
      <c r="C2" s="1644"/>
      <c r="D2" s="1644"/>
      <c r="E2" s="1644"/>
      <c r="F2" s="1647"/>
      <c r="G2" s="1643" t="s">
        <v>79</v>
      </c>
      <c r="H2" s="1644"/>
      <c r="I2" s="1644"/>
      <c r="J2" s="1644"/>
      <c r="K2" s="1647"/>
    </row>
    <row r="3" spans="1:11" s="230" customFormat="1" ht="67.5" customHeight="1">
      <c r="A3" s="1464"/>
      <c r="B3" s="1029" t="s">
        <v>596</v>
      </c>
      <c r="C3" s="1029" t="s">
        <v>597</v>
      </c>
      <c r="D3" s="1042" t="s">
        <v>1398</v>
      </c>
      <c r="E3" s="1042" t="s">
        <v>1399</v>
      </c>
      <c r="F3" s="1029" t="s">
        <v>599</v>
      </c>
      <c r="G3" s="1029" t="s">
        <v>596</v>
      </c>
      <c r="H3" s="1029" t="s">
        <v>597</v>
      </c>
      <c r="I3" s="1042" t="s">
        <v>598</v>
      </c>
      <c r="J3" s="1042" t="s">
        <v>1399</v>
      </c>
      <c r="K3" s="1029" t="s">
        <v>600</v>
      </c>
    </row>
    <row r="4" spans="1:11" s="230" customFormat="1" ht="30" customHeight="1">
      <c r="A4" s="1043" t="s">
        <v>505</v>
      </c>
      <c r="B4" s="1044">
        <v>46015</v>
      </c>
      <c r="C4" s="1044">
        <v>281</v>
      </c>
      <c r="D4" s="1044">
        <v>61665</v>
      </c>
      <c r="E4" s="1008">
        <v>3773299.28</v>
      </c>
      <c r="F4" s="1008">
        <v>42344187.609999999</v>
      </c>
      <c r="G4" s="1044">
        <v>23060</v>
      </c>
      <c r="H4" s="1044">
        <v>580</v>
      </c>
      <c r="I4" s="1044">
        <v>17487</v>
      </c>
      <c r="J4" s="1008">
        <v>661463.29700000002</v>
      </c>
      <c r="K4" s="1008">
        <v>6420627.6279999996</v>
      </c>
    </row>
    <row r="5" spans="1:11" s="230" customFormat="1" ht="18" customHeight="1">
      <c r="A5" s="1045" t="s">
        <v>703</v>
      </c>
      <c r="B5" s="1046">
        <f t="shared" ref="B5:K5" si="0">INDEX(B6:B11,COUNTA(B6:B11))</f>
        <v>56662</v>
      </c>
      <c r="C5" s="1046">
        <f t="shared" si="0"/>
        <v>289</v>
      </c>
      <c r="D5" s="1046">
        <f t="shared" si="0"/>
        <v>63165</v>
      </c>
      <c r="E5" s="1047">
        <f t="shared" si="0"/>
        <v>4148717.06</v>
      </c>
      <c r="F5" s="1047">
        <f t="shared" si="0"/>
        <v>50611775.153999999</v>
      </c>
      <c r="G5" s="1046">
        <f t="shared" si="0"/>
        <v>28331</v>
      </c>
      <c r="H5" s="1046">
        <f t="shared" si="0"/>
        <v>569</v>
      </c>
      <c r="I5" s="1046">
        <f t="shared" si="0"/>
        <v>17830</v>
      </c>
      <c r="J5" s="1047">
        <f t="shared" si="0"/>
        <v>733892.4110811851</v>
      </c>
      <c r="K5" s="1047">
        <f t="shared" si="0"/>
        <v>7826208.6689999998</v>
      </c>
    </row>
    <row r="6" spans="1:11" s="230" customFormat="1" ht="18" customHeight="1">
      <c r="A6" s="744">
        <v>45412</v>
      </c>
      <c r="B6" s="715">
        <v>46792</v>
      </c>
      <c r="C6" s="715">
        <v>282</v>
      </c>
      <c r="D6" s="715">
        <v>62763</v>
      </c>
      <c r="E6" s="811">
        <v>3860905.75</v>
      </c>
      <c r="F6" s="811">
        <v>43957388.061999999</v>
      </c>
      <c r="G6" s="715">
        <v>23560</v>
      </c>
      <c r="H6" s="715">
        <v>578</v>
      </c>
      <c r="I6" s="715">
        <v>17644</v>
      </c>
      <c r="J6" s="811">
        <v>670642.35581886093</v>
      </c>
      <c r="K6" s="811">
        <v>6922743.2829000009</v>
      </c>
    </row>
    <row r="7" spans="1:11" s="230" customFormat="1" ht="18" customHeight="1">
      <c r="A7" s="744">
        <v>45443</v>
      </c>
      <c r="B7" s="715">
        <v>48397</v>
      </c>
      <c r="C7" s="715">
        <v>282</v>
      </c>
      <c r="D7" s="715">
        <v>62492</v>
      </c>
      <c r="E7" s="811">
        <v>3927366.21</v>
      </c>
      <c r="F7" s="811">
        <v>44576101.505999997</v>
      </c>
      <c r="G7" s="715">
        <v>24093</v>
      </c>
      <c r="H7" s="715">
        <v>577</v>
      </c>
      <c r="I7" s="715">
        <v>17661</v>
      </c>
      <c r="J7" s="811">
        <v>683554.59368588799</v>
      </c>
      <c r="K7" s="811">
        <v>6973608.2975000003</v>
      </c>
    </row>
    <row r="8" spans="1:11" s="230" customFormat="1" ht="18" customHeight="1">
      <c r="A8" s="744">
        <v>45473</v>
      </c>
      <c r="B8" s="715">
        <v>49661</v>
      </c>
      <c r="C8" s="715">
        <v>285</v>
      </c>
      <c r="D8" s="715">
        <v>62513</v>
      </c>
      <c r="E8" s="811">
        <v>3982690.82</v>
      </c>
      <c r="F8" s="811">
        <v>47074465.240999997</v>
      </c>
      <c r="G8" s="715">
        <v>24858</v>
      </c>
      <c r="H8" s="715">
        <v>573</v>
      </c>
      <c r="I8" s="715">
        <v>17671</v>
      </c>
      <c r="J8" s="811">
        <v>689967</v>
      </c>
      <c r="K8" s="811">
        <v>7350540</v>
      </c>
    </row>
    <row r="9" spans="1:11" s="230" customFormat="1" ht="18" customHeight="1">
      <c r="A9" s="744">
        <v>45504</v>
      </c>
      <c r="B9" s="715">
        <v>51301</v>
      </c>
      <c r="C9" s="715">
        <v>285</v>
      </c>
      <c r="D9" s="715">
        <v>62525</v>
      </c>
      <c r="E9" s="811">
        <v>4032001.16</v>
      </c>
      <c r="F9" s="811">
        <v>49073775.344999999</v>
      </c>
      <c r="G9" s="715">
        <v>25718</v>
      </c>
      <c r="H9" s="715">
        <v>572</v>
      </c>
      <c r="I9" s="715">
        <v>17683</v>
      </c>
      <c r="J9" s="811">
        <v>703105.47562186699</v>
      </c>
      <c r="K9" s="811">
        <v>7735271.7120000003</v>
      </c>
    </row>
    <row r="10" spans="1:11" s="230" customFormat="1">
      <c r="A10" s="744">
        <v>45535</v>
      </c>
      <c r="B10" s="715">
        <v>53691</v>
      </c>
      <c r="C10" s="715">
        <v>285</v>
      </c>
      <c r="D10" s="715">
        <v>62832</v>
      </c>
      <c r="E10" s="811">
        <v>4948451.1044000005</v>
      </c>
      <c r="F10" s="811">
        <v>40650203.100000001</v>
      </c>
      <c r="G10" s="715">
        <v>26770</v>
      </c>
      <c r="H10" s="715">
        <v>569</v>
      </c>
      <c r="I10" s="715">
        <v>17696</v>
      </c>
      <c r="J10" s="811">
        <v>718517.65656850196</v>
      </c>
      <c r="K10" s="811">
        <v>7791717.4450000003</v>
      </c>
    </row>
    <row r="11" spans="1:11" s="230" customFormat="1">
      <c r="A11" s="744">
        <v>45565</v>
      </c>
      <c r="B11" s="715">
        <v>56662</v>
      </c>
      <c r="C11" s="715">
        <v>289</v>
      </c>
      <c r="D11" s="715">
        <v>63165</v>
      </c>
      <c r="E11" s="811">
        <v>4148717.06</v>
      </c>
      <c r="F11" s="811">
        <v>50611775.153999999</v>
      </c>
      <c r="G11" s="715">
        <v>28331</v>
      </c>
      <c r="H11" s="715">
        <v>569</v>
      </c>
      <c r="I11" s="715">
        <v>17830</v>
      </c>
      <c r="J11" s="811">
        <v>733892.4110811851</v>
      </c>
      <c r="K11" s="811">
        <v>7826208.6689999998</v>
      </c>
    </row>
    <row r="12" spans="1:11" s="230" customFormat="1">
      <c r="A12" s="727" t="s">
        <v>1373</v>
      </c>
      <c r="B12" s="817"/>
      <c r="C12" s="817"/>
      <c r="D12" s="817"/>
      <c r="E12" s="817"/>
      <c r="F12" s="817"/>
      <c r="G12" s="817"/>
      <c r="H12" s="817"/>
      <c r="I12" s="817"/>
      <c r="J12" s="817"/>
      <c r="K12" s="816"/>
    </row>
    <row r="13" spans="1:11" s="230" customFormat="1">
      <c r="A13" s="1648" t="s">
        <v>601</v>
      </c>
      <c r="B13" s="1649"/>
      <c r="C13" s="1649"/>
      <c r="D13" s="1649"/>
      <c r="E13" s="1649"/>
      <c r="F13" s="1649"/>
      <c r="G13" s="1649"/>
      <c r="H13" s="1649"/>
      <c r="I13" s="1649"/>
      <c r="J13" s="1649"/>
      <c r="K13" s="1649"/>
    </row>
    <row r="14" spans="1:11" s="230" customFormat="1" ht="18" customHeight="1">
      <c r="A14" s="728" t="s">
        <v>595</v>
      </c>
      <c r="B14" s="728"/>
      <c r="C14" s="728"/>
      <c r="D14" s="1048"/>
      <c r="E14" s="1048"/>
      <c r="F14" s="1048"/>
      <c r="G14" s="1048"/>
      <c r="H14" s="1048"/>
    </row>
    <row r="15" spans="1:11" s="230" customFormat="1">
      <c r="A15" s="750"/>
      <c r="D15" s="728"/>
      <c r="E15" s="728"/>
      <c r="F15" s="728"/>
    </row>
    <row r="16" spans="1:11" s="230" customFormat="1">
      <c r="A16" s="683"/>
      <c r="B16" s="683"/>
      <c r="C16" s="683"/>
      <c r="G16" s="683"/>
      <c r="H16" s="683"/>
    </row>
  </sheetData>
  <mergeCells count="4">
    <mergeCell ref="A2:A3"/>
    <mergeCell ref="B2:F2"/>
    <mergeCell ref="G2:K2"/>
    <mergeCell ref="A13:K13"/>
  </mergeCells>
  <printOptions horizontalCentered="1"/>
  <pageMargins left="0.78431372549019618" right="0.78431372549019618" top="0.98039215686274517" bottom="0.98039215686274517" header="0.50980392156862753" footer="0.50980392156862753"/>
  <pageSetup paperSize="9" scale="76" orientation="landscape" useFirstPageNumber="1" r:id="rId1"/>
  <headerFooter alignWithMargins="0"/>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20"/>
  <sheetViews>
    <sheetView workbookViewId="0"/>
  </sheetViews>
  <sheetFormatPr defaultColWidth="9.140625" defaultRowHeight="15"/>
  <cols>
    <col min="1" max="1" width="51" style="683" bestFit="1" customWidth="1"/>
    <col min="2" max="2" width="10.140625" style="683" bestFit="1" customWidth="1"/>
    <col min="3" max="4" width="12.42578125" style="683" bestFit="1" customWidth="1"/>
    <col min="5" max="6" width="14" style="683" bestFit="1" customWidth="1"/>
    <col min="7" max="7" width="12.42578125" style="683" bestFit="1" customWidth="1"/>
    <col min="8" max="9" width="14" style="683" bestFit="1" customWidth="1"/>
    <col min="10" max="10" width="14.85546875" style="683" customWidth="1"/>
    <col min="11" max="11" width="10.28515625" style="683" bestFit="1" customWidth="1"/>
    <col min="12" max="16384" width="9.140625" style="683"/>
  </cols>
  <sheetData>
    <row r="1" spans="1:11" ht="15.75" customHeight="1">
      <c r="A1" s="1049" t="s">
        <v>1400</v>
      </c>
    </row>
    <row r="2" spans="1:11" s="230" customFormat="1" ht="18" customHeight="1">
      <c r="A2" s="1642" t="s">
        <v>602</v>
      </c>
      <c r="B2" s="1642" t="s">
        <v>586</v>
      </c>
      <c r="C2" s="1643" t="s">
        <v>139</v>
      </c>
      <c r="D2" s="1647"/>
      <c r="E2" s="1643" t="s">
        <v>603</v>
      </c>
      <c r="F2" s="1647"/>
      <c r="G2" s="1643" t="s">
        <v>290</v>
      </c>
      <c r="H2" s="1647"/>
      <c r="I2" s="1643" t="s">
        <v>96</v>
      </c>
      <c r="J2" s="1647"/>
    </row>
    <row r="3" spans="1:11" s="230" customFormat="1" ht="16.5" customHeight="1">
      <c r="A3" s="1464"/>
      <c r="B3" s="1464"/>
      <c r="C3" s="1050" t="s">
        <v>138</v>
      </c>
      <c r="D3" s="1050" t="s">
        <v>604</v>
      </c>
      <c r="E3" s="1050" t="s">
        <v>138</v>
      </c>
      <c r="F3" s="1050" t="s">
        <v>604</v>
      </c>
      <c r="G3" s="1050" t="s">
        <v>138</v>
      </c>
      <c r="H3" s="1050" t="s">
        <v>604</v>
      </c>
      <c r="I3" s="1050" t="s">
        <v>138</v>
      </c>
      <c r="J3" s="1050" t="s">
        <v>604</v>
      </c>
    </row>
    <row r="4" spans="1:11" s="230" customFormat="1" ht="18" customHeight="1">
      <c r="A4" s="1778" t="s">
        <v>78</v>
      </c>
      <c r="B4" s="1779"/>
      <c r="C4" s="1779"/>
      <c r="D4" s="1779"/>
      <c r="E4" s="1779"/>
      <c r="F4" s="1779"/>
      <c r="G4" s="1779"/>
      <c r="H4" s="1779"/>
      <c r="I4" s="1779"/>
      <c r="J4" s="1780"/>
    </row>
    <row r="5" spans="1:11" s="230" customFormat="1" ht="27" customHeight="1">
      <c r="A5" s="1051" t="s">
        <v>605</v>
      </c>
      <c r="B5" s="1052" t="s">
        <v>606</v>
      </c>
      <c r="C5" s="1033">
        <v>812</v>
      </c>
      <c r="D5" s="1033">
        <v>3554</v>
      </c>
      <c r="E5" s="1033">
        <v>6128</v>
      </c>
      <c r="F5" s="1033">
        <v>45399</v>
      </c>
      <c r="G5" s="1033">
        <v>410</v>
      </c>
      <c r="H5" s="1033">
        <v>8187</v>
      </c>
      <c r="I5" s="1033">
        <v>7350</v>
      </c>
      <c r="J5" s="1033">
        <v>57140</v>
      </c>
    </row>
    <row r="6" spans="1:11" s="230" customFormat="1">
      <c r="A6" s="1051" t="s">
        <v>607</v>
      </c>
      <c r="B6" s="1052" t="s">
        <v>606</v>
      </c>
      <c r="C6" s="1033">
        <v>8594</v>
      </c>
      <c r="D6" s="1033">
        <v>16028</v>
      </c>
      <c r="E6" s="1033">
        <v>6375</v>
      </c>
      <c r="F6" s="1033">
        <v>54620</v>
      </c>
      <c r="G6" s="1033">
        <v>2806</v>
      </c>
      <c r="H6" s="1033">
        <v>62868</v>
      </c>
      <c r="I6" s="1033">
        <v>17775</v>
      </c>
      <c r="J6" s="1033">
        <v>133516</v>
      </c>
    </row>
    <row r="7" spans="1:11" s="230" customFormat="1">
      <c r="A7" s="1051" t="s">
        <v>608</v>
      </c>
      <c r="B7" s="1052" t="s">
        <v>609</v>
      </c>
      <c r="C7" s="1053">
        <v>99239.056880000004</v>
      </c>
      <c r="D7" s="1053">
        <v>2941502.5323200002</v>
      </c>
      <c r="E7" s="1053">
        <v>7837926.6486499999</v>
      </c>
      <c r="F7" s="1053">
        <v>18686985.326060001</v>
      </c>
      <c r="G7" s="1053">
        <v>1125285.5567155196</v>
      </c>
      <c r="H7" s="1053">
        <v>10796226.148177825</v>
      </c>
      <c r="I7" s="1053">
        <v>9062451.2622455191</v>
      </c>
      <c r="J7" s="1053">
        <v>32424714.006557826</v>
      </c>
      <c r="K7" s="837"/>
    </row>
    <row r="8" spans="1:11" s="230" customFormat="1">
      <c r="A8" s="1051" t="s">
        <v>610</v>
      </c>
      <c r="B8" s="1052" t="s">
        <v>611</v>
      </c>
      <c r="C8" s="1053">
        <v>3396099.6826973106</v>
      </c>
      <c r="D8" s="1053">
        <v>1478444.7616693818</v>
      </c>
      <c r="E8" s="1053">
        <v>40369287.727305509</v>
      </c>
      <c r="F8" s="1053">
        <v>1739849.583981924</v>
      </c>
      <c r="G8" s="1053">
        <v>1291535.6669610273</v>
      </c>
      <c r="H8" s="1053">
        <v>2336557.7305920674</v>
      </c>
      <c r="I8" s="1053">
        <v>45056923.076963849</v>
      </c>
      <c r="J8" s="1053">
        <v>5554852.0762433726</v>
      </c>
    </row>
    <row r="9" spans="1:11" s="230" customFormat="1">
      <c r="A9" s="1051" t="s">
        <v>612</v>
      </c>
      <c r="B9" s="1052" t="s">
        <v>613</v>
      </c>
      <c r="C9" s="1053">
        <v>480.34532000000002</v>
      </c>
      <c r="D9" s="1053">
        <v>2485.1542300000001</v>
      </c>
      <c r="E9" s="1053">
        <v>295606.76215999998</v>
      </c>
      <c r="F9" s="1053">
        <v>403.65156999999999</v>
      </c>
      <c r="G9" s="1053">
        <v>15810.880087940002</v>
      </c>
      <c r="H9" s="1053">
        <v>1504.31097</v>
      </c>
      <c r="I9" s="1053">
        <v>311897.98756793997</v>
      </c>
      <c r="J9" s="1053">
        <v>4393.1167699999996</v>
      </c>
      <c r="K9" s="747"/>
    </row>
    <row r="10" spans="1:11" s="230" customFormat="1">
      <c r="A10" s="1051" t="s">
        <v>614</v>
      </c>
      <c r="B10" s="1052" t="s">
        <v>615</v>
      </c>
      <c r="C10" s="1053">
        <v>128168.3324236</v>
      </c>
      <c r="D10" s="1053">
        <v>37511.618333999999</v>
      </c>
      <c r="E10" s="1053">
        <v>1078986.9063714501</v>
      </c>
      <c r="F10" s="1053">
        <v>1581.3937494360002</v>
      </c>
      <c r="G10" s="1053">
        <v>21172.478456822992</v>
      </c>
      <c r="H10" s="1053">
        <v>471.40616480300008</v>
      </c>
      <c r="I10" s="1053">
        <v>1228327.7172518731</v>
      </c>
      <c r="J10" s="1053">
        <v>39564.418248239002</v>
      </c>
      <c r="K10" s="747"/>
    </row>
    <row r="11" spans="1:11" s="230" customFormat="1" ht="18" customHeight="1">
      <c r="A11" s="1778" t="s">
        <v>79</v>
      </c>
      <c r="B11" s="1779"/>
      <c r="C11" s="1779"/>
      <c r="D11" s="1779"/>
      <c r="E11" s="1779"/>
      <c r="F11" s="1779"/>
      <c r="G11" s="1779"/>
      <c r="H11" s="1779"/>
      <c r="I11" s="1779"/>
      <c r="J11" s="1780"/>
    </row>
    <row r="12" spans="1:11" s="230" customFormat="1" ht="27" customHeight="1">
      <c r="A12" s="1051" t="s">
        <v>616</v>
      </c>
      <c r="B12" s="1052" t="s">
        <v>606</v>
      </c>
      <c r="C12" s="1054">
        <v>681</v>
      </c>
      <c r="D12" s="1054">
        <v>867</v>
      </c>
      <c r="E12" s="1054">
        <v>6516</v>
      </c>
      <c r="F12" s="1054">
        <v>18459</v>
      </c>
      <c r="G12" s="1054">
        <v>2650</v>
      </c>
      <c r="H12" s="1054">
        <v>2349</v>
      </c>
      <c r="I12" s="1054">
        <v>9847</v>
      </c>
      <c r="J12" s="1054">
        <v>21675</v>
      </c>
    </row>
    <row r="13" spans="1:11" s="230" customFormat="1">
      <c r="A13" s="1051" t="s">
        <v>617</v>
      </c>
      <c r="B13" s="1052" t="s">
        <v>606</v>
      </c>
      <c r="C13" s="1054">
        <v>7073</v>
      </c>
      <c r="D13" s="1054">
        <v>7773</v>
      </c>
      <c r="E13" s="1054">
        <v>6711</v>
      </c>
      <c r="F13" s="1054">
        <v>18957</v>
      </c>
      <c r="G13" s="1054">
        <v>22155</v>
      </c>
      <c r="H13" s="1054">
        <v>22727</v>
      </c>
      <c r="I13" s="1054">
        <v>35939</v>
      </c>
      <c r="J13" s="1054">
        <v>49457</v>
      </c>
    </row>
    <row r="14" spans="1:11" s="230" customFormat="1">
      <c r="A14" s="1051" t="s">
        <v>608</v>
      </c>
      <c r="B14" s="1052" t="s">
        <v>618</v>
      </c>
      <c r="C14" s="1053">
        <v>4375.1485300000004</v>
      </c>
      <c r="D14" s="1053">
        <v>202021.10006999999</v>
      </c>
      <c r="E14" s="1053">
        <v>3773636.1131500001</v>
      </c>
      <c r="F14" s="1053">
        <v>2287665.55063</v>
      </c>
      <c r="G14" s="1053">
        <v>657811.44284000003</v>
      </c>
      <c r="H14" s="1053">
        <v>413414.75559180003</v>
      </c>
      <c r="I14" s="1053">
        <v>4435822.7045200001</v>
      </c>
      <c r="J14" s="1053">
        <v>2903101.4062918001</v>
      </c>
      <c r="K14" s="837"/>
    </row>
    <row r="15" spans="1:11" s="230" customFormat="1">
      <c r="A15" s="1051" t="s">
        <v>610</v>
      </c>
      <c r="B15" s="1052" t="s">
        <v>619</v>
      </c>
      <c r="C15" s="1053">
        <v>79753.547200000001</v>
      </c>
      <c r="D15" s="1053">
        <v>74636.601200000005</v>
      </c>
      <c r="E15" s="1053">
        <v>6958008.4835000001</v>
      </c>
      <c r="F15" s="1053">
        <v>179187.90299999999</v>
      </c>
      <c r="G15" s="1053">
        <v>444031.89919999999</v>
      </c>
      <c r="H15" s="1053">
        <v>90590.234500000006</v>
      </c>
      <c r="I15" s="1053">
        <v>7481793.9298999999</v>
      </c>
      <c r="J15" s="1053">
        <v>344414.73869999999</v>
      </c>
    </row>
    <row r="16" spans="1:11" s="230" customFormat="1">
      <c r="A16" s="1051" t="s">
        <v>620</v>
      </c>
      <c r="B16" s="1052" t="s">
        <v>618</v>
      </c>
      <c r="C16" s="1053">
        <v>58.888759999999998</v>
      </c>
      <c r="D16" s="1053">
        <v>0</v>
      </c>
      <c r="E16" s="1053">
        <v>406807.45406000002</v>
      </c>
      <c r="F16" s="1053">
        <v>0</v>
      </c>
      <c r="G16" s="1053">
        <v>70735.923070000004</v>
      </c>
      <c r="H16" s="1053">
        <v>0</v>
      </c>
      <c r="I16" s="1053">
        <v>477602.26589000004</v>
      </c>
      <c r="J16" s="1053">
        <v>0</v>
      </c>
    </row>
    <row r="17" spans="1:10" s="230" customFormat="1">
      <c r="A17" s="1051" t="s">
        <v>614</v>
      </c>
      <c r="B17" s="1052" t="s">
        <v>619</v>
      </c>
      <c r="C17" s="1053">
        <v>502.89676180000004</v>
      </c>
      <c r="D17" s="1053">
        <v>0</v>
      </c>
      <c r="E17" s="1053">
        <v>524448.27100689989</v>
      </c>
      <c r="F17" s="1053">
        <v>0</v>
      </c>
      <c r="G17" s="1053">
        <v>44580.024303400001</v>
      </c>
      <c r="H17" s="1053">
        <v>0</v>
      </c>
      <c r="I17" s="1053">
        <v>569531.19207209989</v>
      </c>
      <c r="J17" s="1053">
        <v>0</v>
      </c>
    </row>
    <row r="18" spans="1:10" s="230" customFormat="1">
      <c r="A18" s="1055"/>
      <c r="B18" s="1056"/>
      <c r="C18" s="817"/>
      <c r="D18" s="817"/>
      <c r="E18" s="1057"/>
      <c r="F18" s="817"/>
      <c r="G18" s="817"/>
      <c r="H18" s="817"/>
      <c r="I18" s="1057"/>
      <c r="J18" s="817"/>
    </row>
    <row r="19" spans="1:10" s="230" customFormat="1" ht="33" customHeight="1">
      <c r="A19" s="1650" t="s">
        <v>621</v>
      </c>
      <c r="B19" s="1650"/>
      <c r="C19" s="1650"/>
      <c r="D19" s="1650"/>
      <c r="E19" s="1650"/>
      <c r="F19" s="1650"/>
      <c r="G19" s="1650"/>
      <c r="H19" s="1650"/>
      <c r="I19" s="1650"/>
      <c r="J19" s="1650"/>
    </row>
    <row r="20" spans="1:10" s="230" customFormat="1" ht="13.5" customHeight="1">
      <c r="A20" s="1556" t="s">
        <v>595</v>
      </c>
      <c r="B20" s="1556"/>
      <c r="C20" s="1556"/>
      <c r="D20" s="1556"/>
      <c r="E20" s="1556"/>
      <c r="F20" s="1556"/>
      <c r="G20" s="1556"/>
      <c r="H20" s="1556"/>
      <c r="I20" s="1556"/>
      <c r="J20" s="1556"/>
    </row>
  </sheetData>
  <mergeCells count="10">
    <mergeCell ref="A4:J4"/>
    <mergeCell ref="A11:J11"/>
    <mergeCell ref="A19:J19"/>
    <mergeCell ref="A20:J20"/>
    <mergeCell ref="A2:A3"/>
    <mergeCell ref="B2:B3"/>
    <mergeCell ref="C2:D2"/>
    <mergeCell ref="E2:F2"/>
    <mergeCell ref="G2:H2"/>
    <mergeCell ref="I2:J2"/>
  </mergeCells>
  <printOptions horizontalCentered="1"/>
  <pageMargins left="0.78431372549019618" right="0.78431372549019618" top="0.98039215686274517" bottom="0.98039215686274517" header="0.50980392156862753" footer="0.50980392156862753"/>
  <pageSetup paperSize="9" scale="82" orientation="landscape" useFirstPageNumber="1" r:id="rId1"/>
  <headerFooter alignWithMargins="0"/>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W32"/>
  <sheetViews>
    <sheetView workbookViewId="0">
      <selection sqref="A1:L1"/>
    </sheetView>
  </sheetViews>
  <sheetFormatPr defaultColWidth="9.140625" defaultRowHeight="12.75"/>
  <cols>
    <col min="1" max="1" width="11" style="335" customWidth="1"/>
    <col min="2" max="2" width="20.28515625" style="335" bestFit="1" customWidth="1"/>
    <col min="3" max="3" width="12.7109375" style="335" customWidth="1"/>
    <col min="4" max="4" width="26" style="335" customWidth="1"/>
    <col min="5" max="6" width="9.7109375" style="335" customWidth="1"/>
    <col min="7" max="7" width="18.42578125" style="335" customWidth="1"/>
    <col min="8" max="8" width="9.140625" style="335" customWidth="1"/>
    <col min="9" max="9" width="12.7109375" style="335" customWidth="1"/>
    <col min="10" max="10" width="26" style="335" customWidth="1"/>
    <col min="11" max="12" width="9.7109375" style="335" customWidth="1"/>
    <col min="13" max="16384" width="9.140625" style="335"/>
  </cols>
  <sheetData>
    <row r="1" spans="1:13" ht="15">
      <c r="A1" s="1654" t="s">
        <v>1401</v>
      </c>
      <c r="B1" s="1655"/>
      <c r="C1" s="1655"/>
      <c r="D1" s="1655"/>
      <c r="E1" s="1655"/>
      <c r="F1" s="1655"/>
      <c r="G1" s="1655"/>
      <c r="H1" s="1655"/>
      <c r="I1" s="1655"/>
      <c r="J1" s="1655"/>
      <c r="K1" s="1655"/>
      <c r="L1" s="1655"/>
      <c r="M1" s="334"/>
    </row>
    <row r="2" spans="1:13" ht="15" customHeight="1">
      <c r="A2" s="1656" t="s">
        <v>973</v>
      </c>
      <c r="B2" s="1656" t="s">
        <v>974</v>
      </c>
      <c r="C2" s="1657" t="s">
        <v>975</v>
      </c>
      <c r="D2" s="1657"/>
      <c r="E2" s="1657"/>
      <c r="F2" s="1657"/>
      <c r="G2" s="1657"/>
      <c r="H2" s="1657"/>
      <c r="I2" s="1657" t="s">
        <v>976</v>
      </c>
      <c r="J2" s="1657"/>
      <c r="K2" s="1657"/>
      <c r="L2" s="1657"/>
    </row>
    <row r="3" spans="1:13" ht="15">
      <c r="A3" s="1656"/>
      <c r="B3" s="1656"/>
      <c r="C3" s="1058" t="s">
        <v>977</v>
      </c>
      <c r="D3" s="1058" t="s">
        <v>978</v>
      </c>
      <c r="E3" s="1058" t="s">
        <v>979</v>
      </c>
      <c r="F3" s="1058" t="s">
        <v>980</v>
      </c>
      <c r="G3" s="1058" t="s">
        <v>981</v>
      </c>
      <c r="H3" s="1058" t="s">
        <v>982</v>
      </c>
      <c r="I3" s="1058" t="s">
        <v>977</v>
      </c>
      <c r="J3" s="1058" t="s">
        <v>978</v>
      </c>
      <c r="K3" s="1058" t="s">
        <v>979</v>
      </c>
      <c r="L3" s="1058" t="s">
        <v>980</v>
      </c>
    </row>
    <row r="4" spans="1:13" ht="15">
      <c r="A4" s="1659" t="s">
        <v>983</v>
      </c>
      <c r="B4" s="336" t="s">
        <v>984</v>
      </c>
      <c r="C4" s="337">
        <v>19</v>
      </c>
      <c r="D4" s="338">
        <v>1</v>
      </c>
      <c r="E4" s="338">
        <v>0</v>
      </c>
      <c r="F4" s="338">
        <v>0</v>
      </c>
      <c r="G4" s="338">
        <v>0</v>
      </c>
      <c r="H4" s="338">
        <v>0</v>
      </c>
      <c r="I4" s="338">
        <v>1</v>
      </c>
      <c r="J4" s="338">
        <v>0</v>
      </c>
      <c r="K4" s="338">
        <v>0</v>
      </c>
      <c r="L4" s="339">
        <v>0</v>
      </c>
      <c r="M4" s="340"/>
    </row>
    <row r="5" spans="1:13" ht="15">
      <c r="A5" s="1660"/>
      <c r="B5" s="336" t="s">
        <v>985</v>
      </c>
      <c r="C5" s="337">
        <v>18</v>
      </c>
      <c r="D5" s="338">
        <v>1</v>
      </c>
      <c r="E5" s="338">
        <v>0</v>
      </c>
      <c r="F5" s="338">
        <v>0</v>
      </c>
      <c r="G5" s="338">
        <v>0</v>
      </c>
      <c r="H5" s="338">
        <v>0</v>
      </c>
      <c r="I5" s="338">
        <v>1</v>
      </c>
      <c r="J5" s="338">
        <v>0</v>
      </c>
      <c r="K5" s="338">
        <v>0</v>
      </c>
      <c r="L5" s="339">
        <v>0</v>
      </c>
      <c r="M5" s="340"/>
    </row>
    <row r="6" spans="1:13" ht="15">
      <c r="A6" s="1661"/>
      <c r="B6" s="336" t="s">
        <v>986</v>
      </c>
      <c r="C6" s="337">
        <v>10</v>
      </c>
      <c r="D6" s="338">
        <v>0</v>
      </c>
      <c r="E6" s="338">
        <v>0</v>
      </c>
      <c r="F6" s="338">
        <v>0</v>
      </c>
      <c r="G6" s="338">
        <v>0</v>
      </c>
      <c r="H6" s="338">
        <v>0</v>
      </c>
      <c r="I6" s="338">
        <v>0</v>
      </c>
      <c r="J6" s="338">
        <v>0</v>
      </c>
      <c r="K6" s="338">
        <v>0</v>
      </c>
      <c r="L6" s="339">
        <v>0</v>
      </c>
      <c r="M6" s="340"/>
    </row>
    <row r="7" spans="1:13" ht="15">
      <c r="A7" s="1659" t="s">
        <v>987</v>
      </c>
      <c r="B7" s="336" t="s">
        <v>984</v>
      </c>
      <c r="C7" s="341">
        <v>5</v>
      </c>
      <c r="D7" s="341">
        <v>6</v>
      </c>
      <c r="E7" s="341">
        <v>2</v>
      </c>
      <c r="F7" s="341">
        <v>2</v>
      </c>
      <c r="G7" s="341">
        <v>0</v>
      </c>
      <c r="H7" s="341">
        <v>2</v>
      </c>
      <c r="I7" s="341">
        <v>0</v>
      </c>
      <c r="J7" s="341">
        <v>2</v>
      </c>
      <c r="K7" s="341">
        <v>2</v>
      </c>
      <c r="L7" s="341">
        <v>2</v>
      </c>
    </row>
    <row r="8" spans="1:13" ht="15">
      <c r="A8" s="1660"/>
      <c r="B8" s="336" t="s">
        <v>985</v>
      </c>
      <c r="C8" s="341">
        <v>3</v>
      </c>
      <c r="D8" s="341">
        <v>6</v>
      </c>
      <c r="E8" s="341">
        <v>2</v>
      </c>
      <c r="F8" s="341">
        <v>2</v>
      </c>
      <c r="G8" s="341">
        <v>0</v>
      </c>
      <c r="H8" s="341">
        <v>2</v>
      </c>
      <c r="I8" s="341">
        <v>0</v>
      </c>
      <c r="J8" s="341">
        <v>2</v>
      </c>
      <c r="K8" s="341">
        <v>2</v>
      </c>
      <c r="L8" s="341">
        <v>2</v>
      </c>
    </row>
    <row r="9" spans="1:13" ht="15">
      <c r="A9" s="1661"/>
      <c r="B9" s="336" t="s">
        <v>986</v>
      </c>
      <c r="C9" s="341">
        <v>2</v>
      </c>
      <c r="D9" s="341">
        <v>4</v>
      </c>
      <c r="E9" s="341">
        <v>2</v>
      </c>
      <c r="F9" s="341">
        <v>2</v>
      </c>
      <c r="G9" s="341">
        <v>0</v>
      </c>
      <c r="H9" s="341">
        <v>1</v>
      </c>
      <c r="I9" s="341">
        <v>0</v>
      </c>
      <c r="J9" s="341">
        <v>2</v>
      </c>
      <c r="K9" s="341">
        <v>2</v>
      </c>
      <c r="L9" s="341">
        <v>2</v>
      </c>
    </row>
    <row r="10" spans="1:13" ht="15">
      <c r="A10" s="1659" t="s">
        <v>988</v>
      </c>
      <c r="B10" s="336" t="s">
        <v>984</v>
      </c>
      <c r="C10" s="341">
        <v>1</v>
      </c>
      <c r="D10" s="341">
        <v>3</v>
      </c>
      <c r="E10" s="341">
        <v>2</v>
      </c>
      <c r="F10" s="341">
        <v>2</v>
      </c>
      <c r="G10" s="341" t="s">
        <v>233</v>
      </c>
      <c r="H10" s="341" t="s">
        <v>233</v>
      </c>
      <c r="I10" s="341" t="s">
        <v>233</v>
      </c>
      <c r="J10" s="341" t="s">
        <v>233</v>
      </c>
      <c r="K10" s="341">
        <v>2</v>
      </c>
      <c r="L10" s="341">
        <v>2</v>
      </c>
    </row>
    <row r="11" spans="1:13" ht="15">
      <c r="A11" s="1660"/>
      <c r="B11" s="336" t="s">
        <v>985</v>
      </c>
      <c r="C11" s="341">
        <v>1</v>
      </c>
      <c r="D11" s="341">
        <v>1</v>
      </c>
      <c r="E11" s="341">
        <v>2</v>
      </c>
      <c r="F11" s="341">
        <v>2</v>
      </c>
      <c r="G11" s="341" t="s">
        <v>233</v>
      </c>
      <c r="H11" s="341" t="s">
        <v>233</v>
      </c>
      <c r="I11" s="341">
        <v>0</v>
      </c>
      <c r="J11" s="341">
        <v>0</v>
      </c>
      <c r="K11" s="341">
        <v>2</v>
      </c>
      <c r="L11" s="341">
        <v>2</v>
      </c>
    </row>
    <row r="12" spans="1:13" ht="15">
      <c r="A12" s="1661"/>
      <c r="B12" s="336" t="s">
        <v>986</v>
      </c>
      <c r="C12" s="341">
        <v>0</v>
      </c>
      <c r="D12" s="341">
        <v>0</v>
      </c>
      <c r="E12" s="341">
        <v>1</v>
      </c>
      <c r="F12" s="341">
        <v>0</v>
      </c>
      <c r="G12" s="341" t="s">
        <v>233</v>
      </c>
      <c r="H12" s="341" t="s">
        <v>233</v>
      </c>
      <c r="I12" s="341">
        <v>0</v>
      </c>
      <c r="J12" s="341">
        <v>0</v>
      </c>
      <c r="K12" s="341">
        <v>2</v>
      </c>
      <c r="L12" s="341">
        <v>0</v>
      </c>
    </row>
    <row r="13" spans="1:13" ht="15">
      <c r="A13" s="1659" t="s">
        <v>989</v>
      </c>
      <c r="B13" s="336" t="s">
        <v>984</v>
      </c>
      <c r="C13" s="342">
        <v>0</v>
      </c>
      <c r="D13" s="342">
        <v>5</v>
      </c>
      <c r="E13" s="342">
        <v>2</v>
      </c>
      <c r="F13" s="342">
        <v>2</v>
      </c>
      <c r="G13" s="342">
        <v>0</v>
      </c>
      <c r="H13" s="342" t="s">
        <v>221</v>
      </c>
      <c r="I13" s="342">
        <v>0</v>
      </c>
      <c r="J13" s="342">
        <v>2</v>
      </c>
      <c r="K13" s="342">
        <v>2</v>
      </c>
      <c r="L13" s="342">
        <v>2</v>
      </c>
    </row>
    <row r="14" spans="1:13" ht="15">
      <c r="A14" s="1660"/>
      <c r="B14" s="336" t="s">
        <v>985</v>
      </c>
      <c r="C14" s="342">
        <v>0</v>
      </c>
      <c r="D14" s="342">
        <v>5</v>
      </c>
      <c r="E14" s="342">
        <v>2</v>
      </c>
      <c r="F14" s="342">
        <v>2</v>
      </c>
      <c r="G14" s="342">
        <v>0</v>
      </c>
      <c r="H14" s="342" t="s">
        <v>221</v>
      </c>
      <c r="I14" s="342">
        <v>0</v>
      </c>
      <c r="J14" s="342">
        <v>2</v>
      </c>
      <c r="K14" s="342">
        <v>2</v>
      </c>
      <c r="L14" s="342">
        <v>2</v>
      </c>
    </row>
    <row r="15" spans="1:13" ht="15">
      <c r="A15" s="1661"/>
      <c r="B15" s="336" t="s">
        <v>986</v>
      </c>
      <c r="C15" s="342">
        <v>0</v>
      </c>
      <c r="D15" s="342">
        <v>0</v>
      </c>
      <c r="E15" s="342">
        <v>1</v>
      </c>
      <c r="F15" s="342">
        <v>2</v>
      </c>
      <c r="G15" s="342">
        <v>0</v>
      </c>
      <c r="H15" s="342" t="s">
        <v>221</v>
      </c>
      <c r="I15" s="342">
        <v>0</v>
      </c>
      <c r="J15" s="342">
        <v>0</v>
      </c>
      <c r="K15" s="342">
        <v>1</v>
      </c>
      <c r="L15" s="342">
        <v>2</v>
      </c>
    </row>
    <row r="16" spans="1:13" ht="15">
      <c r="A16" s="1658" t="s">
        <v>990</v>
      </c>
      <c r="B16" s="1658"/>
      <c r="C16" s="1658"/>
      <c r="D16" s="1658"/>
      <c r="E16" s="1658"/>
      <c r="F16" s="1658"/>
      <c r="G16" s="343"/>
      <c r="H16" s="343"/>
      <c r="I16" s="343"/>
      <c r="J16" s="343"/>
      <c r="K16" s="343"/>
      <c r="L16" s="343"/>
    </row>
    <row r="17" spans="1:23" ht="15">
      <c r="A17" s="1651" t="s">
        <v>991</v>
      </c>
      <c r="B17" s="1651"/>
      <c r="C17" s="1651"/>
      <c r="D17" s="1651"/>
      <c r="E17" s="1651"/>
      <c r="F17" s="344"/>
      <c r="G17" s="241"/>
      <c r="H17" s="241"/>
      <c r="I17" s="241"/>
      <c r="J17" s="241"/>
      <c r="K17" s="241"/>
      <c r="L17" s="241"/>
    </row>
    <row r="18" spans="1:23" ht="15">
      <c r="A18" s="1652" t="s">
        <v>992</v>
      </c>
      <c r="B18" s="1653"/>
      <c r="C18" s="1653"/>
      <c r="D18" s="1653"/>
      <c r="E18" s="679"/>
      <c r="F18" s="679"/>
      <c r="G18" s="241"/>
      <c r="H18" s="241"/>
      <c r="I18" s="241"/>
      <c r="J18" s="241"/>
      <c r="K18" s="241"/>
      <c r="L18" s="241"/>
    </row>
    <row r="19" spans="1:23" ht="15" customHeight="1">
      <c r="B19" s="345"/>
      <c r="C19" s="345"/>
      <c r="D19" s="345"/>
      <c r="E19" s="345"/>
      <c r="F19" s="345"/>
      <c r="N19" s="340"/>
      <c r="O19" s="340"/>
      <c r="P19" s="340"/>
      <c r="Q19" s="340"/>
      <c r="R19" s="340"/>
      <c r="S19" s="340"/>
      <c r="T19" s="340"/>
      <c r="U19" s="340"/>
      <c r="V19" s="340"/>
      <c r="W19" s="340"/>
    </row>
    <row r="20" spans="1:23">
      <c r="N20" s="340"/>
      <c r="O20" s="340"/>
      <c r="P20" s="340"/>
      <c r="Q20" s="340"/>
      <c r="R20" s="340"/>
      <c r="S20" s="340"/>
      <c r="T20" s="340"/>
      <c r="U20" s="340"/>
      <c r="V20" s="340"/>
      <c r="W20" s="340"/>
    </row>
    <row r="21" spans="1:23">
      <c r="N21" s="340"/>
      <c r="O21" s="340"/>
      <c r="P21" s="340"/>
      <c r="Q21" s="340"/>
      <c r="R21" s="340"/>
      <c r="S21" s="340"/>
      <c r="T21" s="340"/>
      <c r="U21" s="340"/>
      <c r="V21" s="340"/>
      <c r="W21" s="340"/>
    </row>
    <row r="22" spans="1:23">
      <c r="N22" s="340"/>
      <c r="O22" s="340"/>
      <c r="P22" s="340"/>
      <c r="Q22" s="340"/>
      <c r="R22" s="340"/>
      <c r="S22" s="340"/>
      <c r="T22" s="340"/>
      <c r="U22" s="340"/>
      <c r="V22" s="340"/>
      <c r="W22" s="340"/>
    </row>
    <row r="23" spans="1:23">
      <c r="N23" s="340"/>
      <c r="O23" s="340"/>
      <c r="P23" s="340"/>
      <c r="Q23" s="340"/>
      <c r="R23" s="340"/>
      <c r="S23" s="340"/>
      <c r="T23" s="340"/>
      <c r="U23" s="340"/>
      <c r="V23" s="340"/>
      <c r="W23" s="340"/>
    </row>
    <row r="24" spans="1:23">
      <c r="N24" s="340"/>
      <c r="O24" s="340"/>
      <c r="P24" s="340"/>
      <c r="Q24" s="340"/>
      <c r="R24" s="340"/>
      <c r="S24" s="340"/>
      <c r="T24" s="340"/>
      <c r="U24" s="340"/>
      <c r="V24" s="340"/>
      <c r="W24" s="340"/>
    </row>
    <row r="25" spans="1:23">
      <c r="N25" s="340"/>
      <c r="O25" s="340"/>
      <c r="P25" s="340"/>
      <c r="Q25" s="340"/>
      <c r="R25" s="340"/>
      <c r="S25" s="340"/>
      <c r="T25" s="340"/>
      <c r="U25" s="340"/>
      <c r="V25" s="340"/>
      <c r="W25" s="340"/>
    </row>
    <row r="26" spans="1:23">
      <c r="E26" s="335" t="s">
        <v>993</v>
      </c>
      <c r="N26" s="340"/>
      <c r="O26" s="340"/>
      <c r="P26" s="340"/>
      <c r="Q26" s="340"/>
      <c r="R26" s="340"/>
      <c r="S26" s="340"/>
      <c r="T26" s="340"/>
      <c r="U26" s="340"/>
      <c r="V26" s="340"/>
      <c r="W26" s="340"/>
    </row>
    <row r="27" spans="1:23">
      <c r="N27" s="340"/>
      <c r="O27" s="340"/>
      <c r="P27" s="340"/>
      <c r="Q27" s="340"/>
      <c r="R27" s="340"/>
      <c r="S27" s="340"/>
      <c r="T27" s="340"/>
      <c r="U27" s="340"/>
      <c r="V27" s="340"/>
      <c r="W27" s="340"/>
    </row>
    <row r="28" spans="1:23">
      <c r="N28" s="340"/>
      <c r="O28" s="340"/>
      <c r="P28" s="340"/>
      <c r="Q28" s="340"/>
      <c r="R28" s="340"/>
      <c r="S28" s="340"/>
      <c r="T28" s="340"/>
      <c r="U28" s="340"/>
      <c r="V28" s="340"/>
      <c r="W28" s="340"/>
    </row>
    <row r="29" spans="1:23">
      <c r="N29" s="340"/>
      <c r="O29" s="340"/>
      <c r="P29" s="340"/>
      <c r="Q29" s="340"/>
      <c r="R29" s="340"/>
      <c r="S29" s="340"/>
      <c r="T29" s="340"/>
      <c r="U29" s="340"/>
      <c r="V29" s="340"/>
      <c r="W29" s="340"/>
    </row>
    <row r="30" spans="1:23">
      <c r="N30" s="340"/>
      <c r="O30" s="340"/>
      <c r="P30" s="340"/>
      <c r="Q30" s="340"/>
      <c r="R30" s="340"/>
      <c r="S30" s="340"/>
      <c r="T30" s="340"/>
      <c r="U30" s="340"/>
      <c r="V30" s="340"/>
      <c r="W30" s="340"/>
    </row>
    <row r="31" spans="1:23">
      <c r="N31" s="340"/>
      <c r="O31" s="340"/>
      <c r="P31" s="340"/>
      <c r="Q31" s="340"/>
      <c r="R31" s="340"/>
      <c r="S31" s="340"/>
      <c r="T31" s="340"/>
      <c r="U31" s="340"/>
      <c r="V31" s="340"/>
      <c r="W31" s="340"/>
    </row>
    <row r="32" spans="1:23">
      <c r="N32" s="340"/>
      <c r="O32" s="340"/>
      <c r="P32" s="340"/>
      <c r="Q32" s="340"/>
      <c r="R32" s="340"/>
      <c r="S32" s="340"/>
      <c r="T32" s="340"/>
      <c r="U32" s="340"/>
      <c r="V32" s="340"/>
      <c r="W32" s="340"/>
    </row>
  </sheetData>
  <mergeCells count="12">
    <mergeCell ref="A17:E17"/>
    <mergeCell ref="A18:D18"/>
    <mergeCell ref="A1:L1"/>
    <mergeCell ref="A2:A3"/>
    <mergeCell ref="B2:B3"/>
    <mergeCell ref="C2:H2"/>
    <mergeCell ref="I2:L2"/>
    <mergeCell ref="A16:F16"/>
    <mergeCell ref="A4:A6"/>
    <mergeCell ref="A7:A9"/>
    <mergeCell ref="A10:A12"/>
    <mergeCell ref="A13:A15"/>
  </mergeCells>
  <printOptions horizontalCentered="1"/>
  <pageMargins left="0.7" right="0.7" top="0.75" bottom="0.75" header="0.3" footer="0.3"/>
  <pageSetup scale="51" orientation="portrait" r:id="rId1"/>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17"/>
  <sheetViews>
    <sheetView workbookViewId="0">
      <selection sqref="A1:F1"/>
    </sheetView>
  </sheetViews>
  <sheetFormatPr defaultColWidth="9.140625" defaultRowHeight="15"/>
  <cols>
    <col min="1" max="1" width="10.5703125" style="1059" customWidth="1"/>
    <col min="2" max="2" width="9" style="1059" customWidth="1"/>
    <col min="3" max="4" width="10" style="1059" customWidth="1"/>
    <col min="5" max="5" width="10.7109375" style="1059" customWidth="1"/>
    <col min="6" max="6" width="22.85546875" style="1059" customWidth="1"/>
    <col min="7" max="16384" width="9.140625" style="197"/>
  </cols>
  <sheetData>
    <row r="1" spans="1:6" s="1059" customFormat="1">
      <c r="A1" s="1662" t="s">
        <v>994</v>
      </c>
      <c r="B1" s="1662"/>
      <c r="C1" s="1662"/>
      <c r="D1" s="1662"/>
      <c r="E1" s="1662"/>
      <c r="F1" s="1662"/>
    </row>
    <row r="2" spans="1:6" s="1059" customFormat="1" ht="16.5" customHeight="1">
      <c r="A2" s="1663" t="s">
        <v>115</v>
      </c>
      <c r="B2" s="1665" t="s">
        <v>995</v>
      </c>
      <c r="C2" s="1666"/>
      <c r="D2" s="1666"/>
      <c r="E2" s="1666"/>
      <c r="F2" s="1667"/>
    </row>
    <row r="3" spans="1:6" s="1059" customFormat="1">
      <c r="A3" s="1664"/>
      <c r="B3" s="1060" t="s">
        <v>996</v>
      </c>
      <c r="C3" s="1061" t="s">
        <v>244</v>
      </c>
      <c r="D3" s="1061" t="s">
        <v>245</v>
      </c>
      <c r="E3" s="1061" t="s">
        <v>246</v>
      </c>
      <c r="F3" s="1061" t="s">
        <v>997</v>
      </c>
    </row>
    <row r="4" spans="1:6" s="1064" customFormat="1" ht="14.25" customHeight="1">
      <c r="A4" s="1062" t="s">
        <v>505</v>
      </c>
      <c r="B4" s="1063">
        <v>13292.54</v>
      </c>
      <c r="C4" s="1063">
        <v>13741.67</v>
      </c>
      <c r="D4" s="1063">
        <v>12310.21</v>
      </c>
      <c r="E4" s="1063">
        <v>13267.91</v>
      </c>
      <c r="F4" s="1063">
        <v>12889.677058823536</v>
      </c>
    </row>
    <row r="5" spans="1:6" s="1064" customFormat="1" ht="14.25" customHeight="1">
      <c r="A5" s="1065" t="s">
        <v>703</v>
      </c>
      <c r="B5" s="346">
        <f>B6</f>
        <v>13278.55</v>
      </c>
      <c r="C5" s="346">
        <f>MAX(C6:C11)</f>
        <v>15090.4</v>
      </c>
      <c r="D5" s="346">
        <f>MIN(D6:D11)</f>
        <v>13109.95</v>
      </c>
      <c r="E5" s="346">
        <f>INDEX(E6:E11,COUNT(E6:E11))</f>
        <v>14221.51</v>
      </c>
      <c r="F5" s="346">
        <v>14148.345229357798</v>
      </c>
    </row>
    <row r="6" spans="1:6" ht="14.25" customHeight="1">
      <c r="A6" s="744">
        <v>45412</v>
      </c>
      <c r="B6" s="347">
        <v>13278.55</v>
      </c>
      <c r="C6" s="347">
        <v>14582.28</v>
      </c>
      <c r="D6" s="347">
        <v>13278.55</v>
      </c>
      <c r="E6" s="347">
        <v>14033.2</v>
      </c>
      <c r="F6" s="347">
        <v>14076.074090909091</v>
      </c>
    </row>
    <row r="7" spans="1:6" ht="14.25" customHeight="1">
      <c r="A7" s="744">
        <v>45443</v>
      </c>
      <c r="B7" s="347">
        <v>14032.32</v>
      </c>
      <c r="C7" s="347">
        <v>15090.4</v>
      </c>
      <c r="D7" s="347">
        <v>13874.77</v>
      </c>
      <c r="E7" s="347">
        <v>14416.73</v>
      </c>
      <c r="F7" s="347">
        <v>14429.576521739133</v>
      </c>
    </row>
    <row r="8" spans="1:6" ht="14.25" customHeight="1">
      <c r="A8" s="744">
        <v>45473</v>
      </c>
      <c r="B8" s="1066">
        <v>14419.53</v>
      </c>
      <c r="C8" s="1066">
        <v>14622.21</v>
      </c>
      <c r="D8" s="1066">
        <v>14122.52</v>
      </c>
      <c r="E8" s="1066">
        <v>14289.95</v>
      </c>
      <c r="F8" s="1066">
        <v>14323.131000000003</v>
      </c>
    </row>
    <row r="9" spans="1:6">
      <c r="A9" s="744">
        <v>45504</v>
      </c>
      <c r="B9" s="347">
        <v>14288.19</v>
      </c>
      <c r="C9" s="1066">
        <v>14718.18</v>
      </c>
      <c r="D9" s="1066">
        <v>13339.08</v>
      </c>
      <c r="E9" s="1066">
        <v>13673.63</v>
      </c>
      <c r="F9" s="1066">
        <v>14208.219565217394</v>
      </c>
    </row>
    <row r="10" spans="1:6">
      <c r="A10" s="744">
        <v>45535</v>
      </c>
      <c r="B10" s="347">
        <v>13679.25</v>
      </c>
      <c r="C10" s="1066">
        <v>14081.45</v>
      </c>
      <c r="D10" s="347">
        <v>13109.95</v>
      </c>
      <c r="E10" s="347">
        <v>13771.33</v>
      </c>
      <c r="F10" s="347">
        <v>13684.003333333334</v>
      </c>
    </row>
    <row r="11" spans="1:6">
      <c r="A11" s="744">
        <v>45565</v>
      </c>
      <c r="B11" s="1066">
        <v>14262.84</v>
      </c>
      <c r="C11" s="1066">
        <v>14378.26</v>
      </c>
      <c r="D11" s="1066">
        <v>14171.58</v>
      </c>
      <c r="E11" s="1066">
        <v>14221.51</v>
      </c>
      <c r="F11" s="347">
        <v>13862.872380952384</v>
      </c>
    </row>
    <row r="12" spans="1:6" ht="14.25" customHeight="1">
      <c r="A12" s="727" t="s">
        <v>1373</v>
      </c>
    </row>
    <row r="13" spans="1:6" ht="14.25" customHeight="1">
      <c r="A13" s="1059" t="s">
        <v>998</v>
      </c>
    </row>
    <row r="14" spans="1:6" ht="14.25" customHeight="1">
      <c r="A14" s="1064" t="s">
        <v>999</v>
      </c>
    </row>
    <row r="15" spans="1:6" ht="14.25" customHeight="1"/>
    <row r="16" spans="1:6" ht="14.25" customHeight="1"/>
    <row r="17" ht="14.25" customHeight="1"/>
  </sheetData>
  <mergeCells count="3">
    <mergeCell ref="A1:F1"/>
    <mergeCell ref="A2:A3"/>
    <mergeCell ref="B2:F2"/>
  </mergeCells>
  <printOptions horizontalCentered="1"/>
  <pageMargins left="0.7" right="0.7" top="0.75" bottom="0.75" header="0.3" footer="0.3"/>
  <pageSetup fitToWidth="0" orientation="landscape" r:id="rId1"/>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D30"/>
  <sheetViews>
    <sheetView workbookViewId="0">
      <selection sqref="A1:T1"/>
    </sheetView>
  </sheetViews>
  <sheetFormatPr defaultColWidth="9.140625" defaultRowHeight="15"/>
  <cols>
    <col min="1" max="1" width="12.85546875" style="241" customWidth="1"/>
    <col min="2" max="2" width="8.140625" style="241" customWidth="1"/>
    <col min="3" max="3" width="10" style="241" customWidth="1"/>
    <col min="4" max="4" width="12.5703125" style="241" bestFit="1" customWidth="1"/>
    <col min="5" max="5" width="11.140625" style="241" customWidth="1"/>
    <col min="6" max="6" width="12.85546875" style="241" bestFit="1" customWidth="1"/>
    <col min="7" max="7" width="12.42578125" style="241" customWidth="1"/>
    <col min="8" max="8" width="11.85546875" style="241" bestFit="1" customWidth="1"/>
    <col min="9" max="9" width="11.42578125" style="241" customWidth="1"/>
    <col min="10" max="10" width="10.42578125" style="241" customWidth="1"/>
    <col min="11" max="11" width="12.5703125" style="241" bestFit="1" customWidth="1"/>
    <col min="12" max="12" width="14.28515625" style="241" bestFit="1" customWidth="1"/>
    <col min="13" max="13" width="11.42578125" style="241" customWidth="1"/>
    <col min="14" max="14" width="12.7109375" style="241" bestFit="1" customWidth="1"/>
    <col min="15" max="15" width="11.5703125" style="241" customWidth="1"/>
    <col min="16" max="16" width="14.28515625" style="241" bestFit="1" customWidth="1"/>
    <col min="17" max="17" width="11.28515625" style="241" customWidth="1"/>
    <col min="18" max="18" width="12.7109375" style="241" bestFit="1" customWidth="1"/>
    <col min="19" max="19" width="9.28515625" style="241" bestFit="1" customWidth="1"/>
    <col min="20" max="20" width="10" style="241" bestFit="1" customWidth="1"/>
    <col min="21" max="21" width="9.140625" style="197"/>
    <col min="22" max="22" width="10.5703125" style="197" bestFit="1" customWidth="1"/>
    <col min="23" max="23" width="9.28515625" style="197" bestFit="1" customWidth="1"/>
    <col min="24" max="24" width="9.140625" style="197"/>
    <col min="25" max="25" width="12" style="197" bestFit="1" customWidth="1"/>
    <col min="26" max="30" width="9.140625" style="197"/>
    <col min="31" max="16384" width="9.140625" style="241"/>
  </cols>
  <sheetData>
    <row r="1" spans="1:30" ht="15" customHeight="1">
      <c r="A1" s="1672" t="s">
        <v>1402</v>
      </c>
      <c r="B1" s="1673"/>
      <c r="C1" s="1673"/>
      <c r="D1" s="1673"/>
      <c r="E1" s="1673"/>
      <c r="F1" s="1673"/>
      <c r="G1" s="1673"/>
      <c r="H1" s="1673"/>
      <c r="I1" s="1673"/>
      <c r="J1" s="1673"/>
      <c r="K1" s="1673"/>
      <c r="L1" s="1673"/>
      <c r="M1" s="1673"/>
      <c r="N1" s="1673"/>
      <c r="O1" s="1673"/>
      <c r="P1" s="1673"/>
      <c r="Q1" s="1673"/>
      <c r="R1" s="1673"/>
      <c r="S1" s="1673"/>
      <c r="T1" s="1673"/>
      <c r="U1" s="348"/>
      <c r="V1" s="348"/>
      <c r="W1" s="348"/>
      <c r="X1" s="241"/>
      <c r="Y1" s="241"/>
      <c r="Z1" s="241"/>
      <c r="AA1" s="241"/>
      <c r="AB1" s="241"/>
      <c r="AC1" s="241"/>
      <c r="AD1" s="241"/>
    </row>
    <row r="2" spans="1:30">
      <c r="A2" s="1674" t="s">
        <v>975</v>
      </c>
      <c r="B2" s="1674"/>
      <c r="C2" s="1674"/>
      <c r="D2" s="1674"/>
      <c r="E2" s="1674"/>
      <c r="F2" s="1674"/>
      <c r="G2" s="1674"/>
      <c r="H2" s="1674"/>
      <c r="I2" s="1674"/>
      <c r="J2" s="1674"/>
      <c r="K2" s="1674"/>
      <c r="L2" s="1674"/>
      <c r="M2" s="1674"/>
      <c r="N2" s="1674"/>
      <c r="O2" s="1674"/>
      <c r="P2" s="1674"/>
      <c r="Q2" s="1674"/>
      <c r="R2" s="1674"/>
      <c r="S2" s="1674"/>
      <c r="T2" s="1674"/>
      <c r="U2" s="349"/>
      <c r="V2" s="349"/>
      <c r="W2" s="349"/>
      <c r="X2" s="241"/>
      <c r="Y2" s="241"/>
      <c r="Z2" s="241"/>
      <c r="AA2" s="241"/>
      <c r="AB2" s="241"/>
      <c r="AC2" s="241"/>
      <c r="AD2" s="241"/>
    </row>
    <row r="3" spans="1:30" s="1067" customFormat="1" ht="26.25" customHeight="1">
      <c r="A3" s="1675" t="s">
        <v>115</v>
      </c>
      <c r="B3" s="1677" t="s">
        <v>1403</v>
      </c>
      <c r="C3" s="1679" t="s">
        <v>1010</v>
      </c>
      <c r="D3" s="1680"/>
      <c r="E3" s="1679" t="s">
        <v>1004</v>
      </c>
      <c r="F3" s="1680"/>
      <c r="G3" s="1679" t="s">
        <v>1015</v>
      </c>
      <c r="H3" s="1680"/>
      <c r="I3" s="1679" t="s">
        <v>622</v>
      </c>
      <c r="J3" s="1680"/>
      <c r="K3" s="1679" t="s">
        <v>1404</v>
      </c>
      <c r="L3" s="1680"/>
      <c r="M3" s="1679" t="s">
        <v>1405</v>
      </c>
      <c r="N3" s="1680"/>
      <c r="O3" s="1679" t="s">
        <v>1090</v>
      </c>
      <c r="P3" s="1680"/>
      <c r="Q3" s="1679" t="s">
        <v>1406</v>
      </c>
      <c r="R3" s="1680"/>
      <c r="S3" s="1678" t="s">
        <v>1407</v>
      </c>
      <c r="T3" s="1678"/>
      <c r="U3" s="197"/>
      <c r="V3" s="197"/>
      <c r="W3" s="197"/>
      <c r="X3" s="197"/>
      <c r="Y3" s="197"/>
      <c r="Z3" s="197"/>
      <c r="AA3" s="197"/>
      <c r="AB3" s="197"/>
      <c r="AC3" s="197"/>
      <c r="AD3" s="197"/>
    </row>
    <row r="4" spans="1:30" s="1067" customFormat="1" ht="47.25" customHeight="1">
      <c r="A4" s="1676"/>
      <c r="B4" s="1678"/>
      <c r="C4" s="1068" t="s">
        <v>502</v>
      </c>
      <c r="D4" s="1069" t="s">
        <v>1013</v>
      </c>
      <c r="E4" s="1068" t="s">
        <v>502</v>
      </c>
      <c r="F4" s="1069" t="s">
        <v>1013</v>
      </c>
      <c r="G4" s="1068" t="s">
        <v>502</v>
      </c>
      <c r="H4" s="1069" t="s">
        <v>1013</v>
      </c>
      <c r="I4" s="1068" t="s">
        <v>502</v>
      </c>
      <c r="J4" s="1069" t="s">
        <v>1013</v>
      </c>
      <c r="K4" s="1068" t="s">
        <v>502</v>
      </c>
      <c r="L4" s="1069" t="s">
        <v>1408</v>
      </c>
      <c r="M4" s="1068" t="s">
        <v>502</v>
      </c>
      <c r="N4" s="1069" t="s">
        <v>1408</v>
      </c>
      <c r="O4" s="1068" t="s">
        <v>502</v>
      </c>
      <c r="P4" s="1069" t="s">
        <v>1013</v>
      </c>
      <c r="Q4" s="1068" t="s">
        <v>502</v>
      </c>
      <c r="R4" s="1069" t="s">
        <v>1013</v>
      </c>
      <c r="S4" s="1068" t="s">
        <v>1409</v>
      </c>
      <c r="T4" s="1068" t="s">
        <v>1410</v>
      </c>
      <c r="U4" s="197"/>
      <c r="V4" s="197"/>
      <c r="W4" s="197"/>
      <c r="X4" s="197"/>
      <c r="Y4" s="197"/>
      <c r="Z4" s="197"/>
      <c r="AA4" s="197"/>
      <c r="AB4" s="197"/>
      <c r="AC4" s="197"/>
      <c r="AD4" s="197"/>
    </row>
    <row r="5" spans="1:30" s="1075" customFormat="1">
      <c r="A5" s="1070" t="s">
        <v>505</v>
      </c>
      <c r="B5" s="1071">
        <v>255</v>
      </c>
      <c r="C5" s="1071">
        <v>82469</v>
      </c>
      <c r="D5" s="1072">
        <v>5577.2525947999993</v>
      </c>
      <c r="E5" s="1071">
        <v>74597044</v>
      </c>
      <c r="F5" s="1072">
        <v>3111327.5770087</v>
      </c>
      <c r="G5" s="1071">
        <v>4940335</v>
      </c>
      <c r="H5" s="1072">
        <v>480373.68108500005</v>
      </c>
      <c r="I5" s="1071">
        <v>55598170</v>
      </c>
      <c r="J5" s="1073">
        <v>1382227.0077424997</v>
      </c>
      <c r="K5" s="1071">
        <v>100063</v>
      </c>
      <c r="L5" s="1074">
        <v>8057.9922449999995</v>
      </c>
      <c r="M5" s="1071">
        <v>0</v>
      </c>
      <c r="N5" s="1072">
        <v>0</v>
      </c>
      <c r="O5" s="1071">
        <v>0</v>
      </c>
      <c r="P5" s="1072">
        <v>0</v>
      </c>
      <c r="Q5" s="1071">
        <v>135318081</v>
      </c>
      <c r="R5" s="1072">
        <v>4987563.5106760012</v>
      </c>
      <c r="S5" s="1071">
        <v>451907</v>
      </c>
      <c r="T5" s="1072">
        <v>31171.6267233</v>
      </c>
      <c r="U5" s="197"/>
      <c r="V5" s="197"/>
      <c r="W5" s="197"/>
      <c r="X5" s="197"/>
      <c r="Y5" s="197"/>
      <c r="Z5" s="197"/>
      <c r="AA5" s="197"/>
      <c r="AB5" s="197"/>
      <c r="AC5" s="197"/>
      <c r="AD5" s="197"/>
    </row>
    <row r="6" spans="1:30" s="1075" customFormat="1">
      <c r="A6" s="350" t="s">
        <v>703</v>
      </c>
      <c r="B6" s="351">
        <f t="shared" ref="B6:R6" si="0">SUM(B7:B12)</f>
        <v>130</v>
      </c>
      <c r="C6" s="351">
        <f t="shared" si="0"/>
        <v>33272</v>
      </c>
      <c r="D6" s="1076">
        <f t="shared" si="0"/>
        <v>1926.5990848000004</v>
      </c>
      <c r="E6" s="351">
        <f t="shared" si="0"/>
        <v>43658640</v>
      </c>
      <c r="F6" s="1076">
        <f t="shared" si="0"/>
        <v>2308848.2749211001</v>
      </c>
      <c r="G6" s="351">
        <f t="shared" si="0"/>
        <v>3652536</v>
      </c>
      <c r="H6" s="1076">
        <f t="shared" si="0"/>
        <v>425178.67928750004</v>
      </c>
      <c r="I6" s="351">
        <f t="shared" si="0"/>
        <v>33271226</v>
      </c>
      <c r="J6" s="1077">
        <f t="shared" si="0"/>
        <v>702165.85070449999</v>
      </c>
      <c r="K6" s="351">
        <f t="shared" si="0"/>
        <v>22621</v>
      </c>
      <c r="L6" s="1078">
        <f t="shared" si="0"/>
        <v>2067.7665899999997</v>
      </c>
      <c r="M6" s="351">
        <f t="shared" si="0"/>
        <v>0</v>
      </c>
      <c r="N6" s="1076">
        <f t="shared" si="0"/>
        <v>0</v>
      </c>
      <c r="O6" s="351">
        <f t="shared" si="0"/>
        <v>0</v>
      </c>
      <c r="P6" s="1076">
        <f t="shared" si="0"/>
        <v>0</v>
      </c>
      <c r="Q6" s="351">
        <f t="shared" si="0"/>
        <v>80638295</v>
      </c>
      <c r="R6" s="1076">
        <f t="shared" si="0"/>
        <v>3440187.1705879001</v>
      </c>
      <c r="S6" s="351">
        <f>INDEX(S7:S12,COUNT(S7:S12))</f>
        <v>452745</v>
      </c>
      <c r="T6" s="1076">
        <f>INDEX(T7:T12,COUNT(T7:T12))</f>
        <v>31884.173200000001</v>
      </c>
      <c r="U6" s="197"/>
      <c r="V6" s="197"/>
      <c r="W6" s="197"/>
      <c r="X6" s="197"/>
      <c r="Y6" s="197"/>
      <c r="Z6" s="197"/>
      <c r="AA6" s="197"/>
      <c r="AB6" s="197"/>
      <c r="AC6" s="197"/>
      <c r="AD6" s="197"/>
    </row>
    <row r="7" spans="1:30" s="1075" customFormat="1">
      <c r="A7" s="744">
        <v>45412</v>
      </c>
      <c r="B7" s="1079">
        <v>22</v>
      </c>
      <c r="C7" s="1079">
        <v>4225</v>
      </c>
      <c r="D7" s="1080">
        <v>281.39702520000003</v>
      </c>
      <c r="E7" s="1079">
        <v>7848413</v>
      </c>
      <c r="F7" s="1080">
        <v>394580.82424070005</v>
      </c>
      <c r="G7" s="1079">
        <v>617119</v>
      </c>
      <c r="H7" s="1080">
        <v>61086.892562499997</v>
      </c>
      <c r="I7" s="1079">
        <v>4857825</v>
      </c>
      <c r="J7" s="1081">
        <v>94204.633474999995</v>
      </c>
      <c r="K7" s="1079">
        <v>6892</v>
      </c>
      <c r="L7" s="1082">
        <v>621.72975999999994</v>
      </c>
      <c r="M7" s="1079">
        <v>0</v>
      </c>
      <c r="N7" s="1080">
        <v>0</v>
      </c>
      <c r="O7" s="1079">
        <v>0</v>
      </c>
      <c r="P7" s="1080">
        <v>0</v>
      </c>
      <c r="Q7" s="1079">
        <f t="shared" ref="Q7:R9" si="1">C7+E7+G7+I7+K7+M7+O7</f>
        <v>13334474</v>
      </c>
      <c r="R7" s="1080">
        <f t="shared" si="1"/>
        <v>550775.47706340009</v>
      </c>
      <c r="S7" s="1079">
        <v>416142</v>
      </c>
      <c r="T7" s="1080">
        <v>32002.226900000001</v>
      </c>
      <c r="U7" s="197"/>
      <c r="V7" s="197"/>
      <c r="W7" s="197"/>
      <c r="X7" s="197"/>
      <c r="Y7" s="197"/>
      <c r="Z7" s="197"/>
      <c r="AA7" s="197"/>
      <c r="AB7" s="197"/>
      <c r="AC7" s="197"/>
      <c r="AD7" s="197"/>
    </row>
    <row r="8" spans="1:30" s="1075" customFormat="1">
      <c r="A8" s="744">
        <v>45443</v>
      </c>
      <c r="B8" s="1079">
        <v>23</v>
      </c>
      <c r="C8" s="1079">
        <v>4228</v>
      </c>
      <c r="D8" s="1080">
        <v>425.26852439999999</v>
      </c>
      <c r="E8" s="1079">
        <v>7759810</v>
      </c>
      <c r="F8" s="1080">
        <v>415417.43641359999</v>
      </c>
      <c r="G8" s="1079">
        <v>697917</v>
      </c>
      <c r="H8" s="1080">
        <v>82304.671804999991</v>
      </c>
      <c r="I8" s="1079">
        <v>5496931</v>
      </c>
      <c r="J8" s="1081">
        <v>121120.3109905</v>
      </c>
      <c r="K8" s="1079">
        <v>5274</v>
      </c>
      <c r="L8" s="1082">
        <v>490.43921999999992</v>
      </c>
      <c r="M8" s="1079">
        <v>0</v>
      </c>
      <c r="N8" s="1080">
        <v>0</v>
      </c>
      <c r="O8" s="1079">
        <v>0</v>
      </c>
      <c r="P8" s="1080">
        <v>0</v>
      </c>
      <c r="Q8" s="1079">
        <f t="shared" si="1"/>
        <v>13964160</v>
      </c>
      <c r="R8" s="1080">
        <f t="shared" si="1"/>
        <v>619758.12695349997</v>
      </c>
      <c r="S8" s="1079">
        <v>413302</v>
      </c>
      <c r="T8" s="1080">
        <v>29504.701339800005</v>
      </c>
      <c r="U8" s="197"/>
      <c r="V8" s="197"/>
      <c r="W8" s="197"/>
      <c r="X8" s="197"/>
      <c r="Y8" s="197"/>
      <c r="Z8" s="197"/>
      <c r="AA8" s="197"/>
      <c r="AB8" s="197"/>
      <c r="AC8" s="197"/>
      <c r="AD8" s="197"/>
    </row>
    <row r="9" spans="1:30" s="1075" customFormat="1">
      <c r="A9" s="744">
        <v>45473</v>
      </c>
      <c r="B9" s="1079">
        <v>20</v>
      </c>
      <c r="C9" s="1079">
        <v>4738</v>
      </c>
      <c r="D9" s="1080">
        <v>265.23962879999999</v>
      </c>
      <c r="E9" s="1079">
        <v>6880554</v>
      </c>
      <c r="F9" s="1080">
        <v>347004.78149390005</v>
      </c>
      <c r="G9" s="1079">
        <v>545473</v>
      </c>
      <c r="H9" s="1080">
        <v>63962.230330000006</v>
      </c>
      <c r="I9" s="1079">
        <v>4607496</v>
      </c>
      <c r="J9" s="1081">
        <v>106903.35044750001</v>
      </c>
      <c r="K9" s="1079">
        <v>3944</v>
      </c>
      <c r="L9" s="1082">
        <v>365.41082499999999</v>
      </c>
      <c r="M9" s="1079">
        <v>0</v>
      </c>
      <c r="N9" s="1080">
        <v>0</v>
      </c>
      <c r="O9" s="1079">
        <v>0</v>
      </c>
      <c r="P9" s="1080">
        <v>0</v>
      </c>
      <c r="Q9" s="1079">
        <f t="shared" si="1"/>
        <v>12042205</v>
      </c>
      <c r="R9" s="1080">
        <f t="shared" si="1"/>
        <v>518501.0127252001</v>
      </c>
      <c r="S9" s="1079">
        <v>423753</v>
      </c>
      <c r="T9" s="1080">
        <v>29648.2978754</v>
      </c>
      <c r="U9" s="197"/>
      <c r="V9" s="197"/>
      <c r="W9" s="197"/>
      <c r="X9" s="197"/>
      <c r="Y9" s="197"/>
      <c r="Z9" s="197"/>
      <c r="AA9" s="197"/>
      <c r="AB9" s="197"/>
      <c r="AC9" s="197"/>
      <c r="AD9" s="197"/>
    </row>
    <row r="10" spans="1:30" s="1075" customFormat="1">
      <c r="A10" s="744">
        <v>45504</v>
      </c>
      <c r="B10" s="1079">
        <v>23</v>
      </c>
      <c r="C10" s="1079">
        <v>8944</v>
      </c>
      <c r="D10" s="1080">
        <v>487.05320640000014</v>
      </c>
      <c r="E10" s="1079">
        <v>6927431</v>
      </c>
      <c r="F10" s="1080">
        <v>399633.56717290002</v>
      </c>
      <c r="G10" s="1079">
        <v>554678</v>
      </c>
      <c r="H10" s="1080">
        <v>70542.084190000009</v>
      </c>
      <c r="I10" s="1079">
        <v>4782487</v>
      </c>
      <c r="J10" s="1081">
        <v>99501.813691499992</v>
      </c>
      <c r="K10" s="1079">
        <v>3294</v>
      </c>
      <c r="L10" s="1082">
        <v>301.01428500000003</v>
      </c>
      <c r="M10" s="1079">
        <v>0</v>
      </c>
      <c r="N10" s="1080">
        <v>0</v>
      </c>
      <c r="O10" s="1079">
        <v>0</v>
      </c>
      <c r="P10" s="1080">
        <v>0</v>
      </c>
      <c r="Q10" s="1079">
        <v>12276834</v>
      </c>
      <c r="R10" s="1080">
        <v>570465.53254579997</v>
      </c>
      <c r="S10" s="1079">
        <v>590662</v>
      </c>
      <c r="T10" s="1080">
        <v>34871.473299999998</v>
      </c>
      <c r="U10" s="197"/>
      <c r="V10" s="197"/>
      <c r="W10" s="197"/>
      <c r="X10" s="197"/>
      <c r="Y10" s="197"/>
      <c r="Z10" s="197"/>
      <c r="AA10" s="197"/>
      <c r="AB10" s="197"/>
      <c r="AC10" s="197"/>
      <c r="AD10" s="197"/>
    </row>
    <row r="11" spans="1:30" s="1075" customFormat="1">
      <c r="A11" s="744">
        <v>45535</v>
      </c>
      <c r="B11" s="1079">
        <v>21</v>
      </c>
      <c r="C11" s="1079">
        <v>6793</v>
      </c>
      <c r="D11" s="1080">
        <v>261.55920000000003</v>
      </c>
      <c r="E11" s="1079">
        <v>7444991</v>
      </c>
      <c r="F11" s="1080">
        <v>376752.09949999995</v>
      </c>
      <c r="G11" s="1079">
        <v>595688</v>
      </c>
      <c r="H11" s="1080">
        <v>70990.734200000006</v>
      </c>
      <c r="I11" s="1079">
        <v>6135201</v>
      </c>
      <c r="J11" s="1081">
        <v>122409.52630000001</v>
      </c>
      <c r="K11" s="1079">
        <v>1859</v>
      </c>
      <c r="L11" s="1082">
        <v>164.68790000000001</v>
      </c>
      <c r="M11" s="1079">
        <v>0</v>
      </c>
      <c r="N11" s="1080">
        <v>0</v>
      </c>
      <c r="O11" s="1079">
        <v>0</v>
      </c>
      <c r="P11" s="1080">
        <v>0</v>
      </c>
      <c r="Q11" s="1079">
        <v>14184532</v>
      </c>
      <c r="R11" s="1080">
        <v>570578.60710000002</v>
      </c>
      <c r="S11" s="1079">
        <v>535228</v>
      </c>
      <c r="T11" s="1080">
        <v>33861.672599999998</v>
      </c>
      <c r="U11" s="197"/>
      <c r="V11" s="197"/>
      <c r="W11" s="197"/>
      <c r="X11" s="197"/>
      <c r="Y11" s="197"/>
      <c r="Z11" s="197"/>
      <c r="AA11" s="197"/>
      <c r="AB11" s="197"/>
      <c r="AC11" s="197"/>
      <c r="AD11" s="197"/>
    </row>
    <row r="12" spans="1:30" s="1075" customFormat="1">
      <c r="A12" s="744">
        <v>45565</v>
      </c>
      <c r="B12" s="1079">
        <v>21</v>
      </c>
      <c r="C12" s="1079">
        <v>4344</v>
      </c>
      <c r="D12" s="1080">
        <v>206.08150000000001</v>
      </c>
      <c r="E12" s="1079">
        <v>6797441</v>
      </c>
      <c r="F12" s="1080">
        <v>375459.5661</v>
      </c>
      <c r="G12" s="1079">
        <v>641661</v>
      </c>
      <c r="H12" s="1080">
        <v>76292.066199999987</v>
      </c>
      <c r="I12" s="1079">
        <v>7391286</v>
      </c>
      <c r="J12" s="1081">
        <v>158026.21580000001</v>
      </c>
      <c r="K12" s="1079">
        <v>1358</v>
      </c>
      <c r="L12" s="1082">
        <v>124.48459999999999</v>
      </c>
      <c r="M12" s="1079">
        <v>0</v>
      </c>
      <c r="N12" s="1080">
        <v>0</v>
      </c>
      <c r="O12" s="1079">
        <v>0</v>
      </c>
      <c r="P12" s="1080">
        <v>0</v>
      </c>
      <c r="Q12" s="1079">
        <v>14836090</v>
      </c>
      <c r="R12" s="1080">
        <v>610108.4142</v>
      </c>
      <c r="S12" s="1079">
        <v>452745</v>
      </c>
      <c r="T12" s="1080">
        <v>31884.173200000001</v>
      </c>
      <c r="U12" s="197"/>
      <c r="V12" s="197"/>
      <c r="W12" s="197"/>
      <c r="X12" s="197"/>
      <c r="Y12" s="197"/>
      <c r="Z12" s="197"/>
      <c r="AA12" s="197"/>
      <c r="AB12" s="197"/>
      <c r="AC12" s="197"/>
      <c r="AD12" s="197"/>
    </row>
    <row r="13" spans="1:30">
      <c r="A13" s="1083"/>
      <c r="B13" s="1084"/>
      <c r="C13" s="1084"/>
      <c r="D13" s="1084"/>
      <c r="E13" s="1084"/>
      <c r="F13" s="1084"/>
      <c r="G13" s="1084"/>
      <c r="H13" s="1084"/>
      <c r="I13" s="1084"/>
      <c r="J13" s="1084"/>
      <c r="K13" s="1084"/>
      <c r="L13" s="1084"/>
      <c r="M13" s="1085"/>
      <c r="N13" s="1085"/>
      <c r="O13" s="1085"/>
      <c r="P13" s="1085"/>
      <c r="Q13" s="1085"/>
      <c r="R13" s="1085"/>
      <c r="T13" s="864"/>
    </row>
    <row r="14" spans="1:30">
      <c r="A14" s="1668" t="s">
        <v>1003</v>
      </c>
      <c r="B14" s="1668"/>
      <c r="C14" s="1668"/>
      <c r="D14" s="1668"/>
      <c r="E14" s="1668"/>
      <c r="F14" s="1668"/>
      <c r="G14" s="1668"/>
      <c r="H14" s="1668"/>
      <c r="I14" s="1668"/>
      <c r="J14" s="1668"/>
      <c r="K14" s="1668"/>
      <c r="L14" s="1668"/>
      <c r="M14" s="1668"/>
      <c r="N14" s="1668"/>
      <c r="O14" s="1668"/>
      <c r="P14" s="1668"/>
      <c r="Q14" s="1668"/>
      <c r="R14" s="1668"/>
    </row>
    <row r="15" spans="1:30" ht="15" customHeight="1">
      <c r="A15" s="1669" t="s">
        <v>115</v>
      </c>
      <c r="B15" s="1669" t="s">
        <v>1403</v>
      </c>
      <c r="C15" s="1681" t="s">
        <v>1004</v>
      </c>
      <c r="D15" s="1682"/>
      <c r="E15" s="1682"/>
      <c r="F15" s="1683"/>
      <c r="G15" s="1681" t="s">
        <v>1015</v>
      </c>
      <c r="H15" s="1682"/>
      <c r="I15" s="1682"/>
      <c r="J15" s="1683"/>
      <c r="K15" s="1681" t="s">
        <v>622</v>
      </c>
      <c r="L15" s="1682"/>
      <c r="M15" s="1682"/>
      <c r="N15" s="1683"/>
      <c r="O15" s="1684" t="s">
        <v>1411</v>
      </c>
      <c r="P15" s="1684"/>
      <c r="Q15" s="1685" t="s">
        <v>1407</v>
      </c>
      <c r="R15" s="1685"/>
    </row>
    <row r="16" spans="1:30" ht="20.25" customHeight="1">
      <c r="A16" s="1670"/>
      <c r="B16" s="1670"/>
      <c r="C16" s="1686" t="s">
        <v>1005</v>
      </c>
      <c r="D16" s="1687"/>
      <c r="E16" s="1686" t="s">
        <v>1006</v>
      </c>
      <c r="F16" s="1687"/>
      <c r="G16" s="1686" t="s">
        <v>1005</v>
      </c>
      <c r="H16" s="1687"/>
      <c r="I16" s="1686" t="s">
        <v>1006</v>
      </c>
      <c r="J16" s="1687"/>
      <c r="K16" s="1686" t="s">
        <v>1005</v>
      </c>
      <c r="L16" s="1687"/>
      <c r="M16" s="1686" t="s">
        <v>1006</v>
      </c>
      <c r="N16" s="1687"/>
      <c r="O16" s="1688" t="s">
        <v>502</v>
      </c>
      <c r="P16" s="1669" t="s">
        <v>1412</v>
      </c>
      <c r="Q16" s="1669" t="s">
        <v>502</v>
      </c>
      <c r="R16" s="1669" t="s">
        <v>1412</v>
      </c>
    </row>
    <row r="17" spans="1:20" ht="30">
      <c r="A17" s="1671"/>
      <c r="B17" s="1671"/>
      <c r="C17" s="1068" t="s">
        <v>502</v>
      </c>
      <c r="D17" s="1069" t="s">
        <v>1013</v>
      </c>
      <c r="E17" s="1068" t="s">
        <v>502</v>
      </c>
      <c r="F17" s="1069" t="s">
        <v>1013</v>
      </c>
      <c r="G17" s="1068" t="s">
        <v>502</v>
      </c>
      <c r="H17" s="1069" t="s">
        <v>1013</v>
      </c>
      <c r="I17" s="1068" t="s">
        <v>502</v>
      </c>
      <c r="J17" s="1069" t="s">
        <v>1013</v>
      </c>
      <c r="K17" s="1068" t="s">
        <v>502</v>
      </c>
      <c r="L17" s="1069" t="s">
        <v>1408</v>
      </c>
      <c r="M17" s="1068" t="s">
        <v>502</v>
      </c>
      <c r="N17" s="1069" t="s">
        <v>1408</v>
      </c>
      <c r="O17" s="1678"/>
      <c r="P17" s="1671"/>
      <c r="Q17" s="1671"/>
      <c r="R17" s="1671"/>
    </row>
    <row r="18" spans="1:20">
      <c r="A18" s="1086" t="s">
        <v>505</v>
      </c>
      <c r="B18" s="1071">
        <v>255</v>
      </c>
      <c r="C18" s="1071">
        <v>6090765</v>
      </c>
      <c r="D18" s="1072">
        <v>1250428.80822</v>
      </c>
      <c r="E18" s="1071">
        <v>4728746</v>
      </c>
      <c r="F18" s="1072">
        <v>1070077.566571</v>
      </c>
      <c r="G18" s="1071">
        <v>18061</v>
      </c>
      <c r="H18" s="1072">
        <v>3262.0538445000002</v>
      </c>
      <c r="I18" s="1071">
        <v>8036</v>
      </c>
      <c r="J18" s="1072">
        <v>1432.2481225000001</v>
      </c>
      <c r="K18" s="1071">
        <v>195172465</v>
      </c>
      <c r="L18" s="1072">
        <v>10858414.0603892</v>
      </c>
      <c r="M18" s="1071">
        <v>175391669</v>
      </c>
      <c r="N18" s="1072">
        <v>9484301.4309917521</v>
      </c>
      <c r="O18" s="1071">
        <v>381409742</v>
      </c>
      <c r="P18" s="1072">
        <v>22667916.168139003</v>
      </c>
      <c r="Q18" s="1071">
        <v>215961</v>
      </c>
      <c r="R18" s="1072">
        <v>13742.384099999999</v>
      </c>
    </row>
    <row r="19" spans="1:20">
      <c r="A19" s="1087" t="s">
        <v>703</v>
      </c>
      <c r="B19" s="351">
        <f t="shared" ref="B19:P19" si="2">SUM(B20:B25)</f>
        <v>130</v>
      </c>
      <c r="C19" s="351">
        <f t="shared" si="2"/>
        <v>8426483</v>
      </c>
      <c r="D19" s="1076">
        <f t="shared" si="2"/>
        <v>1595648.1582765002</v>
      </c>
      <c r="E19" s="351">
        <f t="shared" si="2"/>
        <v>7010078</v>
      </c>
      <c r="F19" s="1076">
        <f t="shared" si="2"/>
        <v>1480675.8047150001</v>
      </c>
      <c r="G19" s="351">
        <f t="shared" si="2"/>
        <v>54414</v>
      </c>
      <c r="H19" s="1076">
        <f t="shared" si="2"/>
        <v>11127.516957499996</v>
      </c>
      <c r="I19" s="351">
        <f t="shared" si="2"/>
        <v>28642</v>
      </c>
      <c r="J19" s="1076">
        <f t="shared" si="2"/>
        <v>5798.263547499997</v>
      </c>
      <c r="K19" s="351">
        <f t="shared" si="2"/>
        <v>186253393</v>
      </c>
      <c r="L19" s="1076">
        <f t="shared" si="2"/>
        <v>9942693.0921378992</v>
      </c>
      <c r="M19" s="351">
        <f t="shared" si="2"/>
        <v>171026534</v>
      </c>
      <c r="N19" s="1076">
        <f t="shared" si="2"/>
        <v>9069250.0969433039</v>
      </c>
      <c r="O19" s="351">
        <f t="shared" si="2"/>
        <v>372799544</v>
      </c>
      <c r="P19" s="1076">
        <f t="shared" si="2"/>
        <v>22105192.932577703</v>
      </c>
      <c r="Q19" s="351">
        <f>INDEX(Q20:Q25,COUNT(Q20:Q25))</f>
        <v>349158</v>
      </c>
      <c r="R19" s="1076">
        <f>INDEX(R20:R25,COUNT(R20:R25))</f>
        <v>23406.6247</v>
      </c>
    </row>
    <row r="20" spans="1:20">
      <c r="A20" s="744">
        <v>45412</v>
      </c>
      <c r="B20" s="1079">
        <v>22</v>
      </c>
      <c r="C20" s="1079">
        <v>1046002</v>
      </c>
      <c r="D20" s="1080">
        <v>184944.92</v>
      </c>
      <c r="E20" s="1079">
        <v>1225461</v>
      </c>
      <c r="F20" s="1080">
        <v>249899.63</v>
      </c>
      <c r="G20" s="1079">
        <v>5313</v>
      </c>
      <c r="H20" s="1080">
        <v>985.54</v>
      </c>
      <c r="I20" s="1079">
        <v>1681</v>
      </c>
      <c r="J20" s="1080">
        <v>332.64</v>
      </c>
      <c r="K20" s="1079">
        <v>22498827</v>
      </c>
      <c r="L20" s="1080">
        <v>1340705.3500000001</v>
      </c>
      <c r="M20" s="1079">
        <v>19469765</v>
      </c>
      <c r="N20" s="1080">
        <v>1141877.01</v>
      </c>
      <c r="O20" s="1079">
        <f t="shared" ref="O20:P22" si="3">C20+E20+G20+I20+K20+M20</f>
        <v>44247049</v>
      </c>
      <c r="P20" s="1080">
        <f t="shared" si="3"/>
        <v>2918745.09</v>
      </c>
      <c r="Q20" s="1079">
        <v>231301</v>
      </c>
      <c r="R20" s="1080">
        <v>20974.923199999997</v>
      </c>
    </row>
    <row r="21" spans="1:20">
      <c r="A21" s="744">
        <v>45443</v>
      </c>
      <c r="B21" s="1079">
        <v>23</v>
      </c>
      <c r="C21" s="1079">
        <v>1003905</v>
      </c>
      <c r="D21" s="1080">
        <v>262297.64</v>
      </c>
      <c r="E21" s="1079">
        <v>918768</v>
      </c>
      <c r="F21" s="1080">
        <v>263394.46999999997</v>
      </c>
      <c r="G21" s="1079">
        <v>5820</v>
      </c>
      <c r="H21" s="1080">
        <v>1285.1300000000001</v>
      </c>
      <c r="I21" s="1079">
        <v>3848</v>
      </c>
      <c r="J21" s="1080">
        <v>839.34</v>
      </c>
      <c r="K21" s="1079">
        <v>29146082</v>
      </c>
      <c r="L21" s="1080">
        <v>1547729.23</v>
      </c>
      <c r="M21" s="1079">
        <v>26517179</v>
      </c>
      <c r="N21" s="1080">
        <v>1403775.64</v>
      </c>
      <c r="O21" s="1079">
        <f t="shared" si="3"/>
        <v>57595602</v>
      </c>
      <c r="P21" s="1080">
        <f t="shared" si="3"/>
        <v>3479321.45</v>
      </c>
      <c r="Q21" s="1079">
        <v>251836</v>
      </c>
      <c r="R21" s="1080">
        <v>18997.352500000001</v>
      </c>
    </row>
    <row r="22" spans="1:20">
      <c r="A22" s="744">
        <v>45473</v>
      </c>
      <c r="B22" s="1079">
        <v>20</v>
      </c>
      <c r="C22" s="1088">
        <v>1808477</v>
      </c>
      <c r="D22" s="1080">
        <v>280385.33676174999</v>
      </c>
      <c r="E22" s="1088">
        <v>1279742</v>
      </c>
      <c r="F22" s="1080">
        <v>201103.63772375</v>
      </c>
      <c r="G22" s="1088">
        <v>6122</v>
      </c>
      <c r="H22" s="1080">
        <v>1321.61247</v>
      </c>
      <c r="I22" s="1088">
        <v>2158</v>
      </c>
      <c r="J22" s="1080">
        <v>453.29751750000003</v>
      </c>
      <c r="K22" s="1088">
        <v>25989049</v>
      </c>
      <c r="L22" s="1080">
        <v>1405958.7449968499</v>
      </c>
      <c r="M22" s="1088">
        <v>23447060</v>
      </c>
      <c r="N22" s="1080">
        <v>1252851.2542268501</v>
      </c>
      <c r="O22" s="1079">
        <f t="shared" si="3"/>
        <v>52532608</v>
      </c>
      <c r="P22" s="1080">
        <f t="shared" si="3"/>
        <v>3142073.8836967</v>
      </c>
      <c r="Q22" s="1088">
        <v>231910</v>
      </c>
      <c r="R22" s="1080">
        <v>19628.43</v>
      </c>
    </row>
    <row r="23" spans="1:20">
      <c r="A23" s="744">
        <v>45504</v>
      </c>
      <c r="B23" s="1079">
        <v>23</v>
      </c>
      <c r="C23" s="1088">
        <v>1315643</v>
      </c>
      <c r="D23" s="1080">
        <v>312725.52151475003</v>
      </c>
      <c r="E23" s="1088">
        <v>934990</v>
      </c>
      <c r="F23" s="1080">
        <v>252540.74249125004</v>
      </c>
      <c r="G23" s="1088">
        <v>8699</v>
      </c>
      <c r="H23" s="1080">
        <v>1850.0234874999996</v>
      </c>
      <c r="I23" s="1088">
        <v>4150</v>
      </c>
      <c r="J23" s="1080">
        <v>862.2733300000001</v>
      </c>
      <c r="K23" s="1088">
        <v>31314291</v>
      </c>
      <c r="L23" s="1080">
        <v>1764100.47614105</v>
      </c>
      <c r="M23" s="1088">
        <v>27982511</v>
      </c>
      <c r="N23" s="1080">
        <v>1585478.1762164498</v>
      </c>
      <c r="O23" s="1088">
        <v>61560284</v>
      </c>
      <c r="P23" s="1080">
        <v>3917557.2131810002</v>
      </c>
      <c r="Q23" s="1088">
        <v>325242</v>
      </c>
      <c r="R23" s="1080">
        <v>23498.207299999998</v>
      </c>
    </row>
    <row r="24" spans="1:20">
      <c r="A24" s="744">
        <v>45535</v>
      </c>
      <c r="B24" s="1079">
        <v>21</v>
      </c>
      <c r="C24" s="1088">
        <v>2009721</v>
      </c>
      <c r="D24" s="1080">
        <v>285355.50270000001</v>
      </c>
      <c r="E24" s="1088">
        <v>1597758</v>
      </c>
      <c r="F24" s="1080">
        <v>243952.13440000013</v>
      </c>
      <c r="G24" s="1088">
        <v>13492</v>
      </c>
      <c r="H24" s="1080">
        <v>2697.9709999999986</v>
      </c>
      <c r="I24" s="1088">
        <v>7801</v>
      </c>
      <c r="J24" s="1080">
        <v>1536.6510999999989</v>
      </c>
      <c r="K24" s="1088">
        <v>33928336</v>
      </c>
      <c r="L24" s="1080">
        <v>1778412.8498000009</v>
      </c>
      <c r="M24" s="1088">
        <v>31469081</v>
      </c>
      <c r="N24" s="1080">
        <v>1637897.0445000031</v>
      </c>
      <c r="O24" s="1088">
        <v>69026189</v>
      </c>
      <c r="P24" s="1080">
        <v>3949852.1535000042</v>
      </c>
      <c r="Q24" s="1088">
        <v>348834</v>
      </c>
      <c r="R24" s="1080">
        <v>26153.878700000001</v>
      </c>
    </row>
    <row r="25" spans="1:20">
      <c r="A25" s="744">
        <v>45565</v>
      </c>
      <c r="B25" s="1079">
        <v>21</v>
      </c>
      <c r="C25" s="1079">
        <v>1242735</v>
      </c>
      <c r="D25" s="1080">
        <v>269939.23730000004</v>
      </c>
      <c r="E25" s="1079">
        <v>1053359</v>
      </c>
      <c r="F25" s="1080">
        <v>269785.19010000001</v>
      </c>
      <c r="G25" s="1079">
        <v>14968</v>
      </c>
      <c r="H25" s="1080">
        <v>2987.2399999999989</v>
      </c>
      <c r="I25" s="1079">
        <v>9004</v>
      </c>
      <c r="J25" s="1080">
        <v>1774.0615999999986</v>
      </c>
      <c r="K25" s="1079">
        <v>43376808</v>
      </c>
      <c r="L25" s="1080">
        <v>2105786.4411999974</v>
      </c>
      <c r="M25" s="1079">
        <v>42140938</v>
      </c>
      <c r="N25" s="1080">
        <v>2047370.9720000001</v>
      </c>
      <c r="O25" s="1079">
        <v>87837812</v>
      </c>
      <c r="P25" s="1080">
        <v>4697643.1421999969</v>
      </c>
      <c r="Q25" s="1079">
        <v>349158</v>
      </c>
      <c r="R25" s="1080">
        <v>23406.6247</v>
      </c>
    </row>
    <row r="26" spans="1:20" s="197" customFormat="1">
      <c r="A26" s="727" t="s">
        <v>1373</v>
      </c>
      <c r="B26" s="241"/>
      <c r="C26" s="241"/>
      <c r="D26" s="241"/>
      <c r="E26" s="241"/>
      <c r="F26" s="241"/>
      <c r="G26" s="241"/>
      <c r="H26" s="241"/>
      <c r="I26" s="241"/>
      <c r="J26" s="241"/>
      <c r="K26" s="241"/>
      <c r="L26" s="241"/>
      <c r="M26" s="241"/>
      <c r="N26" s="241"/>
      <c r="O26" s="241"/>
      <c r="P26" s="241"/>
      <c r="Q26" s="241"/>
      <c r="R26" s="241"/>
      <c r="S26" s="241"/>
      <c r="T26" s="241"/>
    </row>
    <row r="27" spans="1:20" s="197" customFormat="1">
      <c r="A27" s="1064" t="s">
        <v>999</v>
      </c>
      <c r="B27" s="241"/>
      <c r="C27" s="241"/>
      <c r="D27" s="241"/>
      <c r="E27" s="241"/>
      <c r="F27" s="241"/>
      <c r="G27" s="241"/>
      <c r="H27" s="241"/>
      <c r="I27" s="241"/>
      <c r="J27" s="241"/>
      <c r="K27" s="241"/>
      <c r="L27" s="241"/>
      <c r="M27" s="241"/>
      <c r="N27" s="241"/>
      <c r="O27" s="241"/>
      <c r="P27" s="241"/>
      <c r="Q27" s="241"/>
      <c r="R27" s="241"/>
      <c r="S27" s="241"/>
      <c r="T27" s="241"/>
    </row>
    <row r="28" spans="1:20" s="197" customFormat="1">
      <c r="A28" s="1089" t="s">
        <v>1007</v>
      </c>
      <c r="B28" s="241"/>
      <c r="C28" s="241"/>
      <c r="D28" s="241"/>
      <c r="E28" s="241"/>
      <c r="F28" s="241"/>
      <c r="G28" s="241"/>
      <c r="H28" s="241"/>
      <c r="I28" s="241"/>
      <c r="J28" s="241"/>
      <c r="K28" s="241"/>
      <c r="L28" s="241"/>
      <c r="M28" s="241"/>
      <c r="N28" s="241"/>
      <c r="O28" s="241"/>
      <c r="P28" s="241"/>
      <c r="Q28" s="241"/>
      <c r="R28" s="241"/>
      <c r="S28" s="241"/>
      <c r="T28" s="241"/>
    </row>
    <row r="30" spans="1:20">
      <c r="B30" s="864"/>
      <c r="C30" s="864"/>
      <c r="D30" s="864"/>
      <c r="E30" s="864"/>
      <c r="F30" s="864"/>
      <c r="G30" s="864"/>
      <c r="H30" s="864"/>
      <c r="I30" s="864"/>
      <c r="J30" s="864"/>
      <c r="K30" s="864"/>
      <c r="L30" s="864"/>
      <c r="M30" s="864"/>
      <c r="N30" s="864"/>
      <c r="O30" s="864"/>
      <c r="P30" s="864"/>
    </row>
  </sheetData>
  <mergeCells count="31">
    <mergeCell ref="M16:N16"/>
    <mergeCell ref="O16:O17"/>
    <mergeCell ref="P16:P17"/>
    <mergeCell ref="Q16:Q17"/>
    <mergeCell ref="R16:R17"/>
    <mergeCell ref="C16:D16"/>
    <mergeCell ref="E16:F16"/>
    <mergeCell ref="G16:H16"/>
    <mergeCell ref="I16:J16"/>
    <mergeCell ref="K16:L16"/>
    <mergeCell ref="C15:F15"/>
    <mergeCell ref="G15:J15"/>
    <mergeCell ref="K15:N15"/>
    <mergeCell ref="O15:P15"/>
    <mergeCell ref="Q15:R15"/>
    <mergeCell ref="A14:R14"/>
    <mergeCell ref="A15:A17"/>
    <mergeCell ref="A1:T1"/>
    <mergeCell ref="A2:T2"/>
    <mergeCell ref="A3:A4"/>
    <mergeCell ref="B3:B4"/>
    <mergeCell ref="C3:D3"/>
    <mergeCell ref="E3:F3"/>
    <mergeCell ref="G3:H3"/>
    <mergeCell ref="I3:J3"/>
    <mergeCell ref="K3:L3"/>
    <mergeCell ref="M3:N3"/>
    <mergeCell ref="O3:P3"/>
    <mergeCell ref="Q3:R3"/>
    <mergeCell ref="S3:T3"/>
    <mergeCell ref="B15:B17"/>
  </mergeCells>
  <printOptions horizontalCentered="1"/>
  <pageMargins left="0.7" right="0.7" top="0.75" bottom="0.75" header="0.3" footer="0.3"/>
  <pageSetup scale="57" fitToHeight="0" orientation="landscape" r:id="rId1"/>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20"/>
  <sheetViews>
    <sheetView workbookViewId="0">
      <selection sqref="A1:T1"/>
    </sheetView>
  </sheetViews>
  <sheetFormatPr defaultColWidth="9.140625" defaultRowHeight="12.75"/>
  <cols>
    <col min="1" max="1" width="13.140625" style="335" customWidth="1"/>
    <col min="2" max="2" width="8.85546875" style="335" customWidth="1"/>
    <col min="3" max="3" width="10.5703125" style="335" customWidth="1"/>
    <col min="4" max="4" width="11.42578125" style="335" customWidth="1"/>
    <col min="5" max="5" width="9.140625" style="335" customWidth="1"/>
    <col min="6" max="6" width="9.85546875" style="335" customWidth="1"/>
    <col min="7" max="7" width="10.28515625" style="335" customWidth="1"/>
    <col min="8" max="8" width="9.85546875" style="335" customWidth="1"/>
    <col min="9" max="9" width="10" style="335" customWidth="1"/>
    <col min="10" max="10" width="11.5703125" style="335" customWidth="1"/>
    <col min="11" max="11" width="9.7109375" style="335" customWidth="1"/>
    <col min="12" max="12" width="10.7109375" style="335" customWidth="1"/>
    <col min="13" max="13" width="9.5703125" style="335" customWidth="1"/>
    <col min="14" max="14" width="10.140625" style="335" customWidth="1"/>
    <col min="15" max="15" width="9.5703125" style="335" customWidth="1"/>
    <col min="16" max="16" width="10.28515625" style="335" customWidth="1"/>
    <col min="17" max="17" width="10" style="335" customWidth="1"/>
    <col min="18" max="19" width="9.7109375" style="335" customWidth="1"/>
    <col min="20" max="20" width="15.85546875" style="335" customWidth="1"/>
    <col min="21" max="23" width="10.5703125" style="335" customWidth="1"/>
    <col min="24" max="16384" width="9.140625" style="335"/>
  </cols>
  <sheetData>
    <row r="1" spans="1:22" ht="15">
      <c r="A1" s="1673" t="s">
        <v>1413</v>
      </c>
      <c r="B1" s="1673"/>
      <c r="C1" s="1673"/>
      <c r="D1" s="1673"/>
      <c r="E1" s="1673"/>
      <c r="F1" s="1673"/>
      <c r="G1" s="1673"/>
      <c r="H1" s="1673"/>
      <c r="I1" s="1673"/>
      <c r="J1" s="1673"/>
      <c r="K1" s="1673"/>
      <c r="L1" s="1673"/>
      <c r="M1" s="1673"/>
      <c r="N1" s="1673"/>
      <c r="O1" s="1673"/>
      <c r="P1" s="1673"/>
      <c r="Q1" s="1673"/>
      <c r="R1" s="1673"/>
      <c r="S1" s="1673"/>
      <c r="T1" s="1673"/>
      <c r="U1" s="241"/>
      <c r="V1" s="241"/>
    </row>
    <row r="2" spans="1:22" ht="16.5" customHeight="1">
      <c r="A2" s="1669" t="s">
        <v>115</v>
      </c>
      <c r="B2" s="1669" t="s">
        <v>1403</v>
      </c>
      <c r="C2" s="1693" t="s">
        <v>975</v>
      </c>
      <c r="D2" s="1694"/>
      <c r="E2" s="1694"/>
      <c r="F2" s="1694"/>
      <c r="G2" s="1694"/>
      <c r="H2" s="1694"/>
      <c r="I2" s="1694"/>
      <c r="J2" s="1694"/>
      <c r="K2" s="1694"/>
      <c r="L2" s="1695"/>
      <c r="M2" s="1693" t="s">
        <v>1003</v>
      </c>
      <c r="N2" s="1694"/>
      <c r="O2" s="1694"/>
      <c r="P2" s="1694"/>
      <c r="Q2" s="1694"/>
      <c r="R2" s="1694"/>
      <c r="S2" s="1694"/>
      <c r="T2" s="1695"/>
      <c r="U2" s="241"/>
      <c r="V2" s="241"/>
    </row>
    <row r="3" spans="1:22" ht="62.25" customHeight="1">
      <c r="A3" s="1670"/>
      <c r="B3" s="1670"/>
      <c r="C3" s="1689" t="s">
        <v>1414</v>
      </c>
      <c r="D3" s="1690"/>
      <c r="E3" s="1689" t="s">
        <v>1415</v>
      </c>
      <c r="F3" s="1690"/>
      <c r="G3" s="1689" t="s">
        <v>1416</v>
      </c>
      <c r="H3" s="1690"/>
      <c r="I3" s="1689" t="s">
        <v>1406</v>
      </c>
      <c r="J3" s="1690"/>
      <c r="K3" s="1691" t="s">
        <v>1002</v>
      </c>
      <c r="L3" s="1692"/>
      <c r="M3" s="1689" t="s">
        <v>1417</v>
      </c>
      <c r="N3" s="1690"/>
      <c r="O3" s="1689" t="s">
        <v>1418</v>
      </c>
      <c r="P3" s="1690"/>
      <c r="Q3" s="1689" t="s">
        <v>1411</v>
      </c>
      <c r="R3" s="1690"/>
      <c r="S3" s="1691" t="s">
        <v>1407</v>
      </c>
      <c r="T3" s="1692"/>
      <c r="U3" s="197"/>
      <c r="V3" s="197"/>
    </row>
    <row r="4" spans="1:22" s="1093" customFormat="1" ht="63.75" customHeight="1">
      <c r="A4" s="1671"/>
      <c r="B4" s="1671"/>
      <c r="C4" s="1090" t="s">
        <v>502</v>
      </c>
      <c r="D4" s="1091" t="s">
        <v>1013</v>
      </c>
      <c r="E4" s="1090" t="s">
        <v>502</v>
      </c>
      <c r="F4" s="1091" t="s">
        <v>1013</v>
      </c>
      <c r="G4" s="1090" t="s">
        <v>502</v>
      </c>
      <c r="H4" s="1091" t="s">
        <v>1013</v>
      </c>
      <c r="I4" s="1090" t="s">
        <v>502</v>
      </c>
      <c r="J4" s="1091" t="s">
        <v>1013</v>
      </c>
      <c r="K4" s="1090" t="s">
        <v>502</v>
      </c>
      <c r="L4" s="1092" t="s">
        <v>1410</v>
      </c>
      <c r="M4" s="1090" t="s">
        <v>502</v>
      </c>
      <c r="N4" s="1091" t="s">
        <v>1013</v>
      </c>
      <c r="O4" s="1090" t="s">
        <v>502</v>
      </c>
      <c r="P4" s="1091" t="s">
        <v>1013</v>
      </c>
      <c r="Q4" s="1090" t="s">
        <v>502</v>
      </c>
      <c r="R4" s="1091" t="s">
        <v>1013</v>
      </c>
      <c r="S4" s="1090" t="s">
        <v>502</v>
      </c>
      <c r="T4" s="1092" t="s">
        <v>1419</v>
      </c>
      <c r="U4" s="197"/>
      <c r="V4" s="197"/>
    </row>
    <row r="5" spans="1:22" s="345" customFormat="1" ht="15.75" customHeight="1">
      <c r="A5" s="1086" t="s">
        <v>505</v>
      </c>
      <c r="B5" s="1094">
        <v>244</v>
      </c>
      <c r="C5" s="1094">
        <v>4987448</v>
      </c>
      <c r="D5" s="1072">
        <v>205162.15</v>
      </c>
      <c r="E5" s="1094">
        <v>0</v>
      </c>
      <c r="F5" s="1072">
        <v>0</v>
      </c>
      <c r="G5" s="1094">
        <v>20603</v>
      </c>
      <c r="H5" s="1072">
        <v>940.49365</v>
      </c>
      <c r="I5" s="1094">
        <v>5008051</v>
      </c>
      <c r="J5" s="1072">
        <v>206101.64578000002</v>
      </c>
      <c r="K5" s="1094">
        <v>55916</v>
      </c>
      <c r="L5" s="1072">
        <v>2082</v>
      </c>
      <c r="M5" s="1094">
        <v>283</v>
      </c>
      <c r="N5" s="1072">
        <v>9.8859999999999992</v>
      </c>
      <c r="O5" s="1094">
        <v>0</v>
      </c>
      <c r="P5" s="1072">
        <v>0</v>
      </c>
      <c r="Q5" s="1094">
        <v>283</v>
      </c>
      <c r="R5" s="1072">
        <v>9.8860600000000005</v>
      </c>
      <c r="S5" s="1094">
        <v>0</v>
      </c>
      <c r="T5" s="1072">
        <v>0</v>
      </c>
      <c r="U5" s="197"/>
      <c r="V5" s="197"/>
    </row>
    <row r="6" spans="1:22" s="345" customFormat="1" ht="15.75" customHeight="1">
      <c r="A6" s="1087" t="s">
        <v>703</v>
      </c>
      <c r="B6" s="352">
        <f t="shared" ref="B6:R6" si="0">SUM(B7:B12)</f>
        <v>124</v>
      </c>
      <c r="C6" s="352">
        <f t="shared" si="0"/>
        <v>1953553</v>
      </c>
      <c r="D6" s="1076">
        <f t="shared" si="0"/>
        <v>75883</v>
      </c>
      <c r="E6" s="352">
        <f t="shared" si="0"/>
        <v>0</v>
      </c>
      <c r="F6" s="1076">
        <f t="shared" si="0"/>
        <v>0</v>
      </c>
      <c r="G6" s="352">
        <f t="shared" si="0"/>
        <v>16</v>
      </c>
      <c r="H6" s="1076">
        <f t="shared" si="0"/>
        <v>1</v>
      </c>
      <c r="I6" s="352">
        <f t="shared" si="0"/>
        <v>1953569</v>
      </c>
      <c r="J6" s="1076">
        <f t="shared" si="0"/>
        <v>75884</v>
      </c>
      <c r="K6" s="352">
        <f t="shared" si="0"/>
        <v>304832</v>
      </c>
      <c r="L6" s="1076">
        <f t="shared" si="0"/>
        <v>12569</v>
      </c>
      <c r="M6" s="352">
        <f t="shared" si="0"/>
        <v>44440</v>
      </c>
      <c r="N6" s="1076">
        <f t="shared" si="0"/>
        <v>1254.1879999999999</v>
      </c>
      <c r="O6" s="352">
        <f t="shared" si="0"/>
        <v>41679</v>
      </c>
      <c r="P6" s="1076">
        <f t="shared" si="0"/>
        <v>1136.003598</v>
      </c>
      <c r="Q6" s="352">
        <f t="shared" si="0"/>
        <v>86119</v>
      </c>
      <c r="R6" s="1076">
        <f t="shared" si="0"/>
        <v>2390.1931800000002</v>
      </c>
      <c r="S6" s="1076">
        <v>892</v>
      </c>
      <c r="T6" s="1076">
        <v>26.27</v>
      </c>
      <c r="U6" s="197"/>
      <c r="V6" s="197"/>
    </row>
    <row r="7" spans="1:22" s="345" customFormat="1" ht="15.75" customHeight="1">
      <c r="A7" s="744">
        <v>45412</v>
      </c>
      <c r="B7" s="1095">
        <v>20</v>
      </c>
      <c r="C7" s="1095">
        <v>342777</v>
      </c>
      <c r="D7" s="1080">
        <v>12983</v>
      </c>
      <c r="E7" s="1095">
        <v>0</v>
      </c>
      <c r="F7" s="1080">
        <v>0</v>
      </c>
      <c r="G7" s="1095">
        <v>16</v>
      </c>
      <c r="H7" s="1080">
        <v>1</v>
      </c>
      <c r="I7" s="1095">
        <f t="shared" ref="I7:J9" si="1">C7+E7+G7</f>
        <v>342793</v>
      </c>
      <c r="J7" s="1080">
        <f t="shared" si="1"/>
        <v>12984</v>
      </c>
      <c r="K7" s="1095">
        <v>51525</v>
      </c>
      <c r="L7" s="1080">
        <v>2081</v>
      </c>
      <c r="M7" s="1095">
        <v>0</v>
      </c>
      <c r="N7" s="1080">
        <v>0</v>
      </c>
      <c r="O7" s="1095">
        <v>0</v>
      </c>
      <c r="P7" s="1080">
        <v>0</v>
      </c>
      <c r="Q7" s="1095">
        <f t="shared" ref="Q7:R9" si="2">M7+O7</f>
        <v>0</v>
      </c>
      <c r="R7" s="1080">
        <f t="shared" si="2"/>
        <v>0</v>
      </c>
      <c r="S7" s="1095">
        <v>0</v>
      </c>
      <c r="T7" s="1080">
        <v>0</v>
      </c>
      <c r="U7" s="197"/>
      <c r="V7" s="197"/>
    </row>
    <row r="8" spans="1:22" s="345" customFormat="1" ht="15.75" customHeight="1">
      <c r="A8" s="744">
        <v>45443</v>
      </c>
      <c r="B8" s="1095">
        <v>21</v>
      </c>
      <c r="C8" s="1095">
        <v>325130</v>
      </c>
      <c r="D8" s="1080">
        <v>13163</v>
      </c>
      <c r="E8" s="1095">
        <v>0</v>
      </c>
      <c r="F8" s="1080">
        <v>0</v>
      </c>
      <c r="G8" s="1095">
        <v>0</v>
      </c>
      <c r="H8" s="1080">
        <v>0</v>
      </c>
      <c r="I8" s="1095">
        <f t="shared" si="1"/>
        <v>325130</v>
      </c>
      <c r="J8" s="1080">
        <f t="shared" si="1"/>
        <v>13163</v>
      </c>
      <c r="K8" s="1095">
        <v>51343</v>
      </c>
      <c r="L8" s="1080">
        <v>2103</v>
      </c>
      <c r="M8" s="1095">
        <v>0</v>
      </c>
      <c r="N8" s="1080">
        <v>0</v>
      </c>
      <c r="O8" s="1095">
        <v>0</v>
      </c>
      <c r="P8" s="1080">
        <v>0</v>
      </c>
      <c r="Q8" s="1095">
        <f t="shared" si="2"/>
        <v>0</v>
      </c>
      <c r="R8" s="1080">
        <f t="shared" si="2"/>
        <v>0</v>
      </c>
      <c r="S8" s="1095">
        <v>0</v>
      </c>
      <c r="T8" s="1080">
        <v>0</v>
      </c>
      <c r="U8" s="197"/>
      <c r="V8" s="197"/>
    </row>
    <row r="9" spans="1:22" s="345" customFormat="1" ht="15.75" customHeight="1">
      <c r="A9" s="744">
        <v>45473</v>
      </c>
      <c r="B9" s="1095">
        <v>19</v>
      </c>
      <c r="C9" s="1095">
        <v>274301</v>
      </c>
      <c r="D9" s="1080">
        <v>11020</v>
      </c>
      <c r="E9" s="1095">
        <v>0</v>
      </c>
      <c r="F9" s="1080">
        <v>0</v>
      </c>
      <c r="G9" s="1095">
        <v>0</v>
      </c>
      <c r="H9" s="1080">
        <v>0</v>
      </c>
      <c r="I9" s="1095">
        <f t="shared" si="1"/>
        <v>274301</v>
      </c>
      <c r="J9" s="1080">
        <f t="shared" si="1"/>
        <v>11020</v>
      </c>
      <c r="K9" s="1095">
        <v>50660</v>
      </c>
      <c r="L9" s="1080">
        <v>2093</v>
      </c>
      <c r="M9" s="1095">
        <v>81</v>
      </c>
      <c r="N9" s="1080">
        <v>2.2559999999999998</v>
      </c>
      <c r="O9" s="1095">
        <v>48</v>
      </c>
      <c r="P9" s="1080">
        <v>1.2592699999999999</v>
      </c>
      <c r="Q9" s="1095">
        <f t="shared" si="2"/>
        <v>129</v>
      </c>
      <c r="R9" s="1080">
        <f t="shared" si="2"/>
        <v>3.5152699999999997</v>
      </c>
      <c r="S9" s="1095">
        <v>79</v>
      </c>
      <c r="T9" s="1080">
        <v>2.16</v>
      </c>
      <c r="U9" s="197"/>
      <c r="V9" s="197"/>
    </row>
    <row r="10" spans="1:22" s="345" customFormat="1" ht="15.75" customHeight="1">
      <c r="A10" s="744">
        <v>45504</v>
      </c>
      <c r="B10" s="1095">
        <v>22</v>
      </c>
      <c r="C10" s="1095">
        <v>352355</v>
      </c>
      <c r="D10" s="1080">
        <v>13271</v>
      </c>
      <c r="E10" s="1095">
        <v>0</v>
      </c>
      <c r="F10" s="1080">
        <v>0</v>
      </c>
      <c r="G10" s="1095">
        <v>0</v>
      </c>
      <c r="H10" s="1080">
        <v>0</v>
      </c>
      <c r="I10" s="1095">
        <v>352355</v>
      </c>
      <c r="J10" s="1080">
        <v>13271</v>
      </c>
      <c r="K10" s="1095">
        <v>53622</v>
      </c>
      <c r="L10" s="1080">
        <v>2281</v>
      </c>
      <c r="M10" s="1095">
        <v>10195</v>
      </c>
      <c r="N10" s="1080">
        <v>288.73399999999998</v>
      </c>
      <c r="O10" s="1095">
        <v>4499</v>
      </c>
      <c r="P10" s="1080">
        <v>124.140337</v>
      </c>
      <c r="Q10" s="1095">
        <v>14694</v>
      </c>
      <c r="R10" s="1080">
        <v>412.87495000000001</v>
      </c>
      <c r="S10" s="1095">
        <v>1057</v>
      </c>
      <c r="T10" s="1080">
        <v>30.56</v>
      </c>
      <c r="U10" s="197"/>
      <c r="V10" s="197"/>
    </row>
    <row r="11" spans="1:22" s="345" customFormat="1" ht="15.75" customHeight="1">
      <c r="A11" s="744">
        <v>45535</v>
      </c>
      <c r="B11" s="1095">
        <v>21</v>
      </c>
      <c r="C11" s="1095">
        <v>324253</v>
      </c>
      <c r="D11" s="1080">
        <v>12595</v>
      </c>
      <c r="E11" s="1095">
        <v>0</v>
      </c>
      <c r="F11" s="1080">
        <v>0</v>
      </c>
      <c r="G11" s="1095">
        <v>0</v>
      </c>
      <c r="H11" s="1080">
        <v>0</v>
      </c>
      <c r="I11" s="1095">
        <v>324253</v>
      </c>
      <c r="J11" s="1080">
        <v>12595</v>
      </c>
      <c r="K11" s="1095">
        <v>47676</v>
      </c>
      <c r="L11" s="1080">
        <v>1878</v>
      </c>
      <c r="M11" s="1095">
        <v>13032</v>
      </c>
      <c r="N11" s="1080">
        <v>355.92700000000002</v>
      </c>
      <c r="O11" s="1095">
        <v>10816</v>
      </c>
      <c r="P11" s="1080">
        <v>292.48549100000002</v>
      </c>
      <c r="Q11" s="1095">
        <v>23848</v>
      </c>
      <c r="R11" s="1080">
        <v>648.41295000000002</v>
      </c>
      <c r="S11" s="1095">
        <v>1562</v>
      </c>
      <c r="T11" s="1080">
        <v>43.5</v>
      </c>
      <c r="U11" s="197"/>
      <c r="V11" s="197"/>
    </row>
    <row r="12" spans="1:22" s="345" customFormat="1" ht="15.75" customHeight="1">
      <c r="A12" s="744">
        <v>45565</v>
      </c>
      <c r="B12" s="1095">
        <v>21</v>
      </c>
      <c r="C12" s="1095">
        <v>334737</v>
      </c>
      <c r="D12" s="1080">
        <v>12851</v>
      </c>
      <c r="E12" s="1095">
        <v>0</v>
      </c>
      <c r="F12" s="1080">
        <v>0</v>
      </c>
      <c r="G12" s="1095">
        <v>0</v>
      </c>
      <c r="H12" s="1080">
        <v>0</v>
      </c>
      <c r="I12" s="1095">
        <v>334737</v>
      </c>
      <c r="J12" s="1080">
        <v>12851</v>
      </c>
      <c r="K12" s="1095">
        <v>50006</v>
      </c>
      <c r="L12" s="1080">
        <v>2133</v>
      </c>
      <c r="M12" s="1095">
        <v>21132</v>
      </c>
      <c r="N12" s="1080">
        <v>607.27099999999996</v>
      </c>
      <c r="O12" s="1095">
        <v>26316</v>
      </c>
      <c r="P12" s="1080">
        <v>718.11850000000004</v>
      </c>
      <c r="Q12" s="1095">
        <v>47448</v>
      </c>
      <c r="R12" s="1080">
        <v>1325.3900100000001</v>
      </c>
      <c r="S12" s="1095">
        <v>892</v>
      </c>
      <c r="T12" s="1080">
        <v>26.27</v>
      </c>
      <c r="U12" s="197"/>
      <c r="V12" s="197"/>
    </row>
    <row r="13" spans="1:22" ht="15">
      <c r="A13" s="727" t="s">
        <v>1373</v>
      </c>
      <c r="B13" s="1096"/>
      <c r="C13" s="1096"/>
      <c r="D13" s="1096"/>
      <c r="E13" s="1096"/>
      <c r="F13" s="1096"/>
      <c r="G13" s="1096"/>
      <c r="H13" s="1096"/>
      <c r="I13" s="1096"/>
      <c r="J13" s="1096"/>
      <c r="K13" s="1096"/>
      <c r="L13" s="1096"/>
      <c r="M13" s="1096"/>
      <c r="N13" s="1096"/>
      <c r="O13" s="1096"/>
      <c r="P13" s="1096"/>
      <c r="Q13" s="1096"/>
      <c r="R13" s="1096"/>
      <c r="S13" s="1096"/>
      <c r="T13" s="1096"/>
      <c r="U13" s="197"/>
      <c r="V13" s="197"/>
    </row>
    <row r="14" spans="1:22" ht="15">
      <c r="A14" s="1075" t="s">
        <v>1009</v>
      </c>
      <c r="B14" s="241"/>
      <c r="C14" s="241"/>
      <c r="D14" s="241"/>
      <c r="E14" s="241"/>
      <c r="F14" s="241"/>
      <c r="G14" s="241"/>
      <c r="H14" s="241"/>
      <c r="I14" s="241"/>
      <c r="J14" s="864"/>
      <c r="K14" s="241"/>
      <c r="L14" s="241"/>
      <c r="M14" s="241"/>
      <c r="N14" s="241"/>
      <c r="O14" s="241"/>
      <c r="P14" s="241"/>
      <c r="Q14" s="241"/>
      <c r="R14" s="241"/>
      <c r="S14" s="241"/>
      <c r="T14" s="241"/>
      <c r="U14" s="241"/>
      <c r="V14" s="241"/>
    </row>
    <row r="15" spans="1:22" ht="15">
      <c r="B15" s="241"/>
      <c r="C15" s="241"/>
      <c r="D15" s="241"/>
      <c r="E15" s="241"/>
      <c r="F15" s="241"/>
      <c r="G15" s="241"/>
      <c r="H15" s="241"/>
      <c r="I15" s="241"/>
      <c r="J15" s="864"/>
      <c r="K15" s="241"/>
      <c r="L15" s="241"/>
      <c r="M15" s="241"/>
      <c r="N15" s="241"/>
      <c r="O15" s="241"/>
      <c r="P15" s="241"/>
      <c r="Q15" s="241"/>
      <c r="R15" s="241"/>
      <c r="S15" s="241"/>
      <c r="T15" s="241"/>
      <c r="U15" s="241"/>
      <c r="V15" s="241"/>
    </row>
    <row r="16" spans="1:22">
      <c r="B16" s="1300"/>
      <c r="C16" s="1300"/>
      <c r="D16" s="1300"/>
      <c r="E16" s="1300"/>
      <c r="F16" s="1300"/>
      <c r="G16" s="1300"/>
      <c r="H16" s="1300"/>
      <c r="I16" s="1300"/>
      <c r="J16" s="1300"/>
      <c r="K16" s="1300"/>
      <c r="L16" s="1300"/>
      <c r="M16" s="1300"/>
      <c r="N16" s="1300"/>
      <c r="O16" s="1300"/>
      <c r="P16" s="1300"/>
      <c r="Q16" s="1300"/>
      <c r="R16" s="1300"/>
    </row>
    <row r="20" ht="18.75" customHeight="1"/>
  </sheetData>
  <mergeCells count="14">
    <mergeCell ref="M3:N3"/>
    <mergeCell ref="O3:P3"/>
    <mergeCell ref="Q3:R3"/>
    <mergeCell ref="S3:T3"/>
    <mergeCell ref="A1:T1"/>
    <mergeCell ref="A2:A4"/>
    <mergeCell ref="B2:B4"/>
    <mergeCell ref="C2:L2"/>
    <mergeCell ref="M2:T2"/>
    <mergeCell ref="C3:D3"/>
    <mergeCell ref="E3:F3"/>
    <mergeCell ref="G3:H3"/>
    <mergeCell ref="I3:J3"/>
    <mergeCell ref="K3:L3"/>
  </mergeCells>
  <printOptions horizontalCentered="1"/>
  <pageMargins left="0.7" right="0.7" top="0.75" bottom="0.75" header="0.3" footer="0.3"/>
  <pageSetup scale="66" orientation="landscape" r:id="rId1"/>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Y30"/>
  <sheetViews>
    <sheetView workbookViewId="0"/>
  </sheetViews>
  <sheetFormatPr defaultColWidth="8.85546875" defaultRowHeight="15"/>
  <cols>
    <col min="1" max="1" width="9.5703125" style="241" customWidth="1"/>
    <col min="2" max="2" width="12" style="241" customWidth="1"/>
    <col min="3" max="3" width="9" style="241" customWidth="1"/>
    <col min="4" max="4" width="9.85546875" style="241" customWidth="1"/>
    <col min="5" max="6" width="9.140625" style="241" customWidth="1"/>
    <col min="7" max="7" width="11" style="241" customWidth="1"/>
    <col min="8" max="9" width="10.28515625" style="241" customWidth="1"/>
    <col min="10" max="11" width="9.85546875" style="241" customWidth="1"/>
    <col min="12" max="12" width="9.5703125" style="241" customWidth="1"/>
    <col min="13" max="13" width="10.5703125" style="241" customWidth="1"/>
    <col min="14" max="14" width="12.5703125" style="241" customWidth="1"/>
    <col min="15" max="15" width="17.85546875" style="197" bestFit="1" customWidth="1"/>
    <col min="16" max="16" width="11.28515625" style="197" customWidth="1"/>
    <col min="17" max="17" width="9.140625" style="241" customWidth="1"/>
    <col min="18" max="16384" width="8.85546875" style="241"/>
  </cols>
  <sheetData>
    <row r="1" spans="1:25">
      <c r="A1" s="353" t="s">
        <v>1420</v>
      </c>
      <c r="B1" s="353"/>
      <c r="C1" s="353"/>
      <c r="D1" s="353"/>
      <c r="E1" s="353"/>
      <c r="F1" s="353"/>
      <c r="G1" s="353"/>
      <c r="H1" s="353"/>
      <c r="I1" s="353"/>
      <c r="J1" s="353"/>
      <c r="K1" s="353"/>
      <c r="L1" s="353"/>
      <c r="M1" s="353"/>
      <c r="N1" s="353"/>
      <c r="O1" s="353"/>
      <c r="P1" s="353"/>
      <c r="Q1" s="353"/>
    </row>
    <row r="2" spans="1:25">
      <c r="A2" s="1696" t="s">
        <v>975</v>
      </c>
      <c r="B2" s="1696"/>
      <c r="C2" s="1696"/>
      <c r="D2" s="1696"/>
      <c r="E2" s="1696"/>
      <c r="F2" s="1696"/>
      <c r="G2" s="1696"/>
      <c r="H2" s="1696"/>
      <c r="I2" s="1696"/>
      <c r="J2" s="1696"/>
      <c r="K2" s="1696"/>
      <c r="L2" s="1696"/>
      <c r="M2" s="1696"/>
      <c r="N2" s="1696"/>
      <c r="O2" s="241"/>
      <c r="P2" s="241"/>
    </row>
    <row r="3" spans="1:25" ht="32.25" customHeight="1">
      <c r="A3" s="1697" t="s">
        <v>115</v>
      </c>
      <c r="B3" s="1699" t="s">
        <v>1403</v>
      </c>
      <c r="C3" s="1701" t="s">
        <v>1010</v>
      </c>
      <c r="D3" s="1702"/>
      <c r="E3" s="1701" t="s">
        <v>1011</v>
      </c>
      <c r="F3" s="1702"/>
      <c r="G3" s="1701" t="s">
        <v>1421</v>
      </c>
      <c r="H3" s="1702"/>
      <c r="I3" s="1701" t="s">
        <v>1012</v>
      </c>
      <c r="J3" s="1702"/>
      <c r="K3" s="1701" t="s">
        <v>96</v>
      </c>
      <c r="L3" s="1702"/>
      <c r="M3" s="1703" t="s">
        <v>1407</v>
      </c>
      <c r="N3" s="1703"/>
    </row>
    <row r="4" spans="1:25" ht="42.75" customHeight="1">
      <c r="A4" s="1698"/>
      <c r="B4" s="1700"/>
      <c r="C4" s="1097" t="s">
        <v>502</v>
      </c>
      <c r="D4" s="1098" t="s">
        <v>1013</v>
      </c>
      <c r="E4" s="1097" t="s">
        <v>502</v>
      </c>
      <c r="F4" s="1098" t="s">
        <v>1013</v>
      </c>
      <c r="G4" s="1097" t="s">
        <v>502</v>
      </c>
      <c r="H4" s="1098" t="s">
        <v>1013</v>
      </c>
      <c r="I4" s="1097" t="s">
        <v>502</v>
      </c>
      <c r="J4" s="1098" t="s">
        <v>1013</v>
      </c>
      <c r="K4" s="1097" t="s">
        <v>502</v>
      </c>
      <c r="L4" s="1098" t="s">
        <v>1013</v>
      </c>
      <c r="M4" s="1097" t="s">
        <v>502</v>
      </c>
      <c r="N4" s="1098" t="s">
        <v>1013</v>
      </c>
    </row>
    <row r="5" spans="1:25">
      <c r="A5" s="1099" t="s">
        <v>505</v>
      </c>
      <c r="B5" s="1071">
        <v>254</v>
      </c>
      <c r="C5" s="1071">
        <v>75</v>
      </c>
      <c r="D5" s="1100">
        <v>3.7293500000000002</v>
      </c>
      <c r="E5" s="1071">
        <v>0</v>
      </c>
      <c r="F5" s="1100">
        <v>0</v>
      </c>
      <c r="G5" s="1071">
        <v>21</v>
      </c>
      <c r="H5" s="1100">
        <v>1.0297099999999999</v>
      </c>
      <c r="I5" s="1071">
        <v>4</v>
      </c>
      <c r="J5" s="1100">
        <v>0.26</v>
      </c>
      <c r="K5" s="1071">
        <v>100</v>
      </c>
      <c r="L5" s="1100">
        <v>5.0190599999999996</v>
      </c>
      <c r="M5" s="1071" t="s">
        <v>233</v>
      </c>
      <c r="N5" s="1100" t="s">
        <v>233</v>
      </c>
    </row>
    <row r="6" spans="1:25" s="1075" customFormat="1">
      <c r="A6" s="354" t="s">
        <v>703</v>
      </c>
      <c r="B6" s="351">
        <f t="shared" ref="B6:L6" si="0">SUM(B7:B12)</f>
        <v>130</v>
      </c>
      <c r="C6" s="351">
        <f t="shared" si="0"/>
        <v>0</v>
      </c>
      <c r="D6" s="355">
        <f t="shared" si="0"/>
        <v>0</v>
      </c>
      <c r="E6" s="351">
        <f t="shared" si="0"/>
        <v>12</v>
      </c>
      <c r="F6" s="355">
        <f t="shared" si="0"/>
        <v>3.0449809999999999</v>
      </c>
      <c r="G6" s="351">
        <f t="shared" si="0"/>
        <v>0</v>
      </c>
      <c r="H6" s="355">
        <f t="shared" si="0"/>
        <v>0</v>
      </c>
      <c r="I6" s="351">
        <f t="shared" si="0"/>
        <v>0</v>
      </c>
      <c r="J6" s="355">
        <f t="shared" si="0"/>
        <v>0</v>
      </c>
      <c r="K6" s="351">
        <f t="shared" si="0"/>
        <v>12</v>
      </c>
      <c r="L6" s="355">
        <f t="shared" si="0"/>
        <v>3.0449809999999999</v>
      </c>
      <c r="M6" s="351">
        <f>INDEX(M7:M12,COUNT(M7:M12))</f>
        <v>0</v>
      </c>
      <c r="N6" s="355">
        <f>INDEX(N7:N12,COUNT(N7:N12))</f>
        <v>0</v>
      </c>
      <c r="O6" s="197"/>
      <c r="P6" s="197"/>
    </row>
    <row r="7" spans="1:25" s="1075" customFormat="1">
      <c r="A7" s="1101">
        <v>45412</v>
      </c>
      <c r="B7" s="1079">
        <v>22</v>
      </c>
      <c r="C7" s="1079">
        <v>0</v>
      </c>
      <c r="D7" s="1102">
        <v>0</v>
      </c>
      <c r="E7" s="1079">
        <v>0</v>
      </c>
      <c r="F7" s="1102">
        <v>0</v>
      </c>
      <c r="G7" s="1079">
        <v>0</v>
      </c>
      <c r="H7" s="1102">
        <v>0</v>
      </c>
      <c r="I7" s="1079">
        <v>0</v>
      </c>
      <c r="J7" s="1102">
        <v>0</v>
      </c>
      <c r="K7" s="1079">
        <f t="shared" ref="K7:L9" si="1">C7+E7+G7+I7</f>
        <v>0</v>
      </c>
      <c r="L7" s="1079">
        <f t="shared" si="1"/>
        <v>0</v>
      </c>
      <c r="M7" s="1079">
        <v>0</v>
      </c>
      <c r="N7" s="1102">
        <v>0</v>
      </c>
      <c r="O7" s="197"/>
      <c r="P7" s="197"/>
    </row>
    <row r="8" spans="1:25" s="1075" customFormat="1">
      <c r="A8" s="1101">
        <v>45443</v>
      </c>
      <c r="B8" s="1079">
        <v>23</v>
      </c>
      <c r="C8" s="1079">
        <v>0</v>
      </c>
      <c r="D8" s="1102">
        <v>0</v>
      </c>
      <c r="E8" s="1079">
        <v>0</v>
      </c>
      <c r="F8" s="1102">
        <v>0</v>
      </c>
      <c r="G8" s="1079">
        <v>0</v>
      </c>
      <c r="H8" s="1102">
        <v>0</v>
      </c>
      <c r="I8" s="1079">
        <v>0</v>
      </c>
      <c r="J8" s="1102">
        <v>0</v>
      </c>
      <c r="K8" s="1079">
        <f t="shared" si="1"/>
        <v>0</v>
      </c>
      <c r="L8" s="1079">
        <f t="shared" si="1"/>
        <v>0</v>
      </c>
      <c r="M8" s="1079">
        <v>0</v>
      </c>
      <c r="N8" s="1102">
        <v>0</v>
      </c>
      <c r="O8" s="197"/>
      <c r="P8" s="197"/>
    </row>
    <row r="9" spans="1:25" s="1075" customFormat="1">
      <c r="A9" s="1101">
        <v>45473</v>
      </c>
      <c r="B9" s="1079">
        <v>20</v>
      </c>
      <c r="C9" s="1079">
        <v>0</v>
      </c>
      <c r="D9" s="1103">
        <v>0</v>
      </c>
      <c r="E9" s="1079">
        <v>0</v>
      </c>
      <c r="F9" s="1103">
        <v>0</v>
      </c>
      <c r="G9" s="1079">
        <v>0</v>
      </c>
      <c r="H9" s="1103">
        <v>0</v>
      </c>
      <c r="I9" s="1079">
        <v>0</v>
      </c>
      <c r="J9" s="1103">
        <v>0</v>
      </c>
      <c r="K9" s="1079">
        <f t="shared" si="1"/>
        <v>0</v>
      </c>
      <c r="L9" s="1079">
        <f t="shared" si="1"/>
        <v>0</v>
      </c>
      <c r="M9" s="1079">
        <v>0</v>
      </c>
      <c r="N9" s="1079">
        <v>0</v>
      </c>
      <c r="O9" s="197"/>
      <c r="P9" s="197"/>
    </row>
    <row r="10" spans="1:25" s="1075" customFormat="1">
      <c r="A10" s="1101">
        <v>45504</v>
      </c>
      <c r="B10" s="1079">
        <v>23</v>
      </c>
      <c r="C10" s="1079">
        <v>0</v>
      </c>
      <c r="D10" s="1104">
        <v>0</v>
      </c>
      <c r="E10" s="1079">
        <v>0</v>
      </c>
      <c r="F10" s="1104">
        <v>0</v>
      </c>
      <c r="G10" s="1079">
        <v>0</v>
      </c>
      <c r="H10" s="1104">
        <v>0</v>
      </c>
      <c r="I10" s="1079">
        <v>0</v>
      </c>
      <c r="J10" s="1104">
        <v>0</v>
      </c>
      <c r="K10" s="1079">
        <v>0</v>
      </c>
      <c r="L10" s="1079">
        <v>0</v>
      </c>
      <c r="M10" s="1079">
        <v>0</v>
      </c>
      <c r="N10" s="1079">
        <v>0</v>
      </c>
      <c r="O10" s="197"/>
      <c r="P10" s="197"/>
    </row>
    <row r="11" spans="1:25" s="1075" customFormat="1">
      <c r="A11" s="1101">
        <v>45535</v>
      </c>
      <c r="B11" s="1079">
        <v>21</v>
      </c>
      <c r="C11" s="1079">
        <v>0</v>
      </c>
      <c r="D11" s="1104">
        <v>0</v>
      </c>
      <c r="E11" s="1079">
        <v>10</v>
      </c>
      <c r="F11" s="1104">
        <v>2.5449809999999999</v>
      </c>
      <c r="G11" s="1079">
        <v>0</v>
      </c>
      <c r="H11" s="1079">
        <v>0</v>
      </c>
      <c r="I11" s="1079">
        <v>0</v>
      </c>
      <c r="J11" s="1104">
        <v>0</v>
      </c>
      <c r="K11" s="1079">
        <v>10</v>
      </c>
      <c r="L11" s="1079">
        <v>2.5449809999999999</v>
      </c>
      <c r="M11" s="1079">
        <v>0</v>
      </c>
      <c r="N11" s="1079">
        <v>0</v>
      </c>
      <c r="O11" s="197"/>
      <c r="P11" s="197"/>
    </row>
    <row r="12" spans="1:25" s="1075" customFormat="1">
      <c r="A12" s="1101">
        <v>45565</v>
      </c>
      <c r="B12" s="1079">
        <v>21</v>
      </c>
      <c r="C12" s="1079">
        <v>0</v>
      </c>
      <c r="D12" s="1079">
        <v>0</v>
      </c>
      <c r="E12" s="1079">
        <v>2</v>
      </c>
      <c r="F12" s="1079">
        <v>0.5</v>
      </c>
      <c r="G12" s="1079">
        <v>0</v>
      </c>
      <c r="H12" s="1079">
        <v>0</v>
      </c>
      <c r="I12" s="1079">
        <v>0</v>
      </c>
      <c r="J12" s="1079">
        <v>0</v>
      </c>
      <c r="K12" s="1079">
        <v>2</v>
      </c>
      <c r="L12" s="1079">
        <v>0.5</v>
      </c>
      <c r="M12" s="1079">
        <v>0</v>
      </c>
      <c r="N12" s="1079">
        <v>0</v>
      </c>
      <c r="O12" s="197"/>
      <c r="P12" s="197"/>
    </row>
    <row r="13" spans="1:25">
      <c r="A13" s="1105"/>
      <c r="B13" s="1106"/>
      <c r="C13" s="1106"/>
      <c r="D13" s="1106"/>
      <c r="E13" s="1106"/>
      <c r="F13" s="1106"/>
      <c r="G13" s="1106"/>
      <c r="H13" s="1106"/>
      <c r="I13" s="1106"/>
      <c r="J13" s="1106"/>
      <c r="K13" s="1106"/>
      <c r="L13" s="1106"/>
      <c r="M13" s="1106"/>
      <c r="N13" s="1106"/>
    </row>
    <row r="14" spans="1:25">
      <c r="A14" s="1106"/>
      <c r="B14" s="1106"/>
      <c r="C14" s="1106"/>
      <c r="D14" s="1106"/>
      <c r="E14" s="1106"/>
      <c r="F14" s="1106"/>
      <c r="G14" s="1106"/>
      <c r="H14" s="1106"/>
      <c r="I14" s="1106"/>
      <c r="J14" s="1106"/>
      <c r="K14" s="1106"/>
      <c r="L14" s="1106"/>
      <c r="M14" s="1106"/>
      <c r="N14" s="1106"/>
    </row>
    <row r="15" spans="1:25">
      <c r="A15" s="1704" t="s">
        <v>1003</v>
      </c>
      <c r="B15" s="1705"/>
      <c r="C15" s="1705"/>
      <c r="D15" s="1705"/>
      <c r="E15" s="1705"/>
      <c r="F15" s="1705"/>
      <c r="G15" s="1705"/>
      <c r="H15" s="1705"/>
      <c r="I15" s="1705"/>
      <c r="J15" s="1705"/>
      <c r="K15" s="1705"/>
      <c r="L15" s="1705"/>
      <c r="M15" s="1705"/>
      <c r="N15" s="1706"/>
      <c r="Y15" s="1107"/>
    </row>
    <row r="16" spans="1:25" ht="27.75" customHeight="1">
      <c r="A16" s="1669" t="s">
        <v>115</v>
      </c>
      <c r="B16" s="1669" t="s">
        <v>1403</v>
      </c>
      <c r="C16" s="1707" t="s">
        <v>1004</v>
      </c>
      <c r="D16" s="1707"/>
      <c r="E16" s="1707"/>
      <c r="F16" s="1707"/>
      <c r="G16" s="1327" t="s">
        <v>622</v>
      </c>
      <c r="H16" s="1327"/>
      <c r="I16" s="1327"/>
      <c r="J16" s="1327"/>
      <c r="K16" s="1707" t="s">
        <v>96</v>
      </c>
      <c r="L16" s="1708"/>
      <c r="M16" s="1703" t="s">
        <v>1407</v>
      </c>
      <c r="N16" s="1703"/>
      <c r="Y16" s="1108"/>
    </row>
    <row r="17" spans="1:25" ht="17.25" customHeight="1">
      <c r="A17" s="1670"/>
      <c r="B17" s="1670"/>
      <c r="C17" s="1709" t="s">
        <v>1005</v>
      </c>
      <c r="D17" s="1709"/>
      <c r="E17" s="1709" t="s">
        <v>1006</v>
      </c>
      <c r="F17" s="1709"/>
      <c r="G17" s="1709" t="s">
        <v>1005</v>
      </c>
      <c r="H17" s="1709"/>
      <c r="I17" s="1709" t="s">
        <v>1006</v>
      </c>
      <c r="J17" s="1709"/>
      <c r="K17" s="1703" t="s">
        <v>502</v>
      </c>
      <c r="L17" s="1703" t="s">
        <v>1013</v>
      </c>
      <c r="M17" s="1703" t="s">
        <v>502</v>
      </c>
      <c r="N17" s="1703" t="s">
        <v>1013</v>
      </c>
      <c r="Y17" s="241" t="s">
        <v>993</v>
      </c>
    </row>
    <row r="18" spans="1:25" ht="29.25" customHeight="1">
      <c r="A18" s="1670"/>
      <c r="B18" s="1671"/>
      <c r="C18" s="1097" t="s">
        <v>502</v>
      </c>
      <c r="D18" s="1097" t="s">
        <v>1013</v>
      </c>
      <c r="E18" s="1097" t="s">
        <v>502</v>
      </c>
      <c r="F18" s="1097" t="s">
        <v>1013</v>
      </c>
      <c r="G18" s="1097" t="s">
        <v>502</v>
      </c>
      <c r="H18" s="1097" t="s">
        <v>1013</v>
      </c>
      <c r="I18" s="1097" t="s">
        <v>502</v>
      </c>
      <c r="J18" s="1097" t="s">
        <v>1013</v>
      </c>
      <c r="K18" s="1703"/>
      <c r="L18" s="1703"/>
      <c r="M18" s="1703"/>
      <c r="N18" s="1703"/>
    </row>
    <row r="19" spans="1:25">
      <c r="A19" s="1109" t="s">
        <v>505</v>
      </c>
      <c r="B19" s="1110">
        <v>254</v>
      </c>
      <c r="C19" s="1110">
        <v>0</v>
      </c>
      <c r="D19" s="1111">
        <v>0</v>
      </c>
      <c r="E19" s="1110">
        <v>0</v>
      </c>
      <c r="F19" s="1111">
        <v>0</v>
      </c>
      <c r="G19" s="1110">
        <v>409</v>
      </c>
      <c r="H19" s="1111">
        <v>30.18703</v>
      </c>
      <c r="I19" s="1110">
        <v>8</v>
      </c>
      <c r="J19" s="1111">
        <v>0.56455</v>
      </c>
      <c r="K19" s="1110">
        <v>417</v>
      </c>
      <c r="L19" s="1111">
        <v>30.751579999999997</v>
      </c>
      <c r="M19" s="1112">
        <v>3</v>
      </c>
      <c r="N19" s="1113">
        <v>0.23070599999999999</v>
      </c>
    </row>
    <row r="20" spans="1:25" s="1075" customFormat="1">
      <c r="A20" s="356" t="s">
        <v>703</v>
      </c>
      <c r="B20" s="351">
        <f t="shared" ref="B20:L20" si="2">SUM(B21:B26)</f>
        <v>130</v>
      </c>
      <c r="C20" s="351">
        <f t="shared" si="2"/>
        <v>318</v>
      </c>
      <c r="D20" s="355">
        <f t="shared" si="2"/>
        <v>96.507577999999995</v>
      </c>
      <c r="E20" s="351">
        <f t="shared" si="2"/>
        <v>291</v>
      </c>
      <c r="F20" s="355">
        <f t="shared" si="2"/>
        <v>87.381056999999998</v>
      </c>
      <c r="G20" s="351">
        <f t="shared" si="2"/>
        <v>139</v>
      </c>
      <c r="H20" s="355">
        <f t="shared" si="2"/>
        <v>10.19294</v>
      </c>
      <c r="I20" s="351">
        <f t="shared" si="2"/>
        <v>52</v>
      </c>
      <c r="J20" s="355">
        <f t="shared" si="2"/>
        <v>3.57796</v>
      </c>
      <c r="K20" s="351">
        <f t="shared" si="2"/>
        <v>853</v>
      </c>
      <c r="L20" s="355">
        <f t="shared" si="2"/>
        <v>197.659244</v>
      </c>
      <c r="M20" s="351">
        <f>INDEX(M21:M26,COUNT(M21:M26))</f>
        <v>19</v>
      </c>
      <c r="N20" s="355">
        <f>INDEX(N21:N26,COUNT(N21:N26))</f>
        <v>2</v>
      </c>
      <c r="O20" s="197"/>
      <c r="P20" s="197"/>
      <c r="Q20" s="1085"/>
    </row>
    <row r="21" spans="1:25" s="1075" customFormat="1">
      <c r="A21" s="744">
        <v>45412</v>
      </c>
      <c r="B21" s="1114">
        <v>22</v>
      </c>
      <c r="C21" s="1114">
        <v>0</v>
      </c>
      <c r="D21" s="1115">
        <v>0</v>
      </c>
      <c r="E21" s="1116">
        <v>0</v>
      </c>
      <c r="F21" s="1117">
        <v>0</v>
      </c>
      <c r="G21" s="1118">
        <v>29</v>
      </c>
      <c r="H21" s="1119">
        <v>2.2349999999999999</v>
      </c>
      <c r="I21" s="1118">
        <v>20</v>
      </c>
      <c r="J21" s="1119">
        <v>1.4279999999999999</v>
      </c>
      <c r="K21" s="1116">
        <f>C21+E21+G21+I21</f>
        <v>49</v>
      </c>
      <c r="L21" s="1119">
        <f>D21+F21+H21+J21</f>
        <v>3.6629999999999998</v>
      </c>
      <c r="M21" s="1079">
        <v>4</v>
      </c>
      <c r="N21" s="1102">
        <v>0.31</v>
      </c>
      <c r="O21" s="1120"/>
      <c r="P21" s="197"/>
      <c r="Q21" s="1085"/>
    </row>
    <row r="22" spans="1:25" s="1075" customFormat="1">
      <c r="A22" s="744">
        <v>45443</v>
      </c>
      <c r="B22" s="1114">
        <v>23</v>
      </c>
      <c r="C22" s="1114">
        <v>0</v>
      </c>
      <c r="D22" s="1115">
        <v>0</v>
      </c>
      <c r="E22" s="1116">
        <v>0</v>
      </c>
      <c r="F22" s="1117">
        <v>0</v>
      </c>
      <c r="G22" s="1114">
        <v>40</v>
      </c>
      <c r="H22" s="1115">
        <v>2.9</v>
      </c>
      <c r="I22" s="1114">
        <v>10</v>
      </c>
      <c r="J22" s="1115">
        <v>0.67</v>
      </c>
      <c r="K22" s="1116">
        <f t="shared" ref="K22:L25" si="3">C22+E22+G22+I22</f>
        <v>50</v>
      </c>
      <c r="L22" s="1119">
        <f t="shared" si="3"/>
        <v>3.57</v>
      </c>
      <c r="M22" s="1079">
        <v>2</v>
      </c>
      <c r="N22" s="1102">
        <v>0.14000000000000001</v>
      </c>
      <c r="O22" s="197"/>
      <c r="P22" s="197"/>
      <c r="Q22" s="1085"/>
    </row>
    <row r="23" spans="1:25" s="1075" customFormat="1">
      <c r="A23" s="744">
        <v>45473</v>
      </c>
      <c r="B23" s="1114">
        <v>20</v>
      </c>
      <c r="C23" s="1114">
        <v>0</v>
      </c>
      <c r="D23" s="1115">
        <v>0</v>
      </c>
      <c r="E23" s="1116">
        <v>0</v>
      </c>
      <c r="F23" s="1117">
        <v>0</v>
      </c>
      <c r="G23" s="1121">
        <v>42</v>
      </c>
      <c r="H23" s="1122">
        <v>2.9660899999999999</v>
      </c>
      <c r="I23" s="1121">
        <v>4</v>
      </c>
      <c r="J23" s="1122">
        <v>0.28510000000000002</v>
      </c>
      <c r="K23" s="1116">
        <f t="shared" si="3"/>
        <v>46</v>
      </c>
      <c r="L23" s="1119">
        <f t="shared" si="3"/>
        <v>3.2511899999999998</v>
      </c>
      <c r="M23" s="1079">
        <v>0</v>
      </c>
      <c r="N23" s="1123">
        <v>0</v>
      </c>
      <c r="O23" s="197"/>
      <c r="P23" s="197"/>
      <c r="Q23" s="1085"/>
    </row>
    <row r="24" spans="1:25" s="1075" customFormat="1">
      <c r="A24" s="744">
        <v>45504</v>
      </c>
      <c r="B24" s="1114">
        <v>23</v>
      </c>
      <c r="C24" s="1114">
        <v>0</v>
      </c>
      <c r="D24" s="1115">
        <v>0</v>
      </c>
      <c r="E24" s="1116">
        <v>0</v>
      </c>
      <c r="F24" s="1117">
        <v>0</v>
      </c>
      <c r="G24" s="1114">
        <v>28</v>
      </c>
      <c r="H24" s="1114">
        <v>2.09185</v>
      </c>
      <c r="I24" s="1114">
        <v>18</v>
      </c>
      <c r="J24" s="1114">
        <v>1.19486</v>
      </c>
      <c r="K24" s="1114">
        <v>99</v>
      </c>
      <c r="L24" s="1119">
        <f t="shared" si="3"/>
        <v>3.2867100000000002</v>
      </c>
      <c r="M24" s="1114">
        <v>0</v>
      </c>
      <c r="N24" s="1114">
        <v>0</v>
      </c>
      <c r="O24" s="197"/>
      <c r="P24" s="197"/>
      <c r="Q24" s="1085"/>
    </row>
    <row r="25" spans="1:25" s="1075" customFormat="1">
      <c r="A25" s="744">
        <v>45535</v>
      </c>
      <c r="B25" s="1114">
        <v>21</v>
      </c>
      <c r="C25" s="1114">
        <v>14</v>
      </c>
      <c r="D25" s="1114">
        <v>3.7856960000000002</v>
      </c>
      <c r="E25" s="1114">
        <v>39</v>
      </c>
      <c r="F25" s="1114">
        <v>9.8126479999999994</v>
      </c>
      <c r="G25" s="1114">
        <v>0</v>
      </c>
      <c r="H25" s="1114">
        <v>0</v>
      </c>
      <c r="I25" s="1114">
        <v>0</v>
      </c>
      <c r="J25" s="1114">
        <v>0</v>
      </c>
      <c r="K25" s="1114">
        <v>53</v>
      </c>
      <c r="L25" s="1119">
        <f t="shared" si="3"/>
        <v>13.598343999999999</v>
      </c>
      <c r="M25" s="1114">
        <v>0</v>
      </c>
      <c r="N25" s="1114">
        <v>0</v>
      </c>
      <c r="O25" s="1124"/>
      <c r="P25" s="197"/>
      <c r="Q25" s="1085"/>
    </row>
    <row r="26" spans="1:25" s="1075" customFormat="1">
      <c r="A26" s="744">
        <v>45565</v>
      </c>
      <c r="B26" s="1114">
        <v>21</v>
      </c>
      <c r="C26" s="1114">
        <v>304</v>
      </c>
      <c r="D26" s="1114">
        <v>92.721881999999994</v>
      </c>
      <c r="E26" s="1114">
        <v>252</v>
      </c>
      <c r="F26" s="1114">
        <v>77.568409000000003</v>
      </c>
      <c r="G26" s="1121">
        <v>0</v>
      </c>
      <c r="H26" s="1122">
        <v>0</v>
      </c>
      <c r="I26" s="1121">
        <v>0</v>
      </c>
      <c r="J26" s="1122">
        <v>0</v>
      </c>
      <c r="K26" s="1114">
        <v>556</v>
      </c>
      <c r="L26" s="1114">
        <v>170.29</v>
      </c>
      <c r="M26" s="1079">
        <v>19</v>
      </c>
      <c r="N26" s="1079">
        <v>2</v>
      </c>
      <c r="O26" s="197"/>
      <c r="P26" s="197"/>
      <c r="Q26" s="1085"/>
    </row>
    <row r="27" spans="1:25">
      <c r="A27" s="727" t="s">
        <v>1373</v>
      </c>
      <c r="B27" s="1125"/>
      <c r="C27" s="1125"/>
      <c r="D27" s="1125"/>
      <c r="E27" s="1126"/>
      <c r="F27" s="1126"/>
      <c r="G27" s="1126"/>
      <c r="H27" s="1127"/>
      <c r="I27" s="1126"/>
      <c r="J27" s="1127"/>
      <c r="K27" s="1126"/>
      <c r="L27" s="1126"/>
      <c r="M27" s="1106"/>
      <c r="N27" s="1106"/>
      <c r="Q27" s="1085"/>
    </row>
    <row r="28" spans="1:25">
      <c r="A28" s="1105" t="s">
        <v>1014</v>
      </c>
      <c r="B28" s="1125"/>
      <c r="C28" s="1125"/>
      <c r="D28" s="1125"/>
      <c r="E28" s="1126"/>
      <c r="F28" s="1126"/>
      <c r="G28" s="1126"/>
      <c r="H28" s="1127"/>
      <c r="I28" s="1126"/>
      <c r="J28" s="1127"/>
      <c r="K28" s="1126"/>
      <c r="L28" s="1126"/>
      <c r="M28" s="1106"/>
      <c r="N28" s="1106"/>
      <c r="Q28" s="1085"/>
    </row>
    <row r="29" spans="1:25">
      <c r="A29" s="1075" t="s">
        <v>249</v>
      </c>
      <c r="B29" s="1084"/>
      <c r="C29" s="1084"/>
      <c r="D29" s="1084"/>
      <c r="E29" s="1084"/>
      <c r="F29" s="1084"/>
    </row>
    <row r="30" spans="1:25">
      <c r="B30" s="864"/>
      <c r="C30" s="864"/>
      <c r="D30" s="864"/>
      <c r="E30" s="864"/>
      <c r="F30" s="864"/>
      <c r="G30" s="864"/>
      <c r="H30" s="864"/>
      <c r="I30" s="864"/>
      <c r="J30" s="864"/>
      <c r="K30" s="864"/>
      <c r="L30" s="864"/>
    </row>
  </sheetData>
  <mergeCells count="24">
    <mergeCell ref="A15:N15"/>
    <mergeCell ref="A16:A18"/>
    <mergeCell ref="B16:B18"/>
    <mergeCell ref="C16:F16"/>
    <mergeCell ref="G16:J16"/>
    <mergeCell ref="K16:L16"/>
    <mergeCell ref="M16:N16"/>
    <mergeCell ref="C17:D17"/>
    <mergeCell ref="E17:F17"/>
    <mergeCell ref="G17:H17"/>
    <mergeCell ref="I17:J17"/>
    <mergeCell ref="K17:K18"/>
    <mergeCell ref="L17:L18"/>
    <mergeCell ref="M17:M18"/>
    <mergeCell ref="N17:N18"/>
    <mergeCell ref="A2:N2"/>
    <mergeCell ref="A3:A4"/>
    <mergeCell ref="B3:B4"/>
    <mergeCell ref="C3:D3"/>
    <mergeCell ref="E3:F3"/>
    <mergeCell ref="G3:H3"/>
    <mergeCell ref="I3:J3"/>
    <mergeCell ref="K3:L3"/>
    <mergeCell ref="M3:N3"/>
  </mergeCells>
  <printOptions horizontalCentered="1"/>
  <pageMargins left="0.7" right="0.7" top="0.75" bottom="0.75" header="0.3" footer="0.3"/>
  <pageSetup scale="80" orientation="landscape" r:id="rId1"/>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29"/>
  <sheetViews>
    <sheetView workbookViewId="0"/>
  </sheetViews>
  <sheetFormatPr defaultColWidth="9.140625" defaultRowHeight="15"/>
  <cols>
    <col min="1" max="1" width="12.28515625" style="241" customWidth="1"/>
    <col min="2" max="2" width="8.7109375" style="241" customWidth="1"/>
    <col min="3" max="3" width="15.140625" style="241" customWidth="1"/>
    <col min="4" max="4" width="10.42578125" style="241" customWidth="1"/>
    <col min="5" max="5" width="12.7109375" style="241" customWidth="1"/>
    <col min="6" max="6" width="11.28515625" style="241" customWidth="1"/>
    <col min="7" max="7" width="11.7109375" style="241" customWidth="1"/>
    <col min="8" max="8" width="11.7109375" style="241" bestFit="1" customWidth="1"/>
    <col min="9" max="9" width="11.28515625" style="241" customWidth="1"/>
    <col min="10" max="10" width="11.7109375" style="241" bestFit="1" customWidth="1"/>
    <col min="11" max="11" width="10.7109375" style="241" customWidth="1"/>
    <col min="12" max="12" width="11.85546875" style="241" bestFit="1" customWidth="1"/>
    <col min="13" max="13" width="10.140625" style="241" customWidth="1"/>
    <col min="14" max="14" width="10.7109375" style="241" customWidth="1"/>
    <col min="15" max="15" width="10.85546875" style="197" customWidth="1"/>
    <col min="16" max="16" width="10.42578125" style="197" bestFit="1" customWidth="1"/>
    <col min="17" max="17" width="9.42578125" style="241" bestFit="1" customWidth="1"/>
    <col min="18" max="16384" width="9.140625" style="241"/>
  </cols>
  <sheetData>
    <row r="1" spans="1:16">
      <c r="A1" s="1128" t="s">
        <v>65</v>
      </c>
      <c r="B1" s="1128"/>
      <c r="C1" s="1128"/>
      <c r="D1" s="1128"/>
      <c r="E1" s="1128"/>
      <c r="F1" s="1128"/>
      <c r="G1" s="1128"/>
      <c r="H1" s="1128"/>
      <c r="I1" s="1128"/>
      <c r="J1" s="1128"/>
      <c r="K1" s="1128"/>
      <c r="L1" s="1128"/>
      <c r="M1" s="1128"/>
      <c r="N1" s="1128"/>
      <c r="O1" s="241"/>
      <c r="P1" s="241"/>
    </row>
    <row r="2" spans="1:16">
      <c r="A2" s="1710" t="s">
        <v>975</v>
      </c>
      <c r="B2" s="1710"/>
      <c r="C2" s="1710"/>
      <c r="D2" s="1710"/>
      <c r="E2" s="1710"/>
      <c r="F2" s="1710"/>
      <c r="G2" s="1710"/>
      <c r="H2" s="1710"/>
      <c r="I2" s="1710"/>
      <c r="J2" s="1710"/>
      <c r="K2" s="1710"/>
      <c r="L2" s="1710"/>
      <c r="M2" s="1710"/>
      <c r="N2" s="1710"/>
      <c r="O2" s="241"/>
      <c r="P2" s="241"/>
    </row>
    <row r="3" spans="1:16" ht="34.5" customHeight="1">
      <c r="A3" s="1711" t="s">
        <v>115</v>
      </c>
      <c r="B3" s="1712" t="s">
        <v>1403</v>
      </c>
      <c r="C3" s="1714" t="s">
        <v>1010</v>
      </c>
      <c r="D3" s="1715"/>
      <c r="E3" s="1714" t="s">
        <v>1011</v>
      </c>
      <c r="F3" s="1715"/>
      <c r="G3" s="1714" t="s">
        <v>622</v>
      </c>
      <c r="H3" s="1715"/>
      <c r="I3" s="1714" t="s">
        <v>1015</v>
      </c>
      <c r="J3" s="1715"/>
      <c r="K3" s="1714" t="s">
        <v>96</v>
      </c>
      <c r="L3" s="1715"/>
      <c r="M3" s="1711" t="s">
        <v>1407</v>
      </c>
      <c r="N3" s="1711"/>
    </row>
    <row r="4" spans="1:16" ht="30">
      <c r="A4" s="1711"/>
      <c r="B4" s="1713"/>
      <c r="C4" s="1129" t="s">
        <v>502</v>
      </c>
      <c r="D4" s="1129" t="s">
        <v>1422</v>
      </c>
      <c r="E4" s="1129" t="s">
        <v>502</v>
      </c>
      <c r="F4" s="1129" t="s">
        <v>1422</v>
      </c>
      <c r="G4" s="1129" t="s">
        <v>502</v>
      </c>
      <c r="H4" s="1129" t="s">
        <v>1422</v>
      </c>
      <c r="I4" s="1129" t="s">
        <v>502</v>
      </c>
      <c r="J4" s="1129" t="s">
        <v>1422</v>
      </c>
      <c r="K4" s="1129" t="s">
        <v>502</v>
      </c>
      <c r="L4" s="1129" t="s">
        <v>1422</v>
      </c>
      <c r="M4" s="1129" t="s">
        <v>502</v>
      </c>
      <c r="N4" s="1129" t="s">
        <v>1016</v>
      </c>
    </row>
    <row r="5" spans="1:16" s="1130" customFormat="1" ht="15" customHeight="1">
      <c r="A5" s="1043" t="s">
        <v>505</v>
      </c>
      <c r="B5" s="1071">
        <v>254</v>
      </c>
      <c r="C5" s="1071">
        <v>0</v>
      </c>
      <c r="D5" s="1072">
        <v>0</v>
      </c>
      <c r="E5" s="1071">
        <v>101</v>
      </c>
      <c r="F5" s="1072">
        <v>10.066040000000001</v>
      </c>
      <c r="G5" s="1071">
        <v>111127</v>
      </c>
      <c r="H5" s="1072">
        <v>5419.6783786000015</v>
      </c>
      <c r="I5" s="1071">
        <v>0</v>
      </c>
      <c r="J5" s="1072">
        <v>0</v>
      </c>
      <c r="K5" s="1071">
        <v>111228</v>
      </c>
      <c r="L5" s="1072">
        <v>5429.2207350000008</v>
      </c>
      <c r="M5" s="1071">
        <v>58</v>
      </c>
      <c r="N5" s="1072">
        <v>2.4700000000000002</v>
      </c>
      <c r="O5" s="197"/>
      <c r="P5" s="197"/>
    </row>
    <row r="6" spans="1:16" s="1131" customFormat="1">
      <c r="A6" s="1045" t="s">
        <v>703</v>
      </c>
      <c r="B6" s="351">
        <f t="shared" ref="B6:L6" si="0">SUM(B7:B12)</f>
        <v>130</v>
      </c>
      <c r="C6" s="351">
        <f t="shared" si="0"/>
        <v>0</v>
      </c>
      <c r="D6" s="1076">
        <f t="shared" si="0"/>
        <v>0</v>
      </c>
      <c r="E6" s="351">
        <f t="shared" si="0"/>
        <v>75</v>
      </c>
      <c r="F6" s="1076">
        <f t="shared" si="0"/>
        <v>19.581485000000001</v>
      </c>
      <c r="G6" s="351">
        <f t="shared" si="0"/>
        <v>1524</v>
      </c>
      <c r="H6" s="1076">
        <f t="shared" si="0"/>
        <v>72.967252500000001</v>
      </c>
      <c r="I6" s="351">
        <f t="shared" si="0"/>
        <v>0</v>
      </c>
      <c r="J6" s="1076">
        <f t="shared" si="0"/>
        <v>0</v>
      </c>
      <c r="K6" s="351">
        <f t="shared" si="0"/>
        <v>1599</v>
      </c>
      <c r="L6" s="1076">
        <f t="shared" si="0"/>
        <v>92.548737500000001</v>
      </c>
      <c r="M6" s="351">
        <f>INDEX(M7:M12,COUNT(M7:M12))</f>
        <v>41</v>
      </c>
      <c r="N6" s="1076">
        <f>INDEX(N7:N12,COUNT(N7:N12))</f>
        <v>2.1578409999999999</v>
      </c>
      <c r="O6" s="197"/>
      <c r="P6" s="197"/>
    </row>
    <row r="7" spans="1:16" s="1131" customFormat="1">
      <c r="A7" s="744">
        <v>45412</v>
      </c>
      <c r="B7" s="1079">
        <v>22</v>
      </c>
      <c r="C7" s="1079">
        <v>0</v>
      </c>
      <c r="D7" s="1080">
        <v>0</v>
      </c>
      <c r="E7" s="1079">
        <v>11</v>
      </c>
      <c r="F7" s="1080">
        <v>2.6928329999999998</v>
      </c>
      <c r="G7" s="1079">
        <v>150</v>
      </c>
      <c r="H7" s="1080">
        <v>8.9870374999999996</v>
      </c>
      <c r="I7" s="1079">
        <v>0</v>
      </c>
      <c r="J7" s="1080">
        <v>0</v>
      </c>
      <c r="K7" s="1079">
        <v>161</v>
      </c>
      <c r="L7" s="1080">
        <v>11.6798705</v>
      </c>
      <c r="M7" s="1079">
        <v>13</v>
      </c>
      <c r="N7" s="1080">
        <v>1.06</v>
      </c>
      <c r="O7" s="197"/>
      <c r="P7" s="197"/>
    </row>
    <row r="8" spans="1:16" s="1131" customFormat="1">
      <c r="A8" s="744">
        <v>45443</v>
      </c>
      <c r="B8" s="1079">
        <v>23</v>
      </c>
      <c r="C8" s="1079">
        <v>0</v>
      </c>
      <c r="D8" s="1080">
        <v>0</v>
      </c>
      <c r="E8" s="1079">
        <v>14</v>
      </c>
      <c r="F8" s="1080">
        <v>3.802629</v>
      </c>
      <c r="G8" s="1079">
        <v>134</v>
      </c>
      <c r="H8" s="1080">
        <v>8.8337300000000027</v>
      </c>
      <c r="I8" s="1079">
        <v>0</v>
      </c>
      <c r="J8" s="1080">
        <v>0</v>
      </c>
      <c r="K8" s="1079">
        <v>148</v>
      </c>
      <c r="L8" s="1080">
        <v>12.636359000000002</v>
      </c>
      <c r="M8" s="1079">
        <v>25</v>
      </c>
      <c r="N8" s="1080">
        <v>1.8155399999999999</v>
      </c>
      <c r="O8" s="197"/>
      <c r="P8" s="197"/>
    </row>
    <row r="9" spans="1:16" s="1131" customFormat="1">
      <c r="A9" s="744">
        <v>45473</v>
      </c>
      <c r="B9" s="1079">
        <v>20</v>
      </c>
      <c r="C9" s="1079">
        <v>0</v>
      </c>
      <c r="D9" s="1080">
        <v>0</v>
      </c>
      <c r="E9" s="1079">
        <v>10</v>
      </c>
      <c r="F9" s="1080">
        <v>2.7018900000000001</v>
      </c>
      <c r="G9" s="1079">
        <v>127</v>
      </c>
      <c r="H9" s="1080">
        <v>8.2868699999999986</v>
      </c>
      <c r="I9" s="1079">
        <v>0</v>
      </c>
      <c r="J9" s="1080">
        <v>0</v>
      </c>
      <c r="K9" s="1079">
        <v>137</v>
      </c>
      <c r="L9" s="1080">
        <v>10.988759999999999</v>
      </c>
      <c r="M9" s="1079">
        <v>16</v>
      </c>
      <c r="N9" s="1080">
        <v>1.2877529999999999</v>
      </c>
      <c r="O9" s="197"/>
      <c r="P9" s="197"/>
    </row>
    <row r="10" spans="1:16" s="1131" customFormat="1">
      <c r="A10" s="744">
        <v>45504</v>
      </c>
      <c r="B10" s="1132">
        <v>23</v>
      </c>
      <c r="C10" s="1133">
        <v>0</v>
      </c>
      <c r="D10" s="1080">
        <v>0</v>
      </c>
      <c r="E10" s="1079">
        <v>14</v>
      </c>
      <c r="F10" s="1080">
        <v>3.74</v>
      </c>
      <c r="G10" s="1079">
        <v>130</v>
      </c>
      <c r="H10" s="1080">
        <v>7.39</v>
      </c>
      <c r="I10" s="1079">
        <v>0</v>
      </c>
      <c r="J10" s="1080">
        <v>0</v>
      </c>
      <c r="K10" s="1079">
        <v>144</v>
      </c>
      <c r="L10" s="1080">
        <v>11.129999999999999</v>
      </c>
      <c r="M10" s="1079">
        <v>54</v>
      </c>
      <c r="N10" s="1080">
        <v>2.39</v>
      </c>
      <c r="O10" s="197"/>
      <c r="P10" s="197"/>
    </row>
    <row r="11" spans="1:16" s="1131" customFormat="1">
      <c r="A11" s="744">
        <v>45535</v>
      </c>
      <c r="B11" s="1132">
        <v>21</v>
      </c>
      <c r="C11" s="1133">
        <v>0</v>
      </c>
      <c r="D11" s="1080">
        <v>0</v>
      </c>
      <c r="E11" s="1079">
        <v>12</v>
      </c>
      <c r="F11" s="1080">
        <v>3.0004200000000005</v>
      </c>
      <c r="G11" s="1079">
        <v>274</v>
      </c>
      <c r="H11" s="1080">
        <v>14.536702500000002</v>
      </c>
      <c r="I11" s="1079">
        <v>0</v>
      </c>
      <c r="J11" s="1080">
        <v>0</v>
      </c>
      <c r="K11" s="1079">
        <v>286</v>
      </c>
      <c r="L11" s="1080">
        <v>17.537122500000002</v>
      </c>
      <c r="M11" s="1079">
        <v>59</v>
      </c>
      <c r="N11" s="1080">
        <v>2.4562050000000002</v>
      </c>
      <c r="O11" s="197"/>
      <c r="P11" s="197"/>
    </row>
    <row r="12" spans="1:16" s="1131" customFormat="1">
      <c r="A12" s="744">
        <v>45565</v>
      </c>
      <c r="B12" s="1079">
        <v>21</v>
      </c>
      <c r="C12" s="1079">
        <v>0</v>
      </c>
      <c r="D12" s="1080">
        <v>0</v>
      </c>
      <c r="E12" s="1079">
        <v>14</v>
      </c>
      <c r="F12" s="1080">
        <v>3.643713</v>
      </c>
      <c r="G12" s="1079">
        <v>709</v>
      </c>
      <c r="H12" s="1080">
        <v>24.932912499999997</v>
      </c>
      <c r="I12" s="1079"/>
      <c r="J12" s="1080"/>
      <c r="K12" s="1079">
        <v>723</v>
      </c>
      <c r="L12" s="1080">
        <v>28.576625499999999</v>
      </c>
      <c r="M12" s="1079">
        <v>41</v>
      </c>
      <c r="N12" s="1080">
        <v>2.1578409999999999</v>
      </c>
      <c r="O12" s="197"/>
      <c r="P12" s="197"/>
    </row>
    <row r="13" spans="1:16">
      <c r="B13" s="864"/>
      <c r="C13" s="864"/>
      <c r="D13" s="864"/>
      <c r="E13" s="864"/>
      <c r="F13" s="864"/>
      <c r="G13" s="864"/>
      <c r="H13" s="864"/>
      <c r="I13" s="864"/>
      <c r="J13" s="864"/>
      <c r="K13" s="864"/>
      <c r="L13" s="864"/>
    </row>
    <row r="14" spans="1:16">
      <c r="A14" s="1716" t="s">
        <v>1003</v>
      </c>
      <c r="B14" s="1717"/>
      <c r="C14" s="1717"/>
      <c r="D14" s="1717"/>
      <c r="E14" s="1717"/>
      <c r="F14" s="1717"/>
      <c r="G14" s="1717"/>
      <c r="H14" s="1717"/>
      <c r="I14" s="1717"/>
      <c r="J14" s="1717"/>
      <c r="K14" s="1717"/>
      <c r="L14" s="1717"/>
      <c r="M14" s="1717"/>
      <c r="N14" s="1718"/>
    </row>
    <row r="15" spans="1:16" ht="28.5" customHeight="1">
      <c r="A15" s="1719" t="s">
        <v>115</v>
      </c>
      <c r="B15" s="1719" t="s">
        <v>1403</v>
      </c>
      <c r="C15" s="1720" t="s">
        <v>1004</v>
      </c>
      <c r="D15" s="1721"/>
      <c r="E15" s="1721"/>
      <c r="F15" s="1722"/>
      <c r="G15" s="1327" t="s">
        <v>622</v>
      </c>
      <c r="H15" s="1327"/>
      <c r="I15" s="1327"/>
      <c r="J15" s="1327"/>
      <c r="K15" s="1720" t="s">
        <v>96</v>
      </c>
      <c r="L15" s="1722"/>
      <c r="M15" s="1720" t="s">
        <v>1407</v>
      </c>
      <c r="N15" s="1722"/>
    </row>
    <row r="16" spans="1:16" ht="21" customHeight="1">
      <c r="A16" s="1670"/>
      <c r="B16" s="1670"/>
      <c r="C16" s="1723" t="s">
        <v>1005</v>
      </c>
      <c r="D16" s="1724"/>
      <c r="E16" s="1723" t="s">
        <v>1006</v>
      </c>
      <c r="F16" s="1724"/>
      <c r="G16" s="1709" t="s">
        <v>1005</v>
      </c>
      <c r="H16" s="1709"/>
      <c r="I16" s="1709" t="s">
        <v>1006</v>
      </c>
      <c r="J16" s="1709"/>
      <c r="K16" s="1725" t="s">
        <v>502</v>
      </c>
      <c r="L16" s="1725" t="s">
        <v>1423</v>
      </c>
      <c r="M16" s="1719" t="s">
        <v>502</v>
      </c>
      <c r="N16" s="1719" t="s">
        <v>1412</v>
      </c>
    </row>
    <row r="17" spans="1:17" ht="45" customHeight="1">
      <c r="A17" s="1671"/>
      <c r="B17" s="1671"/>
      <c r="C17" s="1129" t="s">
        <v>502</v>
      </c>
      <c r="D17" s="1129" t="s">
        <v>1422</v>
      </c>
      <c r="E17" s="1129" t="s">
        <v>502</v>
      </c>
      <c r="F17" s="1129" t="s">
        <v>1422</v>
      </c>
      <c r="G17" s="1129" t="s">
        <v>1017</v>
      </c>
      <c r="H17" s="1129" t="s">
        <v>1013</v>
      </c>
      <c r="I17" s="1129" t="s">
        <v>1017</v>
      </c>
      <c r="J17" s="1129" t="s">
        <v>1013</v>
      </c>
      <c r="K17" s="1713"/>
      <c r="L17" s="1713"/>
      <c r="M17" s="1671"/>
      <c r="N17" s="1671"/>
    </row>
    <row r="18" spans="1:17">
      <c r="A18" s="1043" t="s">
        <v>505</v>
      </c>
      <c r="B18" s="1134">
        <v>254</v>
      </c>
      <c r="C18" s="1134">
        <v>32528</v>
      </c>
      <c r="D18" s="1135">
        <v>3319.1884190000005</v>
      </c>
      <c r="E18" s="1134">
        <v>29940</v>
      </c>
      <c r="F18" s="1135">
        <v>2809.4286369999995</v>
      </c>
      <c r="G18" s="1134">
        <v>1367980</v>
      </c>
      <c r="H18" s="1135">
        <v>97565.700477249979</v>
      </c>
      <c r="I18" s="1134">
        <v>1668686</v>
      </c>
      <c r="J18" s="1135">
        <v>92575.582914250001</v>
      </c>
      <c r="K18" s="1134">
        <v>3099134</v>
      </c>
      <c r="L18" s="1135">
        <v>196270.16888349998</v>
      </c>
      <c r="M18" s="1134">
        <v>439</v>
      </c>
      <c r="N18" s="1135">
        <v>33.009750000000004</v>
      </c>
    </row>
    <row r="19" spans="1:17">
      <c r="A19" s="1045" t="s">
        <v>703</v>
      </c>
      <c r="B19" s="351">
        <f t="shared" ref="B19:L19" si="1">SUM(B20:B25)</f>
        <v>130</v>
      </c>
      <c r="C19" s="351">
        <f t="shared" si="1"/>
        <v>19311</v>
      </c>
      <c r="D19" s="1076">
        <f t="shared" si="1"/>
        <v>5245.3344619999998</v>
      </c>
      <c r="E19" s="351">
        <f t="shared" si="1"/>
        <v>15505</v>
      </c>
      <c r="F19" s="1076">
        <f t="shared" si="1"/>
        <v>3951.3893600000006</v>
      </c>
      <c r="G19" s="351">
        <f t="shared" si="1"/>
        <v>4141630</v>
      </c>
      <c r="H19" s="1076">
        <f t="shared" si="1"/>
        <v>307034.09859400004</v>
      </c>
      <c r="I19" s="351">
        <f t="shared" si="1"/>
        <v>3214969</v>
      </c>
      <c r="J19" s="1076">
        <f t="shared" si="1"/>
        <v>188678.98069725002</v>
      </c>
      <c r="K19" s="351">
        <f t="shared" si="1"/>
        <v>7391415</v>
      </c>
      <c r="L19" s="1076">
        <f t="shared" si="1"/>
        <v>504909.80311325006</v>
      </c>
      <c r="M19" s="351">
        <f>INDEX(M20:M25,COUNT(M20:M25))</f>
        <v>2014</v>
      </c>
      <c r="N19" s="1076">
        <f>INDEX(N20:N25,COUNT(N20:N25))</f>
        <v>118.45172049999999</v>
      </c>
    </row>
    <row r="20" spans="1:17">
      <c r="A20" s="1101">
        <v>45412</v>
      </c>
      <c r="B20" s="1114">
        <v>22</v>
      </c>
      <c r="C20" s="1114">
        <v>4206</v>
      </c>
      <c r="D20" s="1136">
        <v>1093.7545334999998</v>
      </c>
      <c r="E20" s="1114">
        <v>2232</v>
      </c>
      <c r="F20" s="1136">
        <v>533.39063399999986</v>
      </c>
      <c r="G20" s="1114">
        <v>469918</v>
      </c>
      <c r="H20" s="1136">
        <v>38033.995651250014</v>
      </c>
      <c r="I20" s="1114">
        <v>1253338</v>
      </c>
      <c r="J20" s="1136">
        <v>75683.183141000016</v>
      </c>
      <c r="K20" s="1114">
        <v>1729694</v>
      </c>
      <c r="L20" s="1136">
        <v>115344.32395975004</v>
      </c>
      <c r="M20" s="1114">
        <v>407</v>
      </c>
      <c r="N20" s="1136">
        <v>28.34</v>
      </c>
    </row>
    <row r="21" spans="1:17">
      <c r="A21" s="1101">
        <v>45443</v>
      </c>
      <c r="B21" s="1114">
        <v>23</v>
      </c>
      <c r="C21" s="1114">
        <v>2462</v>
      </c>
      <c r="D21" s="1136">
        <v>701.78770499999973</v>
      </c>
      <c r="E21" s="1114">
        <v>933</v>
      </c>
      <c r="F21" s="1136">
        <v>243.88474349999993</v>
      </c>
      <c r="G21" s="1114">
        <v>1267891</v>
      </c>
      <c r="H21" s="1136">
        <v>95694.799223999958</v>
      </c>
      <c r="I21" s="1114">
        <v>296748</v>
      </c>
      <c r="J21" s="1136">
        <v>17266.392479000016</v>
      </c>
      <c r="K21" s="1114">
        <v>1568034</v>
      </c>
      <c r="L21" s="1136">
        <v>113906.86415149998</v>
      </c>
      <c r="M21" s="1114">
        <v>799</v>
      </c>
      <c r="N21" s="1136">
        <v>51.811</v>
      </c>
    </row>
    <row r="22" spans="1:17">
      <c r="A22" s="1101">
        <v>45473</v>
      </c>
      <c r="B22" s="1137">
        <v>20</v>
      </c>
      <c r="C22" s="1138">
        <v>449</v>
      </c>
      <c r="D22" s="1136">
        <v>124.547025</v>
      </c>
      <c r="E22" s="1138">
        <v>995</v>
      </c>
      <c r="F22" s="1136">
        <v>261.63831749999997</v>
      </c>
      <c r="G22" s="1138">
        <v>444730</v>
      </c>
      <c r="H22" s="1136">
        <v>31976.810883750004</v>
      </c>
      <c r="I22" s="1138">
        <v>430453</v>
      </c>
      <c r="J22" s="1136">
        <v>25100.489501999993</v>
      </c>
      <c r="K22" s="1138">
        <v>876627</v>
      </c>
      <c r="L22" s="1136">
        <v>57463.485728250002</v>
      </c>
      <c r="M22" s="1138">
        <v>790</v>
      </c>
      <c r="N22" s="1136">
        <v>53.170999999999992</v>
      </c>
    </row>
    <row r="23" spans="1:17">
      <c r="A23" s="1101">
        <v>45504</v>
      </c>
      <c r="B23" s="1139">
        <v>23</v>
      </c>
      <c r="C23" s="1140">
        <v>1006</v>
      </c>
      <c r="D23" s="1141">
        <v>284</v>
      </c>
      <c r="E23" s="1140">
        <v>1887</v>
      </c>
      <c r="F23" s="1141">
        <v>509</v>
      </c>
      <c r="G23" s="1138">
        <v>632321</v>
      </c>
      <c r="H23" s="1136">
        <v>47656</v>
      </c>
      <c r="I23" s="1138">
        <v>521799</v>
      </c>
      <c r="J23" s="1136">
        <v>31323</v>
      </c>
      <c r="K23" s="1138">
        <v>1157013</v>
      </c>
      <c r="L23" s="1136">
        <v>79772</v>
      </c>
      <c r="M23" s="1138">
        <v>937</v>
      </c>
      <c r="N23" s="1136">
        <v>63.04</v>
      </c>
    </row>
    <row r="24" spans="1:17">
      <c r="A24" s="1101">
        <v>45535</v>
      </c>
      <c r="B24" s="1139">
        <v>21</v>
      </c>
      <c r="C24" s="1140">
        <v>5357</v>
      </c>
      <c r="D24" s="1141">
        <v>1400.7770384999999</v>
      </c>
      <c r="E24" s="1140">
        <v>4812</v>
      </c>
      <c r="F24" s="1141">
        <v>1202.3317635000005</v>
      </c>
      <c r="G24" s="1138">
        <v>641538</v>
      </c>
      <c r="H24" s="1136">
        <v>46803.573126000032</v>
      </c>
      <c r="I24" s="1138">
        <v>349131</v>
      </c>
      <c r="J24" s="1136">
        <v>20324.353872999989</v>
      </c>
      <c r="K24" s="1138">
        <v>1000838</v>
      </c>
      <c r="L24" s="1136">
        <v>69731.03580100002</v>
      </c>
      <c r="M24" s="1138">
        <v>1643</v>
      </c>
      <c r="N24" s="1136">
        <v>101.61699999999999</v>
      </c>
    </row>
    <row r="25" spans="1:17">
      <c r="A25" s="1101">
        <v>45565</v>
      </c>
      <c r="B25" s="1114">
        <v>21</v>
      </c>
      <c r="C25" s="1114">
        <v>5831</v>
      </c>
      <c r="D25" s="1136">
        <v>1640.4681600000004</v>
      </c>
      <c r="E25" s="1114">
        <v>4646</v>
      </c>
      <c r="F25" s="1136">
        <v>1201.1439015000001</v>
      </c>
      <c r="G25" s="1114">
        <v>685232</v>
      </c>
      <c r="H25" s="1136">
        <v>46868.919709000016</v>
      </c>
      <c r="I25" s="1114">
        <v>363500</v>
      </c>
      <c r="J25" s="1136">
        <v>18981.561702250008</v>
      </c>
      <c r="K25" s="1114">
        <v>1059209</v>
      </c>
      <c r="L25" s="1136">
        <v>68692.093472750028</v>
      </c>
      <c r="M25" s="1114">
        <v>2014</v>
      </c>
      <c r="N25" s="1136">
        <v>118.45172049999999</v>
      </c>
    </row>
    <row r="26" spans="1:17" s="197" customFormat="1">
      <c r="A26" s="727" t="s">
        <v>1373</v>
      </c>
      <c r="B26" s="241"/>
      <c r="C26" s="241"/>
      <c r="D26" s="241"/>
      <c r="E26" s="241"/>
      <c r="F26" s="241"/>
      <c r="G26" s="241"/>
      <c r="H26" s="241"/>
      <c r="I26" s="241"/>
      <c r="J26" s="241"/>
      <c r="K26" s="241"/>
      <c r="L26" s="241"/>
      <c r="M26" s="241"/>
      <c r="N26" s="241"/>
      <c r="Q26" s="241"/>
    </row>
    <row r="27" spans="1:17">
      <c r="A27" s="1075" t="s">
        <v>255</v>
      </c>
    </row>
    <row r="28" spans="1:17">
      <c r="L28" s="1142"/>
    </row>
    <row r="29" spans="1:17">
      <c r="B29" s="864"/>
      <c r="C29" s="864"/>
      <c r="D29" s="864"/>
      <c r="E29" s="864"/>
      <c r="F29" s="864"/>
      <c r="G29" s="864"/>
      <c r="H29" s="864"/>
      <c r="I29" s="864"/>
      <c r="J29" s="864"/>
      <c r="K29" s="864"/>
      <c r="L29" s="864"/>
    </row>
  </sheetData>
  <mergeCells count="24">
    <mergeCell ref="A14:N14"/>
    <mergeCell ref="A15:A17"/>
    <mergeCell ref="B15:B17"/>
    <mergeCell ref="C15:F15"/>
    <mergeCell ref="G15:J15"/>
    <mergeCell ref="K15:L15"/>
    <mergeCell ref="M15:N15"/>
    <mergeCell ref="C16:D16"/>
    <mergeCell ref="E16:F16"/>
    <mergeCell ref="G16:H16"/>
    <mergeCell ref="I16:J16"/>
    <mergeCell ref="K16:K17"/>
    <mergeCell ref="L16:L17"/>
    <mergeCell ref="M16:M17"/>
    <mergeCell ref="N16:N17"/>
    <mergeCell ref="A2:N2"/>
    <mergeCell ref="A3:A4"/>
    <mergeCell ref="B3:B4"/>
    <mergeCell ref="C3:D3"/>
    <mergeCell ref="E3:F3"/>
    <mergeCell ref="G3:H3"/>
    <mergeCell ref="I3:J3"/>
    <mergeCell ref="K3:L3"/>
    <mergeCell ref="M3:N3"/>
  </mergeCells>
  <printOptions horizontalCentered="1"/>
  <pageMargins left="0.7" right="0.7" top="0.75" bottom="0.75" header="0.3" footer="0.3"/>
  <pageSetup scale="73" orientation="landscape" r:id="rId1"/>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X52"/>
  <sheetViews>
    <sheetView workbookViewId="0"/>
  </sheetViews>
  <sheetFormatPr defaultColWidth="9.140625" defaultRowHeight="15"/>
  <cols>
    <col min="1" max="1" width="13.140625" style="197" customWidth="1"/>
    <col min="2" max="2" width="13.85546875" style="197" customWidth="1"/>
    <col min="3" max="3" width="14" style="197" customWidth="1"/>
    <col min="4" max="4" width="12.140625" style="197" customWidth="1"/>
    <col min="5" max="5" width="23.85546875" style="197" customWidth="1"/>
    <col min="6" max="6" width="13.140625" style="197" customWidth="1"/>
    <col min="7" max="7" width="8.7109375" style="197" customWidth="1"/>
    <col min="8" max="11" width="9.28515625" style="197" bestFit="1" customWidth="1"/>
    <col min="12" max="12" width="9.7109375" style="197" bestFit="1" customWidth="1"/>
    <col min="13" max="13" width="9.28515625" style="197" bestFit="1" customWidth="1"/>
    <col min="14" max="14" width="9.5703125" style="197" bestFit="1" customWidth="1"/>
    <col min="15" max="16384" width="9.140625" style="197"/>
  </cols>
  <sheetData>
    <row r="1" spans="1:10" ht="15.75">
      <c r="A1" s="1143" t="s">
        <v>1424</v>
      </c>
      <c r="B1" s="1144"/>
      <c r="C1" s="1144"/>
      <c r="D1" s="1144"/>
      <c r="E1" s="1144"/>
      <c r="F1" s="1144"/>
      <c r="G1" s="1144"/>
      <c r="H1" s="1144"/>
      <c r="I1" s="1144"/>
      <c r="J1" s="1145"/>
    </row>
    <row r="2" spans="1:10" ht="35.25" customHeight="1">
      <c r="A2" s="1146" t="s">
        <v>1018</v>
      </c>
      <c r="B2" s="1147" t="s">
        <v>1425</v>
      </c>
      <c r="C2" s="1147" t="s">
        <v>1426</v>
      </c>
      <c r="D2" s="1147" t="s">
        <v>1427</v>
      </c>
      <c r="E2" s="1147" t="s">
        <v>1428</v>
      </c>
      <c r="F2" s="1147" t="s">
        <v>1429</v>
      </c>
      <c r="G2" s="1147" t="s">
        <v>290</v>
      </c>
      <c r="H2" s="1148"/>
      <c r="I2" s="241"/>
    </row>
    <row r="3" spans="1:10">
      <c r="A3" s="1727" t="s">
        <v>76</v>
      </c>
      <c r="B3" s="1727"/>
      <c r="C3" s="1727"/>
      <c r="D3" s="1727"/>
      <c r="E3" s="1727"/>
      <c r="F3" s="1727"/>
      <c r="G3" s="1727"/>
      <c r="H3" s="1148"/>
      <c r="I3" s="241"/>
    </row>
    <row r="4" spans="1:10">
      <c r="A4" s="1149" t="s">
        <v>505</v>
      </c>
      <c r="B4" s="1150">
        <v>1.5620775180048118E-5</v>
      </c>
      <c r="C4" s="1150">
        <v>1.8583842689575554</v>
      </c>
      <c r="D4" s="1150">
        <v>52.098543558254619</v>
      </c>
      <c r="E4" s="1150">
        <v>0.12731865583125868</v>
      </c>
      <c r="F4" s="1150">
        <v>0.83925304899422848</v>
      </c>
      <c r="G4" s="1150">
        <v>45.077417482594498</v>
      </c>
      <c r="H4" s="1148"/>
      <c r="I4" s="241"/>
    </row>
    <row r="5" spans="1:10">
      <c r="A5" s="1149" t="s">
        <v>703</v>
      </c>
      <c r="B5" s="1151">
        <v>2.4333964191354991E-6</v>
      </c>
      <c r="C5" s="1151">
        <v>1.4490334798293276</v>
      </c>
      <c r="D5" s="1151">
        <v>54.599836088629402</v>
      </c>
      <c r="E5" s="1151">
        <v>4.9393412342396803E-2</v>
      </c>
      <c r="F5" s="1151">
        <v>1.8482886835507886</v>
      </c>
      <c r="G5" s="1151">
        <v>42.053445902251674</v>
      </c>
      <c r="H5" s="1148"/>
      <c r="I5" s="241"/>
    </row>
    <row r="6" spans="1:10">
      <c r="A6" s="744">
        <v>45412</v>
      </c>
      <c r="B6" s="1152">
        <v>2.04639223657122E-5</v>
      </c>
      <c r="C6" s="1152">
        <v>1.4985911929694009</v>
      </c>
      <c r="D6" s="1152">
        <v>53.987148120657181</v>
      </c>
      <c r="E6" s="1152">
        <v>6.1374041305228277E-2</v>
      </c>
      <c r="F6" s="1152">
        <v>1.0688517055320308</v>
      </c>
      <c r="G6" s="1152">
        <v>43.384012458043955</v>
      </c>
      <c r="H6" s="1148"/>
      <c r="I6" s="241"/>
    </row>
    <row r="7" spans="1:10">
      <c r="A7" s="744">
        <v>45443</v>
      </c>
      <c r="B7" s="1152">
        <v>2.0736362352250552E-6</v>
      </c>
      <c r="C7" s="1152">
        <v>1.1974089241918995</v>
      </c>
      <c r="D7" s="1152">
        <v>54.182427008513812</v>
      </c>
      <c r="E7" s="1152">
        <v>8.8129783954268973E-2</v>
      </c>
      <c r="F7" s="1152">
        <v>1.0387463553540826</v>
      </c>
      <c r="G7" s="1152">
        <v>43.493286586221387</v>
      </c>
      <c r="H7" s="1148"/>
      <c r="I7" s="241"/>
    </row>
    <row r="8" spans="1:10">
      <c r="A8" s="744">
        <v>45473</v>
      </c>
      <c r="B8" s="1152">
        <v>1.7483593801933231E-5</v>
      </c>
      <c r="C8" s="1152">
        <v>1.2142828498837597</v>
      </c>
      <c r="D8" s="1152">
        <v>53.77768837651363</v>
      </c>
      <c r="E8" s="1152">
        <v>5.789268656722802E-2</v>
      </c>
      <c r="F8" s="1152">
        <v>1.1848478538124383</v>
      </c>
      <c r="G8" s="1152">
        <v>43.765270613038616</v>
      </c>
      <c r="H8" s="1148"/>
      <c r="I8" s="241"/>
    </row>
    <row r="9" spans="1:10">
      <c r="A9" s="744">
        <v>45504</v>
      </c>
      <c r="B9" s="1152">
        <v>2.0387597233965888E-5</v>
      </c>
      <c r="C9" s="1152">
        <v>1.3796145560528066</v>
      </c>
      <c r="D9" s="1152">
        <v>53.012699864350566</v>
      </c>
      <c r="E9" s="1152">
        <v>9.8134418097890475E-2</v>
      </c>
      <c r="F9" s="1152">
        <v>1.5492222082635885</v>
      </c>
      <c r="G9" s="1152">
        <v>43.960307005931064</v>
      </c>
      <c r="H9" s="1148"/>
      <c r="I9" s="241"/>
    </row>
    <row r="10" spans="1:10">
      <c r="A10" s="744">
        <v>45535</v>
      </c>
      <c r="B10" s="1152">
        <v>2.4333964191354991E-6</v>
      </c>
      <c r="C10" s="1152">
        <v>1.4490334798293276</v>
      </c>
      <c r="D10" s="1152">
        <v>54.599836088629402</v>
      </c>
      <c r="E10" s="1152">
        <v>4.9393412342396803E-2</v>
      </c>
      <c r="F10" s="1152">
        <v>1.8482886835507886</v>
      </c>
      <c r="G10" s="1152">
        <v>42.053445902251674</v>
      </c>
      <c r="H10" s="1148"/>
      <c r="I10" s="241"/>
    </row>
    <row r="11" spans="1:10">
      <c r="A11" s="744">
        <v>45565</v>
      </c>
      <c r="B11" s="1152">
        <v>5.6521107412857584E-7</v>
      </c>
      <c r="C11" s="1152">
        <v>1.2961738754154928</v>
      </c>
      <c r="D11" s="1152">
        <v>56.672913498780261</v>
      </c>
      <c r="E11" s="1152">
        <v>5.4782518148838083E-2</v>
      </c>
      <c r="F11" s="1152">
        <v>1.7434269998048109</v>
      </c>
      <c r="G11" s="1152">
        <v>40.232700564400758</v>
      </c>
      <c r="H11" s="1148"/>
      <c r="I11" s="241"/>
    </row>
    <row r="12" spans="1:10">
      <c r="A12" s="1153"/>
      <c r="B12" s="1154"/>
      <c r="C12" s="1154"/>
      <c r="D12" s="1154"/>
      <c r="E12" s="1154"/>
      <c r="F12" s="1154"/>
      <c r="G12" s="1154"/>
      <c r="H12" s="1148"/>
      <c r="I12" s="241"/>
    </row>
    <row r="13" spans="1:10" s="1155" customFormat="1">
      <c r="A13" s="1727" t="s">
        <v>77</v>
      </c>
      <c r="B13" s="1727"/>
      <c r="C13" s="1727"/>
      <c r="D13" s="1727"/>
      <c r="E13" s="1727"/>
      <c r="F13" s="1727"/>
      <c r="G13" s="1727"/>
      <c r="H13" s="1148"/>
      <c r="I13" s="1075"/>
    </row>
    <row r="14" spans="1:10" s="1155" customFormat="1">
      <c r="A14" s="1156" t="s">
        <v>505</v>
      </c>
      <c r="B14" s="1157">
        <v>0.40935803287414579</v>
      </c>
      <c r="C14" s="1157">
        <v>5.3006490727428925</v>
      </c>
      <c r="D14" s="1157">
        <v>36.346196744198778</v>
      </c>
      <c r="E14" s="1157">
        <v>7.3856189843789735E-2</v>
      </c>
      <c r="F14" s="1157">
        <v>7.8131563951853273E-4</v>
      </c>
      <c r="G14" s="1157">
        <v>57.869158644700846</v>
      </c>
      <c r="H14" s="1158"/>
      <c r="I14" s="1075"/>
    </row>
    <row r="15" spans="1:10" s="1155" customFormat="1">
      <c r="A15" s="1149" t="s">
        <v>703</v>
      </c>
      <c r="B15" s="1159">
        <v>0.11480578899729231</v>
      </c>
      <c r="C15" s="1159">
        <v>3.3582288886419023</v>
      </c>
      <c r="D15" s="1159">
        <v>22.496835740078332</v>
      </c>
      <c r="E15" s="1159">
        <v>0</v>
      </c>
      <c r="F15" s="1159">
        <v>0</v>
      </c>
      <c r="G15" s="1159">
        <v>74.030129582282484</v>
      </c>
      <c r="H15" s="1158"/>
      <c r="I15" s="1075"/>
    </row>
    <row r="16" spans="1:10" s="1155" customFormat="1">
      <c r="A16" s="744">
        <v>45412</v>
      </c>
      <c r="B16" s="1152">
        <v>0.19280189841118459</v>
      </c>
      <c r="C16" s="1152">
        <v>8.0141967175694155</v>
      </c>
      <c r="D16" s="1160">
        <v>42.517111837456682</v>
      </c>
      <c r="E16" s="1160">
        <v>0.12402962931060434</v>
      </c>
      <c r="F16" s="1161">
        <v>0</v>
      </c>
      <c r="G16" s="1160">
        <v>49.151859917252118</v>
      </c>
      <c r="H16" s="1158"/>
      <c r="I16" s="1075"/>
    </row>
    <row r="17" spans="1:24" s="1155" customFormat="1">
      <c r="A17" s="744">
        <v>45443</v>
      </c>
      <c r="B17" s="1160">
        <v>8.9757197212749579E-2</v>
      </c>
      <c r="C17" s="1160">
        <v>3.9023546967300344</v>
      </c>
      <c r="D17" s="1160">
        <v>20.567767536692642</v>
      </c>
      <c r="E17" s="1160">
        <v>2.4200139260646858E-3</v>
      </c>
      <c r="F17" s="1160">
        <v>0</v>
      </c>
      <c r="G17" s="1160">
        <v>75.437700555438497</v>
      </c>
      <c r="H17" s="1158"/>
      <c r="I17" s="1075"/>
    </row>
    <row r="18" spans="1:24" s="1155" customFormat="1">
      <c r="A18" s="744">
        <v>45473</v>
      </c>
      <c r="B18" s="1160">
        <v>0.17309022387291059</v>
      </c>
      <c r="C18" s="1160">
        <v>8.5190441784481159</v>
      </c>
      <c r="D18" s="1160">
        <v>42.345400449539909</v>
      </c>
      <c r="E18" s="1160">
        <v>0</v>
      </c>
      <c r="F18" s="1160">
        <v>0</v>
      </c>
      <c r="G18" s="1160">
        <v>48.962465148139067</v>
      </c>
      <c r="H18" s="197"/>
      <c r="I18" s="1075"/>
    </row>
    <row r="19" spans="1:24" s="1155" customFormat="1">
      <c r="A19" s="744">
        <v>45504</v>
      </c>
      <c r="B19" s="1160">
        <v>0.13690595229412184</v>
      </c>
      <c r="C19" s="1160">
        <v>7.7833382761724357</v>
      </c>
      <c r="D19" s="1160">
        <v>43.974285475768532</v>
      </c>
      <c r="E19" s="1160">
        <v>0</v>
      </c>
      <c r="F19" s="1160">
        <v>0</v>
      </c>
      <c r="G19" s="1160">
        <v>48.105470295764903</v>
      </c>
      <c r="H19" s="197"/>
      <c r="I19" s="1075"/>
    </row>
    <row r="20" spans="1:24" s="1155" customFormat="1">
      <c r="A20" s="744">
        <v>45535</v>
      </c>
      <c r="B20" s="1160">
        <v>0.11480578899729231</v>
      </c>
      <c r="C20" s="1160">
        <v>3.3582288886419023</v>
      </c>
      <c r="D20" s="1160">
        <v>22.496835740078332</v>
      </c>
      <c r="E20" s="1160">
        <v>0</v>
      </c>
      <c r="F20" s="1160">
        <v>0</v>
      </c>
      <c r="G20" s="1160">
        <v>74.030129582282484</v>
      </c>
      <c r="H20" s="197"/>
      <c r="I20" s="1075"/>
    </row>
    <row r="21" spans="1:24" s="1155" customFormat="1">
      <c r="A21" s="744">
        <v>45565</v>
      </c>
      <c r="B21" s="1160">
        <v>7.2501307560605743E-2</v>
      </c>
      <c r="C21" s="1160">
        <v>6.4866479459912449</v>
      </c>
      <c r="D21" s="1160">
        <v>46.14768377742714</v>
      </c>
      <c r="E21" s="1160">
        <v>0</v>
      </c>
      <c r="F21" s="1160">
        <v>0</v>
      </c>
      <c r="G21" s="1160">
        <v>47.293166969021016</v>
      </c>
      <c r="H21" s="1158"/>
      <c r="I21" s="1075"/>
    </row>
    <row r="22" spans="1:24" s="1155" customFormat="1">
      <c r="A22" s="1153"/>
      <c r="B22" s="1162"/>
      <c r="C22" s="1162"/>
      <c r="D22" s="1154"/>
      <c r="E22" s="1163"/>
      <c r="F22" s="1164"/>
      <c r="G22" s="1154"/>
      <c r="H22" s="1158"/>
      <c r="I22" s="1075"/>
    </row>
    <row r="23" spans="1:24" s="1155" customFormat="1">
      <c r="A23" s="1727" t="s">
        <v>73</v>
      </c>
      <c r="B23" s="1727"/>
      <c r="C23" s="1727"/>
      <c r="D23" s="1727"/>
      <c r="E23" s="1727"/>
      <c r="F23" s="1727"/>
      <c r="G23" s="1727"/>
      <c r="H23" s="1158"/>
      <c r="I23" s="1075"/>
    </row>
    <row r="24" spans="1:24">
      <c r="A24" s="1149" t="s">
        <v>505</v>
      </c>
      <c r="B24" s="1159">
        <v>0</v>
      </c>
      <c r="C24" s="1159">
        <v>1.5405191424264499</v>
      </c>
      <c r="D24" s="1159">
        <v>6.0151927214496297</v>
      </c>
      <c r="E24" s="1159">
        <v>0</v>
      </c>
      <c r="F24" s="1159">
        <v>0</v>
      </c>
      <c r="G24" s="1159">
        <v>92.444288136123902</v>
      </c>
      <c r="H24" s="1158"/>
      <c r="I24" s="1075"/>
      <c r="J24" s="1155"/>
      <c r="K24" s="1155"/>
      <c r="L24" s="1155"/>
      <c r="M24" s="1155"/>
      <c r="N24" s="1155"/>
      <c r="O24" s="1155"/>
      <c r="P24" s="1155"/>
      <c r="Q24" s="1155"/>
      <c r="R24" s="1155"/>
      <c r="S24" s="1155"/>
      <c r="T24" s="1155"/>
      <c r="U24" s="1155"/>
      <c r="V24" s="1155"/>
      <c r="W24" s="1155"/>
      <c r="X24" s="1155"/>
    </row>
    <row r="25" spans="1:24">
      <c r="A25" s="1149" t="s">
        <v>703</v>
      </c>
      <c r="B25" s="1159">
        <v>0</v>
      </c>
      <c r="C25" s="1159">
        <v>7.9434339382394583</v>
      </c>
      <c r="D25" s="1159">
        <v>77.580036728918273</v>
      </c>
      <c r="E25" s="1159">
        <v>0</v>
      </c>
      <c r="F25" s="1159">
        <v>0</v>
      </c>
      <c r="G25" s="1159">
        <v>14.476529332842272</v>
      </c>
      <c r="H25" s="1158"/>
      <c r="I25" s="1075"/>
      <c r="J25" s="1155"/>
      <c r="K25" s="1155"/>
      <c r="L25" s="1155"/>
      <c r="M25" s="1155"/>
      <c r="N25" s="1155"/>
      <c r="O25" s="1155"/>
      <c r="P25" s="1155"/>
      <c r="Q25" s="1155"/>
      <c r="R25" s="1155"/>
      <c r="S25" s="1155"/>
      <c r="T25" s="1155"/>
      <c r="U25" s="1155"/>
      <c r="V25" s="1155"/>
      <c r="W25" s="1155"/>
      <c r="X25" s="1155"/>
    </row>
    <row r="26" spans="1:24" s="1155" customFormat="1">
      <c r="A26" s="744">
        <v>45412</v>
      </c>
      <c r="B26" s="1152">
        <v>0</v>
      </c>
      <c r="C26" s="1152">
        <v>0</v>
      </c>
      <c r="D26" s="1165">
        <v>50</v>
      </c>
      <c r="E26" s="1160">
        <v>0</v>
      </c>
      <c r="F26" s="1161">
        <v>0</v>
      </c>
      <c r="G26" s="1165">
        <v>50</v>
      </c>
      <c r="H26" s="1158"/>
      <c r="I26" s="1075"/>
    </row>
    <row r="27" spans="1:24" s="1155" customFormat="1">
      <c r="A27" s="744">
        <v>45443</v>
      </c>
      <c r="B27" s="1160">
        <v>0</v>
      </c>
      <c r="C27" s="1160">
        <v>0</v>
      </c>
      <c r="D27" s="1160">
        <v>50</v>
      </c>
      <c r="E27" s="1160">
        <v>0</v>
      </c>
      <c r="F27" s="1160">
        <v>0</v>
      </c>
      <c r="G27" s="1160">
        <v>50</v>
      </c>
      <c r="H27" s="1158"/>
      <c r="I27" s="1075"/>
    </row>
    <row r="28" spans="1:24" s="1155" customFormat="1">
      <c r="A28" s="744">
        <v>45473</v>
      </c>
      <c r="B28" s="1160">
        <v>0</v>
      </c>
      <c r="C28" s="1160">
        <v>0</v>
      </c>
      <c r="D28" s="1160">
        <v>50</v>
      </c>
      <c r="E28" s="1160">
        <v>0</v>
      </c>
      <c r="F28" s="1160">
        <v>0</v>
      </c>
      <c r="G28" s="1160">
        <v>50</v>
      </c>
      <c r="H28" s="1158"/>
      <c r="I28" s="1075"/>
    </row>
    <row r="29" spans="1:24" s="1155" customFormat="1">
      <c r="A29" s="744">
        <v>45504</v>
      </c>
      <c r="B29" s="1160">
        <v>0</v>
      </c>
      <c r="C29" s="1160">
        <v>0</v>
      </c>
      <c r="D29" s="1160">
        <v>50</v>
      </c>
      <c r="E29" s="1160">
        <v>0</v>
      </c>
      <c r="F29" s="1160">
        <v>0</v>
      </c>
      <c r="G29" s="1160">
        <v>50</v>
      </c>
      <c r="H29" s="1158"/>
      <c r="I29" s="1075"/>
    </row>
    <row r="30" spans="1:24" s="1155" customFormat="1">
      <c r="A30" s="744">
        <v>45535</v>
      </c>
      <c r="B30" s="1160">
        <v>0</v>
      </c>
      <c r="C30" s="1160">
        <v>11.168095972808571</v>
      </c>
      <c r="D30" s="1160">
        <v>57.340612504024499</v>
      </c>
      <c r="E30" s="1160">
        <v>0</v>
      </c>
      <c r="F30" s="1160">
        <v>0</v>
      </c>
      <c r="G30" s="1160">
        <v>31.491291523166932</v>
      </c>
      <c r="H30" s="1158"/>
      <c r="I30" s="1075"/>
    </row>
    <row r="31" spans="1:24" s="1155" customFormat="1">
      <c r="A31" s="744">
        <v>45565</v>
      </c>
      <c r="B31" s="1160">
        <v>0</v>
      </c>
      <c r="C31" s="1160">
        <v>8.2791285962627352</v>
      </c>
      <c r="D31" s="1160">
        <v>81.716977522817217</v>
      </c>
      <c r="E31" s="1160">
        <v>0</v>
      </c>
      <c r="F31" s="1160">
        <v>0</v>
      </c>
      <c r="G31" s="1160">
        <v>10.003893880920053</v>
      </c>
      <c r="H31" s="1158"/>
      <c r="I31" s="1075"/>
    </row>
    <row r="32" spans="1:24" s="1155" customFormat="1">
      <c r="A32" s="1153"/>
      <c r="B32" s="1163"/>
      <c r="C32" s="1163"/>
      <c r="D32" s="1163"/>
      <c r="E32" s="1163"/>
      <c r="F32" s="1163"/>
      <c r="G32" s="1163"/>
      <c r="H32" s="1158"/>
      <c r="I32" s="1075"/>
    </row>
    <row r="33" spans="1:24">
      <c r="A33" s="1727" t="s">
        <v>74</v>
      </c>
      <c r="B33" s="1727"/>
      <c r="C33" s="1727"/>
      <c r="D33" s="1727"/>
      <c r="E33" s="1727"/>
      <c r="F33" s="1727"/>
      <c r="G33" s="1727"/>
      <c r="H33" s="1158"/>
      <c r="I33" s="1075"/>
      <c r="J33" s="1155"/>
      <c r="K33" s="1155"/>
      <c r="L33" s="1155"/>
      <c r="M33" s="1155"/>
      <c r="N33" s="1155"/>
      <c r="O33" s="1155"/>
      <c r="P33" s="1155"/>
      <c r="Q33" s="1155"/>
      <c r="R33" s="1155"/>
      <c r="S33" s="1155"/>
      <c r="T33" s="1155"/>
      <c r="U33" s="1155"/>
      <c r="V33" s="1155"/>
      <c r="W33" s="1155"/>
      <c r="X33" s="1155"/>
    </row>
    <row r="34" spans="1:24">
      <c r="A34" s="1166" t="s">
        <v>505</v>
      </c>
      <c r="B34" s="1167" t="s">
        <v>233</v>
      </c>
      <c r="C34" s="1167">
        <v>5.2353496573370835E-3</v>
      </c>
      <c r="D34" s="1167">
        <v>88.170176257583691</v>
      </c>
      <c r="E34" s="1167" t="s">
        <v>233</v>
      </c>
      <c r="F34" s="1167">
        <v>1.1997863184195538E-2</v>
      </c>
      <c r="G34" s="1167">
        <v>11.809894146159598</v>
      </c>
      <c r="H34" s="1158"/>
      <c r="I34" s="1075"/>
      <c r="J34" s="1155"/>
      <c r="K34" s="1155"/>
      <c r="L34" s="1155"/>
      <c r="M34" s="1155"/>
      <c r="N34" s="1155"/>
      <c r="O34" s="1155"/>
      <c r="P34" s="1155"/>
      <c r="Q34" s="1155"/>
      <c r="R34" s="1155"/>
      <c r="S34" s="1155"/>
      <c r="T34" s="1155"/>
      <c r="U34" s="1155"/>
      <c r="V34" s="1155"/>
      <c r="W34" s="1155"/>
      <c r="X34" s="1155"/>
    </row>
    <row r="35" spans="1:24">
      <c r="A35" s="1168" t="s">
        <v>703</v>
      </c>
      <c r="B35" s="1152">
        <v>0</v>
      </c>
      <c r="C35" s="1152">
        <v>0</v>
      </c>
      <c r="D35" s="357">
        <v>87.9</v>
      </c>
      <c r="E35" s="357" t="s">
        <v>233</v>
      </c>
      <c r="F35" s="357">
        <v>0.04</v>
      </c>
      <c r="G35" s="357">
        <v>12.06</v>
      </c>
      <c r="H35" s="1158"/>
      <c r="I35" s="1075" t="s">
        <v>993</v>
      </c>
      <c r="J35" s="1155"/>
      <c r="K35" s="1155"/>
      <c r="L35" s="1155"/>
      <c r="M35" s="1155"/>
      <c r="N35" s="1155"/>
      <c r="O35" s="1155"/>
      <c r="P35" s="1155"/>
      <c r="Q35" s="1155"/>
      <c r="R35" s="1155"/>
      <c r="S35" s="1155"/>
      <c r="T35" s="1155"/>
      <c r="U35" s="1155"/>
      <c r="V35" s="1155"/>
      <c r="W35" s="1155"/>
      <c r="X35" s="1155"/>
    </row>
    <row r="36" spans="1:24">
      <c r="A36" s="744">
        <v>45412</v>
      </c>
      <c r="B36" s="1152">
        <v>0</v>
      </c>
      <c r="C36" s="1152">
        <v>0</v>
      </c>
      <c r="D36" s="1165">
        <v>87.3</v>
      </c>
      <c r="E36" s="1161" t="s">
        <v>233</v>
      </c>
      <c r="F36" s="1161">
        <v>0.02</v>
      </c>
      <c r="G36" s="1165">
        <v>12.69</v>
      </c>
      <c r="H36" s="1158"/>
      <c r="I36" s="1075" t="s">
        <v>993</v>
      </c>
      <c r="J36" s="1155"/>
      <c r="K36" s="1155"/>
      <c r="L36" s="1155"/>
      <c r="M36" s="1155"/>
      <c r="N36" s="1155"/>
      <c r="O36" s="1155"/>
      <c r="P36" s="1155"/>
      <c r="Q36" s="1155"/>
      <c r="R36" s="1155"/>
      <c r="S36" s="1155"/>
      <c r="T36" s="1155"/>
      <c r="U36" s="1155"/>
      <c r="V36" s="1155"/>
      <c r="W36" s="1155"/>
      <c r="X36" s="1155"/>
    </row>
    <row r="37" spans="1:24">
      <c r="A37" s="744">
        <v>45443</v>
      </c>
      <c r="B37" s="1160">
        <v>0</v>
      </c>
      <c r="C37" s="1160">
        <v>0</v>
      </c>
      <c r="D37" s="1161">
        <v>88.52</v>
      </c>
      <c r="E37" s="1161" t="s">
        <v>233</v>
      </c>
      <c r="F37" s="1161">
        <v>0.06</v>
      </c>
      <c r="G37" s="1161">
        <v>11.42</v>
      </c>
      <c r="H37" s="1158"/>
      <c r="I37" s="1075"/>
      <c r="J37" s="1155"/>
      <c r="K37" s="1155"/>
      <c r="L37" s="1155"/>
      <c r="M37" s="1155"/>
      <c r="N37" s="1155"/>
      <c r="O37" s="1155"/>
      <c r="P37" s="1155"/>
      <c r="Q37" s="1155"/>
      <c r="R37" s="1155"/>
    </row>
    <row r="38" spans="1:24">
      <c r="A38" s="744">
        <v>45473</v>
      </c>
      <c r="B38" s="1160">
        <v>0</v>
      </c>
      <c r="C38" s="1160">
        <v>0</v>
      </c>
      <c r="D38" s="1161">
        <v>90.24</v>
      </c>
      <c r="E38" s="1161" t="s">
        <v>233</v>
      </c>
      <c r="F38" s="1161">
        <v>0.1</v>
      </c>
      <c r="G38" s="1161">
        <v>9.66</v>
      </c>
      <c r="H38" s="1158"/>
      <c r="I38" s="1075"/>
      <c r="J38" s="1155"/>
      <c r="K38" s="1155"/>
      <c r="L38" s="1155"/>
      <c r="M38" s="1155"/>
      <c r="N38" s="1155"/>
      <c r="O38" s="1155"/>
      <c r="P38" s="1155"/>
      <c r="Q38" s="1155"/>
      <c r="R38" s="1155"/>
    </row>
    <row r="39" spans="1:24">
      <c r="A39" s="744">
        <v>45504</v>
      </c>
      <c r="B39" s="1160">
        <v>0</v>
      </c>
      <c r="C39" s="1160">
        <v>0</v>
      </c>
      <c r="D39" s="1161">
        <v>88.55</v>
      </c>
      <c r="E39" s="1161" t="s">
        <v>233</v>
      </c>
      <c r="F39" s="1161">
        <v>0</v>
      </c>
      <c r="G39" s="1161">
        <v>11.45</v>
      </c>
      <c r="H39" s="1158"/>
      <c r="I39" s="1075"/>
      <c r="J39" s="1155"/>
      <c r="K39" s="1155"/>
      <c r="L39" s="1155"/>
      <c r="M39" s="1155"/>
      <c r="N39" s="1155"/>
      <c r="O39" s="1155"/>
      <c r="P39" s="1155"/>
      <c r="Q39" s="1155"/>
      <c r="R39" s="1155"/>
    </row>
    <row r="40" spans="1:24">
      <c r="A40" s="744">
        <v>45535</v>
      </c>
      <c r="B40" s="1160">
        <v>0</v>
      </c>
      <c r="C40" s="1160">
        <v>0</v>
      </c>
      <c r="D40" s="1161">
        <v>88.38</v>
      </c>
      <c r="E40" s="1161" t="s">
        <v>233</v>
      </c>
      <c r="F40" s="1161">
        <v>0.04</v>
      </c>
      <c r="G40" s="1161">
        <v>11.57</v>
      </c>
      <c r="H40" s="1158"/>
      <c r="I40" s="1075"/>
      <c r="J40" s="1155"/>
      <c r="K40" s="1155"/>
      <c r="L40" s="1155"/>
      <c r="M40" s="1155"/>
      <c r="N40" s="1155"/>
      <c r="O40" s="1155"/>
      <c r="P40" s="1155"/>
      <c r="Q40" s="1155"/>
      <c r="R40" s="1155"/>
    </row>
    <row r="41" spans="1:24">
      <c r="A41" s="744">
        <v>45565</v>
      </c>
      <c r="B41" s="1161" t="s">
        <v>233</v>
      </c>
      <c r="C41" s="1161" t="s">
        <v>233</v>
      </c>
      <c r="D41" s="1161">
        <v>88.26</v>
      </c>
      <c r="E41" s="1161" t="s">
        <v>233</v>
      </c>
      <c r="F41" s="1161">
        <v>0.49</v>
      </c>
      <c r="G41" s="1161">
        <v>11.25</v>
      </c>
      <c r="H41" s="1158"/>
      <c r="I41" s="1075"/>
      <c r="J41" s="1155"/>
      <c r="K41" s="1155"/>
      <c r="L41" s="1155"/>
      <c r="M41" s="1155"/>
      <c r="N41" s="1155"/>
      <c r="O41" s="1155"/>
      <c r="P41" s="1155"/>
      <c r="Q41" s="1155"/>
      <c r="R41" s="1155"/>
    </row>
    <row r="42" spans="1:24">
      <c r="A42" s="727" t="s">
        <v>1373</v>
      </c>
      <c r="B42" s="1169"/>
      <c r="C42" s="1169"/>
      <c r="D42" s="1170"/>
      <c r="E42" s="1171"/>
      <c r="F42" s="1171"/>
      <c r="G42" s="1170"/>
      <c r="H42" s="1148"/>
      <c r="I42" s="241"/>
    </row>
    <row r="43" spans="1:24" ht="15.75" customHeight="1">
      <c r="A43" s="1728" t="s">
        <v>1019</v>
      </c>
      <c r="B43" s="1728"/>
      <c r="C43" s="1728"/>
      <c r="D43" s="1728"/>
      <c r="E43" s="1728"/>
      <c r="F43" s="1728"/>
      <c r="G43" s="1728"/>
      <c r="H43" s="1148"/>
      <c r="I43" s="241"/>
    </row>
    <row r="44" spans="1:24">
      <c r="A44" s="1172" t="s">
        <v>1020</v>
      </c>
      <c r="B44" s="1173"/>
      <c r="C44" s="1173"/>
      <c r="D44" s="1173"/>
      <c r="E44" s="1173"/>
      <c r="F44" s="1173"/>
      <c r="G44" s="1173"/>
      <c r="H44" s="1148"/>
      <c r="I44" s="241"/>
    </row>
    <row r="45" spans="1:24">
      <c r="A45" s="1726" t="s">
        <v>1021</v>
      </c>
      <c r="B45" s="1726"/>
      <c r="C45" s="1726"/>
      <c r="D45" s="1726"/>
      <c r="E45" s="1726"/>
      <c r="F45" s="1726"/>
      <c r="G45" s="1726"/>
      <c r="H45" s="1148"/>
      <c r="I45" s="241"/>
    </row>
    <row r="46" spans="1:24" ht="15" customHeight="1">
      <c r="B46" s="241"/>
      <c r="C46" s="241"/>
      <c r="D46" s="241"/>
      <c r="E46" s="241"/>
      <c r="F46" s="241"/>
      <c r="G46" s="241"/>
      <c r="H46" s="1148"/>
      <c r="I46" s="241"/>
    </row>
    <row r="47" spans="1:24">
      <c r="H47" s="1148"/>
      <c r="I47" s="241"/>
    </row>
    <row r="48" spans="1:24">
      <c r="H48" s="1148"/>
      <c r="I48" s="241"/>
    </row>
    <row r="49" spans="8:9">
      <c r="H49" s="1174"/>
      <c r="I49" s="241"/>
    </row>
    <row r="50" spans="8:9" ht="15" customHeight="1">
      <c r="H50" s="1173"/>
      <c r="I50" s="241"/>
    </row>
    <row r="51" spans="8:9">
      <c r="H51" s="1174"/>
      <c r="I51" s="241"/>
    </row>
    <row r="52" spans="8:9">
      <c r="H52" s="241"/>
      <c r="I52" s="241"/>
    </row>
  </sheetData>
  <mergeCells count="6">
    <mergeCell ref="A45:G45"/>
    <mergeCell ref="A3:G3"/>
    <mergeCell ref="A33:G33"/>
    <mergeCell ref="A13:G13"/>
    <mergeCell ref="A23:G23"/>
    <mergeCell ref="A43:G43"/>
  </mergeCells>
  <printOptions horizontalCentered="1"/>
  <pageMargins left="0.45" right="0.45" top="0.75" bottom="0.75" header="0.3" footer="0.3"/>
  <pageSetup paperSize="9" fitToHeight="0" orientation="portrait" r:id="rId1"/>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H60"/>
  <sheetViews>
    <sheetView workbookViewId="0">
      <pane xSplit="2" ySplit="3" topLeftCell="C4" activePane="bottomRight" state="frozen"/>
      <selection pane="topRight" activeCell="C1" sqref="C1"/>
      <selection pane="bottomLeft" activeCell="A4" sqref="A4"/>
      <selection pane="bottomRight" activeCell="C4" sqref="C4"/>
    </sheetView>
  </sheetViews>
  <sheetFormatPr defaultColWidth="9.140625" defaultRowHeight="15"/>
  <cols>
    <col min="1" max="1" width="14" style="1178" customWidth="1"/>
    <col min="2" max="2" width="13.140625" style="1178" customWidth="1"/>
    <col min="3" max="3" width="21.28515625" style="1178" customWidth="1"/>
    <col min="4" max="4" width="18.5703125" style="1205" customWidth="1"/>
    <col min="5" max="5" width="13.7109375" style="1178" customWidth="1"/>
    <col min="6" max="7" width="12.85546875" style="1178" bestFit="1" customWidth="1"/>
    <col min="8" max="8" width="12.5703125" style="1178" bestFit="1" customWidth="1"/>
    <col min="9" max="9" width="11" style="1178" customWidth="1"/>
    <col min="10" max="10" width="11.140625" style="1178" bestFit="1" customWidth="1"/>
    <col min="11" max="11" width="15.140625" style="1178" customWidth="1"/>
    <col min="12" max="13" width="8.7109375" style="1178" customWidth="1"/>
    <col min="14" max="14" width="9.5703125" style="1178" customWidth="1"/>
    <col min="15" max="15" width="19.85546875" style="1178" customWidth="1"/>
    <col min="16" max="19" width="9.140625" style="1178"/>
    <col min="20" max="20" width="26.28515625" style="197" customWidth="1"/>
    <col min="21" max="22" width="9.85546875" style="197" bestFit="1" customWidth="1"/>
    <col min="23" max="29" width="9.140625" style="197"/>
    <col min="30" max="34" width="9.140625" style="1178"/>
    <col min="35" max="16384" width="9.140625" style="197"/>
  </cols>
  <sheetData>
    <row r="1" spans="1:29">
      <c r="A1" s="1175" t="s">
        <v>1430</v>
      </c>
      <c r="B1" s="1175"/>
      <c r="C1" s="1175"/>
      <c r="D1" s="1176"/>
      <c r="E1" s="1175"/>
      <c r="F1" s="1175"/>
      <c r="G1" s="1175"/>
      <c r="H1" s="1175"/>
      <c r="I1" s="1175"/>
      <c r="J1" s="1175"/>
      <c r="K1" s="1175"/>
      <c r="L1" s="1175"/>
      <c r="M1" s="1175"/>
      <c r="N1" s="1175"/>
      <c r="O1" s="1175"/>
      <c r="P1" s="241"/>
      <c r="Q1" s="1177"/>
      <c r="R1" s="1177"/>
      <c r="T1" s="1178"/>
      <c r="U1" s="1178"/>
      <c r="V1" s="1178"/>
      <c r="W1" s="1178"/>
      <c r="X1" s="1178"/>
      <c r="Y1" s="1178"/>
      <c r="Z1" s="1178"/>
      <c r="AA1" s="1178"/>
      <c r="AB1" s="1178"/>
      <c r="AC1" s="1178"/>
    </row>
    <row r="2" spans="1:29">
      <c r="A2" s="1737" t="s">
        <v>1022</v>
      </c>
      <c r="B2" s="1737" t="s">
        <v>1023</v>
      </c>
      <c r="C2" s="1737" t="s">
        <v>1024</v>
      </c>
      <c r="D2" s="1739" t="s">
        <v>1025</v>
      </c>
      <c r="E2" s="1741" t="s">
        <v>1017</v>
      </c>
      <c r="F2" s="1742"/>
      <c r="G2" s="1743"/>
      <c r="H2" s="1737" t="s">
        <v>232</v>
      </c>
      <c r="I2" s="1737"/>
      <c r="J2" s="1737"/>
      <c r="K2" s="1735" t="s">
        <v>1026</v>
      </c>
      <c r="L2" s="1737" t="s">
        <v>1027</v>
      </c>
      <c r="M2" s="1737"/>
      <c r="N2" s="1738" t="s">
        <v>1028</v>
      </c>
      <c r="O2" s="1738"/>
      <c r="P2" s="241"/>
      <c r="Q2" s="1177"/>
      <c r="R2" s="1177"/>
      <c r="T2" s="1178"/>
      <c r="U2" s="1178"/>
      <c r="V2" s="1178"/>
      <c r="W2" s="1178"/>
      <c r="X2" s="1178"/>
      <c r="Y2" s="1178"/>
      <c r="Z2" s="1178"/>
      <c r="AA2" s="1178"/>
      <c r="AB2" s="1178"/>
      <c r="AC2" s="1178"/>
    </row>
    <row r="3" spans="1:29" ht="30.75" customHeight="1">
      <c r="A3" s="1737"/>
      <c r="B3" s="1737"/>
      <c r="C3" s="1737"/>
      <c r="D3" s="1740"/>
      <c r="E3" s="1179" t="s">
        <v>703</v>
      </c>
      <c r="F3" s="1180">
        <v>45505</v>
      </c>
      <c r="G3" s="1180">
        <v>45536</v>
      </c>
      <c r="H3" s="1179" t="s">
        <v>703</v>
      </c>
      <c r="I3" s="1180">
        <v>45505</v>
      </c>
      <c r="J3" s="1180">
        <v>45536</v>
      </c>
      <c r="K3" s="1736"/>
      <c r="L3" s="1180">
        <v>45505</v>
      </c>
      <c r="M3" s="1180">
        <v>45536</v>
      </c>
      <c r="N3" s="1180" t="s">
        <v>1029</v>
      </c>
      <c r="O3" s="1180" t="s">
        <v>1030</v>
      </c>
      <c r="P3" s="241"/>
      <c r="Q3" s="1177"/>
      <c r="R3" s="1177"/>
    </row>
    <row r="4" spans="1:29">
      <c r="A4" s="1732" t="s">
        <v>1031</v>
      </c>
      <c r="B4" s="1732" t="s">
        <v>1004</v>
      </c>
      <c r="C4" s="358" t="s">
        <v>1032</v>
      </c>
      <c r="D4" s="359" t="s">
        <v>1033</v>
      </c>
      <c r="E4" s="360">
        <v>1116804</v>
      </c>
      <c r="F4" s="360">
        <v>166763</v>
      </c>
      <c r="G4" s="360">
        <v>199362</v>
      </c>
      <c r="H4" s="360">
        <v>801935.96233000001</v>
      </c>
      <c r="I4" s="360">
        <v>118132.47220000002</v>
      </c>
      <c r="J4" s="360">
        <v>146728.98209999999</v>
      </c>
      <c r="K4" s="361" t="s">
        <v>1034</v>
      </c>
      <c r="L4" s="362">
        <v>71611</v>
      </c>
      <c r="M4" s="362">
        <v>75611</v>
      </c>
      <c r="N4" s="363">
        <v>21199.761904761905</v>
      </c>
      <c r="O4" s="363">
        <v>15582.231598095239</v>
      </c>
      <c r="P4" s="241"/>
      <c r="Q4" s="1177"/>
      <c r="R4" s="1177"/>
    </row>
    <row r="5" spans="1:29">
      <c r="A5" s="1733"/>
      <c r="B5" s="1733"/>
      <c r="C5" s="358" t="s">
        <v>1035</v>
      </c>
      <c r="D5" s="359" t="s">
        <v>1036</v>
      </c>
      <c r="E5" s="360">
        <v>3048137</v>
      </c>
      <c r="F5" s="360">
        <v>558430</v>
      </c>
      <c r="G5" s="360">
        <v>495735</v>
      </c>
      <c r="H5" s="360">
        <v>218453.49985299999</v>
      </c>
      <c r="I5" s="360">
        <v>39463.474200000011</v>
      </c>
      <c r="J5" s="360">
        <v>36368.982699999993</v>
      </c>
      <c r="K5" s="361" t="s">
        <v>1034</v>
      </c>
      <c r="L5" s="362">
        <v>71645</v>
      </c>
      <c r="M5" s="362">
        <v>75253</v>
      </c>
      <c r="N5" s="363">
        <v>26803.476190476191</v>
      </c>
      <c r="O5" s="363">
        <v>1962.498216761905</v>
      </c>
      <c r="P5" s="241"/>
      <c r="Q5" s="1177"/>
      <c r="R5" s="1177"/>
    </row>
    <row r="6" spans="1:29">
      <c r="A6" s="1733"/>
      <c r="B6" s="1733"/>
      <c r="C6" s="358" t="s">
        <v>1037</v>
      </c>
      <c r="D6" s="359" t="s">
        <v>1038</v>
      </c>
      <c r="E6" s="360">
        <v>388338</v>
      </c>
      <c r="F6" s="360">
        <v>70548</v>
      </c>
      <c r="G6" s="360">
        <v>65546</v>
      </c>
      <c r="H6" s="360">
        <v>2256.0384018999998</v>
      </c>
      <c r="I6" s="360">
        <v>403.05999999999995</v>
      </c>
      <c r="J6" s="360">
        <v>390.37209999999999</v>
      </c>
      <c r="K6" s="361" t="s">
        <v>1039</v>
      </c>
      <c r="L6" s="362">
        <v>57900</v>
      </c>
      <c r="M6" s="362">
        <v>60988</v>
      </c>
      <c r="N6" s="363">
        <v>5421.6190476190477</v>
      </c>
      <c r="O6" s="363">
        <v>32.141735414285712</v>
      </c>
      <c r="P6" s="241"/>
      <c r="Q6" s="1177"/>
      <c r="R6" s="1177"/>
    </row>
    <row r="7" spans="1:29">
      <c r="A7" s="1733"/>
      <c r="B7" s="1733"/>
      <c r="C7" s="358" t="s">
        <v>1040</v>
      </c>
      <c r="D7" s="359" t="s">
        <v>1041</v>
      </c>
      <c r="E7" s="360">
        <v>5034052</v>
      </c>
      <c r="F7" s="360">
        <v>1005300</v>
      </c>
      <c r="G7" s="360">
        <v>853372</v>
      </c>
      <c r="H7" s="360">
        <v>3568.8968027999999</v>
      </c>
      <c r="I7" s="360">
        <v>701.30009999999993</v>
      </c>
      <c r="J7" s="360">
        <v>617.4837</v>
      </c>
      <c r="K7" s="361" t="s">
        <v>1042</v>
      </c>
      <c r="L7" s="362">
        <v>7047</v>
      </c>
      <c r="M7" s="362">
        <v>7441</v>
      </c>
      <c r="N7" s="363">
        <v>97122.428571428565</v>
      </c>
      <c r="O7" s="363">
        <v>69.845696076190464</v>
      </c>
      <c r="P7" s="241"/>
      <c r="Q7" s="1177"/>
      <c r="R7" s="1177"/>
    </row>
    <row r="8" spans="1:29">
      <c r="A8" s="1733"/>
      <c r="B8" s="1733"/>
      <c r="C8" s="358" t="s">
        <v>1043</v>
      </c>
      <c r="D8" s="359" t="s">
        <v>1044</v>
      </c>
      <c r="E8" s="360">
        <v>2934214</v>
      </c>
      <c r="F8" s="360">
        <v>544602</v>
      </c>
      <c r="G8" s="360">
        <v>426407</v>
      </c>
      <c r="H8" s="360">
        <v>764345.269768</v>
      </c>
      <c r="I8" s="360">
        <v>136293.35220000005</v>
      </c>
      <c r="J8" s="360">
        <v>112853.30649999999</v>
      </c>
      <c r="K8" s="361" t="s">
        <v>1045</v>
      </c>
      <c r="L8" s="362">
        <v>85210</v>
      </c>
      <c r="M8" s="362">
        <v>90719</v>
      </c>
      <c r="N8" s="363">
        <v>28742.761904761905</v>
      </c>
      <c r="O8" s="363">
        <v>7548.5482084285713</v>
      </c>
      <c r="P8" s="241"/>
      <c r="Q8" s="1177"/>
      <c r="R8" s="1177"/>
    </row>
    <row r="9" spans="1:29">
      <c r="A9" s="1733"/>
      <c r="B9" s="1733"/>
      <c r="C9" s="358" t="s">
        <v>1046</v>
      </c>
      <c r="D9" s="359" t="s">
        <v>1047</v>
      </c>
      <c r="E9" s="360">
        <v>7051846</v>
      </c>
      <c r="F9" s="360">
        <v>1166535</v>
      </c>
      <c r="G9" s="360">
        <v>1029204</v>
      </c>
      <c r="H9" s="360">
        <v>307746.49183799996</v>
      </c>
      <c r="I9" s="360">
        <v>48794.523400000027</v>
      </c>
      <c r="J9" s="360">
        <v>45491.378099999994</v>
      </c>
      <c r="K9" s="361" t="s">
        <v>1045</v>
      </c>
      <c r="L9" s="362">
        <v>85313</v>
      </c>
      <c r="M9" s="362">
        <v>90668</v>
      </c>
      <c r="N9" s="363">
        <v>42520.333333333336</v>
      </c>
      <c r="O9" s="363">
        <v>1865.3422208809523</v>
      </c>
      <c r="P9" s="241"/>
      <c r="Q9" s="1177"/>
      <c r="R9" s="1177"/>
    </row>
    <row r="10" spans="1:29">
      <c r="A10" s="1733"/>
      <c r="B10" s="1733"/>
      <c r="C10" s="358" t="s">
        <v>1048</v>
      </c>
      <c r="D10" s="359" t="s">
        <v>1049</v>
      </c>
      <c r="E10" s="360">
        <v>24085249</v>
      </c>
      <c r="F10" s="360">
        <v>3932813</v>
      </c>
      <c r="G10" s="360">
        <v>3727815</v>
      </c>
      <c r="H10" s="360">
        <v>210542.11592740001</v>
      </c>
      <c r="I10" s="360">
        <v>32963.917400000013</v>
      </c>
      <c r="J10" s="360">
        <v>33009.060899999997</v>
      </c>
      <c r="K10" s="361" t="s">
        <v>1045</v>
      </c>
      <c r="L10" s="362">
        <v>85329</v>
      </c>
      <c r="M10" s="362">
        <v>90644</v>
      </c>
      <c r="N10" s="363">
        <v>144716.14285714287</v>
      </c>
      <c r="O10" s="363">
        <v>1273.9870012952379</v>
      </c>
      <c r="P10" s="241"/>
      <c r="Q10" s="1177"/>
      <c r="R10" s="1177"/>
    </row>
    <row r="11" spans="1:29">
      <c r="A11" s="1733"/>
      <c r="B11" s="1734"/>
      <c r="C11" s="1181" t="s">
        <v>1050</v>
      </c>
      <c r="D11" s="1182"/>
      <c r="E11" s="1183">
        <v>43658640</v>
      </c>
      <c r="F11" s="1183">
        <f t="shared" ref="F11" si="0">SUM(F4:F10)</f>
        <v>7444991</v>
      </c>
      <c r="G11" s="1183">
        <v>6797441</v>
      </c>
      <c r="H11" s="1183">
        <v>2308848.2749211001</v>
      </c>
      <c r="I11" s="1183">
        <v>376752.09950000007</v>
      </c>
      <c r="J11" s="1183">
        <v>375459.56609999994</v>
      </c>
      <c r="K11" s="1184"/>
      <c r="L11" s="1184"/>
      <c r="M11" s="1184"/>
      <c r="N11" s="1185"/>
      <c r="O11" s="1185"/>
      <c r="P11" s="241"/>
      <c r="Q11" s="1177"/>
      <c r="R11" s="1177"/>
    </row>
    <row r="12" spans="1:29">
      <c r="A12" s="1733"/>
      <c r="B12" s="1729" t="s">
        <v>1051</v>
      </c>
      <c r="C12" s="358" t="s">
        <v>1052</v>
      </c>
      <c r="D12" s="364" t="s">
        <v>1053</v>
      </c>
      <c r="E12" s="360">
        <v>326250</v>
      </c>
      <c r="F12" s="360">
        <v>56159</v>
      </c>
      <c r="G12" s="360">
        <v>58885</v>
      </c>
      <c r="H12" s="360">
        <v>37502.493625000003</v>
      </c>
      <c r="I12" s="360">
        <v>6233.4910999999984</v>
      </c>
      <c r="J12" s="360">
        <v>6729.7258999999995</v>
      </c>
      <c r="K12" s="361" t="s">
        <v>1045</v>
      </c>
      <c r="L12" s="362">
        <v>225.35</v>
      </c>
      <c r="M12" s="362">
        <v>237.6</v>
      </c>
      <c r="N12" s="363">
        <v>4027.8571428571427</v>
      </c>
      <c r="O12" s="363">
        <v>458.98218095238093</v>
      </c>
      <c r="P12" s="1186"/>
      <c r="Q12" s="1177"/>
      <c r="R12" s="1177"/>
    </row>
    <row r="13" spans="1:29">
      <c r="A13" s="1733"/>
      <c r="B13" s="1730"/>
      <c r="C13" s="358" t="s">
        <v>1054</v>
      </c>
      <c r="D13" s="364" t="s">
        <v>1055</v>
      </c>
      <c r="E13" s="360">
        <v>394622</v>
      </c>
      <c r="F13" s="360">
        <v>64858</v>
      </c>
      <c r="G13" s="360">
        <v>69090</v>
      </c>
      <c r="H13" s="360">
        <v>9113.6663550000012</v>
      </c>
      <c r="I13" s="360">
        <v>1439.5868999999993</v>
      </c>
      <c r="J13" s="360">
        <v>1585.4808000000003</v>
      </c>
      <c r="K13" s="361" t="s">
        <v>1045</v>
      </c>
      <c r="L13" s="362">
        <v>226.05</v>
      </c>
      <c r="M13" s="362">
        <v>237.85</v>
      </c>
      <c r="N13" s="363">
        <v>2055.9047619047619</v>
      </c>
      <c r="O13" s="363">
        <v>47.037636666666671</v>
      </c>
      <c r="P13" s="1186"/>
      <c r="Q13" s="1177"/>
      <c r="R13" s="1177"/>
    </row>
    <row r="14" spans="1:29">
      <c r="A14" s="1733"/>
      <c r="B14" s="1730"/>
      <c r="C14" s="358" t="s">
        <v>1056</v>
      </c>
      <c r="D14" s="364" t="s">
        <v>1057</v>
      </c>
      <c r="E14" s="360">
        <v>1277988</v>
      </c>
      <c r="F14" s="360">
        <v>237809</v>
      </c>
      <c r="G14" s="360">
        <v>241084</v>
      </c>
      <c r="H14" s="360">
        <v>267017.20158749999</v>
      </c>
      <c r="I14" s="360">
        <v>47301.914400000001</v>
      </c>
      <c r="J14" s="360">
        <v>48980.22129999999</v>
      </c>
      <c r="K14" s="361" t="s">
        <v>1045</v>
      </c>
      <c r="L14" s="362">
        <v>806</v>
      </c>
      <c r="M14" s="362">
        <v>851.35</v>
      </c>
      <c r="N14" s="363">
        <v>11811.190476190477</v>
      </c>
      <c r="O14" s="363">
        <v>2390.884758928571</v>
      </c>
      <c r="P14" s="1186"/>
      <c r="Q14" s="1177"/>
      <c r="R14" s="1177"/>
    </row>
    <row r="15" spans="1:29">
      <c r="A15" s="1733"/>
      <c r="B15" s="1730"/>
      <c r="C15" s="358" t="s">
        <v>1058</v>
      </c>
      <c r="D15" s="364" t="s">
        <v>1053</v>
      </c>
      <c r="E15" s="360">
        <v>96042</v>
      </c>
      <c r="F15" s="360">
        <v>15315</v>
      </c>
      <c r="G15" s="360">
        <v>17929</v>
      </c>
      <c r="H15" s="360">
        <v>9023.443475</v>
      </c>
      <c r="I15" s="360">
        <v>1426.1527999999994</v>
      </c>
      <c r="J15" s="360">
        <v>1645.8832</v>
      </c>
      <c r="K15" s="361" t="s">
        <v>1045</v>
      </c>
      <c r="L15" s="362">
        <v>185.8</v>
      </c>
      <c r="M15" s="362">
        <v>184.3</v>
      </c>
      <c r="N15" s="363">
        <v>604.61904761904759</v>
      </c>
      <c r="O15" s="363">
        <v>55.369258333333335</v>
      </c>
      <c r="P15" s="1186"/>
      <c r="Q15" s="1177"/>
      <c r="R15" s="1177"/>
    </row>
    <row r="16" spans="1:29">
      <c r="A16" s="1733"/>
      <c r="B16" s="1730"/>
      <c r="C16" s="358" t="s">
        <v>1059</v>
      </c>
      <c r="D16" s="364" t="s">
        <v>1055</v>
      </c>
      <c r="E16" s="360">
        <v>99229</v>
      </c>
      <c r="F16" s="360">
        <v>16227</v>
      </c>
      <c r="G16" s="360">
        <v>20514</v>
      </c>
      <c r="H16" s="360">
        <v>1865.3511049999997</v>
      </c>
      <c r="I16" s="360">
        <v>302.49939999999992</v>
      </c>
      <c r="J16" s="360">
        <v>377.80059999999992</v>
      </c>
      <c r="K16" s="361" t="s">
        <v>1045</v>
      </c>
      <c r="L16" s="362">
        <v>186.2</v>
      </c>
      <c r="M16" s="362">
        <v>184.65</v>
      </c>
      <c r="N16" s="363">
        <v>699.23809523809518</v>
      </c>
      <c r="O16" s="363">
        <v>12.84890642857143</v>
      </c>
      <c r="P16" s="1186"/>
      <c r="Q16" s="1177"/>
      <c r="R16" s="1177"/>
    </row>
    <row r="17" spans="1:18">
      <c r="A17" s="1733"/>
      <c r="B17" s="1730"/>
      <c r="C17" s="358" t="s">
        <v>1060</v>
      </c>
      <c r="D17" s="364" t="s">
        <v>1061</v>
      </c>
      <c r="E17" s="360">
        <v>0</v>
      </c>
      <c r="F17" s="366">
        <v>0</v>
      </c>
      <c r="G17" s="366">
        <v>0</v>
      </c>
      <c r="H17" s="360">
        <v>0</v>
      </c>
      <c r="I17" s="366">
        <v>0</v>
      </c>
      <c r="J17" s="366">
        <v>0</v>
      </c>
      <c r="K17" s="361" t="s">
        <v>1045</v>
      </c>
      <c r="L17" s="362">
        <v>1431.3</v>
      </c>
      <c r="M17" s="362">
        <v>1438</v>
      </c>
      <c r="N17" s="363">
        <v>0</v>
      </c>
      <c r="O17" s="363">
        <v>0</v>
      </c>
      <c r="P17" s="1186"/>
      <c r="Q17" s="1177"/>
      <c r="R17" s="1177"/>
    </row>
    <row r="18" spans="1:18">
      <c r="A18" s="1733"/>
      <c r="B18" s="1730"/>
      <c r="C18" s="358" t="s">
        <v>1062</v>
      </c>
      <c r="D18" s="364" t="s">
        <v>1053</v>
      </c>
      <c r="E18" s="360">
        <v>0</v>
      </c>
      <c r="F18" s="366">
        <v>0</v>
      </c>
      <c r="G18" s="366">
        <v>0</v>
      </c>
      <c r="H18" s="360">
        <v>0</v>
      </c>
      <c r="I18" s="366">
        <v>0</v>
      </c>
      <c r="J18" s="367">
        <v>0</v>
      </c>
      <c r="K18" s="361" t="s">
        <v>1063</v>
      </c>
      <c r="L18" s="362">
        <v>63500</v>
      </c>
      <c r="M18" s="362">
        <v>66330</v>
      </c>
      <c r="N18" s="363">
        <v>0</v>
      </c>
      <c r="O18" s="368">
        <v>0</v>
      </c>
      <c r="P18" s="1186"/>
      <c r="Q18" s="1177"/>
      <c r="R18" s="1177"/>
    </row>
    <row r="19" spans="1:18">
      <c r="A19" s="1733"/>
      <c r="B19" s="1730"/>
      <c r="C19" s="358" t="s">
        <v>1064</v>
      </c>
      <c r="D19" s="364" t="s">
        <v>1053</v>
      </c>
      <c r="E19" s="360">
        <v>606000</v>
      </c>
      <c r="F19" s="360">
        <v>86540</v>
      </c>
      <c r="G19" s="360">
        <v>100512</v>
      </c>
      <c r="H19" s="360">
        <v>78569.379574999999</v>
      </c>
      <c r="I19" s="360">
        <v>11212.086399999998</v>
      </c>
      <c r="J19" s="360">
        <v>13408.446399999997</v>
      </c>
      <c r="K19" s="361" t="s">
        <v>1045</v>
      </c>
      <c r="L19" s="362">
        <v>268.7</v>
      </c>
      <c r="M19" s="362">
        <v>280.55</v>
      </c>
      <c r="N19" s="363">
        <v>3063.2380952380954</v>
      </c>
      <c r="O19" s="363">
        <v>409.21142380952386</v>
      </c>
      <c r="P19" s="1187"/>
      <c r="Q19" s="1177"/>
      <c r="R19" s="1177"/>
    </row>
    <row r="20" spans="1:18">
      <c r="A20" s="1733"/>
      <c r="B20" s="1730"/>
      <c r="C20" s="358" t="s">
        <v>1065</v>
      </c>
      <c r="D20" s="364" t="s">
        <v>1055</v>
      </c>
      <c r="E20" s="360">
        <v>852405</v>
      </c>
      <c r="F20" s="360">
        <v>118780</v>
      </c>
      <c r="G20" s="360">
        <v>133647</v>
      </c>
      <c r="H20" s="360">
        <v>22087.143565000002</v>
      </c>
      <c r="I20" s="360">
        <v>3075.0032000000006</v>
      </c>
      <c r="J20" s="360">
        <v>3564.5080000000003</v>
      </c>
      <c r="K20" s="361" t="s">
        <v>1045</v>
      </c>
      <c r="L20" s="362">
        <v>268.55</v>
      </c>
      <c r="M20" s="362">
        <v>280.39999999999998</v>
      </c>
      <c r="N20" s="363">
        <v>2581.9047619047619</v>
      </c>
      <c r="O20" s="363">
        <v>69.058077619047609</v>
      </c>
      <c r="P20" s="1186"/>
      <c r="Q20" s="1177"/>
      <c r="R20" s="1177"/>
    </row>
    <row r="21" spans="1:18">
      <c r="A21" s="1733"/>
      <c r="B21" s="1731"/>
      <c r="C21" s="1181" t="s">
        <v>1066</v>
      </c>
      <c r="D21" s="1188"/>
      <c r="E21" s="1183">
        <v>3652536</v>
      </c>
      <c r="F21" s="1183">
        <f t="shared" ref="F21" si="1">SUM(F12:F20)</f>
        <v>595688</v>
      </c>
      <c r="G21" s="1183">
        <v>641661</v>
      </c>
      <c r="H21" s="1183">
        <v>425178.67928749992</v>
      </c>
      <c r="I21" s="1183">
        <v>70990.734200000006</v>
      </c>
      <c r="J21" s="1183">
        <v>76292.066199999987</v>
      </c>
      <c r="K21" s="1189"/>
      <c r="L21" s="1184"/>
      <c r="M21" s="1184"/>
      <c r="N21" s="1185"/>
      <c r="O21" s="1185"/>
      <c r="P21" s="1190"/>
      <c r="Q21" s="1177"/>
      <c r="R21" s="1177"/>
    </row>
    <row r="22" spans="1:18" ht="32.25" customHeight="1">
      <c r="A22" s="1733"/>
      <c r="B22" s="1730" t="s">
        <v>1067</v>
      </c>
      <c r="C22" s="358" t="s">
        <v>1068</v>
      </c>
      <c r="D22" s="369" t="s">
        <v>1069</v>
      </c>
      <c r="E22" s="360">
        <v>3480</v>
      </c>
      <c r="F22" s="360">
        <v>92</v>
      </c>
      <c r="G22" s="360">
        <v>446</v>
      </c>
      <c r="H22" s="360">
        <v>906.51975200000004</v>
      </c>
      <c r="I22" s="360">
        <v>23.162900000000004</v>
      </c>
      <c r="J22" s="360">
        <v>72.605999999999995</v>
      </c>
      <c r="K22" s="361" t="s">
        <v>1070</v>
      </c>
      <c r="L22" s="362">
        <v>58000</v>
      </c>
      <c r="M22" s="362">
        <v>57990</v>
      </c>
      <c r="N22" s="370">
        <v>167.95238095238096</v>
      </c>
      <c r="O22" s="370">
        <v>34.144430285714293</v>
      </c>
      <c r="P22" s="241"/>
    </row>
    <row r="23" spans="1:18">
      <c r="A23" s="1733"/>
      <c r="B23" s="1730"/>
      <c r="C23" s="358" t="s">
        <v>1071</v>
      </c>
      <c r="D23" s="359" t="s">
        <v>1072</v>
      </c>
      <c r="E23" s="360">
        <v>29792</v>
      </c>
      <c r="F23" s="360">
        <v>6701</v>
      </c>
      <c r="G23" s="360">
        <v>3898</v>
      </c>
      <c r="H23" s="360">
        <v>1020.0793328</v>
      </c>
      <c r="I23" s="360">
        <v>238.39629999999997</v>
      </c>
      <c r="J23" s="360">
        <v>133.47550000000001</v>
      </c>
      <c r="K23" s="361" t="s">
        <v>1045</v>
      </c>
      <c r="L23" s="362">
        <v>982.8</v>
      </c>
      <c r="M23" s="362">
        <v>938.6</v>
      </c>
      <c r="N23" s="363">
        <v>899.23809523809518</v>
      </c>
      <c r="O23" s="363">
        <v>30.895532914285717</v>
      </c>
      <c r="P23" s="241"/>
    </row>
    <row r="24" spans="1:18">
      <c r="A24" s="1733"/>
      <c r="B24" s="1730"/>
      <c r="C24" s="358" t="s">
        <v>1073</v>
      </c>
      <c r="D24" s="359" t="s">
        <v>1074</v>
      </c>
      <c r="E24" s="360">
        <v>0</v>
      </c>
      <c r="F24" s="360">
        <v>0</v>
      </c>
      <c r="G24" s="360">
        <v>0</v>
      </c>
      <c r="H24" s="360">
        <v>0</v>
      </c>
      <c r="I24" s="371">
        <v>0</v>
      </c>
      <c r="J24" s="371">
        <v>0</v>
      </c>
      <c r="K24" s="361" t="s">
        <v>1075</v>
      </c>
      <c r="L24" s="362">
        <v>1440</v>
      </c>
      <c r="M24" s="362">
        <v>1540</v>
      </c>
      <c r="N24" s="368">
        <v>0</v>
      </c>
      <c r="O24" s="368">
        <v>0</v>
      </c>
      <c r="P24" s="241"/>
    </row>
    <row r="25" spans="1:18">
      <c r="A25" s="1733"/>
      <c r="B25" s="1730"/>
      <c r="C25" s="1181" t="s">
        <v>1076</v>
      </c>
      <c r="D25" s="1188"/>
      <c r="E25" s="1183">
        <v>33272</v>
      </c>
      <c r="F25" s="1183">
        <f t="shared" ref="F25" si="2">SUM(F22:F24)</f>
        <v>6793</v>
      </c>
      <c r="G25" s="1183">
        <v>4344</v>
      </c>
      <c r="H25" s="1183">
        <v>1926.5990848000001</v>
      </c>
      <c r="I25" s="1183">
        <v>261.55919999999998</v>
      </c>
      <c r="J25" s="1183">
        <v>206.08150000000001</v>
      </c>
      <c r="K25" s="1189"/>
      <c r="L25" s="1184"/>
      <c r="M25" s="1184"/>
      <c r="N25" s="1185"/>
      <c r="O25" s="1185"/>
      <c r="P25" s="241"/>
    </row>
    <row r="26" spans="1:18">
      <c r="A26" s="1733"/>
      <c r="B26" s="1729" t="s">
        <v>622</v>
      </c>
      <c r="C26" s="358" t="s">
        <v>1077</v>
      </c>
      <c r="D26" s="364" t="s">
        <v>1078</v>
      </c>
      <c r="E26" s="360">
        <v>3292565</v>
      </c>
      <c r="F26" s="360">
        <v>657005</v>
      </c>
      <c r="G26" s="360">
        <v>874610</v>
      </c>
      <c r="H26" s="360">
        <v>211021.86945</v>
      </c>
      <c r="I26" s="360">
        <v>41610.309699999998</v>
      </c>
      <c r="J26" s="360">
        <v>51026.556299999997</v>
      </c>
      <c r="K26" s="361" t="s">
        <v>1079</v>
      </c>
      <c r="L26" s="362">
        <v>6203</v>
      </c>
      <c r="M26" s="362">
        <v>5742</v>
      </c>
      <c r="N26" s="363">
        <v>22384.095238095237</v>
      </c>
      <c r="O26" s="363">
        <v>1298.0238438095239</v>
      </c>
      <c r="P26" s="241"/>
      <c r="Q26" s="1177"/>
      <c r="R26" s="1177"/>
    </row>
    <row r="27" spans="1:18">
      <c r="A27" s="1733"/>
      <c r="B27" s="1730"/>
      <c r="C27" s="358" t="s">
        <v>1080</v>
      </c>
      <c r="D27" s="364" t="s">
        <v>1081</v>
      </c>
      <c r="E27" s="360">
        <v>3697389</v>
      </c>
      <c r="F27" s="360">
        <v>741111</v>
      </c>
      <c r="G27" s="360">
        <v>1037797</v>
      </c>
      <c r="H27" s="360">
        <v>23608.076822000003</v>
      </c>
      <c r="I27" s="360">
        <v>4677.3747999999987</v>
      </c>
      <c r="J27" s="360">
        <v>6058.2981999999993</v>
      </c>
      <c r="K27" s="361" t="s">
        <v>1079</v>
      </c>
      <c r="L27" s="362">
        <v>6207</v>
      </c>
      <c r="M27" s="362">
        <v>5748</v>
      </c>
      <c r="N27" s="363">
        <v>32033.952380952382</v>
      </c>
      <c r="O27" s="363">
        <v>185.63588147619052</v>
      </c>
      <c r="P27" s="241"/>
      <c r="Q27" s="1177"/>
      <c r="R27" s="1177"/>
    </row>
    <row r="28" spans="1:18">
      <c r="A28" s="1733"/>
      <c r="B28" s="1730"/>
      <c r="C28" s="358" t="s">
        <v>1082</v>
      </c>
      <c r="D28" s="364" t="s">
        <v>1083</v>
      </c>
      <c r="E28" s="360">
        <v>17260553</v>
      </c>
      <c r="F28" s="360">
        <v>3051789</v>
      </c>
      <c r="G28" s="360">
        <v>3518449</v>
      </c>
      <c r="H28" s="360">
        <v>422800.48907500005</v>
      </c>
      <c r="I28" s="360">
        <v>68525.110099999991</v>
      </c>
      <c r="J28" s="360">
        <v>90753.037300000011</v>
      </c>
      <c r="K28" s="361" t="s">
        <v>1084</v>
      </c>
      <c r="L28" s="362">
        <v>179</v>
      </c>
      <c r="M28" s="362">
        <v>244</v>
      </c>
      <c r="N28" s="363">
        <v>39687.857142857145</v>
      </c>
      <c r="O28" s="363">
        <v>1034.399099404762</v>
      </c>
      <c r="P28" s="241"/>
      <c r="Q28" s="1177"/>
      <c r="R28" s="1177"/>
    </row>
    <row r="29" spans="1:18">
      <c r="A29" s="1733"/>
      <c r="B29" s="1730"/>
      <c r="C29" s="358" t="s">
        <v>1085</v>
      </c>
      <c r="D29" s="364" t="s">
        <v>1086</v>
      </c>
      <c r="E29" s="360">
        <v>9020719</v>
      </c>
      <c r="F29" s="360">
        <v>1685296</v>
      </c>
      <c r="G29" s="360">
        <v>1960430</v>
      </c>
      <c r="H29" s="360">
        <v>44735.415357500002</v>
      </c>
      <c r="I29" s="360">
        <v>7596.7316999999966</v>
      </c>
      <c r="J29" s="360">
        <v>10188.323999999999</v>
      </c>
      <c r="K29" s="361" t="s">
        <v>1084</v>
      </c>
      <c r="L29" s="362">
        <v>179.1</v>
      </c>
      <c r="M29" s="362">
        <v>244.1</v>
      </c>
      <c r="N29" s="363">
        <v>25168.904761904763</v>
      </c>
      <c r="O29" s="363">
        <v>131.95614452380951</v>
      </c>
      <c r="P29" s="241"/>
      <c r="Q29" s="1177"/>
      <c r="R29" s="1177"/>
    </row>
    <row r="30" spans="1:18">
      <c r="A30" s="1733"/>
      <c r="B30" s="1731"/>
      <c r="C30" s="1181" t="s">
        <v>1087</v>
      </c>
      <c r="D30" s="1188"/>
      <c r="E30" s="1183">
        <v>33271226</v>
      </c>
      <c r="F30" s="1183">
        <f t="shared" ref="F30" si="3">SUM(F26:F29)</f>
        <v>6135201</v>
      </c>
      <c r="G30" s="1183">
        <v>7391286</v>
      </c>
      <c r="H30" s="1183">
        <v>702165.85070449999</v>
      </c>
      <c r="I30" s="1183">
        <v>122409.5263</v>
      </c>
      <c r="J30" s="1183">
        <v>158026.21580000001</v>
      </c>
      <c r="K30" s="1189"/>
      <c r="L30" s="1184"/>
      <c r="M30" s="1184"/>
      <c r="N30" s="1185"/>
      <c r="O30" s="1185"/>
      <c r="P30" s="241"/>
      <c r="Q30" s="1177"/>
      <c r="R30" s="1177"/>
    </row>
    <row r="31" spans="1:18">
      <c r="A31" s="1733"/>
      <c r="B31" s="1729" t="s">
        <v>490</v>
      </c>
      <c r="C31" s="358" t="s">
        <v>1088</v>
      </c>
      <c r="D31" s="359">
        <v>50</v>
      </c>
      <c r="E31" s="360">
        <v>22621</v>
      </c>
      <c r="F31" s="360">
        <v>1859</v>
      </c>
      <c r="G31" s="360">
        <v>1358</v>
      </c>
      <c r="H31" s="360">
        <v>2067.7665899999997</v>
      </c>
      <c r="I31" s="360">
        <v>164.68789999999998</v>
      </c>
      <c r="J31" s="360">
        <v>124.48459999999999</v>
      </c>
      <c r="K31" s="361" t="s">
        <v>1089</v>
      </c>
      <c r="L31" s="362">
        <v>17900</v>
      </c>
      <c r="M31" s="362">
        <v>18798</v>
      </c>
      <c r="N31" s="363">
        <v>76.904761904761898</v>
      </c>
      <c r="O31" s="363">
        <v>7.0559823809523818</v>
      </c>
      <c r="P31" s="241"/>
      <c r="Q31" s="1177"/>
      <c r="R31" s="1177"/>
    </row>
    <row r="32" spans="1:18">
      <c r="A32" s="1733"/>
      <c r="B32" s="1730"/>
      <c r="C32" s="358" t="s">
        <v>1090</v>
      </c>
      <c r="D32" s="359">
        <v>50</v>
      </c>
      <c r="E32" s="360">
        <v>0</v>
      </c>
      <c r="F32" s="372">
        <v>0</v>
      </c>
      <c r="G32" s="372">
        <v>0</v>
      </c>
      <c r="H32" s="360">
        <v>0</v>
      </c>
      <c r="I32" s="372">
        <v>0</v>
      </c>
      <c r="J32" s="372">
        <v>0</v>
      </c>
      <c r="K32" s="361" t="s">
        <v>1089</v>
      </c>
      <c r="L32" s="362">
        <v>17203</v>
      </c>
      <c r="M32" s="362">
        <v>18005</v>
      </c>
      <c r="N32" s="363">
        <v>0</v>
      </c>
      <c r="O32" s="363">
        <v>0</v>
      </c>
      <c r="P32" s="241"/>
      <c r="Q32" s="1177"/>
      <c r="R32" s="1177"/>
    </row>
    <row r="33" spans="1:18">
      <c r="A33" s="1733"/>
      <c r="B33" s="1731"/>
      <c r="C33" s="1181" t="s">
        <v>1091</v>
      </c>
      <c r="D33" s="1182"/>
      <c r="E33" s="1183">
        <v>22621</v>
      </c>
      <c r="F33" s="1183">
        <f t="shared" ref="F33" si="4">SUM(F31:F32)</f>
        <v>1859</v>
      </c>
      <c r="G33" s="1183">
        <v>1358</v>
      </c>
      <c r="H33" s="1183">
        <v>2067.7665899999997</v>
      </c>
      <c r="I33" s="1183">
        <v>164.68789999999998</v>
      </c>
      <c r="J33" s="1183">
        <v>124.48459999999999</v>
      </c>
      <c r="K33" s="1189"/>
      <c r="L33" s="1184"/>
      <c r="M33" s="1184"/>
      <c r="N33" s="1185"/>
      <c r="O33" s="1185"/>
      <c r="P33" s="241"/>
      <c r="Q33" s="1177"/>
      <c r="R33" s="1177"/>
    </row>
    <row r="34" spans="1:18" ht="30">
      <c r="A34" s="1734"/>
      <c r="B34" s="1191" t="s">
        <v>1092</v>
      </c>
      <c r="C34" s="1191" t="s">
        <v>1092</v>
      </c>
      <c r="D34" s="1192"/>
      <c r="E34" s="1193">
        <v>80638295</v>
      </c>
      <c r="F34" s="1193">
        <f t="shared" ref="F34" si="5">SUM(F11,F21,F25,F30,F33)</f>
        <v>14184532</v>
      </c>
      <c r="G34" s="1193">
        <v>14836090</v>
      </c>
      <c r="H34" s="1193">
        <v>3440187.1705879001</v>
      </c>
      <c r="I34" s="1193">
        <v>570578.60710000014</v>
      </c>
      <c r="J34" s="1193">
        <v>610108.41419999988</v>
      </c>
      <c r="K34" s="1194"/>
      <c r="L34" s="1184"/>
      <c r="M34" s="1184"/>
      <c r="N34" s="1185"/>
      <c r="O34" s="1185"/>
      <c r="P34" s="241"/>
      <c r="Q34" s="1177"/>
      <c r="R34" s="1177"/>
    </row>
    <row r="35" spans="1:18">
      <c r="A35" s="1729" t="s">
        <v>1093</v>
      </c>
      <c r="B35" s="1732" t="s">
        <v>1004</v>
      </c>
      <c r="C35" s="358" t="s">
        <v>1032</v>
      </c>
      <c r="D35" s="359" t="s">
        <v>1033</v>
      </c>
      <c r="E35" s="360">
        <v>2192960</v>
      </c>
      <c r="F35" s="360">
        <v>197932</v>
      </c>
      <c r="G35" s="360">
        <v>529015</v>
      </c>
      <c r="H35" s="360">
        <v>1587212.8159700001</v>
      </c>
      <c r="I35" s="360">
        <v>141367.06220000004</v>
      </c>
      <c r="J35" s="360">
        <v>388233.2512</v>
      </c>
      <c r="K35" s="361" t="s">
        <v>1034</v>
      </c>
      <c r="L35" s="373"/>
      <c r="M35" s="373"/>
      <c r="N35" s="363">
        <v>12556.761904761905</v>
      </c>
      <c r="O35" s="363">
        <v>9017.6572821428563</v>
      </c>
      <c r="P35" s="241"/>
      <c r="Q35" s="1177"/>
      <c r="R35" s="1177"/>
    </row>
    <row r="36" spans="1:18">
      <c r="A36" s="1730"/>
      <c r="B36" s="1733"/>
      <c r="C36" s="358" t="s">
        <v>1035</v>
      </c>
      <c r="D36" s="359" t="s">
        <v>1036</v>
      </c>
      <c r="E36" s="360">
        <v>6090118</v>
      </c>
      <c r="F36" s="360">
        <v>1274102</v>
      </c>
      <c r="G36" s="360">
        <v>1263901</v>
      </c>
      <c r="H36" s="360">
        <v>440430.90474750003</v>
      </c>
      <c r="I36" s="360">
        <v>90930.035799999867</v>
      </c>
      <c r="J36" s="360">
        <v>93291.482999999993</v>
      </c>
      <c r="K36" s="361" t="s">
        <v>1034</v>
      </c>
      <c r="L36" s="373"/>
      <c r="M36" s="373"/>
      <c r="N36" s="363">
        <v>15395.904761904761</v>
      </c>
      <c r="O36" s="363">
        <v>1127.3714055</v>
      </c>
      <c r="P36" s="1015"/>
      <c r="Q36" s="1177"/>
      <c r="R36" s="1177"/>
    </row>
    <row r="37" spans="1:18">
      <c r="A37" s="1730"/>
      <c r="B37" s="1733"/>
      <c r="C37" s="358" t="s">
        <v>1043</v>
      </c>
      <c r="D37" s="359" t="s">
        <v>1044</v>
      </c>
      <c r="E37" s="360">
        <v>3395156</v>
      </c>
      <c r="F37" s="360">
        <v>970749</v>
      </c>
      <c r="G37" s="360">
        <v>154128</v>
      </c>
      <c r="H37" s="360">
        <v>883555.7339789999</v>
      </c>
      <c r="I37" s="360">
        <v>247813.14659999963</v>
      </c>
      <c r="J37" s="360">
        <v>42271.699799999995</v>
      </c>
      <c r="K37" s="361" t="s">
        <v>1045</v>
      </c>
      <c r="L37" s="373"/>
      <c r="M37" s="373"/>
      <c r="N37" s="363">
        <v>9379.7142857142862</v>
      </c>
      <c r="O37" s="363">
        <v>2548.9350029285715</v>
      </c>
      <c r="P37" s="241"/>
      <c r="Q37" s="1177"/>
      <c r="R37" s="1177"/>
    </row>
    <row r="38" spans="1:18">
      <c r="A38" s="1730"/>
      <c r="B38" s="1733"/>
      <c r="C38" s="358" t="s">
        <v>1046</v>
      </c>
      <c r="D38" s="359" t="s">
        <v>1047</v>
      </c>
      <c r="E38" s="360">
        <v>3758327</v>
      </c>
      <c r="F38" s="360">
        <v>1164696</v>
      </c>
      <c r="G38" s="360">
        <v>349050</v>
      </c>
      <c r="H38" s="360">
        <v>165124.51016900002</v>
      </c>
      <c r="I38" s="360">
        <v>49197.392499999936</v>
      </c>
      <c r="J38" s="360">
        <v>15927.993400000001</v>
      </c>
      <c r="K38" s="361" t="s">
        <v>1045</v>
      </c>
      <c r="L38" s="373"/>
      <c r="M38" s="373"/>
      <c r="N38" s="363">
        <v>13460.619047619048</v>
      </c>
      <c r="O38" s="363">
        <v>610.68962053571431</v>
      </c>
      <c r="P38" s="241"/>
      <c r="Q38" s="1177"/>
      <c r="R38" s="1177"/>
    </row>
    <row r="39" spans="1:18">
      <c r="A39" s="1730"/>
      <c r="B39" s="1734"/>
      <c r="C39" s="1181" t="s">
        <v>1050</v>
      </c>
      <c r="D39" s="1188"/>
      <c r="E39" s="1183">
        <v>15436561</v>
      </c>
      <c r="F39" s="1183">
        <f t="shared" ref="F39" si="6">SUM(F35:F38)</f>
        <v>3607479</v>
      </c>
      <c r="G39" s="1183">
        <v>2296094</v>
      </c>
      <c r="H39" s="1183">
        <v>3076323.9648655001</v>
      </c>
      <c r="I39" s="1183">
        <v>529307.63709999947</v>
      </c>
      <c r="J39" s="1183">
        <v>539724.42740000004</v>
      </c>
      <c r="K39" s="1189"/>
      <c r="L39" s="1184"/>
      <c r="M39" s="1184"/>
      <c r="N39" s="1185"/>
      <c r="O39" s="1185"/>
      <c r="P39" s="241"/>
      <c r="Q39" s="1177"/>
      <c r="R39" s="1177"/>
    </row>
    <row r="40" spans="1:18">
      <c r="A40" s="1730"/>
      <c r="B40" s="1729" t="s">
        <v>1051</v>
      </c>
      <c r="C40" s="1195" t="s">
        <v>1056</v>
      </c>
      <c r="D40" s="364" t="s">
        <v>1057</v>
      </c>
      <c r="E40" s="360">
        <v>76808</v>
      </c>
      <c r="F40" s="360">
        <v>20388</v>
      </c>
      <c r="G40" s="360">
        <v>21712</v>
      </c>
      <c r="H40" s="360">
        <v>16102.500152500001</v>
      </c>
      <c r="I40" s="360">
        <v>4116.363000000003</v>
      </c>
      <c r="J40" s="360">
        <v>4451.1838000000007</v>
      </c>
      <c r="K40" s="361" t="s">
        <v>1045</v>
      </c>
      <c r="L40" s="1196"/>
      <c r="M40" s="1196"/>
      <c r="N40" s="363">
        <v>855.66666666666663</v>
      </c>
      <c r="O40" s="363">
        <v>175.65679452380951</v>
      </c>
      <c r="P40" s="241"/>
      <c r="Q40" s="1177"/>
      <c r="R40" s="1177"/>
    </row>
    <row r="41" spans="1:18">
      <c r="A41" s="1730"/>
      <c r="B41" s="1730"/>
      <c r="C41" s="358" t="s">
        <v>1060</v>
      </c>
      <c r="D41" s="364" t="s">
        <v>1061</v>
      </c>
      <c r="E41" s="360">
        <v>0</v>
      </c>
      <c r="F41" s="372">
        <v>0</v>
      </c>
      <c r="G41" s="372">
        <v>0</v>
      </c>
      <c r="H41" s="360">
        <v>0</v>
      </c>
      <c r="I41" s="372">
        <v>0</v>
      </c>
      <c r="J41" s="372">
        <v>0</v>
      </c>
      <c r="K41" s="361" t="s">
        <v>1045</v>
      </c>
      <c r="L41" s="1196"/>
      <c r="M41" s="1196"/>
      <c r="N41" s="363">
        <v>0</v>
      </c>
      <c r="O41" s="363">
        <v>0</v>
      </c>
      <c r="P41" s="241"/>
      <c r="Q41" s="1177"/>
      <c r="R41" s="1177"/>
    </row>
    <row r="42" spans="1:18">
      <c r="A42" s="1730"/>
      <c r="B42" s="1730"/>
      <c r="C42" s="1195" t="s">
        <v>1064</v>
      </c>
      <c r="D42" s="364" t="s">
        <v>1053</v>
      </c>
      <c r="E42" s="360">
        <v>6248</v>
      </c>
      <c r="F42" s="360">
        <v>905</v>
      </c>
      <c r="G42" s="360">
        <v>2260</v>
      </c>
      <c r="H42" s="360">
        <v>823.27629999999999</v>
      </c>
      <c r="I42" s="360">
        <v>118.25909999999998</v>
      </c>
      <c r="J42" s="360">
        <v>310.11780000000005</v>
      </c>
      <c r="K42" s="361" t="s">
        <v>1045</v>
      </c>
      <c r="L42" s="1196"/>
      <c r="M42" s="1196"/>
      <c r="N42" s="363">
        <v>106.71428571428571</v>
      </c>
      <c r="O42" s="363">
        <v>14.551811428571428</v>
      </c>
      <c r="P42" s="241"/>
      <c r="Q42" s="1177"/>
      <c r="R42" s="1177"/>
    </row>
    <row r="43" spans="1:18">
      <c r="A43" s="1730"/>
      <c r="B43" s="1731"/>
      <c r="C43" s="1181" t="s">
        <v>1066</v>
      </c>
      <c r="D43" s="1188"/>
      <c r="E43" s="1183">
        <v>83056</v>
      </c>
      <c r="F43" s="1183">
        <f t="shared" ref="F43" si="7">SUM(F40:F42)</f>
        <v>21293</v>
      </c>
      <c r="G43" s="1183">
        <v>23972</v>
      </c>
      <c r="H43" s="1183">
        <v>16925.776452500002</v>
      </c>
      <c r="I43" s="1183">
        <v>4234.6221000000032</v>
      </c>
      <c r="J43" s="1183">
        <v>4761.3016000000007</v>
      </c>
      <c r="K43" s="1189"/>
      <c r="L43" s="1184"/>
      <c r="M43" s="1184"/>
      <c r="N43" s="1185"/>
      <c r="O43" s="1185"/>
      <c r="P43" s="241"/>
      <c r="Q43" s="1177"/>
      <c r="R43" s="1177"/>
    </row>
    <row r="44" spans="1:18">
      <c r="A44" s="1730"/>
      <c r="B44" s="1729" t="s">
        <v>622</v>
      </c>
      <c r="C44" s="1195" t="s">
        <v>1077</v>
      </c>
      <c r="D44" s="364" t="s">
        <v>1078</v>
      </c>
      <c r="E44" s="360">
        <v>254183731</v>
      </c>
      <c r="F44" s="360">
        <v>46976784</v>
      </c>
      <c r="G44" s="360">
        <v>61658290</v>
      </c>
      <c r="H44" s="360">
        <v>16632272.890861999</v>
      </c>
      <c r="I44" s="360">
        <v>3043051.4398999941</v>
      </c>
      <c r="J44" s="360">
        <v>3665427.8764</v>
      </c>
      <c r="K44" s="361" t="s">
        <v>1079</v>
      </c>
      <c r="L44" s="1196"/>
      <c r="M44" s="1196"/>
      <c r="N44" s="363">
        <v>230716.52380952382</v>
      </c>
      <c r="O44" s="363">
        <v>14164.413050380952</v>
      </c>
      <c r="P44" s="241"/>
      <c r="Q44" s="1177"/>
      <c r="R44" s="1177"/>
    </row>
    <row r="45" spans="1:18">
      <c r="A45" s="1730"/>
      <c r="B45" s="1730"/>
      <c r="C45" s="1195" t="s">
        <v>1080</v>
      </c>
      <c r="D45" s="364" t="s">
        <v>1081</v>
      </c>
      <c r="E45" s="360">
        <v>10774741</v>
      </c>
      <c r="F45" s="360">
        <v>2560180</v>
      </c>
      <c r="G45" s="360">
        <v>5513050</v>
      </c>
      <c r="H45" s="360">
        <v>68541.623867599992</v>
      </c>
      <c r="I45" s="360">
        <v>16751.390200000009</v>
      </c>
      <c r="J45" s="360">
        <v>33456.758099999999</v>
      </c>
      <c r="K45" s="361" t="s">
        <v>1079</v>
      </c>
      <c r="L45" s="1196"/>
      <c r="M45" s="1196"/>
      <c r="N45" s="363">
        <v>31878.666666666668</v>
      </c>
      <c r="O45" s="363">
        <v>197.25951849047618</v>
      </c>
      <c r="P45" s="241"/>
      <c r="Q45" s="1177"/>
      <c r="R45" s="1177"/>
    </row>
    <row r="46" spans="1:18">
      <c r="A46" s="1730"/>
      <c r="B46" s="1730"/>
      <c r="C46" s="358" t="s">
        <v>1082</v>
      </c>
      <c r="D46" s="364" t="s">
        <v>1083</v>
      </c>
      <c r="E46" s="360">
        <v>89360394</v>
      </c>
      <c r="F46" s="360">
        <v>15159952</v>
      </c>
      <c r="G46" s="360">
        <v>17354554</v>
      </c>
      <c r="H46" s="360">
        <v>2295838.7828250001</v>
      </c>
      <c r="I46" s="360">
        <v>353233.85580000014</v>
      </c>
      <c r="J46" s="360">
        <v>449158.48340000003</v>
      </c>
      <c r="K46" s="361" t="s">
        <v>1084</v>
      </c>
      <c r="L46" s="1196"/>
      <c r="M46" s="1196"/>
      <c r="N46" s="363">
        <v>113204.33333333333</v>
      </c>
      <c r="O46" s="363">
        <v>2827.656625595238</v>
      </c>
      <c r="P46" s="241"/>
      <c r="Q46" s="1177"/>
      <c r="R46" s="1177"/>
    </row>
    <row r="47" spans="1:18">
      <c r="A47" s="1730"/>
      <c r="B47" s="1730"/>
      <c r="C47" s="358" t="s">
        <v>1085</v>
      </c>
      <c r="D47" s="364" t="s">
        <v>1086</v>
      </c>
      <c r="E47" s="360">
        <v>2961061</v>
      </c>
      <c r="F47" s="360">
        <v>700501</v>
      </c>
      <c r="G47" s="360">
        <v>991852</v>
      </c>
      <c r="H47" s="360">
        <v>15289.902616250001</v>
      </c>
      <c r="I47" s="360">
        <v>3273.2084000000032</v>
      </c>
      <c r="J47" s="360">
        <v>5114.2953000000007</v>
      </c>
      <c r="K47" s="361" t="s">
        <v>1084</v>
      </c>
      <c r="L47" s="1196"/>
      <c r="M47" s="1196"/>
      <c r="N47" s="363">
        <v>9074.6190476190477</v>
      </c>
      <c r="O47" s="363">
        <v>45.624689523809536</v>
      </c>
      <c r="P47" s="241"/>
      <c r="Q47" s="1177"/>
      <c r="R47" s="1177"/>
    </row>
    <row r="48" spans="1:18">
      <c r="A48" s="1730"/>
      <c r="B48" s="1731"/>
      <c r="C48" s="1181" t="s">
        <v>1087</v>
      </c>
      <c r="D48" s="1188"/>
      <c r="E48" s="1183">
        <v>357279927</v>
      </c>
      <c r="F48" s="1183">
        <f t="shared" ref="F48" si="8">SUM(F44:F47)</f>
        <v>65397417</v>
      </c>
      <c r="G48" s="1183">
        <v>85517746</v>
      </c>
      <c r="H48" s="1183">
        <v>19011943.200170849</v>
      </c>
      <c r="I48" s="1183">
        <v>3416309.8942999938</v>
      </c>
      <c r="J48" s="1183">
        <v>4153157.4131999998</v>
      </c>
      <c r="K48" s="1189"/>
      <c r="L48" s="1184"/>
      <c r="M48" s="1184"/>
      <c r="N48" s="1185"/>
      <c r="O48" s="1185"/>
      <c r="P48" s="241"/>
      <c r="Q48" s="1177"/>
      <c r="R48" s="1177"/>
    </row>
    <row r="49" spans="1:18" ht="30">
      <c r="A49" s="1731"/>
      <c r="B49" s="1191" t="s">
        <v>1094</v>
      </c>
      <c r="C49" s="1191" t="s">
        <v>1094</v>
      </c>
      <c r="D49" s="1192"/>
      <c r="E49" s="1197">
        <v>372799544</v>
      </c>
      <c r="F49" s="1197">
        <f t="shared" ref="F49" si="9">SUM(F39,F43,F48)</f>
        <v>69026189</v>
      </c>
      <c r="G49" s="1197">
        <v>87837812</v>
      </c>
      <c r="H49" s="1197">
        <v>22105192.941488847</v>
      </c>
      <c r="I49" s="1197">
        <v>3949852.1534999935</v>
      </c>
      <c r="J49" s="1197">
        <v>4697643.1421999997</v>
      </c>
      <c r="K49" s="1194"/>
      <c r="L49" s="1198"/>
      <c r="M49" s="1198"/>
      <c r="N49" s="1198"/>
      <c r="O49" s="1198"/>
      <c r="P49" s="241"/>
      <c r="Q49" s="1177"/>
      <c r="R49" s="1177"/>
    </row>
    <row r="50" spans="1:18" ht="12.6" customHeight="1">
      <c r="A50" s="374" t="s">
        <v>1431</v>
      </c>
      <c r="B50" s="241"/>
      <c r="C50" s="1199"/>
      <c r="D50" s="1200"/>
      <c r="E50" s="1199"/>
      <c r="F50" s="1199"/>
      <c r="G50" s="1199"/>
      <c r="H50" s="1199"/>
      <c r="I50" s="1199"/>
      <c r="J50" s="1199"/>
      <c r="K50" s="1199"/>
      <c r="L50" s="1199"/>
      <c r="M50" s="1199"/>
      <c r="N50" s="1199"/>
      <c r="O50" s="1199"/>
      <c r="P50" s="241"/>
      <c r="Q50" s="1177"/>
      <c r="R50" s="1177"/>
    </row>
    <row r="51" spans="1:18" ht="12.6" customHeight="1">
      <c r="A51" s="1201" t="s">
        <v>507</v>
      </c>
      <c r="B51" s="374"/>
      <c r="C51" s="374"/>
      <c r="D51" s="1202"/>
      <c r="E51" s="374"/>
      <c r="F51" s="374"/>
      <c r="G51" s="374"/>
      <c r="H51" s="374"/>
      <c r="I51" s="374"/>
      <c r="J51" s="374"/>
      <c r="K51" s="374"/>
      <c r="L51" s="374"/>
      <c r="M51" s="374"/>
      <c r="N51" s="374"/>
      <c r="O51" s="374"/>
      <c r="P51" s="241"/>
      <c r="Q51" s="1177"/>
      <c r="R51" s="1177"/>
    </row>
    <row r="52" spans="1:18">
      <c r="A52" s="374" t="s">
        <v>1095</v>
      </c>
      <c r="B52" s="374"/>
      <c r="C52" s="374"/>
      <c r="D52" s="1202"/>
      <c r="E52" s="374"/>
      <c r="F52" s="374"/>
      <c r="G52" s="374"/>
      <c r="H52" s="374"/>
      <c r="I52" s="374"/>
      <c r="J52" s="374"/>
      <c r="K52" s="374"/>
      <c r="L52" s="374"/>
      <c r="M52" s="374"/>
      <c r="N52" s="374"/>
      <c r="O52" s="374"/>
      <c r="P52" s="241"/>
      <c r="Q52" s="1177"/>
      <c r="R52" s="1177"/>
    </row>
    <row r="53" spans="1:18">
      <c r="A53" s="374" t="s">
        <v>1096</v>
      </c>
      <c r="B53" s="374"/>
      <c r="C53" s="374"/>
      <c r="D53" s="1202"/>
      <c r="E53" s="374"/>
      <c r="F53" s="374"/>
      <c r="G53" s="374"/>
      <c r="H53" s="374"/>
      <c r="I53" s="374"/>
      <c r="J53" s="374"/>
      <c r="K53" s="374"/>
      <c r="L53" s="374"/>
      <c r="M53" s="374"/>
      <c r="N53" s="374"/>
      <c r="O53" s="374"/>
      <c r="P53" s="241"/>
      <c r="Q53" s="1177"/>
      <c r="R53" s="1177"/>
    </row>
    <row r="54" spans="1:18">
      <c r="A54" s="374" t="s">
        <v>1097</v>
      </c>
      <c r="B54" s="374"/>
      <c r="C54" s="374"/>
      <c r="D54" s="1202"/>
      <c r="E54" s="374"/>
      <c r="F54" s="374"/>
      <c r="G54" s="374"/>
      <c r="H54" s="374"/>
      <c r="I54" s="374"/>
      <c r="J54" s="374"/>
      <c r="K54" s="374"/>
      <c r="L54" s="374"/>
      <c r="M54" s="374"/>
      <c r="N54" s="374"/>
      <c r="O54" s="374"/>
      <c r="P54" s="241"/>
      <c r="Q54" s="1177"/>
      <c r="R54" s="1177"/>
    </row>
    <row r="55" spans="1:18">
      <c r="A55" s="374" t="s">
        <v>1098</v>
      </c>
      <c r="B55" s="374"/>
      <c r="C55" s="374"/>
      <c r="D55" s="1202"/>
      <c r="E55" s="374"/>
      <c r="F55" s="374"/>
      <c r="G55" s="374"/>
      <c r="H55" s="374"/>
      <c r="I55" s="374"/>
      <c r="J55" s="374"/>
      <c r="K55" s="374"/>
      <c r="L55" s="374"/>
      <c r="M55" s="374"/>
      <c r="N55" s="374"/>
      <c r="O55" s="374"/>
      <c r="P55" s="241"/>
      <c r="Q55" s="1177"/>
      <c r="R55" s="1177"/>
    </row>
    <row r="56" spans="1:18">
      <c r="A56" s="241" t="s">
        <v>1099</v>
      </c>
      <c r="B56" s="1075"/>
      <c r="C56" s="1177"/>
      <c r="D56" s="1203"/>
      <c r="E56" s="1177"/>
      <c r="F56" s="1177"/>
      <c r="G56" s="1177"/>
      <c r="H56" s="1177"/>
      <c r="I56" s="1177"/>
      <c r="J56" s="1177"/>
      <c r="K56" s="1177"/>
      <c r="L56" s="1177"/>
      <c r="M56" s="1177"/>
      <c r="N56" s="1177"/>
      <c r="O56" s="1177"/>
      <c r="P56" s="241"/>
      <c r="Q56" s="1177"/>
      <c r="R56" s="1177"/>
    </row>
    <row r="57" spans="1:18">
      <c r="A57" s="197"/>
      <c r="B57" s="374"/>
      <c r="C57" s="374"/>
      <c r="D57" s="1202"/>
      <c r="E57" s="374"/>
      <c r="F57" s="374"/>
      <c r="G57" s="374"/>
      <c r="H57" s="374"/>
      <c r="I57" s="374"/>
      <c r="J57" s="374"/>
      <c r="K57" s="374"/>
      <c r="L57" s="374"/>
      <c r="M57" s="374"/>
      <c r="N57" s="374"/>
      <c r="O57" s="374"/>
      <c r="P57" s="241"/>
      <c r="Q57" s="1177"/>
      <c r="R57" s="1177"/>
    </row>
    <row r="58" spans="1:18">
      <c r="A58" s="197"/>
      <c r="B58" s="374"/>
      <c r="C58" s="374"/>
      <c r="D58" s="1202"/>
      <c r="E58" s="374"/>
      <c r="F58" s="374"/>
      <c r="G58" s="374"/>
      <c r="H58" s="374"/>
      <c r="I58" s="374"/>
      <c r="J58" s="374"/>
      <c r="K58" s="374"/>
      <c r="L58" s="374"/>
      <c r="M58" s="374"/>
      <c r="N58" s="374"/>
      <c r="O58" s="374"/>
      <c r="P58" s="241"/>
      <c r="Q58" s="1177"/>
      <c r="R58" s="1177"/>
    </row>
    <row r="59" spans="1:18">
      <c r="A59" s="197"/>
      <c r="B59" s="374"/>
      <c r="C59" s="374"/>
      <c r="D59" s="1202"/>
      <c r="E59" s="374"/>
      <c r="F59" s="374"/>
      <c r="G59" s="374"/>
      <c r="H59" s="374"/>
      <c r="I59" s="374"/>
      <c r="J59" s="374"/>
      <c r="K59" s="374"/>
      <c r="L59" s="374"/>
      <c r="M59" s="374"/>
      <c r="N59" s="374"/>
      <c r="O59" s="374"/>
      <c r="P59" s="1190"/>
      <c r="Q59" s="1204"/>
      <c r="R59" s="1177"/>
    </row>
    <row r="60" spans="1:18">
      <c r="A60" s="197"/>
      <c r="B60" s="1075"/>
      <c r="C60" s="241"/>
      <c r="D60" s="1202"/>
      <c r="E60" s="241"/>
      <c r="F60" s="241"/>
      <c r="G60" s="241"/>
      <c r="H60" s="241"/>
      <c r="I60" s="241"/>
      <c r="J60" s="241"/>
      <c r="K60" s="241"/>
      <c r="L60" s="241"/>
      <c r="M60" s="241"/>
      <c r="N60" s="241"/>
      <c r="O60" s="241"/>
      <c r="P60" s="1190"/>
      <c r="Q60" s="1204"/>
      <c r="R60" s="1177"/>
    </row>
  </sheetData>
  <mergeCells count="19">
    <mergeCell ref="L2:M2"/>
    <mergeCell ref="N2:O2"/>
    <mergeCell ref="A4:A34"/>
    <mergeCell ref="B4:B11"/>
    <mergeCell ref="B12:B21"/>
    <mergeCell ref="B22:B25"/>
    <mergeCell ref="B26:B30"/>
    <mergeCell ref="B31:B33"/>
    <mergeCell ref="A2:A3"/>
    <mergeCell ref="B2:B3"/>
    <mergeCell ref="C2:C3"/>
    <mergeCell ref="D2:D3"/>
    <mergeCell ref="E2:G2"/>
    <mergeCell ref="H2:J2"/>
    <mergeCell ref="A35:A49"/>
    <mergeCell ref="B35:B39"/>
    <mergeCell ref="B40:B43"/>
    <mergeCell ref="B44:B48"/>
    <mergeCell ref="K2:K3"/>
  </mergeCells>
  <printOptions horizontalCentered="1"/>
  <pageMargins left="0.7" right="0.7" top="0.75" bottom="0.75" header="0.3" footer="0.3"/>
  <pageSetup paperSize="9" scale="66" fitToHeight="0" orientation="landscape" r:id="rId1"/>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D53"/>
  <sheetViews>
    <sheetView workbookViewId="0">
      <pane xSplit="2" ySplit="3" topLeftCell="C4" activePane="bottomRight" state="frozen"/>
      <selection pane="topRight" activeCell="C1" sqref="C1"/>
      <selection pane="bottomLeft" activeCell="A4" sqref="A4"/>
      <selection pane="bottomRight" activeCell="C4" sqref="C4"/>
    </sheetView>
  </sheetViews>
  <sheetFormatPr defaultColWidth="9.140625" defaultRowHeight="11.25"/>
  <cols>
    <col min="1" max="1" width="11.140625" style="1206" customWidth="1"/>
    <col min="2" max="2" width="11.85546875" style="1206" customWidth="1"/>
    <col min="3" max="3" width="21.28515625" style="1206" customWidth="1"/>
    <col min="4" max="4" width="15.42578125" style="1206" bestFit="1" customWidth="1"/>
    <col min="5" max="5" width="11.5703125" style="1206" customWidth="1"/>
    <col min="6" max="6" width="10.7109375" style="1206" customWidth="1"/>
    <col min="7" max="8" width="10.5703125" style="1206" customWidth="1"/>
    <col min="9" max="11" width="10.140625" style="1228" bestFit="1" customWidth="1"/>
    <col min="12" max="12" width="14.140625" style="1206" customWidth="1"/>
    <col min="13" max="14" width="10" style="1206" bestFit="1" customWidth="1"/>
    <col min="15" max="15" width="10.28515625" style="1206" customWidth="1"/>
    <col min="16" max="16" width="18.5703125" style="1206" customWidth="1"/>
    <col min="17" max="19" width="9.140625" style="1206"/>
    <col min="20" max="20" width="10.7109375" style="1206" bestFit="1" customWidth="1"/>
    <col min="21" max="16384" width="9.140625" style="1206"/>
  </cols>
  <sheetData>
    <row r="1" spans="1:30" ht="18" customHeight="1">
      <c r="A1" s="1750" t="s">
        <v>1432</v>
      </c>
      <c r="B1" s="1750"/>
      <c r="C1" s="1750"/>
      <c r="D1" s="1750"/>
      <c r="E1" s="1750"/>
      <c r="F1" s="1750"/>
      <c r="G1" s="1750"/>
      <c r="H1" s="1750"/>
      <c r="I1" s="1750"/>
      <c r="J1" s="1750"/>
      <c r="K1" s="1750"/>
      <c r="L1" s="1750"/>
      <c r="M1" s="1750"/>
      <c r="N1" s="1750"/>
      <c r="O1" s="1750"/>
      <c r="P1" s="1750"/>
    </row>
    <row r="2" spans="1:30" ht="15">
      <c r="A2" s="1751" t="s">
        <v>1022</v>
      </c>
      <c r="B2" s="1751" t="s">
        <v>1023</v>
      </c>
      <c r="C2" s="1751" t="s">
        <v>1024</v>
      </c>
      <c r="D2" s="1752" t="s">
        <v>1101</v>
      </c>
      <c r="E2" s="1752" t="s">
        <v>1025</v>
      </c>
      <c r="F2" s="1754" t="s">
        <v>502</v>
      </c>
      <c r="G2" s="1755"/>
      <c r="H2" s="1756"/>
      <c r="I2" s="1757" t="s">
        <v>232</v>
      </c>
      <c r="J2" s="1757"/>
      <c r="K2" s="1757"/>
      <c r="L2" s="1752" t="s">
        <v>1026</v>
      </c>
      <c r="M2" s="1755"/>
      <c r="N2" s="1756"/>
      <c r="O2" s="1751" t="s">
        <v>1100</v>
      </c>
      <c r="P2" s="1751"/>
    </row>
    <row r="3" spans="1:30" ht="30" customHeight="1">
      <c r="A3" s="1751"/>
      <c r="B3" s="1751"/>
      <c r="C3" s="1751"/>
      <c r="D3" s="1753" t="s">
        <v>1101</v>
      </c>
      <c r="E3" s="1753"/>
      <c r="F3" s="1180" t="s">
        <v>703</v>
      </c>
      <c r="G3" s="1207">
        <v>45505</v>
      </c>
      <c r="H3" s="1207">
        <v>45536</v>
      </c>
      <c r="I3" s="1208" t="s">
        <v>703</v>
      </c>
      <c r="J3" s="1209">
        <v>45505</v>
      </c>
      <c r="K3" s="1209">
        <v>45536</v>
      </c>
      <c r="L3" s="1753"/>
      <c r="M3" s="1209">
        <v>45505</v>
      </c>
      <c r="N3" s="1209">
        <v>45536</v>
      </c>
      <c r="O3" s="1180" t="s">
        <v>501</v>
      </c>
      <c r="P3" s="1180" t="s">
        <v>1182</v>
      </c>
      <c r="U3" s="1210"/>
      <c r="V3" s="1210"/>
    </row>
    <row r="4" spans="1:30" ht="15.75">
      <c r="A4" s="1744" t="s">
        <v>1102</v>
      </c>
      <c r="B4" s="1744" t="s">
        <v>1103</v>
      </c>
      <c r="C4" s="375" t="s">
        <v>1104</v>
      </c>
      <c r="D4" s="376" t="s">
        <v>1105</v>
      </c>
      <c r="E4" s="377" t="s">
        <v>1106</v>
      </c>
      <c r="F4" s="378">
        <v>0</v>
      </c>
      <c r="G4" s="378">
        <v>0</v>
      </c>
      <c r="H4" s="378">
        <v>0</v>
      </c>
      <c r="I4" s="1211">
        <v>0</v>
      </c>
      <c r="J4" s="1211">
        <v>0</v>
      </c>
      <c r="K4" s="1211">
        <v>0</v>
      </c>
      <c r="L4" s="378" t="s">
        <v>1107</v>
      </c>
      <c r="M4" s="1211">
        <v>2454</v>
      </c>
      <c r="N4" s="1211">
        <v>2459</v>
      </c>
      <c r="O4" s="1211">
        <v>0</v>
      </c>
      <c r="P4" s="1211">
        <v>0</v>
      </c>
      <c r="Q4" s="1212"/>
      <c r="AD4" s="1213"/>
    </row>
    <row r="5" spans="1:30" ht="15.75">
      <c r="A5" s="1744"/>
      <c r="B5" s="1744"/>
      <c r="C5" s="375" t="s">
        <v>1108</v>
      </c>
      <c r="D5" s="376" t="s">
        <v>1109</v>
      </c>
      <c r="E5" s="377" t="s">
        <v>1106</v>
      </c>
      <c r="F5" s="378">
        <v>3</v>
      </c>
      <c r="G5" s="378">
        <v>0</v>
      </c>
      <c r="H5" s="378">
        <v>0</v>
      </c>
      <c r="I5" s="1211">
        <v>0.06</v>
      </c>
      <c r="J5" s="1211">
        <v>0</v>
      </c>
      <c r="K5" s="1211">
        <v>0</v>
      </c>
      <c r="L5" s="378" t="s">
        <v>1107</v>
      </c>
      <c r="M5" s="1211">
        <v>2300</v>
      </c>
      <c r="N5" s="1211">
        <v>2379</v>
      </c>
      <c r="O5" s="1211">
        <v>0</v>
      </c>
      <c r="P5" s="1211">
        <v>0</v>
      </c>
      <c r="Q5" s="1212"/>
      <c r="AD5" s="1213"/>
    </row>
    <row r="6" spans="1:30" ht="15.75">
      <c r="A6" s="1744"/>
      <c r="B6" s="1744"/>
      <c r="C6" s="375" t="s">
        <v>1110</v>
      </c>
      <c r="D6" s="376" t="s">
        <v>1110</v>
      </c>
      <c r="E6" s="377" t="s">
        <v>1111</v>
      </c>
      <c r="F6" s="378">
        <v>0</v>
      </c>
      <c r="G6" s="378">
        <v>0</v>
      </c>
      <c r="H6" s="378">
        <v>0</v>
      </c>
      <c r="I6" s="1211">
        <v>0</v>
      </c>
      <c r="J6" s="1211">
        <v>0</v>
      </c>
      <c r="K6" s="1211">
        <v>0</v>
      </c>
      <c r="L6" s="378" t="s">
        <v>1112</v>
      </c>
      <c r="M6" s="1211">
        <v>1248</v>
      </c>
      <c r="N6" s="1211">
        <v>1356</v>
      </c>
      <c r="O6" s="1211">
        <v>0</v>
      </c>
      <c r="P6" s="1211">
        <v>0</v>
      </c>
      <c r="Q6" s="1212"/>
      <c r="AD6" s="1213"/>
    </row>
    <row r="7" spans="1:30" ht="15">
      <c r="A7" s="1744"/>
      <c r="B7" s="1744"/>
      <c r="C7" s="375" t="s">
        <v>1113</v>
      </c>
      <c r="D7" s="376" t="s">
        <v>1114</v>
      </c>
      <c r="E7" s="377" t="s">
        <v>1053</v>
      </c>
      <c r="F7" s="378">
        <v>264233</v>
      </c>
      <c r="G7" s="378">
        <v>48040</v>
      </c>
      <c r="H7" s="378">
        <v>66052</v>
      </c>
      <c r="I7" s="1211">
        <v>8033.0499999999993</v>
      </c>
      <c r="J7" s="1211">
        <v>1489.3</v>
      </c>
      <c r="K7" s="1211">
        <v>2137.9299999999998</v>
      </c>
      <c r="L7" s="378" t="s">
        <v>1107</v>
      </c>
      <c r="M7" s="1211">
        <v>6157</v>
      </c>
      <c r="N7" s="1211">
        <v>6927</v>
      </c>
      <c r="O7" s="1211">
        <v>9180</v>
      </c>
      <c r="P7" s="1211">
        <v>296</v>
      </c>
      <c r="Q7" s="1212"/>
    </row>
    <row r="8" spans="1:30" ht="15">
      <c r="A8" s="1744"/>
      <c r="B8" s="1744"/>
      <c r="C8" s="375" t="s">
        <v>1115</v>
      </c>
      <c r="D8" s="376" t="s">
        <v>1116</v>
      </c>
      <c r="E8" s="377" t="s">
        <v>1106</v>
      </c>
      <c r="F8" s="378">
        <v>0</v>
      </c>
      <c r="G8" s="378">
        <v>0</v>
      </c>
      <c r="H8" s="378">
        <v>0</v>
      </c>
      <c r="I8" s="1211">
        <v>0</v>
      </c>
      <c r="J8" s="1211">
        <v>0</v>
      </c>
      <c r="K8" s="1211">
        <v>0</v>
      </c>
      <c r="L8" s="378" t="s">
        <v>1107</v>
      </c>
      <c r="M8" s="1211" t="s">
        <v>233</v>
      </c>
      <c r="N8" s="1211" t="s">
        <v>233</v>
      </c>
      <c r="O8" s="1211" t="s">
        <v>233</v>
      </c>
      <c r="P8" s="1211" t="s">
        <v>233</v>
      </c>
      <c r="Q8" s="1212"/>
    </row>
    <row r="9" spans="1:30" ht="15">
      <c r="A9" s="1744"/>
      <c r="B9" s="1744"/>
      <c r="C9" s="375" t="s">
        <v>1117</v>
      </c>
      <c r="D9" s="376" t="s">
        <v>1118</v>
      </c>
      <c r="E9" s="377" t="s">
        <v>1119</v>
      </c>
      <c r="F9" s="378">
        <v>0</v>
      </c>
      <c r="G9" s="378">
        <v>0</v>
      </c>
      <c r="H9" s="378">
        <v>0</v>
      </c>
      <c r="I9" s="1211">
        <v>0</v>
      </c>
      <c r="J9" s="1211">
        <v>0</v>
      </c>
      <c r="K9" s="1211">
        <v>0</v>
      </c>
      <c r="L9" s="378" t="s">
        <v>1107</v>
      </c>
      <c r="M9" s="1211" t="s">
        <v>233</v>
      </c>
      <c r="N9" s="1211" t="s">
        <v>233</v>
      </c>
      <c r="O9" s="1211" t="s">
        <v>233</v>
      </c>
      <c r="P9" s="1211" t="s">
        <v>233</v>
      </c>
      <c r="Q9" s="1212"/>
    </row>
    <row r="10" spans="1:30" ht="15.75">
      <c r="A10" s="1744"/>
      <c r="B10" s="1744"/>
      <c r="C10" s="375" t="s">
        <v>1120</v>
      </c>
      <c r="D10" s="376" t="s">
        <v>1121</v>
      </c>
      <c r="E10" s="377" t="s">
        <v>1053</v>
      </c>
      <c r="F10" s="378">
        <v>150214</v>
      </c>
      <c r="G10" s="378">
        <v>24706</v>
      </c>
      <c r="H10" s="378">
        <v>26869</v>
      </c>
      <c r="I10" s="1211">
        <v>5474.1200000000008</v>
      </c>
      <c r="J10" s="1211">
        <v>857.8</v>
      </c>
      <c r="K10" s="1211">
        <v>949.85</v>
      </c>
      <c r="L10" s="378" t="s">
        <v>1107</v>
      </c>
      <c r="M10" s="1211">
        <v>6946</v>
      </c>
      <c r="N10" s="1211">
        <v>7436</v>
      </c>
      <c r="O10" s="1211">
        <v>5722</v>
      </c>
      <c r="P10" s="1211">
        <v>204</v>
      </c>
      <c r="Q10" s="1212"/>
      <c r="AD10" s="1213"/>
    </row>
    <row r="11" spans="1:30" ht="15.75">
      <c r="A11" s="1744"/>
      <c r="B11" s="1744"/>
      <c r="C11" s="375" t="s">
        <v>1122</v>
      </c>
      <c r="D11" s="376" t="s">
        <v>1123</v>
      </c>
      <c r="E11" s="377" t="s">
        <v>1119</v>
      </c>
      <c r="F11" s="378">
        <v>0</v>
      </c>
      <c r="G11" s="378">
        <v>0</v>
      </c>
      <c r="H11" s="378">
        <v>0</v>
      </c>
      <c r="I11" s="1211">
        <v>0</v>
      </c>
      <c r="J11" s="1211">
        <v>0</v>
      </c>
      <c r="K11" s="1211">
        <v>0</v>
      </c>
      <c r="L11" s="378" t="s">
        <v>1124</v>
      </c>
      <c r="M11" s="1211">
        <v>27610</v>
      </c>
      <c r="N11" s="1211">
        <v>28310</v>
      </c>
      <c r="O11" s="1211">
        <v>0</v>
      </c>
      <c r="P11" s="1211">
        <v>0</v>
      </c>
      <c r="Q11" s="1212"/>
      <c r="AD11" s="1213"/>
    </row>
    <row r="12" spans="1:30" ht="15.75">
      <c r="A12" s="1744"/>
      <c r="B12" s="1744"/>
      <c r="C12" s="375" t="s">
        <v>1125</v>
      </c>
      <c r="D12" s="376" t="s">
        <v>1126</v>
      </c>
      <c r="E12" s="377" t="s">
        <v>1106</v>
      </c>
      <c r="F12" s="378">
        <v>353690</v>
      </c>
      <c r="G12" s="378">
        <v>52334</v>
      </c>
      <c r="H12" s="378">
        <v>29837</v>
      </c>
      <c r="I12" s="1211">
        <v>10045.450000000001</v>
      </c>
      <c r="J12" s="1211">
        <v>1629.04</v>
      </c>
      <c r="K12" s="1211">
        <v>972.14</v>
      </c>
      <c r="L12" s="378" t="s">
        <v>1107</v>
      </c>
      <c r="M12" s="1211">
        <v>3520</v>
      </c>
      <c r="N12" s="1211">
        <v>3008</v>
      </c>
      <c r="O12" s="1211">
        <v>2955</v>
      </c>
      <c r="P12" s="1211">
        <v>95</v>
      </c>
      <c r="Q12" s="1212"/>
      <c r="AD12" s="1213"/>
    </row>
    <row r="13" spans="1:30" ht="15">
      <c r="A13" s="1744"/>
      <c r="B13" s="1744"/>
      <c r="C13" s="375" t="s">
        <v>1127</v>
      </c>
      <c r="D13" s="376" t="s">
        <v>1127</v>
      </c>
      <c r="E13" s="377" t="s">
        <v>1106</v>
      </c>
      <c r="F13" s="378">
        <v>0</v>
      </c>
      <c r="G13" s="378">
        <v>0</v>
      </c>
      <c r="H13" s="378">
        <v>0</v>
      </c>
      <c r="I13" s="1211">
        <v>0</v>
      </c>
      <c r="J13" s="1211">
        <v>0</v>
      </c>
      <c r="K13" s="1211">
        <v>0</v>
      </c>
      <c r="L13" s="378" t="s">
        <v>1112</v>
      </c>
      <c r="M13" s="1211" t="s">
        <v>233</v>
      </c>
      <c r="N13" s="1211" t="s">
        <v>233</v>
      </c>
      <c r="O13" s="1211" t="s">
        <v>233</v>
      </c>
      <c r="P13" s="1211" t="s">
        <v>233</v>
      </c>
      <c r="Q13" s="1212"/>
    </row>
    <row r="14" spans="1:30" ht="15">
      <c r="A14" s="1744"/>
      <c r="B14" s="1744"/>
      <c r="C14" s="375" t="s">
        <v>1128</v>
      </c>
      <c r="D14" s="376" t="s">
        <v>1129</v>
      </c>
      <c r="E14" s="377" t="s">
        <v>1106</v>
      </c>
      <c r="F14" s="378">
        <v>635670</v>
      </c>
      <c r="G14" s="378">
        <v>102210</v>
      </c>
      <c r="H14" s="378">
        <v>118856</v>
      </c>
      <c r="I14" s="1211">
        <v>17316.73</v>
      </c>
      <c r="J14" s="1211">
        <v>2723.09</v>
      </c>
      <c r="K14" s="1211">
        <v>3280.22</v>
      </c>
      <c r="L14" s="378" t="s">
        <v>1107</v>
      </c>
      <c r="M14" s="1211">
        <v>5293</v>
      </c>
      <c r="N14" s="1211">
        <v>5752</v>
      </c>
      <c r="O14" s="1211">
        <v>11895</v>
      </c>
      <c r="P14" s="1211">
        <v>327</v>
      </c>
      <c r="Q14" s="1212"/>
    </row>
    <row r="15" spans="1:30" ht="15">
      <c r="A15" s="1744"/>
      <c r="B15" s="1744"/>
      <c r="C15" s="375" t="s">
        <v>1130</v>
      </c>
      <c r="D15" s="376" t="s">
        <v>1131</v>
      </c>
      <c r="E15" s="377" t="s">
        <v>1053</v>
      </c>
      <c r="F15" s="378">
        <v>317737</v>
      </c>
      <c r="G15" s="378">
        <v>53841</v>
      </c>
      <c r="H15" s="378">
        <v>59714</v>
      </c>
      <c r="I15" s="1211">
        <v>17090.52</v>
      </c>
      <c r="J15" s="1211">
        <v>2815.78</v>
      </c>
      <c r="K15" s="1211">
        <v>3285.86</v>
      </c>
      <c r="L15" s="378" t="s">
        <v>1107</v>
      </c>
      <c r="M15" s="1211">
        <v>10451</v>
      </c>
      <c r="N15" s="1211">
        <v>11660</v>
      </c>
      <c r="O15" s="1211">
        <v>11003</v>
      </c>
      <c r="P15" s="1211">
        <v>600</v>
      </c>
      <c r="Q15" s="1212"/>
    </row>
    <row r="16" spans="1:30" ht="15">
      <c r="A16" s="1744"/>
      <c r="B16" s="1744"/>
      <c r="C16" s="375" t="s">
        <v>1132</v>
      </c>
      <c r="D16" s="376" t="s">
        <v>1133</v>
      </c>
      <c r="E16" s="377" t="s">
        <v>1134</v>
      </c>
      <c r="F16" s="378">
        <v>0</v>
      </c>
      <c r="G16" s="378">
        <v>0</v>
      </c>
      <c r="H16" s="378">
        <v>0</v>
      </c>
      <c r="I16" s="1211">
        <v>0</v>
      </c>
      <c r="J16" s="1211">
        <v>0</v>
      </c>
      <c r="K16" s="1211">
        <v>0</v>
      </c>
      <c r="L16" s="378" t="s">
        <v>1107</v>
      </c>
      <c r="M16" s="1211">
        <v>5616</v>
      </c>
      <c r="N16" s="1211">
        <v>5460</v>
      </c>
      <c r="O16" s="1211">
        <v>0</v>
      </c>
      <c r="P16" s="1211">
        <v>0</v>
      </c>
      <c r="Q16" s="1212"/>
    </row>
    <row r="17" spans="1:18" ht="15">
      <c r="A17" s="1744"/>
      <c r="B17" s="1744"/>
      <c r="C17" s="375" t="s">
        <v>1135</v>
      </c>
      <c r="D17" s="376" t="s">
        <v>1136</v>
      </c>
      <c r="E17" s="377" t="s">
        <v>1106</v>
      </c>
      <c r="F17" s="378">
        <v>0</v>
      </c>
      <c r="G17" s="378">
        <v>0</v>
      </c>
      <c r="H17" s="378">
        <v>0</v>
      </c>
      <c r="I17" s="1211">
        <v>0</v>
      </c>
      <c r="J17" s="1211">
        <v>0</v>
      </c>
      <c r="K17" s="1211">
        <v>0</v>
      </c>
      <c r="L17" s="378" t="s">
        <v>1137</v>
      </c>
      <c r="M17" s="1211" t="s">
        <v>233</v>
      </c>
      <c r="N17" s="1211" t="s">
        <v>233</v>
      </c>
      <c r="O17" s="1211" t="s">
        <v>233</v>
      </c>
      <c r="P17" s="1211" t="s">
        <v>233</v>
      </c>
      <c r="Q17" s="1212"/>
    </row>
    <row r="18" spans="1:18" ht="15">
      <c r="A18" s="1744"/>
      <c r="B18" s="1744"/>
      <c r="C18" s="375" t="s">
        <v>1138</v>
      </c>
      <c r="D18" s="376" t="s">
        <v>1139</v>
      </c>
      <c r="E18" s="377" t="s">
        <v>1140</v>
      </c>
      <c r="F18" s="378">
        <v>0</v>
      </c>
      <c r="G18" s="378">
        <v>0</v>
      </c>
      <c r="H18" s="378">
        <v>0</v>
      </c>
      <c r="I18" s="1211">
        <v>0</v>
      </c>
      <c r="J18" s="1211">
        <v>0</v>
      </c>
      <c r="K18" s="1211">
        <v>0</v>
      </c>
      <c r="L18" s="378" t="s">
        <v>1107</v>
      </c>
      <c r="M18" s="1211">
        <v>13760</v>
      </c>
      <c r="N18" s="1211">
        <v>14050</v>
      </c>
      <c r="O18" s="1211">
        <v>0</v>
      </c>
      <c r="P18" s="1211">
        <v>0</v>
      </c>
      <c r="Q18" s="1212"/>
    </row>
    <row r="19" spans="1:18" ht="15">
      <c r="A19" s="1744"/>
      <c r="B19" s="1744"/>
      <c r="C19" s="375" t="s">
        <v>1141</v>
      </c>
      <c r="D19" s="376" t="s">
        <v>1142</v>
      </c>
      <c r="E19" s="377"/>
      <c r="F19" s="378">
        <v>21</v>
      </c>
      <c r="G19" s="378">
        <v>0</v>
      </c>
      <c r="H19" s="378">
        <v>0</v>
      </c>
      <c r="I19" s="1211">
        <v>0.49</v>
      </c>
      <c r="J19" s="1211">
        <v>0</v>
      </c>
      <c r="K19" s="1211">
        <v>0</v>
      </c>
      <c r="L19" s="378"/>
      <c r="M19" s="1211">
        <v>25625</v>
      </c>
      <c r="N19" s="1211">
        <v>26885</v>
      </c>
      <c r="O19" s="1211">
        <v>0</v>
      </c>
      <c r="P19" s="1211">
        <v>0</v>
      </c>
      <c r="Q19" s="1212"/>
    </row>
    <row r="20" spans="1:18" ht="15">
      <c r="A20" s="1744"/>
      <c r="B20" s="1744"/>
      <c r="C20" s="375" t="s">
        <v>1141</v>
      </c>
      <c r="D20" s="376" t="s">
        <v>1143</v>
      </c>
      <c r="E20" s="377" t="s">
        <v>1140</v>
      </c>
      <c r="F20" s="378">
        <v>71881</v>
      </c>
      <c r="G20" s="378">
        <v>8780</v>
      </c>
      <c r="H20" s="378">
        <v>10420</v>
      </c>
      <c r="I20" s="1211">
        <v>5688.7900000000009</v>
      </c>
      <c r="J20" s="1211">
        <v>678.83</v>
      </c>
      <c r="K20" s="1211">
        <v>809.02</v>
      </c>
      <c r="L20" s="378" t="s">
        <v>1107</v>
      </c>
      <c r="M20" s="1211">
        <v>25710</v>
      </c>
      <c r="N20" s="1211">
        <v>26575</v>
      </c>
      <c r="O20" s="1211">
        <v>1069</v>
      </c>
      <c r="P20" s="1211">
        <v>83</v>
      </c>
      <c r="Q20" s="1212"/>
    </row>
    <row r="21" spans="1:18" ht="15">
      <c r="A21" s="1744"/>
      <c r="B21" s="1744"/>
      <c r="C21" s="375" t="s">
        <v>1073</v>
      </c>
      <c r="D21" s="376" t="s">
        <v>1144</v>
      </c>
      <c r="E21" s="377" t="s">
        <v>1074</v>
      </c>
      <c r="F21" s="378">
        <v>18856</v>
      </c>
      <c r="G21" s="378">
        <v>4048</v>
      </c>
      <c r="H21" s="378">
        <v>5114</v>
      </c>
      <c r="I21" s="1211">
        <v>598.24</v>
      </c>
      <c r="J21" s="1211">
        <v>130.13999999999999</v>
      </c>
      <c r="K21" s="1211">
        <v>166.11</v>
      </c>
      <c r="L21" s="378" t="s">
        <v>1145</v>
      </c>
      <c r="M21" s="1211">
        <v>1575</v>
      </c>
      <c r="N21" s="1211">
        <v>1615</v>
      </c>
      <c r="O21" s="1211">
        <v>1933</v>
      </c>
      <c r="P21" s="1211">
        <v>63</v>
      </c>
      <c r="Q21" s="1212"/>
    </row>
    <row r="22" spans="1:18" ht="15">
      <c r="A22" s="1744"/>
      <c r="B22" s="1744"/>
      <c r="C22" s="375" t="s">
        <v>1146</v>
      </c>
      <c r="D22" s="376" t="s">
        <v>1147</v>
      </c>
      <c r="E22" s="377" t="s">
        <v>1106</v>
      </c>
      <c r="F22" s="378">
        <v>0</v>
      </c>
      <c r="G22" s="378">
        <v>0</v>
      </c>
      <c r="H22" s="378">
        <v>0</v>
      </c>
      <c r="I22" s="1211">
        <v>0</v>
      </c>
      <c r="J22" s="1211">
        <v>0</v>
      </c>
      <c r="K22" s="1211">
        <v>0</v>
      </c>
      <c r="L22" s="378" t="s">
        <v>1107</v>
      </c>
      <c r="M22" s="1211">
        <v>2581</v>
      </c>
      <c r="N22" s="1211">
        <v>2559</v>
      </c>
      <c r="O22" s="1211">
        <v>0</v>
      </c>
      <c r="P22" s="1211">
        <v>0</v>
      </c>
      <c r="Q22" s="1212"/>
    </row>
    <row r="23" spans="1:18" ht="15">
      <c r="A23" s="1744"/>
      <c r="B23" s="1744"/>
      <c r="C23" s="375" t="s">
        <v>1148</v>
      </c>
      <c r="D23" s="376" t="s">
        <v>1149</v>
      </c>
      <c r="E23" s="377" t="s">
        <v>1053</v>
      </c>
      <c r="F23" s="378">
        <v>0</v>
      </c>
      <c r="G23" s="378">
        <v>0</v>
      </c>
      <c r="H23" s="378">
        <v>0</v>
      </c>
      <c r="I23" s="1211">
        <v>0</v>
      </c>
      <c r="J23" s="1211">
        <v>0</v>
      </c>
      <c r="K23" s="1211">
        <v>0</v>
      </c>
      <c r="L23" s="378" t="s">
        <v>1112</v>
      </c>
      <c r="M23" s="1211" t="s">
        <v>233</v>
      </c>
      <c r="N23" s="1211" t="s">
        <v>233</v>
      </c>
      <c r="O23" s="1211" t="s">
        <v>233</v>
      </c>
      <c r="P23" s="1211" t="s">
        <v>233</v>
      </c>
      <c r="Q23" s="1212"/>
    </row>
    <row r="24" spans="1:18" ht="15">
      <c r="A24" s="1744"/>
      <c r="B24" s="1744"/>
      <c r="C24" s="375" t="s">
        <v>1150</v>
      </c>
      <c r="D24" s="376" t="s">
        <v>1151</v>
      </c>
      <c r="E24" s="377" t="s">
        <v>1106</v>
      </c>
      <c r="F24" s="378">
        <v>0</v>
      </c>
      <c r="G24" s="378">
        <v>0</v>
      </c>
      <c r="H24" s="378">
        <v>0</v>
      </c>
      <c r="I24" s="1211">
        <v>0</v>
      </c>
      <c r="J24" s="1211">
        <v>0</v>
      </c>
      <c r="K24" s="1211">
        <v>0</v>
      </c>
      <c r="L24" s="378" t="s">
        <v>1107</v>
      </c>
      <c r="M24" s="1211" t="s">
        <v>233</v>
      </c>
      <c r="N24" s="1211" t="s">
        <v>233</v>
      </c>
      <c r="O24" s="1211" t="s">
        <v>233</v>
      </c>
      <c r="P24" s="1211" t="s">
        <v>233</v>
      </c>
      <c r="Q24" s="1212"/>
    </row>
    <row r="25" spans="1:18" ht="15">
      <c r="A25" s="1744"/>
      <c r="B25" s="1744"/>
      <c r="C25" s="375" t="s">
        <v>1152</v>
      </c>
      <c r="D25" s="376" t="s">
        <v>1153</v>
      </c>
      <c r="E25" s="377" t="s">
        <v>1053</v>
      </c>
      <c r="F25" s="378">
        <v>0</v>
      </c>
      <c r="G25" s="378">
        <v>0</v>
      </c>
      <c r="H25" s="378">
        <v>0</v>
      </c>
      <c r="I25" s="1211">
        <v>0</v>
      </c>
      <c r="J25" s="1211">
        <v>0</v>
      </c>
      <c r="K25" s="1211">
        <v>0</v>
      </c>
      <c r="L25" s="378" t="s">
        <v>1107</v>
      </c>
      <c r="M25" s="1211">
        <v>13580</v>
      </c>
      <c r="N25" s="1211">
        <v>14555</v>
      </c>
      <c r="O25" s="1211">
        <v>0</v>
      </c>
      <c r="P25" s="1211">
        <v>0</v>
      </c>
      <c r="Q25" s="1212"/>
    </row>
    <row r="26" spans="1:18" ht="15">
      <c r="A26" s="1744"/>
      <c r="B26" s="1744"/>
      <c r="C26" s="375" t="s">
        <v>1154</v>
      </c>
      <c r="D26" s="376" t="s">
        <v>1155</v>
      </c>
      <c r="E26" s="377" t="s">
        <v>1053</v>
      </c>
      <c r="F26" s="378">
        <v>0</v>
      </c>
      <c r="G26" s="378">
        <v>0</v>
      </c>
      <c r="H26" s="378">
        <v>0</v>
      </c>
      <c r="I26" s="1211">
        <v>0</v>
      </c>
      <c r="J26" s="1211">
        <v>0</v>
      </c>
      <c r="K26" s="1211">
        <v>0</v>
      </c>
      <c r="L26" s="378" t="s">
        <v>1107</v>
      </c>
      <c r="M26" s="1211" t="s">
        <v>233</v>
      </c>
      <c r="N26" s="1211" t="s">
        <v>233</v>
      </c>
      <c r="O26" s="1211" t="s">
        <v>233</v>
      </c>
      <c r="P26" s="1211" t="s">
        <v>233</v>
      </c>
      <c r="Q26" s="1212"/>
    </row>
    <row r="27" spans="1:18" ht="15">
      <c r="A27" s="1744"/>
      <c r="B27" s="1744"/>
      <c r="C27" s="375" t="s">
        <v>1156</v>
      </c>
      <c r="D27" s="376" t="s">
        <v>1157</v>
      </c>
      <c r="E27" s="377" t="s">
        <v>1106</v>
      </c>
      <c r="F27" s="378">
        <v>0</v>
      </c>
      <c r="G27" s="378">
        <v>0</v>
      </c>
      <c r="H27" s="378">
        <v>0</v>
      </c>
      <c r="I27" s="1211">
        <v>0</v>
      </c>
      <c r="J27" s="1211">
        <v>0</v>
      </c>
      <c r="K27" s="1211">
        <v>0</v>
      </c>
      <c r="L27" s="378" t="s">
        <v>1063</v>
      </c>
      <c r="M27" s="1211" t="s">
        <v>233</v>
      </c>
      <c r="N27" s="1211" t="s">
        <v>233</v>
      </c>
      <c r="O27" s="1211" t="s">
        <v>233</v>
      </c>
      <c r="P27" s="1211" t="s">
        <v>233</v>
      </c>
      <c r="Q27" s="1212"/>
    </row>
    <row r="28" spans="1:18" ht="15">
      <c r="A28" s="1744"/>
      <c r="B28" s="1744"/>
      <c r="C28" s="375" t="s">
        <v>1158</v>
      </c>
      <c r="D28" s="376" t="s">
        <v>1159</v>
      </c>
      <c r="E28" s="377" t="s">
        <v>1053</v>
      </c>
      <c r="F28" s="378">
        <v>3717</v>
      </c>
      <c r="G28" s="378">
        <v>308</v>
      </c>
      <c r="H28" s="378">
        <v>418</v>
      </c>
      <c r="I28" s="1211">
        <v>170.06</v>
      </c>
      <c r="J28" s="1211">
        <v>14.08</v>
      </c>
      <c r="K28" s="1211">
        <v>22.26</v>
      </c>
      <c r="L28" s="378"/>
      <c r="M28" s="1211">
        <v>931</v>
      </c>
      <c r="N28" s="1211">
        <v>1197</v>
      </c>
      <c r="O28" s="1211">
        <v>101</v>
      </c>
      <c r="P28" s="1211">
        <v>5</v>
      </c>
      <c r="Q28" s="1212"/>
    </row>
    <row r="29" spans="1:18" ht="15">
      <c r="A29" s="1744"/>
      <c r="B29" s="1744"/>
      <c r="C29" s="375" t="s">
        <v>1160</v>
      </c>
      <c r="D29" s="376" t="s">
        <v>1161</v>
      </c>
      <c r="E29" s="377" t="s">
        <v>1053</v>
      </c>
      <c r="F29" s="378">
        <v>137032</v>
      </c>
      <c r="G29" s="378">
        <v>29986</v>
      </c>
      <c r="H29" s="378">
        <v>16958</v>
      </c>
      <c r="I29" s="1211">
        <v>11439.039999999999</v>
      </c>
      <c r="J29" s="1211">
        <v>2256.48</v>
      </c>
      <c r="K29" s="1211">
        <v>1200.57</v>
      </c>
      <c r="L29" s="378" t="s">
        <v>1107</v>
      </c>
      <c r="M29" s="1211">
        <v>13426</v>
      </c>
      <c r="N29" s="1211">
        <v>14026</v>
      </c>
      <c r="O29" s="1211">
        <v>3657</v>
      </c>
      <c r="P29" s="1211">
        <v>261</v>
      </c>
      <c r="Q29" s="1212"/>
    </row>
    <row r="30" spans="1:18" ht="15">
      <c r="A30" s="1744"/>
      <c r="B30" s="1744"/>
      <c r="C30" s="375" t="s">
        <v>1162</v>
      </c>
      <c r="D30" s="376" t="s">
        <v>1163</v>
      </c>
      <c r="E30" s="377" t="s">
        <v>1106</v>
      </c>
      <c r="F30" s="378">
        <v>0</v>
      </c>
      <c r="G30" s="378">
        <v>0</v>
      </c>
      <c r="H30" s="378">
        <v>0</v>
      </c>
      <c r="I30" s="1211">
        <v>0</v>
      </c>
      <c r="J30" s="1211">
        <v>0</v>
      </c>
      <c r="K30" s="1211">
        <v>0</v>
      </c>
      <c r="L30" s="378" t="s">
        <v>1107</v>
      </c>
      <c r="M30" s="1211" t="s">
        <v>233</v>
      </c>
      <c r="N30" s="1211" t="s">
        <v>233</v>
      </c>
      <c r="O30" s="1211" t="s">
        <v>233</v>
      </c>
      <c r="P30" s="1211" t="s">
        <v>233</v>
      </c>
      <c r="Q30" s="1212"/>
    </row>
    <row r="31" spans="1:18" s="1217" customFormat="1" ht="15">
      <c r="A31" s="1744"/>
      <c r="B31" s="1745"/>
      <c r="C31" s="1214" t="s">
        <v>1076</v>
      </c>
      <c r="D31" s="1214"/>
      <c r="E31" s="1215"/>
      <c r="F31" s="1215">
        <v>1953553</v>
      </c>
      <c r="G31" s="1215">
        <v>324253</v>
      </c>
      <c r="H31" s="1215">
        <v>334737</v>
      </c>
      <c r="I31" s="1216">
        <v>75883.360000000001</v>
      </c>
      <c r="J31" s="1216">
        <v>12594.539999999999</v>
      </c>
      <c r="K31" s="1216">
        <v>12850.77</v>
      </c>
      <c r="L31" s="1215"/>
      <c r="M31" s="1216"/>
      <c r="N31" s="1216"/>
      <c r="O31" s="1216">
        <v>47587</v>
      </c>
      <c r="P31" s="1216">
        <v>1937</v>
      </c>
      <c r="Q31" s="1206"/>
      <c r="R31" s="1206"/>
    </row>
    <row r="32" spans="1:18" ht="15">
      <c r="A32" s="1744"/>
      <c r="B32" s="1746" t="s">
        <v>1015</v>
      </c>
      <c r="C32" s="375" t="s">
        <v>1164</v>
      </c>
      <c r="D32" s="376" t="s">
        <v>1165</v>
      </c>
      <c r="E32" s="377" t="s">
        <v>1106</v>
      </c>
      <c r="F32" s="378">
        <v>16</v>
      </c>
      <c r="G32" s="378">
        <v>0</v>
      </c>
      <c r="H32" s="378">
        <v>0</v>
      </c>
      <c r="I32" s="1211">
        <v>0.68</v>
      </c>
      <c r="J32" s="1211">
        <v>0</v>
      </c>
      <c r="K32" s="1211">
        <v>0</v>
      </c>
      <c r="L32" s="378" t="s">
        <v>1063</v>
      </c>
      <c r="M32" s="1211">
        <v>42180</v>
      </c>
      <c r="N32" s="1211">
        <v>43660</v>
      </c>
      <c r="O32" s="1211">
        <v>0</v>
      </c>
      <c r="P32" s="1211">
        <v>0</v>
      </c>
    </row>
    <row r="33" spans="1:18" s="1217" customFormat="1" ht="15">
      <c r="A33" s="1744"/>
      <c r="B33" s="1747"/>
      <c r="C33" s="1214" t="s">
        <v>1166</v>
      </c>
      <c r="D33" s="1214"/>
      <c r="E33" s="1218"/>
      <c r="F33" s="1218">
        <v>16</v>
      </c>
      <c r="G33" s="1215">
        <v>0</v>
      </c>
      <c r="H33" s="1215">
        <v>0</v>
      </c>
      <c r="I33" s="1216">
        <v>0.68</v>
      </c>
      <c r="J33" s="1216">
        <v>0</v>
      </c>
      <c r="K33" s="1216">
        <v>0</v>
      </c>
      <c r="L33" s="1219"/>
      <c r="M33" s="1220"/>
      <c r="N33" s="1220"/>
      <c r="O33" s="1220">
        <v>0</v>
      </c>
      <c r="P33" s="1220">
        <v>0</v>
      </c>
      <c r="Q33" s="1206"/>
      <c r="R33" s="1206"/>
    </row>
    <row r="34" spans="1:18" ht="15">
      <c r="A34" s="1744"/>
      <c r="B34" s="1746" t="s">
        <v>1167</v>
      </c>
      <c r="C34" s="376" t="s">
        <v>1168</v>
      </c>
      <c r="D34" s="376" t="s">
        <v>1168</v>
      </c>
      <c r="E34" s="380" t="s">
        <v>1169</v>
      </c>
      <c r="F34" s="378">
        <v>0</v>
      </c>
      <c r="G34" s="378">
        <v>0</v>
      </c>
      <c r="H34" s="378">
        <v>0</v>
      </c>
      <c r="I34" s="1211">
        <v>0</v>
      </c>
      <c r="J34" s="1211">
        <v>0</v>
      </c>
      <c r="K34" s="1211">
        <v>0</v>
      </c>
      <c r="L34" s="381" t="s">
        <v>1089</v>
      </c>
      <c r="M34" s="1211">
        <v>0</v>
      </c>
      <c r="N34" s="1211">
        <v>0</v>
      </c>
      <c r="O34" s="1211">
        <v>0</v>
      </c>
      <c r="P34" s="1211">
        <v>0</v>
      </c>
    </row>
    <row r="35" spans="1:18" ht="15">
      <c r="A35" s="1744"/>
      <c r="B35" s="1748"/>
      <c r="C35" s="376" t="s">
        <v>1170</v>
      </c>
      <c r="D35" s="376" t="s">
        <v>1170</v>
      </c>
      <c r="E35" s="380" t="s">
        <v>1169</v>
      </c>
      <c r="F35" s="378">
        <v>0</v>
      </c>
      <c r="G35" s="378">
        <v>0</v>
      </c>
      <c r="H35" s="378">
        <v>0</v>
      </c>
      <c r="I35" s="1211">
        <v>0</v>
      </c>
      <c r="J35" s="1211">
        <v>0</v>
      </c>
      <c r="K35" s="1211">
        <v>0</v>
      </c>
      <c r="L35" s="381" t="s">
        <v>1089</v>
      </c>
      <c r="M35" s="1211">
        <v>0</v>
      </c>
      <c r="N35" s="1211">
        <v>0</v>
      </c>
      <c r="O35" s="1211">
        <v>0</v>
      </c>
      <c r="P35" s="1211">
        <v>0</v>
      </c>
    </row>
    <row r="36" spans="1:18" ht="15">
      <c r="A36" s="1744"/>
      <c r="B36" s="1748"/>
      <c r="C36" s="376" t="s">
        <v>1171</v>
      </c>
      <c r="D36" s="376" t="s">
        <v>1171</v>
      </c>
      <c r="E36" s="380" t="s">
        <v>1169</v>
      </c>
      <c r="F36" s="378">
        <v>0</v>
      </c>
      <c r="G36" s="378">
        <v>0</v>
      </c>
      <c r="H36" s="378">
        <v>0</v>
      </c>
      <c r="I36" s="1211">
        <v>0</v>
      </c>
      <c r="J36" s="1211">
        <v>0</v>
      </c>
      <c r="K36" s="1211">
        <v>0</v>
      </c>
      <c r="L36" s="381" t="s">
        <v>1089</v>
      </c>
      <c r="M36" s="1211">
        <v>0</v>
      </c>
      <c r="N36" s="1211">
        <v>0</v>
      </c>
      <c r="O36" s="1211">
        <v>0</v>
      </c>
      <c r="P36" s="1211">
        <v>0</v>
      </c>
    </row>
    <row r="37" spans="1:18" s="1217" customFormat="1" ht="15">
      <c r="A37" s="1744"/>
      <c r="B37" s="1747"/>
      <c r="C37" s="1214" t="s">
        <v>1172</v>
      </c>
      <c r="D37" s="1214"/>
      <c r="E37" s="1218"/>
      <c r="F37" s="1218">
        <v>0</v>
      </c>
      <c r="G37" s="1215">
        <v>0</v>
      </c>
      <c r="H37" s="1215">
        <v>0</v>
      </c>
      <c r="I37" s="1216">
        <v>0</v>
      </c>
      <c r="J37" s="1216">
        <v>0</v>
      </c>
      <c r="K37" s="1216">
        <v>0</v>
      </c>
      <c r="L37" s="1215"/>
      <c r="M37" s="1216"/>
      <c r="N37" s="1216"/>
      <c r="O37" s="1216">
        <v>0</v>
      </c>
      <c r="P37" s="1216">
        <v>0</v>
      </c>
      <c r="Q37" s="1206"/>
      <c r="R37" s="1206"/>
    </row>
    <row r="38" spans="1:18" s="1217" customFormat="1" ht="45">
      <c r="A38" s="1745"/>
      <c r="B38" s="1221" t="s">
        <v>1173</v>
      </c>
      <c r="C38" s="1214" t="s">
        <v>1173</v>
      </c>
      <c r="D38" s="1214"/>
      <c r="E38" s="1215"/>
      <c r="F38" s="1215">
        <v>1953569</v>
      </c>
      <c r="G38" s="1215">
        <v>324253</v>
      </c>
      <c r="H38" s="1215">
        <v>334737</v>
      </c>
      <c r="I38" s="1216">
        <v>75884.040000000008</v>
      </c>
      <c r="J38" s="1216">
        <v>12594.539999999999</v>
      </c>
      <c r="K38" s="1216">
        <v>12850.77</v>
      </c>
      <c r="L38" s="1215"/>
      <c r="M38" s="1216"/>
      <c r="N38" s="1216"/>
      <c r="O38" s="1216">
        <v>47587</v>
      </c>
      <c r="P38" s="1216">
        <v>1937</v>
      </c>
      <c r="Q38" s="1206"/>
      <c r="R38" s="1206"/>
    </row>
    <row r="39" spans="1:18" ht="15">
      <c r="A39" s="1749" t="s">
        <v>1174</v>
      </c>
      <c r="B39" s="1746" t="s">
        <v>1175</v>
      </c>
      <c r="C39" s="375" t="s">
        <v>1115</v>
      </c>
      <c r="D39" s="376" t="s">
        <v>1116</v>
      </c>
      <c r="E39" s="377" t="s">
        <v>1106</v>
      </c>
      <c r="F39" s="378">
        <v>0</v>
      </c>
      <c r="G39" s="379">
        <v>0</v>
      </c>
      <c r="H39" s="379">
        <v>0</v>
      </c>
      <c r="I39" s="1211">
        <v>0</v>
      </c>
      <c r="J39" s="1211">
        <v>0</v>
      </c>
      <c r="K39" s="1211">
        <v>0</v>
      </c>
      <c r="L39" s="378" t="s">
        <v>1107</v>
      </c>
      <c r="M39" s="1211"/>
      <c r="N39" s="1211"/>
      <c r="O39" s="1211" t="s">
        <v>233</v>
      </c>
      <c r="P39" s="1211">
        <v>0</v>
      </c>
    </row>
    <row r="40" spans="1:18" ht="15">
      <c r="A40" s="1744"/>
      <c r="B40" s="1748"/>
      <c r="C40" s="375" t="s">
        <v>1121</v>
      </c>
      <c r="D40" s="376" t="s">
        <v>1121</v>
      </c>
      <c r="E40" s="377" t="s">
        <v>1053</v>
      </c>
      <c r="F40" s="378">
        <v>0</v>
      </c>
      <c r="G40" s="379">
        <v>0</v>
      </c>
      <c r="H40" s="379">
        <v>0</v>
      </c>
      <c r="I40" s="1211">
        <v>0</v>
      </c>
      <c r="J40" s="1211">
        <v>0</v>
      </c>
      <c r="K40" s="1211">
        <v>0</v>
      </c>
      <c r="L40" s="378" t="s">
        <v>1107</v>
      </c>
      <c r="M40" s="1211"/>
      <c r="N40" s="1211"/>
      <c r="O40" s="1211" t="s">
        <v>233</v>
      </c>
      <c r="P40" s="1211">
        <v>0</v>
      </c>
    </row>
    <row r="41" spans="1:18" ht="15">
      <c r="A41" s="1744"/>
      <c r="B41" s="1748"/>
      <c r="C41" s="375" t="s">
        <v>1130</v>
      </c>
      <c r="D41" s="376" t="s">
        <v>1131</v>
      </c>
      <c r="E41" s="377" t="s">
        <v>1053</v>
      </c>
      <c r="F41" s="378">
        <v>0</v>
      </c>
      <c r="G41" s="379">
        <v>0</v>
      </c>
      <c r="H41" s="379">
        <v>0</v>
      </c>
      <c r="I41" s="1211">
        <v>0</v>
      </c>
      <c r="J41" s="1211">
        <v>0</v>
      </c>
      <c r="K41" s="1211">
        <v>0</v>
      </c>
      <c r="L41" s="378" t="s">
        <v>1107</v>
      </c>
      <c r="M41" s="1211"/>
      <c r="N41" s="1211"/>
      <c r="O41" s="1211" t="s">
        <v>233</v>
      </c>
      <c r="P41" s="1211">
        <v>0</v>
      </c>
    </row>
    <row r="42" spans="1:18" ht="15">
      <c r="A42" s="1744"/>
      <c r="B42" s="1748"/>
      <c r="C42" s="375" t="s">
        <v>1176</v>
      </c>
      <c r="D42" s="376" t="s">
        <v>1129</v>
      </c>
      <c r="E42" s="377" t="s">
        <v>1053</v>
      </c>
      <c r="F42" s="378">
        <v>430.6</v>
      </c>
      <c r="G42" s="379">
        <v>119.24</v>
      </c>
      <c r="H42" s="379">
        <v>237.24</v>
      </c>
      <c r="I42" s="1211">
        <v>2390.19</v>
      </c>
      <c r="J42" s="1211">
        <v>648.41</v>
      </c>
      <c r="K42" s="1211">
        <v>1325.39</v>
      </c>
      <c r="L42" s="378" t="s">
        <v>1107</v>
      </c>
      <c r="M42" s="1211"/>
      <c r="N42" s="1211"/>
      <c r="O42" s="1211">
        <v>47587</v>
      </c>
      <c r="P42" s="1211">
        <v>1937</v>
      </c>
    </row>
    <row r="43" spans="1:18" ht="15">
      <c r="A43" s="1744"/>
      <c r="B43" s="1748"/>
      <c r="C43" s="375" t="s">
        <v>1141</v>
      </c>
      <c r="D43" s="376" t="s">
        <v>1143</v>
      </c>
      <c r="E43" s="377" t="s">
        <v>1140</v>
      </c>
      <c r="F43" s="378">
        <v>0</v>
      </c>
      <c r="G43" s="379">
        <v>0</v>
      </c>
      <c r="H43" s="379">
        <v>0</v>
      </c>
      <c r="I43" s="1211">
        <v>0</v>
      </c>
      <c r="J43" s="1211">
        <v>0</v>
      </c>
      <c r="K43" s="1211">
        <v>0</v>
      </c>
      <c r="L43" s="378" t="s">
        <v>1107</v>
      </c>
      <c r="M43" s="1211"/>
      <c r="N43" s="1211"/>
      <c r="O43" s="1211" t="s">
        <v>233</v>
      </c>
      <c r="P43" s="1211">
        <v>0</v>
      </c>
    </row>
    <row r="44" spans="1:18" ht="15">
      <c r="A44" s="1744"/>
      <c r="B44" s="1748"/>
      <c r="C44" s="375" t="s">
        <v>1177</v>
      </c>
      <c r="D44" s="376" t="s">
        <v>1155</v>
      </c>
      <c r="E44" s="377" t="s">
        <v>1053</v>
      </c>
      <c r="F44" s="378">
        <v>0</v>
      </c>
      <c r="G44" s="379">
        <v>0</v>
      </c>
      <c r="H44" s="379">
        <v>0</v>
      </c>
      <c r="I44" s="1211">
        <v>0</v>
      </c>
      <c r="J44" s="1211">
        <v>0</v>
      </c>
      <c r="K44" s="1211">
        <v>0</v>
      </c>
      <c r="L44" s="378" t="s">
        <v>1107</v>
      </c>
      <c r="M44" s="1211"/>
      <c r="N44" s="1211"/>
      <c r="O44" s="1211" t="s">
        <v>233</v>
      </c>
      <c r="P44" s="1211">
        <v>0</v>
      </c>
    </row>
    <row r="45" spans="1:18" ht="15">
      <c r="A45" s="1744"/>
      <c r="B45" s="1748"/>
      <c r="C45" s="375" t="s">
        <v>1146</v>
      </c>
      <c r="D45" s="376" t="s">
        <v>1147</v>
      </c>
      <c r="E45" s="377" t="s">
        <v>1106</v>
      </c>
      <c r="F45" s="378">
        <v>0</v>
      </c>
      <c r="G45" s="379">
        <v>0</v>
      </c>
      <c r="H45" s="379">
        <v>0</v>
      </c>
      <c r="I45" s="1211">
        <v>0</v>
      </c>
      <c r="J45" s="1211">
        <v>0</v>
      </c>
      <c r="K45" s="1211">
        <v>0</v>
      </c>
      <c r="L45" s="378" t="s">
        <v>1107</v>
      </c>
      <c r="M45" s="1211"/>
      <c r="N45" s="1211"/>
      <c r="O45" s="1211" t="s">
        <v>233</v>
      </c>
      <c r="P45" s="1211">
        <v>0</v>
      </c>
    </row>
    <row r="46" spans="1:18" ht="15">
      <c r="A46" s="1744"/>
      <c r="B46" s="1748"/>
      <c r="C46" s="375" t="s">
        <v>1178</v>
      </c>
      <c r="D46" s="376" t="s">
        <v>1151</v>
      </c>
      <c r="E46" s="377" t="s">
        <v>1106</v>
      </c>
      <c r="F46" s="378">
        <v>0</v>
      </c>
      <c r="G46" s="379">
        <v>0</v>
      </c>
      <c r="H46" s="379">
        <v>0</v>
      </c>
      <c r="I46" s="1211">
        <v>0</v>
      </c>
      <c r="J46" s="1211">
        <v>0</v>
      </c>
      <c r="K46" s="1211">
        <v>0</v>
      </c>
      <c r="L46" s="378" t="s">
        <v>1107</v>
      </c>
      <c r="M46" s="1211"/>
      <c r="N46" s="1211"/>
      <c r="O46" s="1211" t="s">
        <v>233</v>
      </c>
      <c r="P46" s="1211">
        <v>0</v>
      </c>
    </row>
    <row r="47" spans="1:18" ht="15">
      <c r="A47" s="1744"/>
      <c r="B47" s="1748"/>
      <c r="C47" s="375" t="s">
        <v>1162</v>
      </c>
      <c r="D47" s="376" t="s">
        <v>1163</v>
      </c>
      <c r="E47" s="377" t="s">
        <v>1106</v>
      </c>
      <c r="F47" s="378">
        <v>0</v>
      </c>
      <c r="G47" s="379">
        <v>0</v>
      </c>
      <c r="H47" s="379">
        <v>0</v>
      </c>
      <c r="I47" s="1211">
        <v>0</v>
      </c>
      <c r="J47" s="1211">
        <v>0</v>
      </c>
      <c r="K47" s="1211">
        <v>0</v>
      </c>
      <c r="L47" s="378" t="s">
        <v>1107</v>
      </c>
      <c r="M47" s="1211"/>
      <c r="N47" s="1211"/>
      <c r="O47" s="1211" t="s">
        <v>233</v>
      </c>
      <c r="P47" s="1211">
        <v>0</v>
      </c>
    </row>
    <row r="48" spans="1:18" ht="15">
      <c r="A48" s="1744"/>
      <c r="B48" s="1747"/>
      <c r="C48" s="375" t="s">
        <v>1160</v>
      </c>
      <c r="D48" s="376" t="s">
        <v>1161</v>
      </c>
      <c r="E48" s="377" t="s">
        <v>1053</v>
      </c>
      <c r="F48" s="378">
        <v>0</v>
      </c>
      <c r="G48" s="379">
        <v>0</v>
      </c>
      <c r="H48" s="379">
        <v>0</v>
      </c>
      <c r="I48" s="1211">
        <v>0</v>
      </c>
      <c r="J48" s="1211">
        <v>0</v>
      </c>
      <c r="K48" s="1211">
        <v>0</v>
      </c>
      <c r="L48" s="378" t="s">
        <v>1107</v>
      </c>
      <c r="M48" s="1211"/>
      <c r="N48" s="1211"/>
      <c r="O48" s="1211" t="s">
        <v>233</v>
      </c>
      <c r="P48" s="1211">
        <v>0</v>
      </c>
    </row>
    <row r="49" spans="1:17" s="1217" customFormat="1" ht="45">
      <c r="A49" s="1745"/>
      <c r="B49" s="1221" t="s">
        <v>1179</v>
      </c>
      <c r="C49" s="1214" t="s">
        <v>1179</v>
      </c>
      <c r="D49" s="1214"/>
      <c r="E49" s="1215"/>
      <c r="F49" s="1222">
        <v>430.6</v>
      </c>
      <c r="G49" s="1222">
        <v>119.24</v>
      </c>
      <c r="H49" s="1222">
        <v>237.24</v>
      </c>
      <c r="I49" s="1223">
        <v>2390.19</v>
      </c>
      <c r="J49" s="1223">
        <v>648.41</v>
      </c>
      <c r="K49" s="1223">
        <v>1325.39</v>
      </c>
      <c r="L49" s="1215"/>
      <c r="M49" s="1216"/>
      <c r="N49" s="1216"/>
      <c r="O49" s="1216">
        <v>47587</v>
      </c>
      <c r="P49" s="1216">
        <v>0</v>
      </c>
      <c r="Q49" s="1206"/>
    </row>
    <row r="50" spans="1:17" ht="15">
      <c r="A50" s="1224" t="s">
        <v>1373</v>
      </c>
      <c r="B50" s="988"/>
      <c r="C50" s="991"/>
      <c r="D50" s="991"/>
      <c r="E50" s="991"/>
      <c r="F50" s="991"/>
      <c r="G50" s="991"/>
      <c r="H50" s="991"/>
      <c r="I50" s="1225"/>
      <c r="J50" s="1225"/>
      <c r="K50" s="1225"/>
      <c r="L50" s="991"/>
      <c r="M50" s="991"/>
      <c r="N50" s="991"/>
      <c r="O50" s="988"/>
      <c r="P50" s="988"/>
    </row>
    <row r="51" spans="1:17" ht="15">
      <c r="A51" s="988" t="s">
        <v>1180</v>
      </c>
      <c r="B51" s="988"/>
      <c r="C51" s="991"/>
      <c r="D51" s="991"/>
      <c r="E51" s="991"/>
      <c r="F51" s="991"/>
      <c r="G51" s="991"/>
      <c r="H51" s="991"/>
      <c r="I51" s="1225"/>
      <c r="J51" s="1225"/>
      <c r="K51" s="1225"/>
      <c r="L51" s="991"/>
      <c r="M51" s="991"/>
      <c r="N51" s="991"/>
      <c r="O51" s="988"/>
      <c r="P51" s="988"/>
    </row>
    <row r="52" spans="1:17" ht="15">
      <c r="A52" s="988" t="s">
        <v>1181</v>
      </c>
      <c r="B52" s="988"/>
      <c r="C52" s="988"/>
      <c r="D52" s="988"/>
      <c r="E52" s="988"/>
      <c r="F52" s="988"/>
      <c r="G52" s="988"/>
      <c r="H52" s="988"/>
      <c r="I52" s="1225"/>
      <c r="J52" s="1226"/>
      <c r="K52" s="1226"/>
      <c r="L52" s="988"/>
      <c r="M52" s="988"/>
      <c r="N52" s="988"/>
      <c r="O52" s="988"/>
      <c r="P52" s="988"/>
    </row>
    <row r="53" spans="1:17" ht="15">
      <c r="A53" s="991" t="s">
        <v>1009</v>
      </c>
      <c r="B53" s="988"/>
      <c r="C53" s="988"/>
      <c r="D53" s="988"/>
      <c r="E53" s="988"/>
      <c r="F53" s="988"/>
      <c r="G53" s="988"/>
      <c r="H53" s="988"/>
      <c r="I53" s="1225"/>
      <c r="J53" s="1226"/>
      <c r="K53" s="1226"/>
      <c r="L53" s="988"/>
      <c r="M53" s="988"/>
      <c r="N53" s="988"/>
      <c r="O53" s="988"/>
      <c r="P53" s="988"/>
      <c r="Q53" s="1227"/>
    </row>
  </sheetData>
  <mergeCells count="17">
    <mergeCell ref="A1:P1"/>
    <mergeCell ref="A2:A3"/>
    <mergeCell ref="B2:B3"/>
    <mergeCell ref="C2:C3"/>
    <mergeCell ref="D2:D3"/>
    <mergeCell ref="E2:E3"/>
    <mergeCell ref="F2:H2"/>
    <mergeCell ref="I2:K2"/>
    <mergeCell ref="L2:L3"/>
    <mergeCell ref="M2:N2"/>
    <mergeCell ref="O2:P2"/>
    <mergeCell ref="B4:B31"/>
    <mergeCell ref="B32:B33"/>
    <mergeCell ref="B34:B37"/>
    <mergeCell ref="A39:A49"/>
    <mergeCell ref="B39:B48"/>
    <mergeCell ref="A4:A38"/>
  </mergeCells>
  <printOptions horizontalCentered="1"/>
  <pageMargins left="0.7" right="0.7" top="0.75" bottom="0.75" header="0.3" footer="0.3"/>
  <pageSetup paperSize="9" scale="75" fitToHeight="0" orientation="landscape" r:id="rId1"/>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157"/>
  <sheetViews>
    <sheetView workbookViewId="0">
      <pane xSplit="2" ySplit="3" topLeftCell="C4" activePane="bottomRight" state="frozen"/>
      <selection pane="topRight" activeCell="C1" sqref="C1"/>
      <selection pane="bottomLeft" activeCell="A4" sqref="A4"/>
      <selection pane="bottomRight" activeCell="C4" sqref="C4"/>
    </sheetView>
  </sheetViews>
  <sheetFormatPr defaultColWidth="9.140625" defaultRowHeight="12.75"/>
  <cols>
    <col min="1" max="1" width="11.140625" style="1272" customWidth="1"/>
    <col min="2" max="2" width="17.42578125" style="1270" bestFit="1" customWidth="1"/>
    <col min="3" max="3" width="27.7109375" style="1178" customWidth="1"/>
    <col min="4" max="4" width="12.5703125" style="1178" customWidth="1"/>
    <col min="5" max="7" width="8.7109375" style="1178" customWidth="1"/>
    <col min="8" max="9" width="9.140625" style="1178" customWidth="1"/>
    <col min="10" max="10" width="8.7109375" style="1178" customWidth="1"/>
    <col min="11" max="11" width="12.7109375" style="1271" customWidth="1"/>
    <col min="12" max="13" width="8.28515625" style="1178" customWidth="1"/>
    <col min="14" max="14" width="9.42578125" style="1178" customWidth="1"/>
    <col min="15" max="15" width="17.5703125" style="1178" customWidth="1"/>
    <col min="16" max="16384" width="9.140625" style="1178"/>
  </cols>
  <sheetData>
    <row r="1" spans="1:26" ht="20.25" customHeight="1" thickBot="1">
      <c r="A1" s="1766" t="s">
        <v>1433</v>
      </c>
      <c r="B1" s="1767"/>
      <c r="C1" s="1767"/>
      <c r="D1" s="1767"/>
      <c r="E1" s="1767"/>
      <c r="F1" s="1767"/>
      <c r="G1" s="1767"/>
      <c r="H1" s="1767"/>
      <c r="I1" s="1767"/>
      <c r="J1" s="1767"/>
      <c r="K1" s="1767"/>
      <c r="L1" s="1767"/>
      <c r="M1" s="1767"/>
      <c r="N1" s="1767"/>
      <c r="O1" s="1767"/>
    </row>
    <row r="2" spans="1:26">
      <c r="A2" s="1768" t="s">
        <v>1022</v>
      </c>
      <c r="B2" s="1770" t="s">
        <v>1023</v>
      </c>
      <c r="C2" s="1772" t="s">
        <v>1024</v>
      </c>
      <c r="D2" s="1772" t="s">
        <v>1025</v>
      </c>
      <c r="E2" s="1774" t="s">
        <v>502</v>
      </c>
      <c r="F2" s="1775"/>
      <c r="G2" s="1776"/>
      <c r="H2" s="1770" t="s">
        <v>232</v>
      </c>
      <c r="I2" s="1770"/>
      <c r="J2" s="1770"/>
      <c r="K2" s="1770" t="s">
        <v>1026</v>
      </c>
      <c r="L2" s="1770" t="s">
        <v>1027</v>
      </c>
      <c r="M2" s="1770"/>
      <c r="N2" s="1770" t="s">
        <v>1100</v>
      </c>
      <c r="O2" s="1777"/>
    </row>
    <row r="3" spans="1:26" ht="25.5" customHeight="1" thickBot="1">
      <c r="A3" s="1769"/>
      <c r="B3" s="1771"/>
      <c r="C3" s="1773"/>
      <c r="D3" s="1773"/>
      <c r="E3" s="1229" t="s">
        <v>703</v>
      </c>
      <c r="F3" s="1229">
        <v>45505</v>
      </c>
      <c r="G3" s="1229">
        <v>45536</v>
      </c>
      <c r="H3" s="1229" t="s">
        <v>703</v>
      </c>
      <c r="I3" s="1229">
        <v>45505</v>
      </c>
      <c r="J3" s="1229">
        <v>45536</v>
      </c>
      <c r="K3" s="1771"/>
      <c r="L3" s="1229">
        <v>45505</v>
      </c>
      <c r="M3" s="1229">
        <v>45536</v>
      </c>
      <c r="N3" s="1229" t="s">
        <v>501</v>
      </c>
      <c r="O3" s="1230" t="s">
        <v>1182</v>
      </c>
    </row>
    <row r="4" spans="1:26">
      <c r="A4" s="1760" t="s">
        <v>1183</v>
      </c>
      <c r="B4" s="1760" t="s">
        <v>1000</v>
      </c>
      <c r="C4" s="1231" t="s">
        <v>1032</v>
      </c>
      <c r="D4" s="1231" t="s">
        <v>1184</v>
      </c>
      <c r="E4" s="1232">
        <v>0</v>
      </c>
      <c r="F4" s="1233"/>
      <c r="G4" s="1233"/>
      <c r="H4" s="1234">
        <v>0</v>
      </c>
      <c r="I4" s="1234"/>
      <c r="J4" s="1234"/>
      <c r="K4" s="1235" t="s">
        <v>1034</v>
      </c>
      <c r="L4" s="1233">
        <v>71655</v>
      </c>
      <c r="M4" s="1233">
        <v>74869</v>
      </c>
      <c r="N4" s="1236">
        <v>0</v>
      </c>
      <c r="O4" s="1236">
        <v>0</v>
      </c>
    </row>
    <row r="5" spans="1:26">
      <c r="A5" s="1760"/>
      <c r="B5" s="1763"/>
      <c r="C5" s="382" t="s">
        <v>1043</v>
      </c>
      <c r="D5" s="382" t="s">
        <v>1185</v>
      </c>
      <c r="E5" s="383">
        <v>12</v>
      </c>
      <c r="F5" s="384">
        <v>10</v>
      </c>
      <c r="G5" s="384">
        <v>2</v>
      </c>
      <c r="H5" s="385">
        <v>3.0418949999999998</v>
      </c>
      <c r="I5" s="385">
        <v>2.5449809999999999</v>
      </c>
      <c r="J5" s="385">
        <v>0.49691400000000002</v>
      </c>
      <c r="K5" s="386" t="s">
        <v>1045</v>
      </c>
      <c r="L5" s="384">
        <v>83285</v>
      </c>
      <c r="M5" s="384">
        <v>89522</v>
      </c>
      <c r="N5" s="387">
        <v>0</v>
      </c>
      <c r="O5" s="387">
        <v>0</v>
      </c>
    </row>
    <row r="6" spans="1:26">
      <c r="A6" s="1760"/>
      <c r="B6" s="1763"/>
      <c r="C6" s="382" t="s">
        <v>1186</v>
      </c>
      <c r="D6" s="382" t="s">
        <v>1187</v>
      </c>
      <c r="E6" s="383">
        <v>0</v>
      </c>
      <c r="F6" s="384"/>
      <c r="G6" s="384"/>
      <c r="H6" s="388">
        <v>0</v>
      </c>
      <c r="I6" s="388"/>
      <c r="J6" s="388"/>
      <c r="K6" s="386" t="s">
        <v>1034</v>
      </c>
      <c r="L6" s="384">
        <v>71195</v>
      </c>
      <c r="M6" s="384">
        <v>74844</v>
      </c>
      <c r="N6" s="387">
        <v>0</v>
      </c>
      <c r="O6" s="387">
        <v>0</v>
      </c>
    </row>
    <row r="7" spans="1:26">
      <c r="A7" s="1760"/>
      <c r="B7" s="1763"/>
      <c r="C7" s="382" t="s">
        <v>1188</v>
      </c>
      <c r="D7" s="382" t="s">
        <v>1189</v>
      </c>
      <c r="E7" s="383">
        <v>0</v>
      </c>
      <c r="F7" s="384"/>
      <c r="G7" s="384"/>
      <c r="H7" s="385">
        <v>0</v>
      </c>
      <c r="I7" s="385"/>
      <c r="J7" s="385"/>
      <c r="K7" s="386" t="s">
        <v>1045</v>
      </c>
      <c r="L7" s="384">
        <v>84813</v>
      </c>
      <c r="M7" s="384">
        <v>90831</v>
      </c>
      <c r="N7" s="387">
        <v>0</v>
      </c>
      <c r="O7" s="387">
        <v>0</v>
      </c>
    </row>
    <row r="8" spans="1:26">
      <c r="A8" s="1760"/>
      <c r="B8" s="1763"/>
      <c r="C8" s="382" t="s">
        <v>1190</v>
      </c>
      <c r="D8" s="382" t="s">
        <v>1191</v>
      </c>
      <c r="E8" s="383">
        <v>0</v>
      </c>
      <c r="F8" s="384"/>
      <c r="G8" s="384"/>
      <c r="H8" s="385">
        <v>0</v>
      </c>
      <c r="I8" s="385"/>
      <c r="J8" s="385"/>
      <c r="K8" s="386" t="s">
        <v>1045</v>
      </c>
      <c r="L8" s="384">
        <v>84813</v>
      </c>
      <c r="M8" s="384">
        <v>90831</v>
      </c>
      <c r="N8" s="387">
        <v>0</v>
      </c>
      <c r="O8" s="387">
        <v>0</v>
      </c>
    </row>
    <row r="9" spans="1:26">
      <c r="A9" s="1760"/>
      <c r="B9" s="1759"/>
      <c r="C9" s="1237" t="s">
        <v>1050</v>
      </c>
      <c r="D9" s="1237"/>
      <c r="E9" s="1238">
        <v>12</v>
      </c>
      <c r="F9" s="1239">
        <f>SUM(F4:F8)</f>
        <v>10</v>
      </c>
      <c r="G9" s="1239">
        <v>2</v>
      </c>
      <c r="H9" s="1240">
        <v>3.0418949999999998</v>
      </c>
      <c r="I9" s="1240">
        <v>2.5449809999999999</v>
      </c>
      <c r="J9" s="1240">
        <v>0.49691400000000002</v>
      </c>
      <c r="K9" s="1241"/>
      <c r="L9" s="1238">
        <v>395761</v>
      </c>
      <c r="M9" s="1238">
        <v>420897</v>
      </c>
      <c r="N9" s="1238">
        <v>0</v>
      </c>
      <c r="O9" s="1242">
        <v>0</v>
      </c>
    </row>
    <row r="10" spans="1:26">
      <c r="A10" s="1760"/>
      <c r="B10" s="1758" t="s">
        <v>1192</v>
      </c>
      <c r="C10" s="382" t="s">
        <v>1193</v>
      </c>
      <c r="D10" s="382"/>
      <c r="E10" s="386">
        <v>0</v>
      </c>
      <c r="F10" s="384"/>
      <c r="G10" s="384"/>
      <c r="H10" s="387">
        <v>0</v>
      </c>
      <c r="I10" s="387"/>
      <c r="J10" s="387"/>
      <c r="K10" s="386"/>
      <c r="L10" s="386"/>
      <c r="M10" s="386"/>
      <c r="N10" s="387">
        <v>0</v>
      </c>
      <c r="O10" s="389" t="s">
        <v>233</v>
      </c>
      <c r="Y10" s="1178" t="s">
        <v>233</v>
      </c>
      <c r="Z10" s="1178" t="s">
        <v>233</v>
      </c>
    </row>
    <row r="11" spans="1:26">
      <c r="A11" s="1760"/>
      <c r="B11" s="1760"/>
      <c r="C11" s="382" t="s">
        <v>1160</v>
      </c>
      <c r="D11" s="382" t="s">
        <v>1106</v>
      </c>
      <c r="E11" s="383">
        <v>0</v>
      </c>
      <c r="F11" s="384"/>
      <c r="G11" s="384"/>
      <c r="H11" s="388">
        <v>0</v>
      </c>
      <c r="I11" s="388"/>
      <c r="J11" s="388"/>
      <c r="K11" s="386" t="s">
        <v>1107</v>
      </c>
      <c r="L11" s="383"/>
      <c r="M11" s="383"/>
      <c r="N11" s="388">
        <v>0</v>
      </c>
      <c r="O11" s="390" t="s">
        <v>233</v>
      </c>
    </row>
    <row r="12" spans="1:26">
      <c r="A12" s="1760"/>
      <c r="B12" s="1760"/>
      <c r="C12" s="382" t="s">
        <v>1194</v>
      </c>
      <c r="E12" s="383">
        <v>0</v>
      </c>
      <c r="F12" s="384"/>
      <c r="G12" s="384"/>
      <c r="H12" s="388">
        <v>0</v>
      </c>
      <c r="I12" s="388"/>
      <c r="J12" s="388"/>
      <c r="K12" s="386"/>
      <c r="L12" s="383"/>
      <c r="M12" s="383"/>
      <c r="N12" s="388">
        <v>0</v>
      </c>
      <c r="O12" s="390" t="s">
        <v>233</v>
      </c>
    </row>
    <row r="13" spans="1:26">
      <c r="A13" s="1760"/>
      <c r="B13" s="1763"/>
      <c r="C13" s="382" t="s">
        <v>1195</v>
      </c>
      <c r="D13" s="382" t="s">
        <v>1196</v>
      </c>
      <c r="E13" s="383">
        <v>0</v>
      </c>
      <c r="F13" s="384"/>
      <c r="G13" s="384"/>
      <c r="H13" s="388">
        <v>0</v>
      </c>
      <c r="I13" s="388"/>
      <c r="J13" s="388"/>
      <c r="K13" s="386" t="s">
        <v>1045</v>
      </c>
      <c r="L13" s="1243">
        <v>400.5</v>
      </c>
      <c r="M13" s="1243">
        <v>404.3</v>
      </c>
      <c r="N13" s="388">
        <v>0</v>
      </c>
      <c r="O13" s="388">
        <v>0</v>
      </c>
    </row>
    <row r="14" spans="1:26">
      <c r="A14" s="1760"/>
      <c r="B14" s="1763"/>
      <c r="C14" s="382" t="s">
        <v>1197</v>
      </c>
      <c r="D14" s="391" t="s">
        <v>1198</v>
      </c>
      <c r="E14" s="383">
        <v>0</v>
      </c>
      <c r="F14" s="384"/>
      <c r="G14" s="384"/>
      <c r="H14" s="388">
        <v>0</v>
      </c>
      <c r="I14" s="388"/>
      <c r="J14" s="388"/>
      <c r="K14" s="386" t="s">
        <v>1124</v>
      </c>
      <c r="L14" s="383"/>
      <c r="M14" s="383"/>
      <c r="N14" s="388">
        <v>0</v>
      </c>
      <c r="O14" s="388">
        <v>0</v>
      </c>
    </row>
    <row r="15" spans="1:26">
      <c r="A15" s="1760"/>
      <c r="B15" s="1759"/>
      <c r="C15" s="1237" t="s">
        <v>1076</v>
      </c>
      <c r="D15" s="1237"/>
      <c r="E15" s="1238">
        <v>0</v>
      </c>
      <c r="F15" s="1239">
        <f>SUM(F10:F14)</f>
        <v>0</v>
      </c>
      <c r="G15" s="1239">
        <v>0</v>
      </c>
      <c r="H15" s="1240">
        <v>0</v>
      </c>
      <c r="I15" s="1240">
        <v>0</v>
      </c>
      <c r="J15" s="1240">
        <v>0</v>
      </c>
      <c r="K15" s="1241"/>
      <c r="L15" s="1238">
        <v>400.5</v>
      </c>
      <c r="M15" s="1238">
        <v>404.3</v>
      </c>
      <c r="N15" s="1238">
        <v>0</v>
      </c>
      <c r="O15" s="1242">
        <v>0</v>
      </c>
    </row>
    <row r="16" spans="1:26">
      <c r="A16" s="1760"/>
      <c r="B16" s="1758" t="s">
        <v>1008</v>
      </c>
      <c r="C16" s="1244" t="s">
        <v>1199</v>
      </c>
      <c r="D16" s="382" t="s">
        <v>1106</v>
      </c>
      <c r="E16" s="383">
        <v>0</v>
      </c>
      <c r="F16" s="384"/>
      <c r="G16" s="384"/>
      <c r="H16" s="388">
        <v>0</v>
      </c>
      <c r="I16" s="388"/>
      <c r="J16" s="388"/>
      <c r="K16" s="386" t="s">
        <v>1063</v>
      </c>
      <c r="L16" s="384">
        <v>40020</v>
      </c>
      <c r="M16" s="384">
        <v>41570</v>
      </c>
      <c r="N16" s="386">
        <v>0</v>
      </c>
      <c r="O16" s="389">
        <v>0</v>
      </c>
    </row>
    <row r="17" spans="1:16">
      <c r="A17" s="1760"/>
      <c r="B17" s="1763"/>
      <c r="C17" s="382" t="s">
        <v>1056</v>
      </c>
      <c r="D17" s="382" t="s">
        <v>1057</v>
      </c>
      <c r="E17" s="392">
        <v>0</v>
      </c>
      <c r="F17" s="384"/>
      <c r="G17" s="384"/>
      <c r="H17" s="385">
        <v>0</v>
      </c>
      <c r="I17" s="385"/>
      <c r="J17" s="385"/>
      <c r="K17" s="386" t="s">
        <v>1045</v>
      </c>
      <c r="L17" s="384"/>
      <c r="M17" s="384"/>
      <c r="N17" s="386">
        <v>0</v>
      </c>
      <c r="O17" s="389">
        <v>0</v>
      </c>
    </row>
    <row r="18" spans="1:16">
      <c r="A18" s="1760"/>
      <c r="B18" s="1763"/>
      <c r="C18" s="382" t="s">
        <v>1052</v>
      </c>
      <c r="D18" s="382" t="s">
        <v>1053</v>
      </c>
      <c r="E18" s="392">
        <v>0</v>
      </c>
      <c r="F18" s="384"/>
      <c r="G18" s="384"/>
      <c r="H18" s="385">
        <v>0</v>
      </c>
      <c r="I18" s="385"/>
      <c r="J18" s="385"/>
      <c r="K18" s="386"/>
      <c r="L18" s="384"/>
      <c r="M18" s="384"/>
      <c r="N18" s="386">
        <v>0</v>
      </c>
      <c r="O18" s="389">
        <v>0</v>
      </c>
    </row>
    <row r="19" spans="1:16">
      <c r="A19" s="1760"/>
      <c r="B19" s="1763"/>
      <c r="C19" s="382" t="s">
        <v>1064</v>
      </c>
      <c r="D19" s="382" t="s">
        <v>1053</v>
      </c>
      <c r="E19" s="392">
        <v>0</v>
      </c>
      <c r="F19" s="384"/>
      <c r="G19" s="384"/>
      <c r="H19" s="385">
        <v>0</v>
      </c>
      <c r="I19" s="385"/>
      <c r="J19" s="385"/>
      <c r="K19" s="386"/>
      <c r="L19" s="384"/>
      <c r="M19" s="384"/>
      <c r="N19" s="386">
        <v>0</v>
      </c>
      <c r="O19" s="389">
        <v>0</v>
      </c>
    </row>
    <row r="20" spans="1:16">
      <c r="A20" s="1760"/>
      <c r="B20" s="1759"/>
      <c r="C20" s="1237" t="s">
        <v>1166</v>
      </c>
      <c r="D20" s="1237"/>
      <c r="E20" s="1238">
        <v>0</v>
      </c>
      <c r="F20" s="1239">
        <f>SUM(F16:F19)</f>
        <v>0</v>
      </c>
      <c r="G20" s="1239">
        <v>0</v>
      </c>
      <c r="H20" s="1238">
        <v>0</v>
      </c>
      <c r="I20" s="1238">
        <v>0</v>
      </c>
      <c r="J20" s="1238">
        <v>0</v>
      </c>
      <c r="K20" s="1241"/>
      <c r="L20" s="1238">
        <v>40020</v>
      </c>
      <c r="M20" s="1238">
        <v>41570</v>
      </c>
      <c r="N20" s="1238">
        <v>0</v>
      </c>
      <c r="O20" s="1245">
        <v>0</v>
      </c>
    </row>
    <row r="21" spans="1:16">
      <c r="A21" s="1760"/>
      <c r="B21" s="1758" t="s">
        <v>1001</v>
      </c>
      <c r="C21" s="382" t="s">
        <v>1200</v>
      </c>
      <c r="D21" s="382"/>
      <c r="E21" s="392">
        <v>0</v>
      </c>
      <c r="F21" s="384"/>
      <c r="G21" s="384"/>
      <c r="H21" s="385">
        <v>0</v>
      </c>
      <c r="I21" s="385"/>
      <c r="J21" s="385"/>
      <c r="K21" s="386" t="s">
        <v>233</v>
      </c>
      <c r="L21" s="384">
        <v>6609</v>
      </c>
      <c r="M21" s="384">
        <v>6013</v>
      </c>
      <c r="N21" s="386" t="s">
        <v>233</v>
      </c>
      <c r="O21" s="386" t="s">
        <v>233</v>
      </c>
    </row>
    <row r="22" spans="1:16">
      <c r="A22" s="1760"/>
      <c r="B22" s="1760"/>
      <c r="C22" s="382" t="s">
        <v>1201</v>
      </c>
      <c r="D22" s="382"/>
      <c r="E22" s="392">
        <v>0</v>
      </c>
      <c r="F22" s="384"/>
      <c r="G22" s="384"/>
      <c r="H22" s="385">
        <v>0</v>
      </c>
      <c r="I22" s="392"/>
      <c r="J22" s="392"/>
      <c r="K22" s="386"/>
      <c r="L22" s="384">
        <v>6216</v>
      </c>
      <c r="M22" s="384">
        <v>5737</v>
      </c>
      <c r="N22" s="386"/>
      <c r="O22" s="386"/>
    </row>
    <row r="23" spans="1:16">
      <c r="A23" s="1760"/>
      <c r="B23" s="1759"/>
      <c r="C23" s="1237" t="s">
        <v>1087</v>
      </c>
      <c r="D23" s="1237"/>
      <c r="E23" s="1238">
        <v>0</v>
      </c>
      <c r="F23" s="1239">
        <f>SUM(F21:F22)</f>
        <v>0</v>
      </c>
      <c r="G23" s="1239">
        <v>0</v>
      </c>
      <c r="H23" s="1238">
        <v>0</v>
      </c>
      <c r="I23" s="1238">
        <v>0</v>
      </c>
      <c r="J23" s="1238">
        <v>0</v>
      </c>
      <c r="K23" s="1241"/>
      <c r="L23" s="1238">
        <v>12825</v>
      </c>
      <c r="M23" s="1238">
        <v>11750</v>
      </c>
      <c r="N23" s="1238">
        <v>0</v>
      </c>
      <c r="O23" s="1238">
        <v>0</v>
      </c>
    </row>
    <row r="24" spans="1:16">
      <c r="A24" s="1761"/>
      <c r="B24" s="1246" t="s">
        <v>1434</v>
      </c>
      <c r="C24" s="382"/>
      <c r="D24" s="382"/>
      <c r="E24" s="383">
        <v>12</v>
      </c>
      <c r="F24" s="384">
        <f>F23+F20+F15+F9</f>
        <v>10</v>
      </c>
      <c r="G24" s="384">
        <v>2</v>
      </c>
      <c r="H24" s="388">
        <v>3.0418949999999998</v>
      </c>
      <c r="I24" s="388">
        <v>2.5449809999999999</v>
      </c>
      <c r="J24" s="388">
        <v>0.49691400000000002</v>
      </c>
      <c r="K24" s="386"/>
      <c r="L24" s="383">
        <v>449006.5</v>
      </c>
      <c r="M24" s="383">
        <v>474621.3</v>
      </c>
      <c r="N24" s="383">
        <v>0</v>
      </c>
      <c r="O24" s="390">
        <v>0</v>
      </c>
    </row>
    <row r="25" spans="1:16">
      <c r="A25" s="1758" t="s">
        <v>1202</v>
      </c>
      <c r="B25" s="1758" t="s">
        <v>1203</v>
      </c>
      <c r="C25" s="382" t="s">
        <v>1032</v>
      </c>
      <c r="D25" s="382" t="s">
        <v>1184</v>
      </c>
      <c r="E25" s="392">
        <v>56</v>
      </c>
      <c r="F25" s="384"/>
      <c r="G25" s="384">
        <v>56</v>
      </c>
      <c r="H25" s="385">
        <v>39.884219999999999</v>
      </c>
      <c r="I25" s="385"/>
      <c r="J25" s="385">
        <v>39.884219999999999</v>
      </c>
      <c r="K25" s="393" t="s">
        <v>1034</v>
      </c>
      <c r="L25" s="383" t="s">
        <v>233</v>
      </c>
      <c r="M25" s="383" t="s">
        <v>233</v>
      </c>
      <c r="N25" s="388">
        <v>0.56999999999999995</v>
      </c>
      <c r="O25" s="388">
        <v>0.40847714285714287</v>
      </c>
    </row>
    <row r="26" spans="1:16">
      <c r="A26" s="1760"/>
      <c r="B26" s="1763"/>
      <c r="C26" s="382" t="s">
        <v>1043</v>
      </c>
      <c r="D26" s="391" t="s">
        <v>1204</v>
      </c>
      <c r="E26" s="392">
        <v>553</v>
      </c>
      <c r="F26" s="384">
        <v>53</v>
      </c>
      <c r="G26" s="384">
        <v>500</v>
      </c>
      <c r="H26" s="385">
        <v>144.0044025</v>
      </c>
      <c r="I26" s="385">
        <v>13.5983415</v>
      </c>
      <c r="J26" s="385">
        <v>130.40606099999999</v>
      </c>
      <c r="K26" s="393" t="s">
        <v>1045</v>
      </c>
      <c r="L26" s="383" t="s">
        <v>233</v>
      </c>
      <c r="M26" s="383" t="s">
        <v>233</v>
      </c>
      <c r="N26" s="388">
        <v>15.75</v>
      </c>
      <c r="O26" s="388">
        <v>4.0876872000000004</v>
      </c>
    </row>
    <row r="27" spans="1:16">
      <c r="A27" s="1760"/>
      <c r="B27" s="1763"/>
      <c r="C27" s="382" t="s">
        <v>1205</v>
      </c>
      <c r="D27" s="1178" t="s">
        <v>1184</v>
      </c>
      <c r="E27" s="392">
        <v>0</v>
      </c>
      <c r="F27" s="384"/>
      <c r="G27" s="384"/>
      <c r="H27" s="385">
        <v>0</v>
      </c>
      <c r="I27" s="385"/>
      <c r="J27" s="385"/>
      <c r="K27" s="393" t="s">
        <v>1045</v>
      </c>
      <c r="L27" s="383" t="s">
        <v>233</v>
      </c>
      <c r="M27" s="383" t="s">
        <v>233</v>
      </c>
      <c r="N27" s="388">
        <v>0</v>
      </c>
      <c r="O27" s="388">
        <v>0</v>
      </c>
    </row>
    <row r="28" spans="1:16">
      <c r="A28" s="1760"/>
      <c r="B28" s="1763"/>
      <c r="C28" s="382" t="s">
        <v>1186</v>
      </c>
      <c r="D28" s="382" t="s">
        <v>1187</v>
      </c>
      <c r="E28" s="383">
        <v>0</v>
      </c>
      <c r="F28" s="384"/>
      <c r="G28" s="384"/>
      <c r="H28" s="388">
        <v>0</v>
      </c>
      <c r="I28" s="388"/>
      <c r="J28" s="388"/>
      <c r="K28" s="393" t="s">
        <v>1034</v>
      </c>
      <c r="L28" s="383" t="s">
        <v>233</v>
      </c>
      <c r="M28" s="383" t="s">
        <v>233</v>
      </c>
      <c r="N28" s="388">
        <v>0</v>
      </c>
      <c r="O28" s="388">
        <v>0</v>
      </c>
      <c r="P28" s="1247"/>
    </row>
    <row r="29" spans="1:16">
      <c r="A29" s="1760"/>
      <c r="B29" s="1759"/>
      <c r="C29" s="1248" t="s">
        <v>1050</v>
      </c>
      <c r="D29" s="1248"/>
      <c r="E29" s="383">
        <v>609</v>
      </c>
      <c r="F29" s="384">
        <f>SUM(F25:F28)</f>
        <v>53</v>
      </c>
      <c r="G29" s="384">
        <v>556</v>
      </c>
      <c r="H29" s="388">
        <v>183.8886225</v>
      </c>
      <c r="I29" s="388">
        <v>13.5983415</v>
      </c>
      <c r="J29" s="388">
        <v>170.29028099999999</v>
      </c>
      <c r="K29" s="386"/>
      <c r="L29" s="383">
        <v>0</v>
      </c>
      <c r="M29" s="383">
        <v>0</v>
      </c>
      <c r="N29" s="383">
        <v>16.32</v>
      </c>
      <c r="O29" s="390">
        <v>4.4961643428571429</v>
      </c>
      <c r="P29" s="1247"/>
    </row>
    <row r="30" spans="1:16">
      <c r="A30" s="1760"/>
      <c r="B30" s="1758" t="s">
        <v>622</v>
      </c>
      <c r="C30" s="382" t="s">
        <v>1200</v>
      </c>
      <c r="D30" s="382"/>
      <c r="E30" s="392">
        <v>191</v>
      </c>
      <c r="F30" s="384">
        <v>0</v>
      </c>
      <c r="G30" s="384">
        <v>0</v>
      </c>
      <c r="H30" s="385">
        <v>13.771009999999999</v>
      </c>
      <c r="I30" s="385">
        <v>0</v>
      </c>
      <c r="J30" s="385"/>
      <c r="K30" s="393" t="s">
        <v>1206</v>
      </c>
      <c r="L30" s="383" t="s">
        <v>233</v>
      </c>
      <c r="M30" s="383" t="s">
        <v>233</v>
      </c>
      <c r="N30" s="386">
        <v>0</v>
      </c>
      <c r="O30" s="389">
        <v>0</v>
      </c>
      <c r="P30" s="1247"/>
    </row>
    <row r="31" spans="1:16">
      <c r="A31" s="1760"/>
      <c r="B31" s="1763"/>
      <c r="C31" s="382" t="s">
        <v>1201</v>
      </c>
      <c r="D31" s="382"/>
      <c r="E31" s="392">
        <v>0</v>
      </c>
      <c r="F31" s="384"/>
      <c r="G31" s="384"/>
      <c r="H31" s="385">
        <v>0</v>
      </c>
      <c r="I31" s="385"/>
      <c r="J31" s="385"/>
      <c r="K31" s="393" t="s">
        <v>1206</v>
      </c>
      <c r="L31" s="383" t="s">
        <v>233</v>
      </c>
      <c r="M31" s="383" t="s">
        <v>233</v>
      </c>
      <c r="N31" s="386">
        <v>0</v>
      </c>
      <c r="O31" s="389">
        <v>0</v>
      </c>
      <c r="P31" s="1247"/>
    </row>
    <row r="32" spans="1:16">
      <c r="A32" s="1760"/>
      <c r="B32" s="1763"/>
      <c r="C32" s="1248" t="s">
        <v>1087</v>
      </c>
      <c r="D32" s="1248"/>
      <c r="E32" s="383">
        <v>191</v>
      </c>
      <c r="F32" s="1249">
        <f>SUM(F30:F31)</f>
        <v>0</v>
      </c>
      <c r="G32" s="1249">
        <v>0</v>
      </c>
      <c r="H32" s="388">
        <v>13.771009999999999</v>
      </c>
      <c r="I32" s="390">
        <v>0</v>
      </c>
      <c r="J32" s="390">
        <v>0</v>
      </c>
      <c r="K32" s="386"/>
      <c r="L32" s="383">
        <v>0</v>
      </c>
      <c r="M32" s="383">
        <v>0</v>
      </c>
      <c r="N32" s="394">
        <v>0</v>
      </c>
      <c r="O32" s="394">
        <v>0</v>
      </c>
      <c r="P32" s="1247"/>
    </row>
    <row r="33" spans="1:16">
      <c r="A33" s="1760"/>
      <c r="B33" s="1764" t="s">
        <v>1008</v>
      </c>
      <c r="C33" s="1250" t="s">
        <v>1056</v>
      </c>
      <c r="D33" s="1250" t="s">
        <v>1057</v>
      </c>
      <c r="E33" s="1251">
        <v>0</v>
      </c>
      <c r="F33" s="1252"/>
      <c r="G33" s="1252"/>
      <c r="H33" s="1253">
        <v>0</v>
      </c>
      <c r="I33" s="1253"/>
      <c r="J33" s="1253"/>
      <c r="K33" s="1254" t="s">
        <v>1045</v>
      </c>
      <c r="L33" s="1255" t="s">
        <v>233</v>
      </c>
      <c r="M33" s="1255" t="s">
        <v>233</v>
      </c>
      <c r="N33" s="1256" t="s">
        <v>233</v>
      </c>
      <c r="O33" s="1255" t="s">
        <v>233</v>
      </c>
      <c r="P33" s="1247"/>
    </row>
    <row r="34" spans="1:16">
      <c r="A34" s="1760"/>
      <c r="B34" s="1765"/>
      <c r="C34" s="1237" t="s">
        <v>1166</v>
      </c>
      <c r="D34" s="1237"/>
      <c r="E34" s="1255">
        <v>0</v>
      </c>
      <c r="F34" s="1252">
        <f>SUM(F33)</f>
        <v>0</v>
      </c>
      <c r="G34" s="1252">
        <v>0</v>
      </c>
      <c r="H34" s="1257">
        <v>0</v>
      </c>
      <c r="I34" s="1257">
        <v>0</v>
      </c>
      <c r="J34" s="1257"/>
      <c r="K34" s="1258"/>
      <c r="L34" s="1255">
        <v>0</v>
      </c>
      <c r="M34" s="1255">
        <v>0</v>
      </c>
      <c r="N34" s="1256">
        <v>0</v>
      </c>
      <c r="O34" s="1259">
        <v>0</v>
      </c>
      <c r="P34" s="1247"/>
    </row>
    <row r="35" spans="1:16">
      <c r="A35" s="1761"/>
      <c r="B35" s="1260" t="s">
        <v>1207</v>
      </c>
      <c r="C35" s="1250"/>
      <c r="D35" s="1250"/>
      <c r="E35" s="1255">
        <v>800</v>
      </c>
      <c r="F35" s="1252">
        <f>F29+F32+F34</f>
        <v>53</v>
      </c>
      <c r="G35" s="1252">
        <v>556</v>
      </c>
      <c r="H35" s="1257">
        <v>197.65963249999999</v>
      </c>
      <c r="I35" s="1259">
        <v>13.5983415</v>
      </c>
      <c r="J35" s="1259">
        <v>170.29028099999999</v>
      </c>
      <c r="K35" s="1258"/>
      <c r="L35" s="1257">
        <v>0</v>
      </c>
      <c r="M35" s="1257">
        <v>0</v>
      </c>
      <c r="N35" s="1256">
        <v>16.32</v>
      </c>
      <c r="O35" s="1257">
        <v>4.4961643428571429</v>
      </c>
      <c r="P35" s="1247"/>
    </row>
    <row r="36" spans="1:16">
      <c r="A36" s="1758" t="s">
        <v>1208</v>
      </c>
      <c r="B36" s="1758" t="s">
        <v>1203</v>
      </c>
      <c r="C36" s="382" t="s">
        <v>1032</v>
      </c>
      <c r="D36" s="382" t="s">
        <v>1184</v>
      </c>
      <c r="E36" s="383">
        <v>0</v>
      </c>
      <c r="F36" s="383">
        <v>0</v>
      </c>
      <c r="G36" s="383">
        <v>0</v>
      </c>
      <c r="H36" s="390">
        <v>0</v>
      </c>
      <c r="I36" s="390">
        <v>0</v>
      </c>
      <c r="J36" s="390">
        <v>0</v>
      </c>
      <c r="K36" s="386" t="s">
        <v>1034</v>
      </c>
      <c r="L36" s="383" t="s">
        <v>221</v>
      </c>
      <c r="M36" s="383" t="s">
        <v>221</v>
      </c>
      <c r="N36" s="395">
        <v>0</v>
      </c>
      <c r="O36" s="395">
        <v>0</v>
      </c>
      <c r="P36" s="1247"/>
    </row>
    <row r="37" spans="1:16">
      <c r="A37" s="1760"/>
      <c r="B37" s="1763"/>
      <c r="C37" s="382" t="s">
        <v>1035</v>
      </c>
      <c r="D37" s="382" t="s">
        <v>1187</v>
      </c>
      <c r="E37" s="383">
        <v>0</v>
      </c>
      <c r="F37" s="383">
        <v>0</v>
      </c>
      <c r="G37" s="383">
        <v>0</v>
      </c>
      <c r="H37" s="390">
        <v>0</v>
      </c>
      <c r="I37" s="390">
        <v>0</v>
      </c>
      <c r="J37" s="390">
        <v>0</v>
      </c>
      <c r="K37" s="386" t="s">
        <v>1034</v>
      </c>
      <c r="L37" s="383" t="s">
        <v>221</v>
      </c>
      <c r="M37" s="383" t="s">
        <v>221</v>
      </c>
      <c r="N37" s="395">
        <v>0</v>
      </c>
      <c r="O37" s="395">
        <v>0</v>
      </c>
      <c r="P37" s="1247"/>
    </row>
    <row r="38" spans="1:16">
      <c r="A38" s="1760"/>
      <c r="B38" s="1763"/>
      <c r="C38" s="382" t="s">
        <v>1209</v>
      </c>
      <c r="D38" s="382" t="s">
        <v>1210</v>
      </c>
      <c r="E38" s="383">
        <v>0</v>
      </c>
      <c r="F38" s="383">
        <v>0</v>
      </c>
      <c r="G38" s="383">
        <v>0</v>
      </c>
      <c r="H38" s="390">
        <v>0</v>
      </c>
      <c r="I38" s="390">
        <v>0</v>
      </c>
      <c r="J38" s="390">
        <v>0</v>
      </c>
      <c r="K38" s="386" t="s">
        <v>1211</v>
      </c>
      <c r="L38" s="383" t="s">
        <v>221</v>
      </c>
      <c r="M38" s="383" t="s">
        <v>221</v>
      </c>
      <c r="N38" s="395">
        <v>0</v>
      </c>
      <c r="O38" s="395">
        <v>0</v>
      </c>
      <c r="P38" s="1247"/>
    </row>
    <row r="39" spans="1:16">
      <c r="A39" s="1760"/>
      <c r="B39" s="1763"/>
      <c r="C39" s="382" t="s">
        <v>1043</v>
      </c>
      <c r="D39" s="382" t="s">
        <v>1185</v>
      </c>
      <c r="E39" s="395">
        <v>75</v>
      </c>
      <c r="F39" s="395">
        <v>12</v>
      </c>
      <c r="G39" s="395">
        <v>14</v>
      </c>
      <c r="H39" s="390">
        <v>19.585292999999997</v>
      </c>
      <c r="I39" s="390">
        <v>3.0004200000000005</v>
      </c>
      <c r="J39" s="390">
        <v>3.643713</v>
      </c>
      <c r="K39" s="386" t="s">
        <v>1045</v>
      </c>
      <c r="L39" s="383">
        <v>85275</v>
      </c>
      <c r="M39" s="383" t="s">
        <v>221</v>
      </c>
      <c r="N39" s="390">
        <v>0.47619047619047616</v>
      </c>
      <c r="O39" s="390">
        <v>0.12460942857142858</v>
      </c>
      <c r="P39" s="1247"/>
    </row>
    <row r="40" spans="1:16">
      <c r="A40" s="1760"/>
      <c r="B40" s="1763"/>
      <c r="C40" s="382" t="s">
        <v>1212</v>
      </c>
      <c r="D40" s="382" t="s">
        <v>1213</v>
      </c>
      <c r="E40" s="395">
        <v>0</v>
      </c>
      <c r="F40" s="395">
        <v>0</v>
      </c>
      <c r="G40" s="395">
        <v>0</v>
      </c>
      <c r="H40" s="390">
        <v>0</v>
      </c>
      <c r="I40" s="390">
        <v>0</v>
      </c>
      <c r="J40" s="390">
        <v>0</v>
      </c>
      <c r="K40" s="396" t="s">
        <v>1213</v>
      </c>
      <c r="L40" s="383" t="s">
        <v>221</v>
      </c>
      <c r="M40" s="383" t="s">
        <v>221</v>
      </c>
      <c r="N40" s="395">
        <v>0</v>
      </c>
      <c r="O40" s="395">
        <v>0</v>
      </c>
      <c r="P40" s="1247"/>
    </row>
    <row r="41" spans="1:16">
      <c r="A41" s="1760"/>
      <c r="B41" s="1763"/>
      <c r="C41" s="382" t="s">
        <v>1214</v>
      </c>
      <c r="D41" s="382" t="s">
        <v>1184</v>
      </c>
      <c r="E41" s="395">
        <v>0</v>
      </c>
      <c r="F41" s="395">
        <v>0</v>
      </c>
      <c r="G41" s="395">
        <v>0</v>
      </c>
      <c r="H41" s="390">
        <v>0</v>
      </c>
      <c r="I41" s="390">
        <v>0</v>
      </c>
      <c r="J41" s="390">
        <v>0</v>
      </c>
      <c r="K41" s="396" t="s">
        <v>1184</v>
      </c>
      <c r="L41" s="383" t="s">
        <v>221</v>
      </c>
      <c r="M41" s="383" t="s">
        <v>221</v>
      </c>
      <c r="N41" s="395">
        <v>0</v>
      </c>
      <c r="O41" s="395">
        <v>0</v>
      </c>
      <c r="P41" s="1247"/>
    </row>
    <row r="42" spans="1:16">
      <c r="A42" s="1760"/>
      <c r="B42" s="1759"/>
      <c r="C42" s="1237" t="s">
        <v>1050</v>
      </c>
      <c r="D42" s="1237"/>
      <c r="E42" s="1255">
        <v>75</v>
      </c>
      <c r="F42" s="1255">
        <v>12</v>
      </c>
      <c r="G42" s="1255">
        <v>14</v>
      </c>
      <c r="H42" s="1259">
        <v>19.585292999999997</v>
      </c>
      <c r="I42" s="1259">
        <v>3.0004200000000005</v>
      </c>
      <c r="J42" s="1259">
        <v>3.643713</v>
      </c>
      <c r="K42" s="1258"/>
      <c r="L42" s="1259"/>
      <c r="M42" s="1259"/>
      <c r="N42" s="1259">
        <v>0.47619047619047616</v>
      </c>
      <c r="O42" s="1259">
        <v>0.12460942857142858</v>
      </c>
      <c r="P42" s="1247"/>
    </row>
    <row r="43" spans="1:16">
      <c r="A43" s="1760"/>
      <c r="B43" s="1758" t="s">
        <v>1215</v>
      </c>
      <c r="C43" s="382" t="s">
        <v>1216</v>
      </c>
      <c r="D43" s="382" t="s">
        <v>1217</v>
      </c>
      <c r="E43" s="383">
        <v>0</v>
      </c>
      <c r="F43" s="383">
        <v>0</v>
      </c>
      <c r="G43" s="383">
        <v>0</v>
      </c>
      <c r="H43" s="390">
        <v>0</v>
      </c>
      <c r="I43" s="390">
        <v>0</v>
      </c>
      <c r="J43" s="390">
        <v>0</v>
      </c>
      <c r="K43" s="386" t="s">
        <v>1079</v>
      </c>
      <c r="L43" s="383" t="s">
        <v>221</v>
      </c>
      <c r="M43" s="383" t="s">
        <v>221</v>
      </c>
      <c r="N43" s="395">
        <v>0</v>
      </c>
      <c r="O43" s="395">
        <v>0</v>
      </c>
      <c r="P43" s="1247"/>
    </row>
    <row r="44" spans="1:16">
      <c r="A44" s="1760"/>
      <c r="B44" s="1763"/>
      <c r="C44" s="382" t="s">
        <v>1218</v>
      </c>
      <c r="D44" s="382" t="s">
        <v>1219</v>
      </c>
      <c r="E44" s="383">
        <v>0</v>
      </c>
      <c r="F44" s="383">
        <v>0</v>
      </c>
      <c r="G44" s="383">
        <v>0</v>
      </c>
      <c r="H44" s="390">
        <v>0</v>
      </c>
      <c r="I44" s="390">
        <v>0</v>
      </c>
      <c r="J44" s="390">
        <v>0</v>
      </c>
      <c r="K44" s="386" t="s">
        <v>1079</v>
      </c>
      <c r="L44" s="383" t="s">
        <v>221</v>
      </c>
      <c r="M44" s="383" t="s">
        <v>221</v>
      </c>
      <c r="N44" s="395">
        <v>0</v>
      </c>
      <c r="O44" s="395">
        <v>0</v>
      </c>
      <c r="P44" s="1247"/>
    </row>
    <row r="45" spans="1:16">
      <c r="A45" s="1760"/>
      <c r="B45" s="1763"/>
      <c r="C45" s="382" t="s">
        <v>1220</v>
      </c>
      <c r="D45" s="382" t="s">
        <v>1083</v>
      </c>
      <c r="E45" s="383">
        <v>647</v>
      </c>
      <c r="F45" s="383">
        <v>69</v>
      </c>
      <c r="G45" s="383">
        <v>515</v>
      </c>
      <c r="H45" s="390">
        <v>16.324475000000003</v>
      </c>
      <c r="I45" s="390">
        <v>1.6130125</v>
      </c>
      <c r="J45" s="390">
        <v>13.433862500000002</v>
      </c>
      <c r="K45" s="386" t="s">
        <v>1084</v>
      </c>
      <c r="L45" s="383" t="s">
        <v>221</v>
      </c>
      <c r="M45" s="383">
        <v>246.1</v>
      </c>
      <c r="N45" s="390">
        <v>36.952380952380949</v>
      </c>
      <c r="O45" s="390">
        <v>0.92922202380952379</v>
      </c>
      <c r="P45" s="1247"/>
    </row>
    <row r="46" spans="1:16">
      <c r="A46" s="1760"/>
      <c r="B46" s="1763"/>
      <c r="C46" s="382" t="s">
        <v>1201</v>
      </c>
      <c r="D46" s="382" t="s">
        <v>1221</v>
      </c>
      <c r="E46" s="383">
        <v>877</v>
      </c>
      <c r="F46" s="383">
        <v>205</v>
      </c>
      <c r="G46" s="383">
        <v>194</v>
      </c>
      <c r="H46" s="390">
        <v>56.642549999999986</v>
      </c>
      <c r="I46" s="390">
        <v>12.923690000000002</v>
      </c>
      <c r="J46" s="390">
        <v>11.499049999999995</v>
      </c>
      <c r="K46" s="386" t="s">
        <v>1079</v>
      </c>
      <c r="L46" s="383" t="s">
        <v>221</v>
      </c>
      <c r="M46" s="383">
        <v>5760</v>
      </c>
      <c r="N46" s="390">
        <v>53.714285714285715</v>
      </c>
      <c r="O46" s="390">
        <v>3.1771466666666672</v>
      </c>
      <c r="P46" s="1247"/>
    </row>
    <row r="47" spans="1:16">
      <c r="A47" s="1760"/>
      <c r="B47" s="1759"/>
      <c r="C47" s="1237" t="s">
        <v>1087</v>
      </c>
      <c r="D47" s="1237"/>
      <c r="E47" s="1238">
        <v>1524</v>
      </c>
      <c r="F47" s="1238">
        <v>274</v>
      </c>
      <c r="G47" s="1238">
        <v>709</v>
      </c>
      <c r="H47" s="1242">
        <v>72.967024999999992</v>
      </c>
      <c r="I47" s="1242">
        <v>14.536702500000002</v>
      </c>
      <c r="J47" s="1242">
        <v>24.932912499999997</v>
      </c>
      <c r="K47" s="1241"/>
      <c r="L47" s="1242"/>
      <c r="M47" s="1242"/>
      <c r="N47" s="1261">
        <v>90.666666666666657</v>
      </c>
      <c r="O47" s="1261">
        <v>4.1063686904761907</v>
      </c>
      <c r="P47" s="1247"/>
    </row>
    <row r="48" spans="1:16">
      <c r="A48" s="1760"/>
      <c r="B48" s="1758" t="s">
        <v>1175</v>
      </c>
      <c r="C48" s="397" t="s">
        <v>1222</v>
      </c>
      <c r="D48" s="382" t="s">
        <v>1106</v>
      </c>
      <c r="E48" s="386">
        <v>0</v>
      </c>
      <c r="F48" s="386">
        <v>0</v>
      </c>
      <c r="G48" s="386">
        <v>0</v>
      </c>
      <c r="H48" s="389">
        <v>0</v>
      </c>
      <c r="I48" s="389">
        <v>0</v>
      </c>
      <c r="J48" s="389">
        <v>0</v>
      </c>
      <c r="K48" s="393" t="s">
        <v>1223</v>
      </c>
      <c r="L48" s="386" t="s">
        <v>221</v>
      </c>
      <c r="M48" s="386" t="s">
        <v>221</v>
      </c>
      <c r="N48" s="398">
        <v>0</v>
      </c>
      <c r="O48" s="398">
        <v>0</v>
      </c>
      <c r="P48" s="1247"/>
    </row>
    <row r="49" spans="1:16">
      <c r="A49" s="1760"/>
      <c r="B49" s="1759"/>
      <c r="C49" s="1237" t="s">
        <v>1076</v>
      </c>
      <c r="D49" s="1237"/>
      <c r="E49" s="1255">
        <v>0</v>
      </c>
      <c r="F49" s="1255">
        <v>0</v>
      </c>
      <c r="G49" s="1255">
        <v>0</v>
      </c>
      <c r="H49" s="1259">
        <v>0</v>
      </c>
      <c r="I49" s="1259">
        <v>0</v>
      </c>
      <c r="J49" s="1259">
        <v>0</v>
      </c>
      <c r="K49" s="1258"/>
      <c r="L49" s="1259"/>
      <c r="M49" s="1259"/>
      <c r="N49" s="1259">
        <v>0</v>
      </c>
      <c r="O49" s="1259">
        <v>0</v>
      </c>
      <c r="P49" s="1247"/>
    </row>
    <row r="50" spans="1:16">
      <c r="A50" s="1760"/>
      <c r="B50" s="1758" t="s">
        <v>1416</v>
      </c>
      <c r="C50" s="382" t="s">
        <v>1056</v>
      </c>
      <c r="D50" s="382" t="s">
        <v>1057</v>
      </c>
      <c r="E50" s="383">
        <v>0</v>
      </c>
      <c r="F50" s="383">
        <v>0</v>
      </c>
      <c r="G50" s="383">
        <v>0</v>
      </c>
      <c r="H50" s="390">
        <v>0</v>
      </c>
      <c r="I50" s="390">
        <v>0</v>
      </c>
      <c r="J50" s="390">
        <v>0</v>
      </c>
      <c r="K50" s="393" t="s">
        <v>1045</v>
      </c>
      <c r="L50" s="383" t="s">
        <v>221</v>
      </c>
      <c r="M50" s="383" t="s">
        <v>221</v>
      </c>
      <c r="N50" s="395">
        <v>0</v>
      </c>
      <c r="O50" s="395">
        <v>0</v>
      </c>
      <c r="P50" s="1247"/>
    </row>
    <row r="51" spans="1:16">
      <c r="A51" s="1760"/>
      <c r="B51" s="1759"/>
      <c r="C51" s="1248" t="s">
        <v>1224</v>
      </c>
      <c r="D51" s="1248"/>
      <c r="E51" s="383">
        <v>0</v>
      </c>
      <c r="F51" s="383">
        <v>0</v>
      </c>
      <c r="G51" s="383">
        <v>0</v>
      </c>
      <c r="H51" s="390">
        <v>0</v>
      </c>
      <c r="I51" s="390">
        <v>0</v>
      </c>
      <c r="J51" s="390">
        <v>0</v>
      </c>
      <c r="K51" s="386"/>
      <c r="L51" s="390"/>
      <c r="M51" s="390"/>
      <c r="N51" s="390">
        <v>0</v>
      </c>
      <c r="O51" s="390">
        <v>0</v>
      </c>
      <c r="P51" s="1247"/>
    </row>
    <row r="52" spans="1:16">
      <c r="A52" s="1761"/>
      <c r="B52" s="1262" t="s">
        <v>1225</v>
      </c>
      <c r="C52" s="1263" t="s">
        <v>1225</v>
      </c>
      <c r="D52" s="1264"/>
      <c r="E52" s="1265">
        <v>1599</v>
      </c>
      <c r="F52" s="1265">
        <v>286</v>
      </c>
      <c r="G52" s="1265">
        <v>723</v>
      </c>
      <c r="H52" s="1266">
        <v>92.552317999999985</v>
      </c>
      <c r="I52" s="1266">
        <v>17.537122500000002</v>
      </c>
      <c r="J52" s="1266">
        <v>28.576625499999999</v>
      </c>
      <c r="K52" s="1267"/>
      <c r="L52" s="1266"/>
      <c r="M52" s="1266"/>
      <c r="N52" s="1266">
        <v>91.142857142857139</v>
      </c>
      <c r="O52" s="1266">
        <v>4.2309781190476192</v>
      </c>
      <c r="P52" s="1247"/>
    </row>
    <row r="53" spans="1:16">
      <c r="A53" s="1758" t="s">
        <v>1226</v>
      </c>
      <c r="B53" s="1762" t="s">
        <v>1004</v>
      </c>
      <c r="C53" s="382" t="s">
        <v>1035</v>
      </c>
      <c r="D53" s="382" t="s">
        <v>1187</v>
      </c>
      <c r="E53" s="383">
        <v>0</v>
      </c>
      <c r="F53" s="383">
        <v>0</v>
      </c>
      <c r="G53" s="383">
        <v>0</v>
      </c>
      <c r="H53" s="390">
        <v>0</v>
      </c>
      <c r="I53" s="390">
        <v>0</v>
      </c>
      <c r="J53" s="390">
        <v>0</v>
      </c>
      <c r="K53" s="393" t="s">
        <v>1034</v>
      </c>
      <c r="L53" s="383" t="s">
        <v>221</v>
      </c>
      <c r="M53" s="383" t="s">
        <v>221</v>
      </c>
      <c r="N53" s="395">
        <v>0</v>
      </c>
      <c r="O53" s="395">
        <v>0</v>
      </c>
      <c r="P53" s="1247"/>
    </row>
    <row r="54" spans="1:16">
      <c r="A54" s="1760"/>
      <c r="B54" s="1759"/>
      <c r="C54" s="382" t="s">
        <v>1043</v>
      </c>
      <c r="D54" s="382" t="s">
        <v>1185</v>
      </c>
      <c r="E54" s="383">
        <v>34816</v>
      </c>
      <c r="F54" s="383">
        <v>10169</v>
      </c>
      <c r="G54" s="383">
        <v>10477</v>
      </c>
      <c r="H54" s="390">
        <v>9196.7625374999934</v>
      </c>
      <c r="I54" s="390">
        <v>2603.1088020000002</v>
      </c>
      <c r="J54" s="390">
        <v>2841.6120615000018</v>
      </c>
      <c r="K54" s="393" t="s">
        <v>1045</v>
      </c>
      <c r="L54" s="383" t="s">
        <v>221</v>
      </c>
      <c r="M54" s="383" t="s">
        <v>221</v>
      </c>
      <c r="N54" s="395">
        <v>12</v>
      </c>
      <c r="O54" s="395">
        <v>3.1927142857142856</v>
      </c>
      <c r="P54" s="1247"/>
    </row>
    <row r="55" spans="1:16">
      <c r="A55" s="1760"/>
      <c r="B55" s="1762" t="s">
        <v>622</v>
      </c>
      <c r="C55" s="382" t="s">
        <v>1220</v>
      </c>
      <c r="D55" s="382" t="s">
        <v>1227</v>
      </c>
      <c r="E55" s="383">
        <v>6870</v>
      </c>
      <c r="F55" s="383">
        <v>725</v>
      </c>
      <c r="G55" s="383">
        <v>1201</v>
      </c>
      <c r="H55" s="390">
        <v>162.04234999999983</v>
      </c>
      <c r="I55" s="390">
        <v>17.137374999999999</v>
      </c>
      <c r="J55" s="390">
        <v>30.553106249999999</v>
      </c>
      <c r="K55" s="393" t="s">
        <v>1084</v>
      </c>
      <c r="L55" s="383" t="s">
        <v>221</v>
      </c>
      <c r="M55" s="383" t="s">
        <v>221</v>
      </c>
      <c r="N55" s="395">
        <v>153.33333333333334</v>
      </c>
      <c r="O55" s="395">
        <v>3.7976785714285719</v>
      </c>
      <c r="P55" s="1247"/>
    </row>
    <row r="56" spans="1:16">
      <c r="A56" s="1760"/>
      <c r="B56" s="1759"/>
      <c r="C56" s="382" t="s">
        <v>1201</v>
      </c>
      <c r="D56" s="399" t="s">
        <v>1228</v>
      </c>
      <c r="E56" s="383">
        <v>7349729</v>
      </c>
      <c r="F56" s="383">
        <v>989944</v>
      </c>
      <c r="G56" s="383">
        <v>1047531</v>
      </c>
      <c r="H56" s="390">
        <v>495550.74704200024</v>
      </c>
      <c r="I56" s="390">
        <v>67110.789624000012</v>
      </c>
      <c r="J56" s="390">
        <v>65819.928305000009</v>
      </c>
      <c r="K56" s="400" t="s">
        <v>1079</v>
      </c>
      <c r="L56" s="383" t="s">
        <v>221</v>
      </c>
      <c r="M56" s="383" t="s">
        <v>221</v>
      </c>
      <c r="N56" s="395">
        <v>2371.5238095238096</v>
      </c>
      <c r="O56" s="395">
        <v>146.5567380952381</v>
      </c>
      <c r="P56" s="1247"/>
    </row>
    <row r="57" spans="1:16">
      <c r="A57" s="1761"/>
      <c r="B57" s="1268" t="s">
        <v>1229</v>
      </c>
      <c r="C57" s="1269" t="s">
        <v>1230</v>
      </c>
      <c r="D57" s="1250"/>
      <c r="E57" s="1255">
        <v>7391415</v>
      </c>
      <c r="F57" s="1255">
        <v>1000838</v>
      </c>
      <c r="G57" s="1255">
        <v>1059209</v>
      </c>
      <c r="H57" s="1259">
        <v>504909.55192950025</v>
      </c>
      <c r="I57" s="1259">
        <v>69731.035801000005</v>
      </c>
      <c r="J57" s="1259">
        <v>68692.093472750013</v>
      </c>
      <c r="K57" s="1258"/>
      <c r="L57" s="1259"/>
      <c r="M57" s="1259"/>
      <c r="N57" s="1259">
        <v>2536.8571428571431</v>
      </c>
      <c r="O57" s="1259">
        <v>153.54713095238097</v>
      </c>
      <c r="P57" s="1247"/>
    </row>
    <row r="58" spans="1:16" ht="15.75" customHeight="1">
      <c r="A58" s="1224" t="s">
        <v>1435</v>
      </c>
      <c r="C58" s="401"/>
      <c r="D58" s="401"/>
      <c r="E58" s="401"/>
      <c r="F58" s="401"/>
      <c r="G58" s="401"/>
      <c r="H58" s="402"/>
      <c r="I58" s="402"/>
      <c r="J58" s="402"/>
      <c r="K58" s="402"/>
      <c r="L58" s="402"/>
      <c r="M58" s="402"/>
      <c r="N58" s="402">
        <v>0</v>
      </c>
      <c r="O58" s="402">
        <v>0</v>
      </c>
    </row>
    <row r="59" spans="1:16" ht="14.25" customHeight="1">
      <c r="A59" s="403" t="s">
        <v>1231</v>
      </c>
      <c r="B59" s="404"/>
      <c r="C59" s="404"/>
      <c r="D59" s="404"/>
      <c r="E59" s="404"/>
      <c r="F59" s="404"/>
      <c r="G59" s="404"/>
      <c r="H59" s="404"/>
      <c r="I59" s="404"/>
      <c r="L59" s="405"/>
      <c r="M59" s="405"/>
      <c r="N59" s="405"/>
      <c r="O59" s="405"/>
    </row>
    <row r="60" spans="1:16">
      <c r="K60" s="1178"/>
    </row>
    <row r="61" spans="1:16">
      <c r="K61" s="1178"/>
    </row>
    <row r="62" spans="1:16">
      <c r="K62" s="1178"/>
    </row>
    <row r="63" spans="1:16">
      <c r="K63" s="1178"/>
    </row>
    <row r="64" spans="1:16">
      <c r="K64" s="1178"/>
    </row>
    <row r="65" spans="11:11">
      <c r="K65" s="1178"/>
    </row>
    <row r="66" spans="11:11">
      <c r="K66" s="1178"/>
    </row>
    <row r="67" spans="11:11">
      <c r="K67" s="1178"/>
    </row>
    <row r="68" spans="11:11">
      <c r="K68" s="1178"/>
    </row>
    <row r="69" spans="11:11">
      <c r="K69" s="1178"/>
    </row>
    <row r="70" spans="11:11">
      <c r="K70" s="1178"/>
    </row>
    <row r="71" spans="11:11">
      <c r="K71" s="1178"/>
    </row>
    <row r="72" spans="11:11">
      <c r="K72" s="1178"/>
    </row>
    <row r="73" spans="11:11">
      <c r="K73" s="1178"/>
    </row>
    <row r="74" spans="11:11">
      <c r="K74" s="1178"/>
    </row>
    <row r="75" spans="11:11">
      <c r="K75" s="1178"/>
    </row>
    <row r="76" spans="11:11">
      <c r="K76" s="1178"/>
    </row>
    <row r="77" spans="11:11">
      <c r="K77" s="1178"/>
    </row>
    <row r="78" spans="11:11">
      <c r="K78" s="1178"/>
    </row>
    <row r="79" spans="11:11">
      <c r="K79" s="1178"/>
    </row>
    <row r="80" spans="11:11">
      <c r="K80" s="1178"/>
    </row>
    <row r="81" spans="11:11">
      <c r="K81" s="1178"/>
    </row>
    <row r="82" spans="11:11">
      <c r="K82" s="1178"/>
    </row>
    <row r="83" spans="11:11">
      <c r="K83" s="1178"/>
    </row>
    <row r="84" spans="11:11">
      <c r="K84" s="1178"/>
    </row>
    <row r="85" spans="11:11">
      <c r="K85" s="1178"/>
    </row>
    <row r="86" spans="11:11">
      <c r="K86" s="1178"/>
    </row>
    <row r="87" spans="11:11">
      <c r="K87" s="1178"/>
    </row>
    <row r="88" spans="11:11">
      <c r="K88" s="1178"/>
    </row>
    <row r="89" spans="11:11">
      <c r="K89" s="1178"/>
    </row>
    <row r="90" spans="11:11">
      <c r="K90" s="1178"/>
    </row>
    <row r="91" spans="11:11">
      <c r="K91" s="1178"/>
    </row>
    <row r="92" spans="11:11">
      <c r="K92" s="1178"/>
    </row>
    <row r="93" spans="11:11">
      <c r="K93" s="1178"/>
    </row>
    <row r="94" spans="11:11">
      <c r="K94" s="1178"/>
    </row>
    <row r="95" spans="11:11">
      <c r="K95" s="1178"/>
    </row>
    <row r="96" spans="11:11">
      <c r="K96" s="1178"/>
    </row>
    <row r="97" spans="11:11">
      <c r="K97" s="1178"/>
    </row>
    <row r="98" spans="11:11">
      <c r="K98" s="1178"/>
    </row>
    <row r="99" spans="11:11">
      <c r="K99" s="1178"/>
    </row>
    <row r="100" spans="11:11">
      <c r="K100" s="1178"/>
    </row>
    <row r="101" spans="11:11">
      <c r="K101" s="1178"/>
    </row>
    <row r="102" spans="11:11">
      <c r="K102" s="1178"/>
    </row>
    <row r="103" spans="11:11">
      <c r="K103" s="1178"/>
    </row>
    <row r="104" spans="11:11">
      <c r="K104" s="1178"/>
    </row>
    <row r="105" spans="11:11">
      <c r="K105" s="1178"/>
    </row>
    <row r="106" spans="11:11">
      <c r="K106" s="1178"/>
    </row>
    <row r="107" spans="11:11">
      <c r="K107" s="1178"/>
    </row>
    <row r="108" spans="11:11">
      <c r="K108" s="1178"/>
    </row>
    <row r="109" spans="11:11">
      <c r="K109" s="1178"/>
    </row>
    <row r="110" spans="11:11">
      <c r="K110" s="1178"/>
    </row>
    <row r="111" spans="11:11">
      <c r="K111" s="1178"/>
    </row>
    <row r="112" spans="11:11">
      <c r="K112" s="1178"/>
    </row>
    <row r="113" spans="11:11">
      <c r="K113" s="1178"/>
    </row>
    <row r="114" spans="11:11">
      <c r="K114" s="1178"/>
    </row>
    <row r="115" spans="11:11">
      <c r="K115" s="1178"/>
    </row>
    <row r="116" spans="11:11">
      <c r="K116" s="1178"/>
    </row>
    <row r="117" spans="11:11">
      <c r="K117" s="1178"/>
    </row>
    <row r="118" spans="11:11">
      <c r="K118" s="1178"/>
    </row>
    <row r="119" spans="11:11">
      <c r="K119" s="1178"/>
    </row>
    <row r="120" spans="11:11">
      <c r="K120" s="1178"/>
    </row>
    <row r="121" spans="11:11">
      <c r="K121" s="1178"/>
    </row>
    <row r="122" spans="11:11">
      <c r="K122" s="1178"/>
    </row>
    <row r="123" spans="11:11">
      <c r="K123" s="1178"/>
    </row>
    <row r="124" spans="11:11">
      <c r="K124" s="1178"/>
    </row>
    <row r="125" spans="11:11">
      <c r="K125" s="1178"/>
    </row>
    <row r="126" spans="11:11">
      <c r="K126" s="1178"/>
    </row>
    <row r="127" spans="11:11">
      <c r="K127" s="1178"/>
    </row>
    <row r="128" spans="11:11">
      <c r="K128" s="1178"/>
    </row>
    <row r="129" spans="11:11">
      <c r="K129" s="1178"/>
    </row>
    <row r="130" spans="11:11">
      <c r="K130" s="1178"/>
    </row>
    <row r="131" spans="11:11">
      <c r="K131" s="1178"/>
    </row>
    <row r="132" spans="11:11">
      <c r="K132" s="1178"/>
    </row>
    <row r="133" spans="11:11">
      <c r="K133" s="1178"/>
    </row>
    <row r="134" spans="11:11">
      <c r="K134" s="1178"/>
    </row>
    <row r="135" spans="11:11">
      <c r="K135" s="1178"/>
    </row>
    <row r="136" spans="11:11">
      <c r="K136" s="1178"/>
    </row>
    <row r="137" spans="11:11">
      <c r="K137" s="1178"/>
    </row>
    <row r="138" spans="11:11">
      <c r="K138" s="1178"/>
    </row>
    <row r="139" spans="11:11">
      <c r="K139" s="1178"/>
    </row>
    <row r="140" spans="11:11">
      <c r="K140" s="1178"/>
    </row>
    <row r="141" spans="11:11">
      <c r="K141" s="1178"/>
    </row>
    <row r="142" spans="11:11">
      <c r="K142" s="1178"/>
    </row>
    <row r="143" spans="11:11">
      <c r="K143" s="1178"/>
    </row>
    <row r="144" spans="11:11">
      <c r="K144" s="1178"/>
    </row>
    <row r="145" spans="11:11">
      <c r="K145" s="1178"/>
    </row>
    <row r="146" spans="11:11">
      <c r="K146" s="1178"/>
    </row>
    <row r="147" spans="11:11">
      <c r="K147" s="1178"/>
    </row>
    <row r="148" spans="11:11">
      <c r="K148" s="1178"/>
    </row>
    <row r="149" spans="11:11">
      <c r="K149" s="1178"/>
    </row>
    <row r="150" spans="11:11">
      <c r="K150" s="1178"/>
    </row>
    <row r="151" spans="11:11">
      <c r="K151" s="1178"/>
    </row>
    <row r="152" spans="11:11">
      <c r="K152" s="1178"/>
    </row>
    <row r="153" spans="11:11">
      <c r="K153" s="1178"/>
    </row>
    <row r="154" spans="11:11">
      <c r="K154" s="1178"/>
    </row>
    <row r="155" spans="11:11">
      <c r="K155" s="1178"/>
    </row>
    <row r="156" spans="11:11">
      <c r="K156" s="1178"/>
    </row>
    <row r="157" spans="11:11">
      <c r="K157" s="1178"/>
    </row>
  </sheetData>
  <mergeCells count="27">
    <mergeCell ref="B48:B49"/>
    <mergeCell ref="A1:O1"/>
    <mergeCell ref="A2:A3"/>
    <mergeCell ref="B2:B3"/>
    <mergeCell ref="C2:C3"/>
    <mergeCell ref="D2:D3"/>
    <mergeCell ref="E2:G2"/>
    <mergeCell ref="H2:J2"/>
    <mergeCell ref="K2:K3"/>
    <mergeCell ref="L2:M2"/>
    <mergeCell ref="N2:O2"/>
    <mergeCell ref="B50:B51"/>
    <mergeCell ref="A53:A57"/>
    <mergeCell ref="B53:B54"/>
    <mergeCell ref="B55:B56"/>
    <mergeCell ref="A4:A24"/>
    <mergeCell ref="B4:B9"/>
    <mergeCell ref="B10:B15"/>
    <mergeCell ref="B16:B20"/>
    <mergeCell ref="B21:B23"/>
    <mergeCell ref="A25:A35"/>
    <mergeCell ref="B25:B29"/>
    <mergeCell ref="B30:B32"/>
    <mergeCell ref="B33:B34"/>
    <mergeCell ref="A36:A52"/>
    <mergeCell ref="B36:B42"/>
    <mergeCell ref="B43:B47"/>
  </mergeCells>
  <printOptions horizontalCentered="1"/>
  <pageMargins left="0.7" right="0.7" top="0.75" bottom="0.75" header="0.3" footer="0.3"/>
  <pageSetup paperSize="9" scale="48" fitToHeight="0" orientation="landscape" r:id="rId1"/>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5">
    <pageSetUpPr fitToPage="1"/>
  </sheetPr>
  <dimension ref="A1:G47"/>
  <sheetViews>
    <sheetView workbookViewId="0"/>
  </sheetViews>
  <sheetFormatPr defaultRowHeight="15"/>
  <cols>
    <col min="1" max="1" width="73" style="197" bestFit="1" customWidth="1"/>
    <col min="2" max="2" width="16" style="197" bestFit="1" customWidth="1"/>
    <col min="3" max="3" width="11.42578125" style="197" bestFit="1" customWidth="1"/>
    <col min="4" max="4" width="10.85546875" style="197" customWidth="1"/>
    <col min="5" max="6" width="10.7109375" style="197" bestFit="1" customWidth="1"/>
    <col min="7" max="7" width="11.42578125" style="197" bestFit="1" customWidth="1"/>
    <col min="8" max="16384" width="9.140625" style="197"/>
  </cols>
  <sheetData>
    <row r="1" spans="1:7">
      <c r="A1" s="1273" t="s">
        <v>193</v>
      </c>
      <c r="B1" s="1274"/>
      <c r="C1" s="1274"/>
    </row>
    <row r="2" spans="1:7">
      <c r="A2" s="1273" t="s">
        <v>1232</v>
      </c>
      <c r="B2" s="1275">
        <v>7730979.4400000004</v>
      </c>
      <c r="C2" s="1274"/>
    </row>
    <row r="3" spans="1:7">
      <c r="A3" s="1273" t="s">
        <v>1436</v>
      </c>
      <c r="B3" s="1275" t="s">
        <v>1437</v>
      </c>
      <c r="C3" s="1274"/>
    </row>
    <row r="4" spans="1:7">
      <c r="A4" s="1273" t="s">
        <v>1438</v>
      </c>
      <c r="B4" s="1275" t="s">
        <v>1439</v>
      </c>
      <c r="C4" s="1274"/>
    </row>
    <row r="5" spans="1:7" ht="30">
      <c r="A5" s="1273" t="s">
        <v>693</v>
      </c>
      <c r="B5" s="1276">
        <v>29.7</v>
      </c>
      <c r="C5" s="1274"/>
    </row>
    <row r="6" spans="1:7">
      <c r="A6" s="1273" t="s">
        <v>1440</v>
      </c>
      <c r="B6" s="1276">
        <v>31.3</v>
      </c>
      <c r="C6" s="1274"/>
    </row>
    <row r="7" spans="1:7">
      <c r="A7" s="1277" t="s">
        <v>194</v>
      </c>
      <c r="B7" s="1278">
        <v>45383</v>
      </c>
      <c r="C7" s="1278">
        <v>45413</v>
      </c>
      <c r="D7" s="1278">
        <v>45444</v>
      </c>
      <c r="E7" s="1278">
        <v>45474</v>
      </c>
      <c r="F7" s="1278">
        <v>45505</v>
      </c>
      <c r="G7" s="1278">
        <v>45536</v>
      </c>
    </row>
    <row r="8" spans="1:7">
      <c r="A8" s="1279" t="s">
        <v>195</v>
      </c>
      <c r="B8" s="1279">
        <v>4.5</v>
      </c>
      <c r="C8" s="1279">
        <v>4.5</v>
      </c>
      <c r="D8" s="1279">
        <v>4.5</v>
      </c>
      <c r="E8" s="1279">
        <v>4.5</v>
      </c>
      <c r="F8" s="1279">
        <v>4.5</v>
      </c>
      <c r="G8" s="1279">
        <v>4.5</v>
      </c>
    </row>
    <row r="9" spans="1:7">
      <c r="A9" s="1279" t="s">
        <v>196</v>
      </c>
      <c r="B9" s="1279">
        <v>6.5</v>
      </c>
      <c r="C9" s="1279">
        <v>6.5</v>
      </c>
      <c r="D9" s="1279">
        <v>6.5</v>
      </c>
      <c r="E9" s="1279">
        <v>6.5</v>
      </c>
      <c r="F9" s="1279">
        <v>6.5</v>
      </c>
      <c r="G9" s="1279">
        <v>6.5</v>
      </c>
    </row>
    <row r="10" spans="1:7">
      <c r="A10" s="997" t="s">
        <v>197</v>
      </c>
      <c r="B10" s="1280">
        <v>253583.37</v>
      </c>
      <c r="C10" s="1280">
        <v>248313.84</v>
      </c>
      <c r="D10" s="1280">
        <v>253518.89</v>
      </c>
      <c r="E10" s="1280">
        <v>255897.78</v>
      </c>
      <c r="F10" s="1280">
        <v>257027.47</v>
      </c>
      <c r="G10" s="1280">
        <f>25878742/100</f>
        <v>258787.42</v>
      </c>
    </row>
    <row r="11" spans="1:7">
      <c r="A11" s="1279" t="s">
        <v>198</v>
      </c>
      <c r="B11" s="1280">
        <v>209361.42</v>
      </c>
      <c r="C11" s="1280">
        <v>210876</v>
      </c>
      <c r="D11" s="1280">
        <v>209029.2</v>
      </c>
      <c r="E11" s="1280">
        <v>211937.41</v>
      </c>
      <c r="F11" s="1280">
        <v>213242.06</v>
      </c>
      <c r="G11" s="1280">
        <f>21505561/100</f>
        <v>215055.61</v>
      </c>
    </row>
    <row r="12" spans="1:7" ht="15.75" customHeight="1">
      <c r="A12" s="1279" t="s">
        <v>199</v>
      </c>
      <c r="B12" s="1280">
        <v>166311.9</v>
      </c>
      <c r="C12" s="1280">
        <v>167814</v>
      </c>
      <c r="D12" s="1280">
        <v>167107.97</v>
      </c>
      <c r="E12" s="1280">
        <v>168147.92</v>
      </c>
      <c r="F12" s="1280">
        <v>169451.62</v>
      </c>
      <c r="G12" s="1280">
        <f>17125371/100</f>
        <v>171253.71</v>
      </c>
    </row>
    <row r="13" spans="1:7">
      <c r="A13" s="1273" t="s">
        <v>200</v>
      </c>
      <c r="B13" s="1281"/>
      <c r="C13" s="1274"/>
      <c r="E13" s="1279"/>
    </row>
    <row r="14" spans="1:7">
      <c r="A14" s="1279" t="s">
        <v>201</v>
      </c>
      <c r="B14" s="1282">
        <v>6.65</v>
      </c>
      <c r="C14" s="1282">
        <v>6.56</v>
      </c>
      <c r="D14" s="1282">
        <v>6.67</v>
      </c>
      <c r="E14" s="1279">
        <v>6.5</v>
      </c>
      <c r="F14" s="1279">
        <v>6.59</v>
      </c>
      <c r="G14" s="1279">
        <v>6.61</v>
      </c>
    </row>
    <row r="15" spans="1:7">
      <c r="A15" s="1279" t="s">
        <v>202</v>
      </c>
      <c r="B15" s="1282">
        <v>6.92</v>
      </c>
      <c r="C15" s="1282">
        <v>6.85</v>
      </c>
      <c r="D15" s="1282">
        <v>6.8</v>
      </c>
      <c r="E15" s="1279">
        <v>6.72</v>
      </c>
      <c r="F15" s="1279">
        <v>6.63</v>
      </c>
      <c r="G15" s="1279">
        <v>6.65</v>
      </c>
    </row>
    <row r="16" spans="1:7">
      <c r="A16" s="995" t="s">
        <v>203</v>
      </c>
      <c r="B16" s="1283" t="s">
        <v>652</v>
      </c>
      <c r="C16" s="1283" t="s">
        <v>652</v>
      </c>
      <c r="D16" s="1282" t="s">
        <v>795</v>
      </c>
      <c r="E16" s="1282" t="s">
        <v>795</v>
      </c>
      <c r="F16" s="1279" t="s">
        <v>795</v>
      </c>
      <c r="G16" s="1279" t="s">
        <v>795</v>
      </c>
    </row>
    <row r="17" spans="1:7">
      <c r="A17" s="1279" t="s">
        <v>204</v>
      </c>
      <c r="B17" s="1282" t="s">
        <v>205</v>
      </c>
      <c r="C17" s="1282" t="s">
        <v>205</v>
      </c>
      <c r="D17" s="1282" t="s">
        <v>796</v>
      </c>
      <c r="E17" s="1279" t="s">
        <v>205</v>
      </c>
      <c r="F17" s="1279" t="s">
        <v>205</v>
      </c>
      <c r="G17" s="1279" t="s">
        <v>205</v>
      </c>
    </row>
    <row r="18" spans="1:7">
      <c r="A18" s="1281" t="s">
        <v>206</v>
      </c>
      <c r="B18" s="1281"/>
      <c r="C18" s="1274"/>
      <c r="E18" s="1279"/>
    </row>
    <row r="19" spans="1:7">
      <c r="A19" s="1279" t="s">
        <v>207</v>
      </c>
      <c r="B19" s="1284">
        <v>2272962.9500000002</v>
      </c>
      <c r="C19" s="1284">
        <v>2637533.6700000004</v>
      </c>
      <c r="D19" s="1284">
        <v>3132227.57</v>
      </c>
      <c r="E19" s="1284">
        <v>3296724.85</v>
      </c>
      <c r="F19" s="1284">
        <v>2847505</v>
      </c>
      <c r="G19" s="1284">
        <v>2740057.79</v>
      </c>
    </row>
    <row r="20" spans="1:7">
      <c r="A20" s="1279" t="s">
        <v>208</v>
      </c>
      <c r="B20" s="810">
        <v>40655851.939999998</v>
      </c>
      <c r="C20" s="810">
        <v>41212881.140000001</v>
      </c>
      <c r="D20" s="810">
        <v>43924743.630000003</v>
      </c>
      <c r="E20" s="1284">
        <v>46238008.350000001</v>
      </c>
      <c r="F20" s="1284">
        <v>46439993.770000003</v>
      </c>
      <c r="G20" s="1284">
        <v>47435137.149999999</v>
      </c>
    </row>
    <row r="21" spans="1:7">
      <c r="A21" s="1279" t="s">
        <v>209</v>
      </c>
      <c r="B21" s="810">
        <v>40304405.9649911</v>
      </c>
      <c r="C21" s="810">
        <v>40880529.739361502</v>
      </c>
      <c r="D21" s="810">
        <v>43573919</v>
      </c>
      <c r="E21" s="1284">
        <v>45865877.613030799</v>
      </c>
      <c r="F21" s="1284">
        <v>46109615.540309303</v>
      </c>
      <c r="G21" s="1284">
        <v>47064725.361702502</v>
      </c>
    </row>
    <row r="22" spans="1:7">
      <c r="A22" s="1279" t="s">
        <v>210</v>
      </c>
      <c r="B22" s="857">
        <v>-8671</v>
      </c>
      <c r="C22" s="857">
        <v>-25586</v>
      </c>
      <c r="D22" s="857">
        <v>26565</v>
      </c>
      <c r="E22" s="1284">
        <v>32365</v>
      </c>
      <c r="F22" s="1284">
        <v>7322</v>
      </c>
      <c r="G22" s="1284">
        <v>57724</v>
      </c>
    </row>
    <row r="23" spans="1:7">
      <c r="A23" s="1281" t="s">
        <v>211</v>
      </c>
      <c r="B23" s="1281"/>
      <c r="C23" s="1274"/>
      <c r="E23" s="1279"/>
    </row>
    <row r="24" spans="1:7">
      <c r="A24" s="1279" t="s">
        <v>212</v>
      </c>
      <c r="B24" s="1285">
        <v>641590</v>
      </c>
      <c r="C24" s="1285">
        <v>651510</v>
      </c>
      <c r="D24" s="1285">
        <v>651997</v>
      </c>
      <c r="E24" s="1285">
        <v>667386</v>
      </c>
      <c r="F24" s="1285">
        <v>689235</v>
      </c>
      <c r="G24" s="1285">
        <v>704885</v>
      </c>
    </row>
    <row r="25" spans="1:7">
      <c r="A25" s="1279" t="s">
        <v>213</v>
      </c>
      <c r="B25" s="1282">
        <v>83.34</v>
      </c>
      <c r="C25" s="1282">
        <v>83.3</v>
      </c>
      <c r="D25" s="1285">
        <v>83.45</v>
      </c>
      <c r="E25" s="1279">
        <v>83.73</v>
      </c>
      <c r="F25" s="1279">
        <v>83.87</v>
      </c>
      <c r="G25" s="1279">
        <v>83.67</v>
      </c>
    </row>
    <row r="26" spans="1:7">
      <c r="A26" s="1279" t="s">
        <v>214</v>
      </c>
      <c r="B26" s="1282">
        <v>89.43</v>
      </c>
      <c r="C26" s="1282">
        <v>90.12</v>
      </c>
      <c r="D26" s="1285">
        <v>89.25</v>
      </c>
      <c r="E26" s="1279">
        <v>90.32</v>
      </c>
      <c r="F26" s="1279">
        <v>92.91</v>
      </c>
      <c r="G26" s="1279">
        <v>93.46</v>
      </c>
    </row>
    <row r="27" spans="1:7">
      <c r="A27" s="1279" t="s">
        <v>215</v>
      </c>
      <c r="B27" s="1286">
        <v>1.37</v>
      </c>
      <c r="C27" s="1286">
        <v>1.34</v>
      </c>
      <c r="D27" s="1287">
        <v>1.26</v>
      </c>
      <c r="E27" s="1279">
        <v>1.33</v>
      </c>
      <c r="F27" s="1279">
        <v>1.64</v>
      </c>
      <c r="G27" s="1279">
        <v>2.11</v>
      </c>
    </row>
    <row r="28" spans="1:7">
      <c r="A28" s="1281" t="s">
        <v>216</v>
      </c>
      <c r="B28" s="1281"/>
      <c r="C28" s="1274"/>
      <c r="E28" s="1279"/>
    </row>
    <row r="29" spans="1:7">
      <c r="A29" s="1279" t="s">
        <v>217</v>
      </c>
      <c r="B29" s="1285">
        <v>1240</v>
      </c>
      <c r="C29" s="1285">
        <f>232000/100</f>
        <v>2320</v>
      </c>
      <c r="D29" s="1285">
        <v>3410</v>
      </c>
      <c r="E29" s="1285">
        <v>4530</v>
      </c>
      <c r="F29" s="1285">
        <v>6236.97</v>
      </c>
      <c r="G29" s="1285">
        <f>739697/100</f>
        <v>7396.97</v>
      </c>
    </row>
    <row r="30" spans="1:7">
      <c r="A30" s="1279" t="s">
        <v>218</v>
      </c>
      <c r="B30" s="1282">
        <v>1.26</v>
      </c>
      <c r="C30" s="1282">
        <v>2.6104417670682833</v>
      </c>
      <c r="D30" s="1282">
        <v>3.36</v>
      </c>
      <c r="E30" s="1279">
        <v>2.1</v>
      </c>
      <c r="F30" s="1279">
        <v>1.31</v>
      </c>
      <c r="G30" s="1279">
        <v>1.84</v>
      </c>
    </row>
    <row r="31" spans="1:7">
      <c r="A31" s="1279" t="s">
        <v>219</v>
      </c>
      <c r="B31" s="1282">
        <v>4.83</v>
      </c>
      <c r="C31" s="1282">
        <v>4.8</v>
      </c>
      <c r="D31" s="1282">
        <v>5.08</v>
      </c>
      <c r="E31" s="1279">
        <v>3.54</v>
      </c>
      <c r="F31" s="1279">
        <v>3.65</v>
      </c>
      <c r="G31" s="236">
        <v>5.49</v>
      </c>
    </row>
    <row r="32" spans="1:7">
      <c r="A32" s="1281" t="s">
        <v>1441</v>
      </c>
      <c r="B32" s="1274"/>
      <c r="C32" s="1274"/>
      <c r="E32" s="1279"/>
    </row>
    <row r="33" spans="1:7">
      <c r="A33" s="1279" t="s">
        <v>220</v>
      </c>
      <c r="B33" s="1286">
        <v>148</v>
      </c>
      <c r="C33" s="1286">
        <v>154.6</v>
      </c>
      <c r="D33" s="1286">
        <v>150.69999999999999</v>
      </c>
      <c r="E33" s="1286">
        <v>149.6</v>
      </c>
      <c r="F33" s="237">
        <v>145.6</v>
      </c>
      <c r="G33" s="1286" t="s">
        <v>221</v>
      </c>
    </row>
    <row r="34" spans="1:7">
      <c r="A34" s="1279" t="s">
        <v>222</v>
      </c>
      <c r="B34" s="1286">
        <v>130.9</v>
      </c>
      <c r="C34" s="1286">
        <v>136.5</v>
      </c>
      <c r="D34" s="1286">
        <v>134.9</v>
      </c>
      <c r="E34" s="1286">
        <v>116</v>
      </c>
      <c r="F34" s="237">
        <v>107.1</v>
      </c>
      <c r="G34" s="1286" t="s">
        <v>221</v>
      </c>
    </row>
    <row r="35" spans="1:7">
      <c r="A35" s="1279" t="s">
        <v>223</v>
      </c>
      <c r="B35" s="1286">
        <v>144.6</v>
      </c>
      <c r="C35" s="1286">
        <v>150.19999999999999</v>
      </c>
      <c r="D35" s="1286">
        <v>146.19999999999999</v>
      </c>
      <c r="E35" s="1286">
        <v>148.6</v>
      </c>
      <c r="F35" s="237">
        <v>145.9</v>
      </c>
      <c r="G35" s="1286" t="s">
        <v>221</v>
      </c>
    </row>
    <row r="36" spans="1:7">
      <c r="A36" s="1279" t="s">
        <v>224</v>
      </c>
      <c r="B36" s="1286">
        <v>212</v>
      </c>
      <c r="C36" s="1286">
        <v>229.3</v>
      </c>
      <c r="D36" s="1286">
        <v>222.8</v>
      </c>
      <c r="E36" s="1286">
        <v>220.2</v>
      </c>
      <c r="F36" s="237">
        <v>212.3</v>
      </c>
      <c r="G36" s="1286" t="s">
        <v>221</v>
      </c>
    </row>
    <row r="37" spans="1:7">
      <c r="A37" s="1281" t="s">
        <v>225</v>
      </c>
      <c r="B37" s="1274"/>
      <c r="C37" s="1274"/>
      <c r="E37" s="1279"/>
    </row>
    <row r="38" spans="1:7">
      <c r="A38" s="1279" t="s">
        <v>226</v>
      </c>
      <c r="B38" s="1288">
        <v>65.638280125999998</v>
      </c>
      <c r="C38" s="1288">
        <v>69.365133447000005</v>
      </c>
      <c r="D38" s="1289">
        <v>65.47</v>
      </c>
      <c r="E38" s="1290">
        <v>64.473539361000007</v>
      </c>
      <c r="F38" s="1290">
        <v>65.400000000000006</v>
      </c>
      <c r="G38" s="1289" t="s">
        <v>221</v>
      </c>
    </row>
    <row r="39" spans="1:7">
      <c r="A39" s="1279" t="s">
        <v>227</v>
      </c>
      <c r="B39" s="1288">
        <v>71.314999999999998</v>
      </c>
      <c r="C39" s="1288">
        <v>78.863</v>
      </c>
      <c r="D39" s="1289">
        <v>73.47</v>
      </c>
      <c r="E39" s="1290">
        <v>73.379000000000005</v>
      </c>
      <c r="F39" s="1290">
        <v>80.06</v>
      </c>
      <c r="G39" s="1289" t="s">
        <v>221</v>
      </c>
    </row>
    <row r="40" spans="1:7">
      <c r="A40" s="1279" t="s">
        <v>228</v>
      </c>
      <c r="B40" s="1286">
        <f>-B39+B38</f>
        <v>-5.6767198739999998</v>
      </c>
      <c r="C40" s="1286">
        <f>-C39+C38</f>
        <v>-9.4978665529999944</v>
      </c>
      <c r="D40" s="1286">
        <f>-D39+D38</f>
        <v>-8</v>
      </c>
      <c r="E40" s="1286">
        <f>-E39+E38</f>
        <v>-8.9054606389999975</v>
      </c>
      <c r="F40" s="1290">
        <f>-F39+F38</f>
        <v>-14.659999999999997</v>
      </c>
      <c r="G40" s="1289" t="s">
        <v>221</v>
      </c>
    </row>
    <row r="41" spans="1:7">
      <c r="A41" s="1291" t="s">
        <v>229</v>
      </c>
    </row>
    <row r="42" spans="1:7">
      <c r="A42" s="1292" t="s">
        <v>792</v>
      </c>
    </row>
    <row r="43" spans="1:7">
      <c r="A43" s="1292" t="s">
        <v>694</v>
      </c>
    </row>
    <row r="44" spans="1:7">
      <c r="A44" s="1292" t="s">
        <v>1442</v>
      </c>
    </row>
    <row r="45" spans="1:7">
      <c r="A45" s="1292" t="s">
        <v>1443</v>
      </c>
    </row>
    <row r="46" spans="1:7">
      <c r="A46" s="1292" t="s">
        <v>230</v>
      </c>
    </row>
    <row r="47" spans="1:7">
      <c r="A47" s="1292" t="s">
        <v>231</v>
      </c>
    </row>
  </sheetData>
  <hyperlinks>
    <hyperlink ref="A15" location="_edn3" display="_edn3"/>
  </hyperlinks>
  <printOptions horizontalCentered="1"/>
  <pageMargins left="0.7" right="0.7" top="0.75" bottom="0.75" header="0.3" footer="0.3"/>
  <pageSetup paperSize="9" scale="73" fitToWidth="0"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Klassify>
  <SNO>1</SNO>
  <KDate>2023-08-11 16:53:47</KDate>
  <Classification>SEBI-PUBLIC</Classification>
  <Subclassification/>
  <HostName>MUM0128007</HostName>
  <Domain_User>SEBINT/8007</Domain_User>
  <IPAdd>10.88.96.128</IPAdd>
  <FilePath>X:\Bulletin\2023 08 August\SEBI_Bulletin_August_2023.xlsx</FilePath>
  <KID>6C3C8C09061F638273696270073079</KID>
  <UniqueName/>
  <Suggested/>
  <Justification/>
</Klassify>
</file>

<file path=customXml/itemProps1.xml><?xml version="1.0" encoding="utf-8"?>
<ds:datastoreItem xmlns:ds="http://schemas.openxmlformats.org/officeDocument/2006/customXml" ds:itemID="{C763D44E-AA55-4E41-90D6-77D821A0F9D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75</vt:i4>
      </vt:variant>
      <vt:variant>
        <vt:lpstr>Named Ranges</vt:lpstr>
      </vt:variant>
      <vt:variant>
        <vt:i4>34</vt:i4>
      </vt:variant>
    </vt:vector>
  </HeadingPairs>
  <TitlesOfParts>
    <vt:vector size="109" baseType="lpstr">
      <vt:lpstr>Data Summary</vt:lpstr>
      <vt:lpstr>1</vt:lpstr>
      <vt:lpstr>2</vt:lpstr>
      <vt:lpstr>3</vt:lpstr>
      <vt:lpstr>4</vt:lpstr>
      <vt:lpstr>5</vt:lpstr>
      <vt:lpstr>6</vt:lpstr>
      <vt:lpstr>7</vt:lpstr>
      <vt:lpstr>8</vt:lpstr>
      <vt:lpstr>9</vt:lpstr>
      <vt:lpstr>10</vt:lpstr>
      <vt:lpstr>11</vt:lpstr>
      <vt:lpstr>12</vt:lpstr>
      <vt:lpstr>13 </vt:lpstr>
      <vt:lpstr>14</vt:lpstr>
      <vt:lpstr>15</vt:lpstr>
      <vt:lpstr>16</vt:lpstr>
      <vt:lpstr>17</vt:lpstr>
      <vt:lpstr>18</vt:lpstr>
      <vt:lpstr>19</vt:lpstr>
      <vt:lpstr>20</vt:lpstr>
      <vt:lpstr>21</vt:lpstr>
      <vt:lpstr>22</vt:lpstr>
      <vt:lpstr>23</vt:lpstr>
      <vt:lpstr>24</vt:lpstr>
      <vt:lpstr>25</vt:lpstr>
      <vt:lpstr>26</vt:lpstr>
      <vt:lpstr>27</vt:lpstr>
      <vt:lpstr>28</vt:lpstr>
      <vt:lpstr>29</vt:lpstr>
      <vt:lpstr>30</vt:lpstr>
      <vt:lpstr>31</vt:lpstr>
      <vt:lpstr>32</vt:lpstr>
      <vt:lpstr>33</vt:lpstr>
      <vt:lpstr>34</vt:lpstr>
      <vt:lpstr>35</vt:lpstr>
      <vt:lpstr>36</vt:lpstr>
      <vt:lpstr>37</vt:lpstr>
      <vt:lpstr>38</vt:lpstr>
      <vt:lpstr>39</vt:lpstr>
      <vt:lpstr>40</vt:lpstr>
      <vt:lpstr>41</vt:lpstr>
      <vt:lpstr>42</vt:lpstr>
      <vt:lpstr>43</vt:lpstr>
      <vt:lpstr>44</vt:lpstr>
      <vt:lpstr>45</vt:lpstr>
      <vt:lpstr>46</vt:lpstr>
      <vt:lpstr>47</vt:lpstr>
      <vt:lpstr>48</vt:lpstr>
      <vt:lpstr>49</vt:lpstr>
      <vt:lpstr>50</vt:lpstr>
      <vt:lpstr>51</vt:lpstr>
      <vt:lpstr>52</vt:lpstr>
      <vt:lpstr>53</vt:lpstr>
      <vt:lpstr>54</vt:lpstr>
      <vt:lpstr>55</vt:lpstr>
      <vt:lpstr>56</vt:lpstr>
      <vt:lpstr>57</vt:lpstr>
      <vt:lpstr>58</vt:lpstr>
      <vt:lpstr>59</vt:lpstr>
      <vt:lpstr>60</vt:lpstr>
      <vt:lpstr>61 </vt:lpstr>
      <vt:lpstr>62</vt:lpstr>
      <vt:lpstr>63</vt:lpstr>
      <vt:lpstr>64</vt:lpstr>
      <vt:lpstr>65</vt:lpstr>
      <vt:lpstr>66</vt:lpstr>
      <vt:lpstr>67</vt:lpstr>
      <vt:lpstr>68</vt:lpstr>
      <vt:lpstr>69</vt:lpstr>
      <vt:lpstr>70</vt:lpstr>
      <vt:lpstr>71</vt:lpstr>
      <vt:lpstr>72</vt:lpstr>
      <vt:lpstr>73</vt:lpstr>
      <vt:lpstr>74</vt:lpstr>
      <vt:lpstr>'1'!Print_Area</vt:lpstr>
      <vt:lpstr>'10'!Print_Area</vt:lpstr>
      <vt:lpstr>'11'!Print_Area</vt:lpstr>
      <vt:lpstr>'12'!Print_Area</vt:lpstr>
      <vt:lpstr>'14'!Print_Area</vt:lpstr>
      <vt:lpstr>'15'!Print_Area</vt:lpstr>
      <vt:lpstr>'16'!Print_Area</vt:lpstr>
      <vt:lpstr>'17'!Print_Area</vt:lpstr>
      <vt:lpstr>'18'!Print_Area</vt:lpstr>
      <vt:lpstr>'19'!Print_Area</vt:lpstr>
      <vt:lpstr>'20'!Print_Area</vt:lpstr>
      <vt:lpstr>'21'!Print_Area</vt:lpstr>
      <vt:lpstr>'24'!Print_Area</vt:lpstr>
      <vt:lpstr>'3'!Print_Area</vt:lpstr>
      <vt:lpstr>'35'!Print_Area</vt:lpstr>
      <vt:lpstr>'4'!Print_Area</vt:lpstr>
      <vt:lpstr>'49'!Print_Area</vt:lpstr>
      <vt:lpstr>'5'!Print_Area</vt:lpstr>
      <vt:lpstr>'53'!Print_Area</vt:lpstr>
      <vt:lpstr>'54'!Print_Area</vt:lpstr>
      <vt:lpstr>'55'!Print_Area</vt:lpstr>
      <vt:lpstr>'58'!Print_Area</vt:lpstr>
      <vt:lpstr>'6'!Print_Area</vt:lpstr>
      <vt:lpstr>'64'!Print_Area</vt:lpstr>
      <vt:lpstr>'65'!Print_Area</vt:lpstr>
      <vt:lpstr>'66'!Print_Area</vt:lpstr>
      <vt:lpstr>'67'!Print_Area</vt:lpstr>
      <vt:lpstr>'68'!Print_Area</vt:lpstr>
      <vt:lpstr>'69'!Print_Area</vt:lpstr>
      <vt:lpstr>'7'!Print_Area</vt:lpstr>
      <vt:lpstr>'70'!Print_Area</vt:lpstr>
      <vt:lpstr>'74'!Print_Area</vt:lpstr>
      <vt:lpstr>'8'!Print_Area</vt:lpstr>
      <vt:lpstr>'9'!Print_Area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2024-10-23T10:39:09Z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lassification">
    <vt:lpwstr>SEBI-PUBLIC</vt:lpwstr>
  </property>
  <property fmtid="{D5CDD505-2E9C-101B-9397-08002B2CF9AE}" pid="3" name="Rules">
    <vt:lpwstr/>
  </property>
  <property fmtid="{D5CDD505-2E9C-101B-9397-08002B2CF9AE}" pid="4" name="KID">
    <vt:lpwstr>6C3C8C09061F638273696270073079</vt:lpwstr>
  </property>
</Properties>
</file>