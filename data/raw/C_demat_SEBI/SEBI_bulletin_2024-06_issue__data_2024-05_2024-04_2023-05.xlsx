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620" tabRatio="865" activeTab="5"/>
  </bookViews>
  <sheets>
    <sheet name="Data Summary" sheetId="2" r:id="rId1"/>
    <sheet name="1" sheetId="78"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8" r:id="rId14"/>
    <sheet name="14" sheetId="15" r:id="rId15"/>
    <sheet name="15" sheetId="16" r:id="rId16"/>
    <sheet name="16" sheetId="19" r:id="rId17"/>
    <sheet name="17" sheetId="20" r:id="rId18"/>
    <sheet name="18" sheetId="21" r:id="rId19"/>
    <sheet name="19" sheetId="22" r:id="rId20"/>
    <sheet name="20" sheetId="23" r:id="rId21"/>
    <sheet name="21" sheetId="24" r:id="rId22"/>
    <sheet name="22" sheetId="25" r:id="rId23"/>
    <sheet name="23" sheetId="26" r:id="rId24"/>
    <sheet name="24" sheetId="27" r:id="rId25"/>
    <sheet name="25" sheetId="28" r:id="rId26"/>
    <sheet name="26" sheetId="29" r:id="rId27"/>
    <sheet name="27" sheetId="30" r:id="rId28"/>
    <sheet name="28" sheetId="31" r:id="rId29"/>
    <sheet name="29" sheetId="32" r:id="rId30"/>
    <sheet name="30" sheetId="33" r:id="rId31"/>
    <sheet name="31" sheetId="34" r:id="rId32"/>
    <sheet name="32" sheetId="35" r:id="rId33"/>
    <sheet name="33" sheetId="36" r:id="rId34"/>
    <sheet name="34" sheetId="37" r:id="rId35"/>
    <sheet name="35" sheetId="38" r:id="rId36"/>
    <sheet name="36" sheetId="39" r:id="rId37"/>
    <sheet name="37" sheetId="40" r:id="rId38"/>
    <sheet name="38" sheetId="41" r:id="rId39"/>
    <sheet name="39" sheetId="42" r:id="rId40"/>
    <sheet name="40" sheetId="43" r:id="rId41"/>
    <sheet name="41" sheetId="44" r:id="rId42"/>
    <sheet name="42" sheetId="45" r:id="rId43"/>
    <sheet name="43" sheetId="46" r:id="rId44"/>
    <sheet name="44" sheetId="47" r:id="rId45"/>
    <sheet name="45" sheetId="48" r:id="rId46"/>
    <sheet name="46" sheetId="49" r:id="rId47"/>
    <sheet name="47" sheetId="50" r:id="rId48"/>
    <sheet name="48" sheetId="51" r:id="rId49"/>
    <sheet name="49" sheetId="52" r:id="rId50"/>
    <sheet name="50" sheetId="53" r:id="rId51"/>
    <sheet name="51" sheetId="54" r:id="rId52"/>
    <sheet name="52" sheetId="55" r:id="rId53"/>
    <sheet name="53" sheetId="69" r:id="rId54"/>
    <sheet name="54" sheetId="70" r:id="rId55"/>
    <sheet name="55" sheetId="71" r:id="rId56"/>
    <sheet name="56" sheetId="73" r:id="rId57"/>
    <sheet name="57" sheetId="72" r:id="rId58"/>
    <sheet name="58" sheetId="74" r:id="rId59"/>
    <sheet name="59" sheetId="75" r:id="rId60"/>
    <sheet name="60" sheetId="76" r:id="rId61"/>
    <sheet name="61" sheetId="56" r:id="rId62"/>
    <sheet name="62" sheetId="57" r:id="rId63"/>
    <sheet name="63" sheetId="58" r:id="rId64"/>
    <sheet name="64" sheetId="59" r:id="rId65"/>
    <sheet name="65" sheetId="60" r:id="rId66"/>
    <sheet name="66" sheetId="61" r:id="rId67"/>
    <sheet name="67" sheetId="62" r:id="rId68"/>
    <sheet name="68" sheetId="63" r:id="rId69"/>
    <sheet name="69" sheetId="64" r:id="rId70"/>
    <sheet name="70" sheetId="65" r:id="rId71"/>
    <sheet name="71" sheetId="66" r:id="rId72"/>
    <sheet name="72" sheetId="67" r:id="rId73"/>
    <sheet name="73" sheetId="68" r:id="rId74"/>
    <sheet name="74" sheetId="17" r:id="rId75"/>
  </sheets>
  <definedNames>
    <definedName name="_xlnm._FilterDatabase" localSheetId="2" hidden="1">'2'!$A$3:$Q$41</definedName>
    <definedName name="_xlnm._FilterDatabase" localSheetId="3" hidden="1">'3'!$A$2:$J$3</definedName>
    <definedName name="_xlnm._FilterDatabase" localSheetId="72" hidden="1">'72'!#REF!</definedName>
    <definedName name="_xlnm.Print_Area" localSheetId="1">'1'!$A$1:$C$62</definedName>
    <definedName name="_xlnm.Print_Area" localSheetId="10">'10'!$A$1:$K$20</definedName>
    <definedName name="_xlnm.Print_Area" localSheetId="11">'11'!$A$1:$K$20</definedName>
    <definedName name="_xlnm.Print_Area" localSheetId="12">'12'!$A$1:$I$19</definedName>
    <definedName name="_xlnm.Print_Area" localSheetId="13">'13'!$A$1:$I$22</definedName>
    <definedName name="_xlnm.Print_Area" localSheetId="14">'14'!$A$1:$M$14</definedName>
    <definedName name="_xlnm.Print_Area" localSheetId="15">'15'!$A$1:$K$14</definedName>
    <definedName name="_xlnm.Print_Area" localSheetId="16">'16'!$A$1:$D$10</definedName>
    <definedName name="_xlnm.Print_Area" localSheetId="17">'17'!$A$1:$P$22</definedName>
    <definedName name="_xlnm.Print_Area" localSheetId="18">'18'!$A$1:$Q$23</definedName>
    <definedName name="_xlnm.Print_Area" localSheetId="19">'19'!$A$1:$P$22</definedName>
    <definedName name="_xlnm.Print_Area" localSheetId="2">'2'!$A$1:$Q$45</definedName>
    <definedName name="_xlnm.Print_Area" localSheetId="20">'20'!$A$1:$H$32</definedName>
    <definedName name="_xlnm.Print_Area" localSheetId="21">'21'!$A$1:$F$20</definedName>
    <definedName name="_xlnm.Print_Area" localSheetId="24">'24'!$A$1:$J$39</definedName>
    <definedName name="_xlnm.Print_Area" localSheetId="3">'3'!$A$1:$J$4</definedName>
    <definedName name="_xlnm.Print_Area" localSheetId="34">'34'!$A$1:$W$27</definedName>
    <definedName name="_xlnm.Print_Area" localSheetId="35">'35'!$A$1:$W$26</definedName>
    <definedName name="_xlnm.Print_Area" localSheetId="4">'4'!$A$1:$I$23</definedName>
    <definedName name="_xlnm.Print_Area" localSheetId="49">'49'!$A$1:$K$20</definedName>
    <definedName name="_xlnm.Print_Area" localSheetId="5">'5'!$A$1:$Q$56</definedName>
    <definedName name="_xlnm.Print_Area" localSheetId="53">'53'!$A$1:$F$7</definedName>
    <definedName name="_xlnm.Print_Area" localSheetId="54">'54'!$A$1:$F$14</definedName>
    <definedName name="_xlnm.Print_Area" localSheetId="55">'55'!$A$1:$AC$12</definedName>
    <definedName name="_xlnm.Print_Area" localSheetId="58">'58'!$A$1:$N$89</definedName>
    <definedName name="_xlnm.Print_Area" localSheetId="64">'64'!$A$1:$L$18</definedName>
    <definedName name="_xlnm.Print_Area" localSheetId="65">'65'!$A$1:$F$17</definedName>
    <definedName name="_xlnm.Print_Area" localSheetId="66">'66'!$A$1:$T$37</definedName>
    <definedName name="_xlnm.Print_Area" localSheetId="67">'67'!$A$1:$T$19</definedName>
    <definedName name="_xlnm.Print_Area" localSheetId="68">'68'!$A$1:$N$37</definedName>
    <definedName name="_xlnm.Print_Area" localSheetId="69">'69'!$A$1:$N$33</definedName>
    <definedName name="_xlnm.Print_Area" localSheetId="7">'7'!$A$1:$K$66</definedName>
    <definedName name="_xlnm.Print_Area" localSheetId="70">'70'!$A$1:$H$53</definedName>
    <definedName name="_xlnm.Print_Area" localSheetId="71">'71'!#REF!</definedName>
    <definedName name="_xlnm.Print_Area" localSheetId="72">'72'!#REF!</definedName>
    <definedName name="_xlnm.Print_Area" localSheetId="73">'73'!#REF!</definedName>
    <definedName name="_xlnm.Print_Area" localSheetId="74">'74'!$A$1:$C$44</definedName>
    <definedName name="_xlnm.Print_Area" localSheetId="8">'8'!$A$1:$Q$21</definedName>
    <definedName name="_xlnm.Print_Area" localSheetId="9">'9'!$A$1:$O$20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41" i="7" l="1"/>
  <c r="Q40" i="7"/>
  <c r="Q39" i="7"/>
  <c r="O41" i="7"/>
  <c r="Q7" i="4" l="1"/>
  <c r="Q10" i="4"/>
  <c r="Q6" i="4"/>
  <c r="Q13" i="4"/>
  <c r="Q11" i="4"/>
  <c r="Q8" i="4"/>
  <c r="Q12" i="4"/>
  <c r="Q4" i="4"/>
  <c r="Q9" i="4"/>
  <c r="Q5"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C5" i="42" l="1"/>
  <c r="D5" i="42"/>
  <c r="E5" i="42"/>
  <c r="F5" i="42"/>
  <c r="G5" i="42"/>
  <c r="H5" i="42"/>
  <c r="I5" i="42"/>
  <c r="J5" i="42"/>
  <c r="K5" i="42"/>
  <c r="B5" i="42"/>
  <c r="C5" i="41"/>
  <c r="D5" i="41"/>
  <c r="E5" i="41"/>
  <c r="F5" i="41"/>
  <c r="B5" i="40"/>
  <c r="B5" i="41"/>
  <c r="C5" i="40"/>
  <c r="D5" i="40"/>
  <c r="E5" i="40"/>
  <c r="F5" i="40"/>
  <c r="C38" i="17" l="1"/>
  <c r="B38" i="17"/>
  <c r="F5" i="69" l="1"/>
  <c r="E4" i="69"/>
  <c r="F5" i="50" l="1"/>
  <c r="O5" i="49"/>
  <c r="N5" i="49"/>
  <c r="J5" i="49"/>
  <c r="F5" i="49"/>
  <c r="T8" i="37" l="1"/>
  <c r="C27" i="17" l="1"/>
  <c r="C18" i="17"/>
  <c r="C8" i="17"/>
  <c r="N26" i="63"/>
  <c r="M26" i="63"/>
  <c r="L26" i="63"/>
  <c r="K26" i="63"/>
  <c r="J26" i="63"/>
  <c r="I26" i="63"/>
  <c r="H26" i="63"/>
  <c r="G26" i="63"/>
  <c r="F26" i="63"/>
  <c r="E26" i="63"/>
  <c r="D26" i="63"/>
  <c r="C26" i="63"/>
  <c r="B26" i="63"/>
  <c r="L8" i="63"/>
  <c r="L6" i="63" s="1"/>
  <c r="K8" i="63"/>
  <c r="K6" i="63" s="1"/>
  <c r="N6" i="63"/>
  <c r="M6" i="63"/>
  <c r="J6" i="63"/>
  <c r="I6" i="63"/>
  <c r="H6" i="63"/>
  <c r="G6" i="63"/>
  <c r="F6" i="63"/>
  <c r="E6" i="63"/>
  <c r="D6" i="63"/>
  <c r="C6" i="63"/>
  <c r="B6" i="63"/>
  <c r="A7" i="60"/>
  <c r="A8" i="60" s="1"/>
  <c r="A9" i="60" s="1"/>
  <c r="A10" i="60" s="1"/>
  <c r="A11" i="60" s="1"/>
  <c r="A12" i="60" s="1"/>
  <c r="A13" i="60" s="1"/>
  <c r="A14" i="60" s="1"/>
  <c r="A15" i="60" s="1"/>
  <c r="A16" i="60" s="1"/>
  <c r="A17" i="60" s="1"/>
  <c r="E5" i="60"/>
  <c r="D5" i="60"/>
  <c r="C5" i="60"/>
  <c r="B5" i="60"/>
  <c r="O18" i="76"/>
  <c r="N18" i="76"/>
  <c r="M18" i="76"/>
  <c r="L18" i="76"/>
  <c r="J18" i="76"/>
  <c r="I18" i="76"/>
  <c r="H18" i="76"/>
  <c r="G18" i="76"/>
  <c r="E18" i="76"/>
  <c r="D18" i="76"/>
  <c r="C18" i="76"/>
  <c r="B18" i="76"/>
  <c r="P17" i="76"/>
  <c r="K17" i="76"/>
  <c r="F17" i="76"/>
  <c r="P16" i="76"/>
  <c r="K16" i="76"/>
  <c r="F16" i="76"/>
  <c r="P15" i="76"/>
  <c r="K15" i="76"/>
  <c r="F15" i="76"/>
  <c r="P14" i="76"/>
  <c r="K14" i="76"/>
  <c r="F14" i="76"/>
  <c r="P13" i="76"/>
  <c r="K13" i="76"/>
  <c r="F13" i="76"/>
  <c r="P12" i="76"/>
  <c r="K12" i="76"/>
  <c r="F12" i="76"/>
  <c r="P11" i="76"/>
  <c r="K11" i="76"/>
  <c r="F11" i="76"/>
  <c r="P10" i="76"/>
  <c r="K10" i="76"/>
  <c r="F10" i="76"/>
  <c r="P9" i="76"/>
  <c r="K9" i="76"/>
  <c r="F9" i="76"/>
  <c r="P8" i="76"/>
  <c r="K8" i="76"/>
  <c r="F8" i="76"/>
  <c r="P7" i="76"/>
  <c r="K7" i="76"/>
  <c r="F7" i="76"/>
  <c r="P6" i="76"/>
  <c r="K6" i="76"/>
  <c r="F6" i="76"/>
  <c r="K18" i="76" l="1"/>
  <c r="F18" i="76"/>
  <c r="P18" i="76"/>
  <c r="G5" i="31" l="1"/>
  <c r="I7" i="18" l="1"/>
  <c r="H7" i="18"/>
  <c r="I6" i="18"/>
  <c r="H6" i="18"/>
  <c r="H5" i="18" s="1"/>
  <c r="H5" i="22" l="1"/>
  <c r="G5" i="9" l="1"/>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4" i="9"/>
  <c r="J63" i="9"/>
  <c r="K63" i="9"/>
  <c r="J2" i="9"/>
  <c r="I8" i="8"/>
  <c r="H8" i="8"/>
  <c r="B8" i="8" s="1"/>
  <c r="I7" i="8"/>
  <c r="H7" i="8"/>
  <c r="B7" i="8" s="1"/>
  <c r="K7" i="13" l="1"/>
  <c r="J7" i="13"/>
  <c r="J6" i="12" l="1"/>
  <c r="E63" i="9" l="1"/>
  <c r="H63" i="9"/>
  <c r="F63" i="9" s="1"/>
  <c r="I63" i="9"/>
  <c r="G63" i="9" s="1"/>
  <c r="D63" i="9"/>
  <c r="N25" i="64" l="1"/>
  <c r="M25" i="64"/>
  <c r="L25" i="64"/>
  <c r="K25" i="64"/>
  <c r="J25" i="64"/>
  <c r="I25" i="64"/>
  <c r="H25" i="64"/>
  <c r="G25" i="64"/>
  <c r="F25" i="64"/>
  <c r="E25" i="64"/>
  <c r="D25" i="64"/>
  <c r="C25" i="64"/>
  <c r="B25" i="64"/>
  <c r="N6" i="64"/>
  <c r="M6" i="64"/>
  <c r="L6" i="64"/>
  <c r="K6" i="64"/>
  <c r="J6" i="64"/>
  <c r="I6" i="64"/>
  <c r="H6" i="64"/>
  <c r="G6" i="64"/>
  <c r="F6" i="64"/>
  <c r="E6" i="64"/>
  <c r="D6" i="64"/>
  <c r="C6" i="64"/>
  <c r="B6" i="64"/>
  <c r="R6" i="62"/>
  <c r="Q6" i="62"/>
  <c r="P6" i="62"/>
  <c r="O6" i="62"/>
  <c r="N6" i="62"/>
  <c r="M6" i="62"/>
  <c r="L6" i="62"/>
  <c r="K6" i="62"/>
  <c r="J6" i="62"/>
  <c r="I6" i="62"/>
  <c r="H6" i="62"/>
  <c r="G6" i="62"/>
  <c r="F6" i="62"/>
  <c r="E6" i="62"/>
  <c r="D6" i="62"/>
  <c r="C6" i="62"/>
  <c r="B6" i="62"/>
  <c r="R25" i="61"/>
  <c r="Q25" i="61"/>
  <c r="P25" i="61"/>
  <c r="O25" i="61"/>
  <c r="N25" i="61"/>
  <c r="M25" i="61"/>
  <c r="L25" i="61"/>
  <c r="K25" i="61"/>
  <c r="J25" i="61"/>
  <c r="I25" i="61"/>
  <c r="H25" i="61"/>
  <c r="G25" i="61"/>
  <c r="F25" i="61"/>
  <c r="E25" i="61"/>
  <c r="D25" i="61"/>
  <c r="C25" i="61"/>
  <c r="B25" i="61"/>
  <c r="T6" i="61"/>
  <c r="S6" i="61"/>
  <c r="R6" i="61"/>
  <c r="Q6" i="61"/>
  <c r="P6" i="61"/>
  <c r="O6" i="61"/>
  <c r="N6" i="61"/>
  <c r="M6" i="61"/>
  <c r="L6" i="61"/>
  <c r="K6" i="61"/>
  <c r="J6" i="61"/>
  <c r="I6" i="61"/>
  <c r="H6" i="61"/>
  <c r="G6" i="61"/>
  <c r="F6" i="61"/>
  <c r="E6" i="61"/>
  <c r="D6" i="61"/>
  <c r="C6" i="61"/>
  <c r="B6" i="61"/>
  <c r="B5" i="75" l="1"/>
  <c r="D6" i="72"/>
  <c r="D5" i="72"/>
  <c r="B5" i="72"/>
  <c r="B12" i="73"/>
  <c r="B5" i="71"/>
  <c r="C4" i="69" l="1"/>
  <c r="D4" i="69"/>
  <c r="B4" i="69"/>
  <c r="F4" i="69"/>
  <c r="D5" i="57" l="1"/>
  <c r="G5" i="40"/>
  <c r="B8" i="38"/>
  <c r="C8" i="38"/>
  <c r="A5" i="4" l="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F5" i="75" l="1"/>
  <c r="E5" i="75"/>
  <c r="C5" i="75"/>
  <c r="A7" i="75"/>
  <c r="A8" i="75" s="1"/>
  <c r="A9" i="75" s="1"/>
  <c r="A10" i="75" s="1"/>
  <c r="A11" i="75" s="1"/>
  <c r="A12" i="75" s="1"/>
  <c r="A13" i="75" s="1"/>
  <c r="A14" i="75" s="1"/>
  <c r="A15" i="75" s="1"/>
  <c r="A16" i="75" s="1"/>
  <c r="A17" i="75" s="1"/>
  <c r="K5" i="72"/>
  <c r="I5" i="72"/>
  <c r="H5" i="72"/>
  <c r="F5" i="72"/>
  <c r="E5" i="72"/>
  <c r="C5" i="72"/>
  <c r="A7" i="72"/>
  <c r="A8" i="72" s="1"/>
  <c r="A9" i="72" s="1"/>
  <c r="A10" i="72" s="1"/>
  <c r="A11" i="72" s="1"/>
  <c r="A12" i="72" s="1"/>
  <c r="A13" i="72" s="1"/>
  <c r="A14" i="72" s="1"/>
  <c r="A15" i="72" s="1"/>
  <c r="A16" i="72" s="1"/>
  <c r="A17" i="72" s="1"/>
  <c r="AC5" i="71"/>
  <c r="AB5" i="71"/>
  <c r="AA5" i="71"/>
  <c r="Z5" i="71"/>
  <c r="Y5" i="71"/>
  <c r="X5" i="71"/>
  <c r="W5" i="71"/>
  <c r="V5" i="71"/>
  <c r="U5" i="71"/>
  <c r="T5" i="71"/>
  <c r="S5" i="71"/>
  <c r="R5" i="71"/>
  <c r="Q5" i="71"/>
  <c r="P5" i="71"/>
  <c r="O5" i="71"/>
  <c r="N5" i="71"/>
  <c r="M5" i="71"/>
  <c r="L5" i="71"/>
  <c r="K5" i="71"/>
  <c r="J5" i="71"/>
  <c r="I5" i="71"/>
  <c r="H5" i="71"/>
  <c r="G5" i="71"/>
  <c r="F5" i="71"/>
  <c r="E5" i="71"/>
  <c r="D5" i="71"/>
  <c r="C5" i="71"/>
  <c r="A7" i="71"/>
  <c r="A8" i="71" s="1"/>
  <c r="A9" i="71" s="1"/>
  <c r="A10" i="71" s="1"/>
  <c r="A11" i="71" s="1"/>
  <c r="A12" i="71" s="1"/>
  <c r="A13" i="71" s="1"/>
  <c r="A14" i="71" s="1"/>
  <c r="A15" i="71" s="1"/>
  <c r="A16" i="71" s="1"/>
  <c r="A17" i="71" s="1"/>
  <c r="C4" i="70"/>
  <c r="D4" i="70"/>
  <c r="B4" i="70"/>
  <c r="B6" i="47" l="1"/>
  <c r="K5" i="57" l="1"/>
  <c r="J5" i="57"/>
  <c r="I5" i="57"/>
  <c r="H5" i="57"/>
  <c r="G5" i="57"/>
  <c r="F5" i="57"/>
  <c r="E5" i="57"/>
  <c r="C5" i="57"/>
  <c r="B5" i="57"/>
  <c r="G5" i="55"/>
  <c r="F5" i="55"/>
  <c r="E5" i="55"/>
  <c r="D5" i="55"/>
  <c r="C5" i="55"/>
  <c r="B5" i="55"/>
  <c r="J6" i="54"/>
  <c r="I6" i="54"/>
  <c r="H6" i="54"/>
  <c r="G6" i="54"/>
  <c r="F6" i="54"/>
  <c r="E6" i="54"/>
  <c r="D6" i="54"/>
  <c r="C6" i="54"/>
  <c r="B6" i="54"/>
  <c r="K5" i="53"/>
  <c r="J5" i="53"/>
  <c r="I5" i="53"/>
  <c r="H5" i="53"/>
  <c r="G5" i="53"/>
  <c r="F5" i="53"/>
  <c r="E5" i="53"/>
  <c r="D5" i="53"/>
  <c r="C5" i="53"/>
  <c r="B5" i="53"/>
  <c r="K5" i="52"/>
  <c r="J5" i="52"/>
  <c r="I5" i="52"/>
  <c r="H5" i="52"/>
  <c r="G5" i="52"/>
  <c r="F5" i="52"/>
  <c r="E5" i="52"/>
  <c r="D5" i="52"/>
  <c r="C5" i="52"/>
  <c r="B5" i="52"/>
  <c r="K5" i="51"/>
  <c r="J5" i="51"/>
  <c r="I5" i="51"/>
  <c r="H5" i="51"/>
  <c r="G5" i="51"/>
  <c r="F5" i="51"/>
  <c r="E5" i="51"/>
  <c r="D5" i="51"/>
  <c r="C5" i="51"/>
  <c r="B5" i="51"/>
  <c r="I5" i="50"/>
  <c r="H5" i="50"/>
  <c r="G5" i="50"/>
  <c r="E5" i="50"/>
  <c r="D5" i="50"/>
  <c r="C5" i="50"/>
  <c r="B5" i="50"/>
  <c r="M5" i="49"/>
  <c r="L5" i="49"/>
  <c r="K5" i="49"/>
  <c r="I5" i="49"/>
  <c r="H5" i="49"/>
  <c r="G5" i="49"/>
  <c r="E5" i="49"/>
  <c r="D5" i="49"/>
  <c r="C5" i="49"/>
  <c r="B5" i="49"/>
  <c r="O5" i="48"/>
  <c r="N5" i="48"/>
  <c r="M5" i="48"/>
  <c r="L5" i="48"/>
  <c r="K5" i="48"/>
  <c r="J5" i="48"/>
  <c r="I5" i="48"/>
  <c r="H5" i="48"/>
  <c r="G5" i="48"/>
  <c r="F5" i="48"/>
  <c r="E5" i="48"/>
  <c r="D5" i="48"/>
  <c r="C5" i="48"/>
  <c r="B5" i="48"/>
  <c r="K6" i="47"/>
  <c r="J6" i="47"/>
  <c r="I6" i="47"/>
  <c r="H6" i="47"/>
  <c r="G6" i="47"/>
  <c r="F6" i="47"/>
  <c r="E6" i="47"/>
  <c r="D6" i="47"/>
  <c r="C6" i="47"/>
  <c r="L6" i="46"/>
  <c r="K6" i="46"/>
  <c r="J6" i="46"/>
  <c r="I6" i="46"/>
  <c r="H6" i="46"/>
  <c r="G6" i="46"/>
  <c r="F6" i="46"/>
  <c r="E6" i="46"/>
  <c r="D6" i="46"/>
  <c r="C6" i="46"/>
  <c r="B6" i="46"/>
  <c r="J6" i="45"/>
  <c r="I6" i="45"/>
  <c r="H6" i="45"/>
  <c r="G6" i="45"/>
  <c r="F6" i="45"/>
  <c r="E6" i="45"/>
  <c r="D6" i="45"/>
  <c r="C6" i="45"/>
  <c r="B6" i="45"/>
  <c r="L6" i="44"/>
  <c r="K6" i="44"/>
  <c r="J6" i="44"/>
  <c r="I6" i="44"/>
  <c r="H6" i="44"/>
  <c r="G6" i="44"/>
  <c r="F6" i="44"/>
  <c r="E6" i="44"/>
  <c r="D6" i="44"/>
  <c r="C6" i="44"/>
  <c r="B6" i="44"/>
  <c r="K5" i="41"/>
  <c r="J5" i="41"/>
  <c r="I5" i="41"/>
  <c r="H5" i="41"/>
  <c r="G5" i="41"/>
  <c r="K5" i="40"/>
  <c r="J5" i="40"/>
  <c r="I5" i="40"/>
  <c r="H5" i="40"/>
  <c r="N6" i="39"/>
  <c r="M6" i="39"/>
  <c r="L6" i="39"/>
  <c r="K6" i="39"/>
  <c r="J6" i="39"/>
  <c r="I6" i="39"/>
  <c r="H6" i="39"/>
  <c r="G6" i="39"/>
  <c r="F6" i="39"/>
  <c r="E6" i="39"/>
  <c r="C6" i="39"/>
  <c r="B6" i="39"/>
  <c r="W8" i="38"/>
  <c r="V8" i="38"/>
  <c r="U8" i="38"/>
  <c r="T8" i="38"/>
  <c r="S8" i="38"/>
  <c r="R8" i="38"/>
  <c r="Q8" i="38"/>
  <c r="P8" i="38"/>
  <c r="O8" i="38"/>
  <c r="N8" i="38"/>
  <c r="M8" i="38"/>
  <c r="L8" i="38"/>
  <c r="K8" i="38"/>
  <c r="J8" i="38"/>
  <c r="I8" i="38"/>
  <c r="H8" i="38"/>
  <c r="G8" i="38"/>
  <c r="F8" i="38"/>
  <c r="E8" i="38"/>
  <c r="D8" i="38"/>
  <c r="U8" i="37"/>
  <c r="S8" i="37"/>
  <c r="R8" i="37"/>
  <c r="Q8" i="37"/>
  <c r="P8" i="37"/>
  <c r="O8" i="37"/>
  <c r="N8" i="37"/>
  <c r="M8" i="37"/>
  <c r="L8" i="37"/>
  <c r="K8" i="37"/>
  <c r="J8" i="37"/>
  <c r="I8" i="37"/>
  <c r="H8" i="37"/>
  <c r="G8" i="37"/>
  <c r="F8" i="37"/>
  <c r="E8" i="37"/>
  <c r="D8" i="37"/>
  <c r="C8" i="37"/>
  <c r="B8" i="37"/>
  <c r="Q4" i="35"/>
  <c r="P4" i="35"/>
  <c r="O4" i="35"/>
  <c r="M4" i="35"/>
  <c r="K4" i="35"/>
  <c r="I4" i="35"/>
  <c r="G4" i="35"/>
  <c r="F4" i="35"/>
  <c r="D4" i="35"/>
  <c r="C4" i="35"/>
  <c r="B4" i="35"/>
  <c r="Q4" i="34"/>
  <c r="P4" i="34"/>
  <c r="O4" i="34"/>
  <c r="M4" i="34"/>
  <c r="K4" i="34"/>
  <c r="I4" i="34"/>
  <c r="G4" i="34"/>
  <c r="H4" i="34" s="1"/>
  <c r="F4" i="34"/>
  <c r="D4" i="34"/>
  <c r="C4" i="34"/>
  <c r="B4" i="34"/>
  <c r="H5" i="31"/>
  <c r="J5" i="31" s="1"/>
  <c r="J5" i="30"/>
  <c r="G5" i="30"/>
  <c r="P5" i="22"/>
  <c r="O5" i="22"/>
  <c r="N5" i="22"/>
  <c r="M5" i="22"/>
  <c r="G5" i="22"/>
  <c r="F5" i="22"/>
  <c r="J5" i="22" s="1"/>
  <c r="E5" i="22"/>
  <c r="C5" i="22"/>
  <c r="B5" i="22"/>
  <c r="P5" i="21"/>
  <c r="O5" i="21"/>
  <c r="N5" i="21"/>
  <c r="M5" i="21"/>
  <c r="L5" i="21"/>
  <c r="K5" i="21"/>
  <c r="H5" i="21"/>
  <c r="G5" i="21"/>
  <c r="F5" i="21"/>
  <c r="E5" i="21"/>
  <c r="C5" i="21"/>
  <c r="B5" i="21"/>
  <c r="P5" i="20"/>
  <c r="O5" i="20"/>
  <c r="N5" i="20"/>
  <c r="M5" i="20"/>
  <c r="L5" i="20"/>
  <c r="K5" i="20"/>
  <c r="H5" i="20"/>
  <c r="G5" i="20"/>
  <c r="F5" i="20"/>
  <c r="E5" i="20"/>
  <c r="C5" i="20"/>
  <c r="B5" i="20"/>
  <c r="I5" i="18"/>
  <c r="G5" i="18"/>
  <c r="F5" i="18"/>
  <c r="E5" i="18"/>
  <c r="D5" i="18"/>
  <c r="C5" i="18"/>
  <c r="B5" i="18"/>
  <c r="J4" i="35" l="1"/>
  <c r="L4" i="35"/>
  <c r="E4" i="35"/>
  <c r="N4" i="35"/>
  <c r="H4" i="35"/>
  <c r="J5" i="21"/>
  <c r="E4" i="34"/>
  <c r="N4" i="34"/>
  <c r="L4" i="34"/>
  <c r="J4" i="34"/>
  <c r="J5" i="20"/>
  <c r="I5" i="22"/>
  <c r="I5" i="21"/>
  <c r="I5" i="20"/>
  <c r="I6" i="75" l="1"/>
  <c r="I5" i="75" s="1"/>
  <c r="H6" i="75"/>
  <c r="H5" i="75" s="1"/>
  <c r="G6" i="75"/>
  <c r="G5" i="75" s="1"/>
  <c r="D6" i="75"/>
  <c r="J6" i="72"/>
  <c r="J5" i="72" s="1"/>
  <c r="G6" i="72"/>
  <c r="G5" i="72" s="1"/>
  <c r="J12" i="73"/>
  <c r="I12" i="73"/>
  <c r="H12" i="73"/>
  <c r="G12" i="73"/>
  <c r="F12" i="73"/>
  <c r="E12" i="73"/>
  <c r="D12" i="73"/>
  <c r="C12" i="73"/>
  <c r="F16" i="70"/>
  <c r="E16" i="70"/>
  <c r="F15" i="70"/>
  <c r="E15" i="70"/>
  <c r="F14" i="70"/>
  <c r="E14" i="70"/>
  <c r="F13" i="70"/>
  <c r="E13" i="70"/>
  <c r="F12" i="70"/>
  <c r="E12" i="70"/>
  <c r="F11" i="70"/>
  <c r="E11" i="70"/>
  <c r="F10" i="70"/>
  <c r="E10" i="70"/>
  <c r="F9" i="70"/>
  <c r="E9" i="70"/>
  <c r="F8" i="70"/>
  <c r="E8" i="70"/>
  <c r="F7" i="70"/>
  <c r="E7" i="70"/>
  <c r="E4" i="70" l="1"/>
  <c r="F4" i="70"/>
  <c r="J6" i="75"/>
  <c r="J5" i="75" s="1"/>
  <c r="D5" i="75"/>
  <c r="J5" i="16"/>
  <c r="I5" i="16"/>
  <c r="H5" i="16"/>
  <c r="G5" i="16"/>
  <c r="F5" i="16"/>
  <c r="E5" i="16"/>
  <c r="D5" i="16"/>
  <c r="C5" i="16"/>
  <c r="B5" i="16"/>
  <c r="M6" i="15"/>
  <c r="L6" i="15"/>
  <c r="K6" i="15"/>
  <c r="J6" i="15"/>
  <c r="I6" i="15"/>
  <c r="H6" i="15"/>
  <c r="G6" i="15"/>
  <c r="F6" i="15"/>
  <c r="E6" i="15"/>
  <c r="D6" i="15"/>
  <c r="C6" i="15"/>
  <c r="B6" i="15"/>
  <c r="I17" i="14"/>
  <c r="H17" i="14"/>
  <c r="I16" i="14"/>
  <c r="H16" i="14"/>
  <c r="I15" i="14"/>
  <c r="H15" i="14"/>
  <c r="I14" i="14"/>
  <c r="H14" i="14"/>
  <c r="I13" i="14"/>
  <c r="H13" i="14"/>
  <c r="I12" i="14"/>
  <c r="H12" i="14"/>
  <c r="I11" i="14"/>
  <c r="H11" i="14"/>
  <c r="I10" i="14"/>
  <c r="H10" i="14"/>
  <c r="I9" i="14"/>
  <c r="H9" i="14"/>
  <c r="I8" i="14"/>
  <c r="H8" i="14"/>
  <c r="A7" i="14"/>
  <c r="A8" i="14" s="1"/>
  <c r="A9" i="14" s="1"/>
  <c r="A10" i="14" s="1"/>
  <c r="A11" i="14" s="1"/>
  <c r="A12" i="14" s="1"/>
  <c r="A13" i="14" s="1"/>
  <c r="A14" i="14" s="1"/>
  <c r="A15" i="14" s="1"/>
  <c r="A16" i="14" s="1"/>
  <c r="A17" i="14" s="1"/>
  <c r="I6" i="14"/>
  <c r="H6" i="14"/>
  <c r="H5" i="14"/>
  <c r="G5" i="14"/>
  <c r="F5" i="14"/>
  <c r="E5" i="14"/>
  <c r="D5" i="14"/>
  <c r="C5" i="14"/>
  <c r="B5" i="14"/>
  <c r="K17" i="13"/>
  <c r="J17" i="13"/>
  <c r="K16" i="13"/>
  <c r="J16" i="13"/>
  <c r="K15" i="13"/>
  <c r="J15" i="13"/>
  <c r="K14" i="13"/>
  <c r="J14" i="13"/>
  <c r="K13" i="13"/>
  <c r="J13" i="13"/>
  <c r="K12" i="13"/>
  <c r="J12" i="13"/>
  <c r="K11" i="13"/>
  <c r="J11" i="13"/>
  <c r="K10" i="13"/>
  <c r="J10" i="13"/>
  <c r="K9" i="13"/>
  <c r="J9" i="13"/>
  <c r="K8" i="13"/>
  <c r="J8" i="13"/>
  <c r="A7" i="13"/>
  <c r="A8" i="13" s="1"/>
  <c r="A9" i="13" s="1"/>
  <c r="A10" i="13" s="1"/>
  <c r="A11" i="13" s="1"/>
  <c r="A12" i="13" s="1"/>
  <c r="A13" i="13" s="1"/>
  <c r="A14" i="13" s="1"/>
  <c r="A15" i="13" s="1"/>
  <c r="A16" i="13" s="1"/>
  <c r="A17" i="13" s="1"/>
  <c r="K6" i="13"/>
  <c r="J6" i="13"/>
  <c r="K5" i="13"/>
  <c r="I5" i="13"/>
  <c r="H5" i="13"/>
  <c r="G5" i="13"/>
  <c r="F5" i="13"/>
  <c r="E5" i="13"/>
  <c r="D5" i="13"/>
  <c r="C5" i="13"/>
  <c r="B5" i="13"/>
  <c r="K17" i="12"/>
  <c r="J17" i="12"/>
  <c r="K16" i="12"/>
  <c r="J16" i="12"/>
  <c r="K15" i="12"/>
  <c r="J15" i="12"/>
  <c r="K14" i="12"/>
  <c r="J14" i="12"/>
  <c r="K13" i="12"/>
  <c r="J13" i="12"/>
  <c r="K12" i="12"/>
  <c r="J12" i="12"/>
  <c r="K11" i="12"/>
  <c r="J11" i="12"/>
  <c r="K10" i="12"/>
  <c r="J10" i="12"/>
  <c r="K9" i="12"/>
  <c r="J9" i="12"/>
  <c r="K8" i="12"/>
  <c r="J8" i="12"/>
  <c r="K7" i="12"/>
  <c r="K5" i="12" s="1"/>
  <c r="J7" i="12"/>
  <c r="J5" i="12" s="1"/>
  <c r="A7" i="12"/>
  <c r="A8" i="12" s="1"/>
  <c r="A9" i="12" s="1"/>
  <c r="A10" i="12" s="1"/>
  <c r="A11" i="12" s="1"/>
  <c r="A12" i="12" s="1"/>
  <c r="A13" i="12" s="1"/>
  <c r="A14" i="12" s="1"/>
  <c r="A15" i="12" s="1"/>
  <c r="A16" i="12" s="1"/>
  <c r="A17" i="12" s="1"/>
  <c r="K6" i="12"/>
  <c r="I5" i="12"/>
  <c r="H5" i="12"/>
  <c r="G5" i="12"/>
  <c r="F5" i="12"/>
  <c r="E5" i="12"/>
  <c r="D5" i="12"/>
  <c r="C5" i="12"/>
  <c r="B5" i="12"/>
  <c r="C17" i="11"/>
  <c r="B17" i="11"/>
  <c r="C16" i="11"/>
  <c r="B16" i="11"/>
  <c r="C15" i="11"/>
  <c r="B15" i="11"/>
  <c r="C14" i="11"/>
  <c r="B14" i="11"/>
  <c r="C13" i="11"/>
  <c r="B13" i="11"/>
  <c r="C12" i="11"/>
  <c r="B12" i="11"/>
  <c r="C11" i="11"/>
  <c r="B11" i="11"/>
  <c r="C10" i="11"/>
  <c r="B10" i="11"/>
  <c r="C9" i="11"/>
  <c r="B9" i="11"/>
  <c r="C8" i="11"/>
  <c r="B8" i="11"/>
  <c r="A8" i="11"/>
  <c r="A9" i="11" s="1"/>
  <c r="A10" i="11" s="1"/>
  <c r="A11" i="11" s="1"/>
  <c r="A12" i="11" s="1"/>
  <c r="A13" i="11" s="1"/>
  <c r="A14" i="11" s="1"/>
  <c r="A15" i="11" s="1"/>
  <c r="A16" i="11" s="1"/>
  <c r="A17" i="11" s="1"/>
  <c r="C7" i="11"/>
  <c r="B7" i="11"/>
  <c r="A7" i="11"/>
  <c r="C6" i="11"/>
  <c r="B6" i="11"/>
  <c r="O5" i="11"/>
  <c r="N5" i="11"/>
  <c r="M5" i="11"/>
  <c r="L5" i="11"/>
  <c r="K5" i="11"/>
  <c r="J5" i="11"/>
  <c r="I5" i="11"/>
  <c r="H5" i="11"/>
  <c r="G5" i="11"/>
  <c r="F5" i="11"/>
  <c r="E5" i="11"/>
  <c r="D5" i="11"/>
  <c r="C18" i="10"/>
  <c r="B18" i="10"/>
  <c r="C17" i="10"/>
  <c r="B17" i="10"/>
  <c r="C16" i="10"/>
  <c r="B16" i="10"/>
  <c r="C15" i="10"/>
  <c r="B15" i="10"/>
  <c r="C14" i="10"/>
  <c r="B14" i="10"/>
  <c r="C13" i="10"/>
  <c r="B13" i="10"/>
  <c r="C12" i="10"/>
  <c r="B12" i="10"/>
  <c r="C11" i="10"/>
  <c r="B11" i="10"/>
  <c r="C10" i="10"/>
  <c r="B10" i="10"/>
  <c r="C9" i="10"/>
  <c r="B9" i="10"/>
  <c r="C8" i="10"/>
  <c r="B8" i="10"/>
  <c r="A8" i="10"/>
  <c r="A9" i="10" s="1"/>
  <c r="A10" i="10" s="1"/>
  <c r="A11" i="10" s="1"/>
  <c r="A12" i="10" s="1"/>
  <c r="A13" i="10" s="1"/>
  <c r="A14" i="10" s="1"/>
  <c r="A15" i="10" s="1"/>
  <c r="A16" i="10" s="1"/>
  <c r="A17" i="10" s="1"/>
  <c r="A18" i="10" s="1"/>
  <c r="C7" i="10"/>
  <c r="B7" i="10"/>
  <c r="Q6" i="10"/>
  <c r="P6" i="10"/>
  <c r="O6" i="10"/>
  <c r="N6" i="10"/>
  <c r="M6" i="10"/>
  <c r="L6" i="10"/>
  <c r="K6" i="10"/>
  <c r="J6" i="10"/>
  <c r="I6" i="10"/>
  <c r="H6" i="10"/>
  <c r="G6" i="10"/>
  <c r="F6" i="10"/>
  <c r="E6" i="10"/>
  <c r="D6" i="10"/>
  <c r="C18" i="8"/>
  <c r="B18" i="8"/>
  <c r="C17" i="8"/>
  <c r="B17" i="8"/>
  <c r="C16" i="8"/>
  <c r="B16" i="8"/>
  <c r="C15" i="8"/>
  <c r="B15" i="8"/>
  <c r="C14" i="8"/>
  <c r="B14" i="8"/>
  <c r="B6" i="8" s="1"/>
  <c r="C13" i="8"/>
  <c r="B13" i="8"/>
  <c r="C12" i="8"/>
  <c r="B12" i="8"/>
  <c r="C11" i="8"/>
  <c r="B11" i="8"/>
  <c r="C10" i="8"/>
  <c r="B10" i="8"/>
  <c r="C9" i="8"/>
  <c r="B9" i="8"/>
  <c r="C8" i="8"/>
  <c r="A8" i="8"/>
  <c r="A9" i="8" s="1"/>
  <c r="A10" i="8" s="1"/>
  <c r="A11" i="8" s="1"/>
  <c r="A12" i="8" s="1"/>
  <c r="A13" i="8" s="1"/>
  <c r="A14" i="8" s="1"/>
  <c r="A15" i="8" s="1"/>
  <c r="A16" i="8" s="1"/>
  <c r="A17" i="8" s="1"/>
  <c r="A18" i="8" s="1"/>
  <c r="C7" i="8"/>
  <c r="O6" i="8"/>
  <c r="N6" i="8"/>
  <c r="M6" i="8"/>
  <c r="L6" i="8"/>
  <c r="K6" i="8"/>
  <c r="J6" i="8"/>
  <c r="G6" i="8"/>
  <c r="F6" i="8"/>
  <c r="E6" i="8"/>
  <c r="I6" i="8" s="1"/>
  <c r="D6" i="8"/>
  <c r="H6" i="8" s="1"/>
  <c r="I19" i="6"/>
  <c r="H19" i="6"/>
  <c r="I18" i="6"/>
  <c r="H18" i="6"/>
  <c r="I17" i="6"/>
  <c r="H17" i="6"/>
  <c r="I16" i="6"/>
  <c r="H16" i="6"/>
  <c r="I15" i="6"/>
  <c r="H15" i="6"/>
  <c r="I14" i="6"/>
  <c r="H14" i="6"/>
  <c r="I13" i="6"/>
  <c r="H13" i="6"/>
  <c r="I12" i="6"/>
  <c r="H12" i="6"/>
  <c r="I11" i="6"/>
  <c r="I7" i="6" s="1"/>
  <c r="H11" i="6"/>
  <c r="H7" i="6" s="1"/>
  <c r="I10" i="6"/>
  <c r="H10" i="6"/>
  <c r="A9" i="6"/>
  <c r="A10" i="6" s="1"/>
  <c r="A11" i="6" s="1"/>
  <c r="A12" i="6" s="1"/>
  <c r="A13" i="6" s="1"/>
  <c r="A14" i="6" s="1"/>
  <c r="A15" i="6" s="1"/>
  <c r="A16" i="6" s="1"/>
  <c r="A17" i="6" s="1"/>
  <c r="A18" i="6" s="1"/>
  <c r="A19" i="6" s="1"/>
  <c r="I8" i="6"/>
  <c r="H8" i="6"/>
  <c r="G7" i="6"/>
  <c r="F7" i="6"/>
  <c r="E7" i="6"/>
  <c r="D7" i="6"/>
  <c r="C7" i="6"/>
  <c r="B7" i="6"/>
  <c r="I5" i="14" l="1"/>
  <c r="J5" i="13"/>
  <c r="B6" i="10"/>
  <c r="B5" i="11"/>
  <c r="C6" i="8"/>
  <c r="C6" i="10"/>
  <c r="C5" i="11"/>
  <c r="S6" i="62" l="1"/>
  <c r="T6" i="62"/>
</calcChain>
</file>

<file path=xl/sharedStrings.xml><?xml version="1.0" encoding="utf-8"?>
<sst xmlns="http://schemas.openxmlformats.org/spreadsheetml/2006/main" count="3406" uniqueCount="1415">
  <si>
    <t>CURRENT STATISTICS</t>
  </si>
  <si>
    <t>Table 1: SEBI Registered Market Intermediaries/Institutions</t>
  </si>
  <si>
    <t>Table 2: Company-Wise Capital Raised through Public and Rights Issues (Equity)</t>
  </si>
  <si>
    <t>Table 3: Offers closed during the month under SEBI (SAST), 2011</t>
  </si>
  <si>
    <t>Table 7: Industry-wise Classification of Capital Raised through Public and Rights Issues (Equity)</t>
  </si>
  <si>
    <t>Table 8: Sector-wise and Region-wise Distribution of Capital Mobilised through Public and Rights Issues (Equity)</t>
  </si>
  <si>
    <t>Table 9: Size-wise Classification of Capital Raised through Public and Rights Issues (Equity)</t>
  </si>
  <si>
    <t>Table 10: Capital Raised by Listed Companies from the Primary Market through QIPs</t>
  </si>
  <si>
    <t>Table 11: Preferential Allotments Listed at BSE and NSE</t>
  </si>
  <si>
    <t>Table 13: Trends in Settled Trades in the Corporate Debt Market</t>
  </si>
  <si>
    <t>Table 14: Ratings Assigned for Long-term Corporate Debt Securities (Maturity &gt;= 1 year)</t>
  </si>
  <si>
    <t>Table 15: Review of Accepted Ratings of Corporate Debt Securities (Maturity &gt;= 1 year)</t>
  </si>
  <si>
    <t>Table 16: Distribution of Turnover on Cash Segments of Exchanges</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</si>
  <si>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</si>
  <si>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</si>
  <si>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</si>
  <si>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</si>
  <si>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</si>
  <si>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</si>
  <si>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</si>
  <si>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</si>
  <si>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</si>
  <si>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</si>
  <si>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</si>
  <si>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</si>
  <si>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t>
  </si>
  <si>
    <t>Table 30: Percentage Share of Top ‘N’ Securities/Members in Turnover of Cash Segment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</si>
  <si>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</si>
  <si>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</si>
  <si>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</si>
  <si>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</si>
  <si>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 xml:space="preserve">Table 35: Trends in Equity Derivatives Segment at NSE (Turnover in Notional Value) </t>
  </si>
  <si>
    <t>Table 36: Settlement Statistics in Equity Derivatives Segment at BSE and NSE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</si>
  <si>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</si>
  <si>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</si>
  <si>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</si>
  <si>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</si>
  <si>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</si>
  <si>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</si>
  <si>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</si>
  <si>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 xml:space="preserve">Table 44: Settlement Statistics of Currency Derivatives Segment </t>
  </si>
  <si>
    <t>Table 45: Instrument-wise Turnover in Currency Futures Segment of BSE</t>
  </si>
  <si>
    <t>Table 46: Instrument-wise Turnover in Currency Derivatives Segment  of NSE</t>
  </si>
  <si>
    <t>Table 47: Instrument-wise Turnover in Currency Derivative Segment of MSEI</t>
  </si>
  <si>
    <t>Table 48: Maturity-wise Turnover in Currency Derivative Segment of BSE</t>
  </si>
  <si>
    <t>Table 49: Maturity-wise Turnover in Currency Derivative Segment of NSE</t>
  </si>
  <si>
    <t xml:space="preserve">Table 50: Maturity-wise Turnover in Currency Derivative Segment of MSEI </t>
  </si>
  <si>
    <t>Table 51: Trading Statistics of Interest Rate Futures at BSE, NSE and MSEI</t>
  </si>
  <si>
    <t>Table 52: Settlement Statistics in Interest Rate Futures at BSE, NSE and MSEI</t>
  </si>
  <si>
    <t>Table 53: Trends in Foreign Portfolio Investment</t>
  </si>
  <si>
    <t>Table 54: Notional Value of Offshore Derivative Instruments (ODIs) Vs Assets Under Custody (AUC) of FPIs</t>
  </si>
  <si>
    <t>Table 55: Assets under the Custody of Custodians</t>
  </si>
  <si>
    <t>Table 56: Cumulative Sectoral  Investment of Foreign Venture Capital Investors (FVCIs)</t>
  </si>
  <si>
    <t xml:space="preserve">Table 57: Trends in Resource Mobilization by Mutual Funds </t>
  </si>
  <si>
    <t>Table 58: Scheme-wise Statistics of Mutual Funds</t>
  </si>
  <si>
    <t>Table 59: Trends in Transactions on Stock Exchanges by Mutual Funds</t>
  </si>
  <si>
    <t>Table 60: Assets Managed by Portfolio Managers</t>
  </si>
  <si>
    <t>Table 61: Progress Report of NSDL &amp; CDSl as on end of Month (Listed Companies)</t>
  </si>
  <si>
    <t>Table 62: Progress of Dematerialisation at NSDL and CDSL (Listed and Unlisted Companies)</t>
  </si>
  <si>
    <t>Table 63: Depository Statistics</t>
  </si>
  <si>
    <t>Table 64: Number of Commodities Permitted and traded at Exchanges</t>
  </si>
  <si>
    <t>Table 65: Trends in Commodity Indices</t>
  </si>
  <si>
    <t>Table 66: Trends in Commodity Derivatives at MCX</t>
  </si>
  <si>
    <t>Table 67: Trends in Commodity Derivatives at NCDEX</t>
  </si>
  <si>
    <t>Table 68: Trends in  Commodity Derivatives at BSE</t>
  </si>
  <si>
    <t>Table 69: Trends in Commodity Derivatives at NSE</t>
  </si>
  <si>
    <t>Table 70: Participant-wise percentage share of turnover in Commodity Futures</t>
  </si>
  <si>
    <t>Table 71: Commodity-wise Trading Volume and Turnover at MCX</t>
  </si>
  <si>
    <t>Table 72: Commodity-wise Trading Volume and Turnover at NCDEX</t>
  </si>
  <si>
    <t>Table 73: Commodity-wise Trading Volume and Turnover at ICEX, NSE and BSE</t>
  </si>
  <si>
    <t>Table 74: Macro Economic Indicators</t>
  </si>
  <si>
    <t>2022-23</t>
  </si>
  <si>
    <t>2023-24$</t>
  </si>
  <si>
    <t>BSE</t>
  </si>
  <si>
    <t>NSE</t>
  </si>
  <si>
    <t>MSEI</t>
  </si>
  <si>
    <t>MCX</t>
  </si>
  <si>
    <t>NCDEX</t>
  </si>
  <si>
    <t>NSDL</t>
  </si>
  <si>
    <t>CDSL</t>
  </si>
  <si>
    <t>Mutual Funds</t>
  </si>
  <si>
    <t>Notes:</t>
  </si>
  <si>
    <t>Sl.No.</t>
  </si>
  <si>
    <t>Name of the Issuer/Company</t>
  </si>
  <si>
    <t>Date of Listing</t>
  </si>
  <si>
    <t>Type of Issue</t>
  </si>
  <si>
    <t>Number of Shares issued</t>
  </si>
  <si>
    <t>Face Value (₹ )</t>
  </si>
  <si>
    <t>Premium Value (₹ )</t>
  </si>
  <si>
    <t>Issue Price (₹ )</t>
  </si>
  <si>
    <t>Amount raised (in crores)</t>
  </si>
  <si>
    <t>Oversubscribed (no. of times)</t>
  </si>
  <si>
    <t>Allocation in Net offer to public &amp; Others (No. of shares)</t>
  </si>
  <si>
    <t>Net offer to public*</t>
  </si>
  <si>
    <t>Fresh</t>
  </si>
  <si>
    <t>OFS</t>
  </si>
  <si>
    <t>Total</t>
  </si>
  <si>
    <t>QIB</t>
  </si>
  <si>
    <t>NII</t>
  </si>
  <si>
    <t>RII</t>
  </si>
  <si>
    <t>Others, if any (Market Maker &amp; Reservation)</t>
  </si>
  <si>
    <t>IPO</t>
  </si>
  <si>
    <t>Rights</t>
  </si>
  <si>
    <t>*Shares issued by the Company are partly paid up but the information is provided considering the same as fully paid up.</t>
  </si>
  <si>
    <t>Net offer to Public = QIB (Including anchor) + RII + NII (Excluding Employee Reservation +Shareholder Reservation + Market maker)</t>
  </si>
  <si>
    <t>Sl.No</t>
  </si>
  <si>
    <t>Target Company</t>
  </si>
  <si>
    <t>Acquirers/PACs</t>
  </si>
  <si>
    <t>Public Announcement Date</t>
  </si>
  <si>
    <t>Offer Opening Date</t>
  </si>
  <si>
    <t>Offer Closing Date</t>
  </si>
  <si>
    <t>Offer Size</t>
  </si>
  <si>
    <t>Offer
 Price 
(₹ ) per share</t>
  </si>
  <si>
    <t>Offer Size (₹  crore)</t>
  </si>
  <si>
    <t>No. of 
Shares</t>
  </si>
  <si>
    <t>Percent of Equity 
Capital</t>
  </si>
  <si>
    <t>Year / Month</t>
  </si>
  <si>
    <t>Open Offers</t>
  </si>
  <si>
    <t>Objectives</t>
  </si>
  <si>
    <t>Change in Control 
of Management</t>
  </si>
  <si>
    <t>Consolidation of Holdings</t>
  </si>
  <si>
    <t>Substantial Acquisition</t>
  </si>
  <si>
    <t>No. of Offers</t>
  </si>
  <si>
    <t>Amount (₹  crore)</t>
  </si>
  <si>
    <t>Amount (₹ crore)</t>
  </si>
  <si>
    <t>Apr-23</t>
  </si>
  <si>
    <t>May-23</t>
  </si>
  <si>
    <t>*In instances where offers have more than one objective, the issue is classified only under one of the same.</t>
  </si>
  <si>
    <t>Data is compiled based on offer closing date</t>
  </si>
  <si>
    <t>$ indicates upto July 31, 2023</t>
  </si>
  <si>
    <t>Source: SEBI.</t>
  </si>
  <si>
    <t>Modes of Fund Raising</t>
  </si>
  <si>
    <t>Financial Sector</t>
  </si>
  <si>
    <t>Non-Financial Sector</t>
  </si>
  <si>
    <t>No. of Issues</t>
  </si>
  <si>
    <t>Amount
(Rs.crore)</t>
  </si>
  <si>
    <t>Equity Issues</t>
  </si>
  <si>
    <t>Total
(Equity+Debt)</t>
  </si>
  <si>
    <t>Public</t>
  </si>
  <si>
    <t>Listed</t>
  </si>
  <si>
    <t>Debt</t>
  </si>
  <si>
    <t>No. of issues</t>
  </si>
  <si>
    <t>Amount 
( ₹   crore)</t>
  </si>
  <si>
    <t>Year/ Month</t>
  </si>
  <si>
    <t>Amount 
( ₹ crore)</t>
  </si>
  <si>
    <t>Source: SEBI</t>
  </si>
  <si>
    <t>Table 7:  Industry-wise Classification of Capital Raised through Public and Rights Issues (Equity)</t>
  </si>
  <si>
    <t>Industry</t>
  </si>
  <si>
    <t>Consumer Services</t>
  </si>
  <si>
    <t>Healthcare</t>
  </si>
  <si>
    <t>Power</t>
  </si>
  <si>
    <t>Notes - From April 2020 onwards, data on IPO issues are categorised based on the listing date .</t>
  </si>
  <si>
    <t>Sector-wise</t>
  </si>
  <si>
    <t>Region-wise</t>
  </si>
  <si>
    <t>Private</t>
  </si>
  <si>
    <t>Northern</t>
  </si>
  <si>
    <t>Eastern</t>
  </si>
  <si>
    <t>Western</t>
  </si>
  <si>
    <t>Southern</t>
  </si>
  <si>
    <t>Central</t>
  </si>
  <si>
    <t>&lt; 5 crore</t>
  </si>
  <si>
    <t>≥ 5crore - &lt; 10crore</t>
  </si>
  <si>
    <t xml:space="preserve">  ≥ 10 crore - &lt; 50 crore</t>
  </si>
  <si>
    <t xml:space="preserve">  ≥ 50 crore - &lt; 100 crore</t>
  </si>
  <si>
    <t xml:space="preserve">  ≥ 100 crore -&lt;500 crore</t>
  </si>
  <si>
    <t>&gt;=₹500 crore</t>
  </si>
  <si>
    <t>Only BSE</t>
  </si>
  <si>
    <t>Only NSE</t>
  </si>
  <si>
    <t>Only MSEI</t>
  </si>
  <si>
    <t>Both NSE and BSE</t>
  </si>
  <si>
    <t xml:space="preserve">Notes: 1. The above data includes both "no. of issues" and "Amount" raised on conversion of convertible securities issued on QIP basis. 
</t>
  </si>
  <si>
    <t>Source: BSE, NSE and MSEI.</t>
  </si>
  <si>
    <t>Year/Month</t>
  </si>
  <si>
    <t>Common#</t>
  </si>
  <si>
    <t>#Listed at any two or three exchanges.</t>
  </si>
  <si>
    <t>Source: BSE and NSE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</si>
  <si>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</si>
  <si>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</si>
  <si>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</si>
  <si>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</si>
  <si>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</si>
  <si>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</si>
  <si>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</si>
  <si>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</si>
  <si>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</si>
  <si>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Jun-23</t>
  </si>
  <si>
    <t>Jul-23</t>
  </si>
  <si>
    <t>This data is provisonal</t>
  </si>
  <si>
    <t>Source: Credit Rating Agencies.</t>
  </si>
  <si>
    <t>Table 15: Review of Accepted Ratings of Corporate Debt Securities (Maturity ≥ 1 year)</t>
  </si>
  <si>
    <t>Upgraded</t>
  </si>
  <si>
    <t>Downgraded</t>
  </si>
  <si>
    <t>Reaffirmed</t>
  </si>
  <si>
    <t>Rating Watch</t>
  </si>
  <si>
    <t>Withdrawn/ Suspended</t>
  </si>
  <si>
    <t>$ indicates  upto July 31, 2023</t>
  </si>
  <si>
    <t>Table 74:  Macro Economic Indicators</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</si>
  <si>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</si>
  <si>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</si>
  <si>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</si>
  <si>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</si>
  <si>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</si>
  <si>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</si>
  <si>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</si>
  <si>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</si>
  <si>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</si>
  <si>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</si>
  <si>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 xml:space="preserve">Term Deposit Rate &gt; 1 year </t>
  </si>
  <si>
    <t>6.00/7.25</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</si>
  <si>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</si>
  <si>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</si>
  <si>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</si>
  <si>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</si>
  <si>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</si>
  <si>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</si>
  <si>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</si>
  <si>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</si>
  <si>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</si>
  <si>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</si>
  <si>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</si>
  <si>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Central Govt. Market Borrowing-Gross (₹ billion)</t>
  </si>
  <si>
    <t>Wholesale Price Index (2011-12=100) Rate (in per cent) (Y-o-Y)</t>
  </si>
  <si>
    <t>Consumer Price Index (2012 =100) Rate (in per cent) (Y-o-Y)</t>
  </si>
  <si>
    <t>IX.  Index of Industrial Production (Base year 2011-12 = 100)</t>
  </si>
  <si>
    <t>General</t>
  </si>
  <si>
    <t>NA</t>
  </si>
  <si>
    <t>Mining</t>
  </si>
  <si>
    <t>Manufacturing</t>
  </si>
  <si>
    <t>Electricity</t>
  </si>
  <si>
    <t>X. External Sector Indicators (USD billion)</t>
  </si>
  <si>
    <t xml:space="preserve">Exports </t>
  </si>
  <si>
    <t>Imports</t>
  </si>
  <si>
    <t>Trade Balance</t>
  </si>
  <si>
    <t xml:space="preserve">Notes: </t>
  </si>
  <si>
    <t>^ cumulative figure value of the respective months.</t>
  </si>
  <si>
    <t>Data for CPI, WPI, IIP and External sector have been compiled based on available information.</t>
  </si>
  <si>
    <t>No. of Trades</t>
  </si>
  <si>
    <t>Value (₹ crore)</t>
  </si>
  <si>
    <t>-</t>
  </si>
  <si>
    <t>This table has been revised to include only settled trades (OTC+RFQ trades) through exchange platform.</t>
  </si>
  <si>
    <r>
      <t>Table 16: Distribution of Turnover on Cash Segments of Stock Exchanges (</t>
    </r>
    <r>
      <rPr>
        <b/>
        <sz val="11"/>
        <color indexed="8"/>
        <rFont val="Rupee Foradian"/>
        <family val="2"/>
      </rPr>
      <t>`</t>
    </r>
    <r>
      <rPr>
        <b/>
        <sz val="11"/>
        <color indexed="8"/>
        <rFont val="Garamond"/>
        <family val="1"/>
      </rPr>
      <t>crore)</t>
    </r>
  </si>
  <si>
    <t>Stock Exchanges</t>
  </si>
  <si>
    <t>Includes exchange traded turnnover in corporate bonds</t>
  </si>
  <si>
    <t xml:space="preserve">Table 17: Trends in Cash Segment of BSE </t>
  </si>
  <si>
    <t xml:space="preserve">No. of Companies Listed </t>
  </si>
  <si>
    <t>No. of Companies Permitted</t>
  </si>
  <si>
    <t xml:space="preserve">No. of Companies Traded </t>
  </si>
  <si>
    <t>No. of Trading Days</t>
  </si>
  <si>
    <t>No. of Trades (Lakh)</t>
  </si>
  <si>
    <t>Traded Quantity (Lakh)</t>
  </si>
  <si>
    <r>
      <t>Turnover (</t>
    </r>
    <r>
      <rPr>
        <b/>
        <sz val="11"/>
        <color indexed="8"/>
        <rFont val="Rupee Foradian"/>
        <family val="2"/>
      </rPr>
      <t xml:space="preserve">` </t>
    </r>
    <r>
      <rPr>
        <b/>
        <sz val="11"/>
        <color indexed="8"/>
        <rFont val="Garamond"/>
        <family val="1"/>
      </rPr>
      <t>crore)</t>
    </r>
  </si>
  <si>
    <r>
      <t>Average Daily Turnover (</t>
    </r>
    <r>
      <rPr>
        <b/>
        <sz val="11"/>
        <color indexed="8"/>
        <rFont val="Rupee Foradian"/>
        <family val="2"/>
      </rPr>
      <t>`</t>
    </r>
    <r>
      <rPr>
        <b/>
        <sz val="11"/>
        <color indexed="8"/>
        <rFont val="Garamond"/>
        <family val="1"/>
      </rPr>
      <t xml:space="preserve"> crore)</t>
    </r>
  </si>
  <si>
    <r>
      <t>Average Trade Size (</t>
    </r>
    <r>
      <rPr>
        <b/>
        <sz val="11"/>
        <color indexed="8"/>
        <rFont val="Rupee Foradian"/>
        <family val="2"/>
      </rPr>
      <t>`</t>
    </r>
    <r>
      <rPr>
        <b/>
        <sz val="11"/>
        <color indexed="8"/>
        <rFont val="Garamond"/>
        <family val="1"/>
      </rPr>
      <t>)</t>
    </r>
  </si>
  <si>
    <t>Demat Securities Traded (Lakh)</t>
  </si>
  <si>
    <r>
      <t>Demat Turnover (</t>
    </r>
    <r>
      <rPr>
        <b/>
        <sz val="11"/>
        <color indexed="8"/>
        <rFont val="Rupee Foradian"/>
        <family val="2"/>
      </rPr>
      <t xml:space="preserve">` </t>
    </r>
    <r>
      <rPr>
        <b/>
        <sz val="11"/>
        <color indexed="8"/>
        <rFont val="Garamond"/>
        <family val="1"/>
      </rPr>
      <t>crore)</t>
    </r>
  </si>
  <si>
    <r>
      <t>Market  Capitalisation (</t>
    </r>
    <r>
      <rPr>
        <b/>
        <sz val="11"/>
        <color indexed="8"/>
        <rFont val="Rupee Foradian"/>
        <family val="2"/>
      </rPr>
      <t>`</t>
    </r>
    <r>
      <rPr>
        <b/>
        <sz val="11"/>
        <color indexed="8"/>
        <rFont val="Garamond"/>
        <family val="1"/>
      </rPr>
      <t xml:space="preserve"> crore) </t>
    </r>
  </si>
  <si>
    <t xml:space="preserve">S&amp;P BSE Sensex </t>
  </si>
  <si>
    <t>High</t>
  </si>
  <si>
    <t>Low</t>
  </si>
  <si>
    <t>Close</t>
  </si>
  <si>
    <t>Note : No. of Companies Listed with BSE includes count of both active and suspended companies.</t>
  </si>
  <si>
    <t>No.of trades and turnover details inclusive of exchange traded corporate bonds</t>
  </si>
  <si>
    <t>Source: BSE</t>
  </si>
  <si>
    <t xml:space="preserve">Table 18: Trends in Cash Segment of NSE </t>
  </si>
  <si>
    <t>No. of companies Traded#</t>
  </si>
  <si>
    <r>
      <t>Turnover (</t>
    </r>
    <r>
      <rPr>
        <b/>
        <sz val="11"/>
        <color indexed="8"/>
        <rFont val="Rupee Foradian"/>
        <family val="2"/>
      </rPr>
      <t>`</t>
    </r>
    <r>
      <rPr>
        <b/>
        <sz val="11"/>
        <color indexed="8"/>
        <rFont val="Garamond"/>
        <family val="1"/>
      </rPr>
      <t xml:space="preserve"> crore)</t>
    </r>
  </si>
  <si>
    <r>
      <t>Demat Turnover (</t>
    </r>
    <r>
      <rPr>
        <b/>
        <sz val="11"/>
        <color indexed="8"/>
        <rFont val="Rupee Foradian"/>
        <family val="2"/>
      </rPr>
      <t>`</t>
    </r>
    <r>
      <rPr>
        <b/>
        <sz val="11"/>
        <color indexed="8"/>
        <rFont val="Garamond"/>
        <family val="1"/>
      </rPr>
      <t xml:space="preserve"> crore)</t>
    </r>
  </si>
  <si>
    <t xml:space="preserve">Nifty 50 Index </t>
  </si>
  <si>
    <t>Turnover Data compiled for all markets except auction market</t>
  </si>
  <si>
    <t>#Data for No. of companies traded includes Government securities, Corporate bonds, REITs, InvITs, NSE listed companies as well as “Permitted to Trade” companies but excludes ETFs &amp; Mutual Funds</t>
  </si>
  <si>
    <t>Source: NSE</t>
  </si>
  <si>
    <t>No. of Companies Permitted #</t>
  </si>
  <si>
    <t>No. of Companies Traded</t>
  </si>
  <si>
    <t>Turnover (₹ crore)</t>
  </si>
  <si>
    <t>Average Daily Turnover (₹ crore)</t>
  </si>
  <si>
    <t>Demat Turnover (₹ crore)</t>
  </si>
  <si>
    <t xml:space="preserve">Market  Capitalisation (₹ crore) </t>
  </si>
  <si>
    <t xml:space="preserve">SX 40 Index </t>
  </si>
  <si>
    <t>Note: Data of the Market Capitalisation is provided for all listed as well as permitted companies</t>
  </si>
  <si>
    <t># Details of no. of companies in "permitted to trade" category which are active.</t>
  </si>
  <si>
    <t>Source: MSEI</t>
  </si>
  <si>
    <t>Table 20: City-wise Distribution of Turnover on Cash Segments of BSE and NSE</t>
  </si>
  <si>
    <t>(Percentage share in Turnover)</t>
  </si>
  <si>
    <t>S.No</t>
  </si>
  <si>
    <t>City</t>
  </si>
  <si>
    <r>
      <t>MSEI</t>
    </r>
    <r>
      <rPr>
        <sz val="11"/>
        <color indexed="8"/>
        <rFont val="Garamond"/>
        <family val="1"/>
      </rPr>
      <t>*</t>
    </r>
  </si>
  <si>
    <t>Ahmedabad</t>
  </si>
  <si>
    <t>Bengaluru</t>
  </si>
  <si>
    <t>Vadodara</t>
  </si>
  <si>
    <t>Bhubneshwar</t>
  </si>
  <si>
    <t>Chennai</t>
  </si>
  <si>
    <t>Ernakulam</t>
  </si>
  <si>
    <t>Coimbatore</t>
  </si>
  <si>
    <t>New Delhi</t>
  </si>
  <si>
    <t>Guwahati</t>
  </si>
  <si>
    <t>Hyderabad</t>
  </si>
  <si>
    <t>Indore</t>
  </si>
  <si>
    <t>Jaipur</t>
  </si>
  <si>
    <t>Kanpur</t>
  </si>
  <si>
    <t>Kolkata</t>
  </si>
  <si>
    <t>Ludhiana</t>
  </si>
  <si>
    <t>Mangalore</t>
  </si>
  <si>
    <t>Mumbai</t>
  </si>
  <si>
    <t>Patna</t>
  </si>
  <si>
    <t>Pune</t>
  </si>
  <si>
    <t>Rajkot</t>
  </si>
  <si>
    <t>Others</t>
  </si>
  <si>
    <t>*The city-wise distribution of turnover is based on the cities uploaded in the UCC database of the Exchange for clientele trades and members registered office city for proprietary trades.</t>
  </si>
  <si>
    <t>Percentage Share in Turnover</t>
  </si>
  <si>
    <t>Proprietary</t>
  </si>
  <si>
    <t>FPIs</t>
  </si>
  <si>
    <t>Banks</t>
  </si>
  <si>
    <t>Source: BSE.</t>
  </si>
  <si>
    <t>Year /Month</t>
  </si>
  <si>
    <t>Source: NSE.</t>
  </si>
  <si>
    <t>Source: MSEI.</t>
  </si>
  <si>
    <t>Name of Security</t>
  </si>
  <si>
    <t>Issued
Capital 
(₹ crore)</t>
  </si>
  <si>
    <t>Free Float
Market
Capitalisation
(₹ crore)</t>
  </si>
  <si>
    <t>Weightage (Percent)</t>
  </si>
  <si>
    <t>Beta</t>
  </si>
  <si>
    <t>R 2</t>
  </si>
  <si>
    <t>Daily
Volatility
(Percent)</t>
  </si>
  <si>
    <t>Monthly
Return
(Percent)</t>
  </si>
  <si>
    <t>Impact
Cost
(Percent)</t>
  </si>
  <si>
    <t xml:space="preserve">BAJFINANCE  </t>
  </si>
  <si>
    <t xml:space="preserve">STATE BANK  </t>
  </si>
  <si>
    <t xml:space="preserve">TITAN       </t>
  </si>
  <si>
    <t xml:space="preserve">HDFC BANK   </t>
  </si>
  <si>
    <t xml:space="preserve">INFOSYS LTD </t>
  </si>
  <si>
    <t>KOTAK MAH.BK</t>
  </si>
  <si>
    <t xml:space="preserve">RELIANCE    </t>
  </si>
  <si>
    <t xml:space="preserve">TATA STEEL  </t>
  </si>
  <si>
    <t>LARSEN &amp; TOU</t>
  </si>
  <si>
    <t xml:space="preserve">MAH &amp; MAH   </t>
  </si>
  <si>
    <t xml:space="preserve">TATA MOTORS </t>
  </si>
  <si>
    <t xml:space="preserve">HIND UNI LT </t>
  </si>
  <si>
    <t xml:space="preserve">NESTLE (I)  </t>
  </si>
  <si>
    <t>ASIAN PAINTS</t>
  </si>
  <si>
    <t xml:space="preserve">ITC LTD.    </t>
  </si>
  <si>
    <t xml:space="preserve">WIPRO LTD.  </t>
  </si>
  <si>
    <t xml:space="preserve">SUN PHARMA. </t>
  </si>
  <si>
    <t xml:space="preserve">ICICI BANK  </t>
  </si>
  <si>
    <t>INDUSIND BNK</t>
  </si>
  <si>
    <t xml:space="preserve">AXIS BANK   </t>
  </si>
  <si>
    <t xml:space="preserve">HCL TECHNO  </t>
  </si>
  <si>
    <t xml:space="preserve">BHARTI ARTL </t>
  </si>
  <si>
    <t xml:space="preserve">MARUTISUZUK </t>
  </si>
  <si>
    <t>ULTRATECH CM</t>
  </si>
  <si>
    <t xml:space="preserve">TCS LTD.    </t>
  </si>
  <si>
    <t xml:space="preserve">NTPC LTD    </t>
  </si>
  <si>
    <t xml:space="preserve">TECH MAH    </t>
  </si>
  <si>
    <t xml:space="preserve">POWER GRID  </t>
  </si>
  <si>
    <t xml:space="preserve">BAJAJ FINSE </t>
  </si>
  <si>
    <t xml:space="preserve"> 1. Beta &amp; R2 are calculated for the trailing 12 months .Beta measures the  degree to which any portfolio of stocks is affected as compared to the effect on the market as a whole.</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</si>
  <si>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</si>
  <si>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</si>
  <si>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</si>
  <si>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Rs. 5 lakh.  It is calculated for the current month.</t>
  </si>
  <si>
    <t>Sl. No</t>
  </si>
  <si>
    <t>Adani Enterprises Ltd.</t>
  </si>
  <si>
    <t>Adani Ports and Special Economic Zone Ltd.</t>
  </si>
  <si>
    <t>Apollo Hospitals Enterprise Ltd.</t>
  </si>
  <si>
    <t>Asian Paints Ltd.</t>
  </si>
  <si>
    <t>Axis Bank Ltd.</t>
  </si>
  <si>
    <t>Bajaj Auto Ltd.</t>
  </si>
  <si>
    <t>Bajaj Finance Ltd.</t>
  </si>
  <si>
    <t>Bajaj Finserv Ltd.</t>
  </si>
  <si>
    <t>Bharat Petroleum Corporation Ltd.</t>
  </si>
  <si>
    <t>Bharti Airtel Ltd.</t>
  </si>
  <si>
    <t>Britannia Industries Ltd.</t>
  </si>
  <si>
    <t>Cipla Ltd.</t>
  </si>
  <si>
    <t>Coal India Ltd.</t>
  </si>
  <si>
    <t>Divi's Laboratories Ltd.</t>
  </si>
  <si>
    <t>Dr. Reddy's Laboratories Ltd.</t>
  </si>
  <si>
    <t>Eicher Motors Ltd.</t>
  </si>
  <si>
    <t>Grasim Industries Ltd.</t>
  </si>
  <si>
    <t>HCL Technologies Ltd.</t>
  </si>
  <si>
    <t>HDFC Bank Ltd.</t>
  </si>
  <si>
    <t>HDFC Life Insurance Company Ltd.</t>
  </si>
  <si>
    <t>Hero MotoCorp Ltd.</t>
  </si>
  <si>
    <t>Hindalco Industries Ltd.</t>
  </si>
  <si>
    <t>Hindustan Unilever Ltd.</t>
  </si>
  <si>
    <t>ICICI Bank Ltd.</t>
  </si>
  <si>
    <t>ITC Ltd.</t>
  </si>
  <si>
    <t>IndusInd Bank Ltd.</t>
  </si>
  <si>
    <t>Infosys Ltd.</t>
  </si>
  <si>
    <t>JSW Steel Ltd.</t>
  </si>
  <si>
    <t>Kotak Mahindra Bank Ltd.</t>
  </si>
  <si>
    <t>LTIMindtree Ltd.</t>
  </si>
  <si>
    <t>Larsen &amp; Toubro Ltd.</t>
  </si>
  <si>
    <t>Mahindra &amp; Mahindra Ltd.</t>
  </si>
  <si>
    <t>Maruti Suzuki India Ltd.</t>
  </si>
  <si>
    <t>NTPC Ltd.</t>
  </si>
  <si>
    <t>Nestle India Ltd.</t>
  </si>
  <si>
    <t>Oil &amp; Natural Gas Corporation Ltd.</t>
  </si>
  <si>
    <t>Power Grid Corporation of India Ltd.</t>
  </si>
  <si>
    <t>Reliance Industries Ltd.</t>
  </si>
  <si>
    <t>SBI Life Insurance Company Ltd.</t>
  </si>
  <si>
    <t>State Bank of India</t>
  </si>
  <si>
    <t>Sun Pharmaceutical Industries Ltd.</t>
  </si>
  <si>
    <t>Tata Consultancy Services Ltd.</t>
  </si>
  <si>
    <t>Tata Consumer Products Ltd.</t>
  </si>
  <si>
    <t>Tata Motors Ltd.</t>
  </si>
  <si>
    <t>Tata Steel Ltd.</t>
  </si>
  <si>
    <t>Tech Mahindra Ltd.</t>
  </si>
  <si>
    <t>Titan Company Ltd.</t>
  </si>
  <si>
    <t>UltraTech Cement Ltd.</t>
  </si>
  <si>
    <t>Wipro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</si>
  <si>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</si>
  <si>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</si>
  <si>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₹50 lakh  and is weighted average impact cost.</t>
  </si>
  <si>
    <t>S.No.</t>
  </si>
  <si>
    <t>Issued Capital     (₹ crore)</t>
  </si>
  <si>
    <t>Free Float Market Capitalisation (₹ crore)</t>
  </si>
  <si>
    <t xml:space="preserve">Weightage (Percent)   </t>
  </si>
  <si>
    <t>R2</t>
  </si>
  <si>
    <t>Daily Volatility (Percent)</t>
  </si>
  <si>
    <t>Monthly Return (Percent)</t>
  </si>
  <si>
    <t>Impact Cost (Percent) *</t>
  </si>
  <si>
    <t>HDFCBANK</t>
  </si>
  <si>
    <t>RELIANCE</t>
  </si>
  <si>
    <t>ICICIBANK</t>
  </si>
  <si>
    <t>INFY</t>
  </si>
  <si>
    <t>TCS</t>
  </si>
  <si>
    <t>LT</t>
  </si>
  <si>
    <t>ITC</t>
  </si>
  <si>
    <t>AXISBANK</t>
  </si>
  <si>
    <t>KOTAKBANK</t>
  </si>
  <si>
    <t>SBIN</t>
  </si>
  <si>
    <t>HINDUNILVR</t>
  </si>
  <si>
    <t>BHARTIARTL</t>
  </si>
  <si>
    <t>BAJFINANCE</t>
  </si>
  <si>
    <t>ASIANPAINT</t>
  </si>
  <si>
    <t>M&amp;M</t>
  </si>
  <si>
    <t>MARUTI</t>
  </si>
  <si>
    <t>TITAN</t>
  </si>
  <si>
    <t>SUNPHARMA</t>
  </si>
  <si>
    <t>HCLTECH</t>
  </si>
  <si>
    <t>TATAMOTORS</t>
  </si>
  <si>
    <t>NTPC</t>
  </si>
  <si>
    <t>TATASTEEL</t>
  </si>
  <si>
    <t>ULTRACEMCO</t>
  </si>
  <si>
    <t>DRREDDY</t>
  </si>
  <si>
    <t>INDUSINDBK</t>
  </si>
  <si>
    <t>ADANIENT</t>
  </si>
  <si>
    <t>POWERGRID</t>
  </si>
  <si>
    <t>NESTLEIND</t>
  </si>
  <si>
    <t>JSWSTEEL</t>
  </si>
  <si>
    <t>TECHM</t>
  </si>
  <si>
    <t>WIPRO</t>
  </si>
  <si>
    <t>GRASIM</t>
  </si>
  <si>
    <t>ONGC</t>
  </si>
  <si>
    <t>HINDALCO</t>
  </si>
  <si>
    <t>ADANIPORTS</t>
  </si>
  <si>
    <t>CIPLA</t>
  </si>
  <si>
    <t>SBILIFE</t>
  </si>
  <si>
    <t>BRITANNIA</t>
  </si>
  <si>
    <t>DMART</t>
  </si>
  <si>
    <t>VEDL</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</si>
  <si>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</si>
  <si>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</si>
  <si>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</si>
  <si>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</si>
  <si>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</si>
  <si>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</si>
  <si>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</si>
  <si>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</si>
  <si>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ratio is calculated based on the average price methodology.                                                                           </t>
  </si>
  <si>
    <t>Table 28: Trading Frequency in Cash Segment of BSE, NSE and MSEI</t>
  </si>
  <si>
    <t>Month</t>
  </si>
  <si>
    <t>No. of Companies Listed</t>
  </si>
  <si>
    <t>Percent of Traded to Listed</t>
  </si>
  <si>
    <t>No. of Companies Traded#</t>
  </si>
  <si>
    <t>Table 29: Daily Volatility of Major Indices  (percent)</t>
  </si>
  <si>
    <t>BSE Sensex</t>
  </si>
  <si>
    <t>BSE 100</t>
  </si>
  <si>
    <t>BSE 500</t>
  </si>
  <si>
    <t>Nifty 50</t>
  </si>
  <si>
    <t>Nifty Next 50</t>
  </si>
  <si>
    <t>Nifty 500</t>
  </si>
  <si>
    <t>SX40</t>
  </si>
  <si>
    <t>Note: Volatility is calculated as the standard deviation of the natural log of daily returns in indices for the respective period.</t>
  </si>
  <si>
    <t>Source: BSE, MSEI and NSE.</t>
  </si>
  <si>
    <t>Table 30: Percentage Share of Top ‘N’ Securities/Members in Turnover of Cash Segment  (percent)</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</si>
  <si>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</si>
  <si>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</si>
  <si>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</si>
  <si>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</si>
  <si>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</si>
  <si>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</si>
  <si>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</si>
  <si>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</si>
  <si>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</si>
  <si>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</si>
  <si>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</si>
  <si>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</si>
  <si>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</si>
  <si>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</si>
  <si>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</si>
  <si>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</si>
  <si>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</si>
  <si>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</si>
  <si>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</si>
  <si>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</si>
  <si>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</si>
  <si>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</si>
  <si>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</si>
  <si>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</si>
  <si>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 crore)</t>
  </si>
  <si>
    <t>Table 32: Settlement Statistics for Cash Segment of NSE</t>
  </si>
  <si>
    <t>Delivered Value      (₹  crore)</t>
  </si>
  <si>
    <t>Settlement Statistics for settlement type N, excluding CM Series IL &amp; BL</t>
  </si>
  <si>
    <t>Table 33: Settlement Statistics for Cash Segment of MSEI</t>
  </si>
  <si>
    <t>Delivered Value      (₹ crore)</t>
  </si>
  <si>
    <t>Settlement Guarantee Fund(₹ crore)</t>
  </si>
  <si>
    <t>Month/ Year</t>
  </si>
  <si>
    <t>Index Futures</t>
  </si>
  <si>
    <t xml:space="preserve"> Stock Futures</t>
  </si>
  <si>
    <t>Index Options</t>
  </si>
  <si>
    <t>Stock Options</t>
  </si>
  <si>
    <t>Total Turnover</t>
  </si>
  <si>
    <t>Open Interest at the end of the day</t>
  </si>
  <si>
    <t xml:space="preserve">                 Calls</t>
  </si>
  <si>
    <t xml:space="preserve">                 Puts</t>
  </si>
  <si>
    <t>No. of  Contracts</t>
  </si>
  <si>
    <t xml:space="preserve">No. of Contracts </t>
  </si>
  <si>
    <t xml:space="preserve">No. of 
Contracts </t>
  </si>
  <si>
    <t>No. of Contracts</t>
  </si>
  <si>
    <t>No. of contracts</t>
  </si>
  <si>
    <t>Premium</t>
  </si>
  <si>
    <t>Notional</t>
  </si>
  <si>
    <t>2023-24</t>
  </si>
  <si>
    <t xml:space="preserve">Note: </t>
  </si>
  <si>
    <t>Notional turnover is inclusive of the premium turnover</t>
  </si>
  <si>
    <r>
      <t>Value (</t>
    </r>
    <r>
      <rPr>
        <b/>
        <sz val="11"/>
        <rFont val="Rupee Foradian"/>
        <family val="2"/>
      </rPr>
      <t>`</t>
    </r>
    <r>
      <rPr>
        <b/>
        <sz val="11"/>
        <rFont val="Garamond"/>
        <family val="1"/>
      </rPr>
      <t xml:space="preserve"> crore)</t>
    </r>
  </si>
  <si>
    <t>Note:</t>
  </si>
  <si>
    <t>Table 36: Settlement Statistics in Equity Derivatives Segment at BSE and NSE (₹ crore)</t>
  </si>
  <si>
    <t>Year/     Month</t>
  </si>
  <si>
    <t>Index/Stock
Futures</t>
  </si>
  <si>
    <t>Index/Stock
Options</t>
  </si>
  <si>
    <t>Settlement
Gurantee
Fund</t>
  </si>
  <si>
    <t>MTM
Settlement</t>
  </si>
  <si>
    <t>Final
Settlement</t>
  </si>
  <si>
    <t>Physical Settlement</t>
  </si>
  <si>
    <t>Premium
Settlement</t>
  </si>
  <si>
    <t>Exercise
Settlement</t>
  </si>
  <si>
    <t>Percentage Share in Open Interest</t>
  </si>
  <si>
    <t>Pro</t>
  </si>
  <si>
    <t>Turnover Share (in Percentage)</t>
  </si>
  <si>
    <t>BSE 30 SENSEX</t>
  </si>
  <si>
    <t>BSE SENSEX 50</t>
  </si>
  <si>
    <t>BSE BANKEX</t>
  </si>
  <si>
    <t>BSE OIL &amp; GAS INDEX</t>
  </si>
  <si>
    <t>BSE TECK INDEX</t>
  </si>
  <si>
    <t>HANG SENG Index Futures</t>
  </si>
  <si>
    <t>MICEX Index Futures</t>
  </si>
  <si>
    <t>FTSE/JSE Top 40 Futures</t>
  </si>
  <si>
    <t>IBOVESPA Futures</t>
  </si>
  <si>
    <t>NIFTY</t>
  </si>
  <si>
    <t>BANKNIFTY</t>
  </si>
  <si>
    <t>FINNIFTY</t>
  </si>
  <si>
    <t>MIDCPNIFTY</t>
  </si>
  <si>
    <t>Currency Futures</t>
  </si>
  <si>
    <t>Currency  Options</t>
  </si>
  <si>
    <t>Open Interest at the end of  the Month</t>
  </si>
  <si>
    <t>Call</t>
  </si>
  <si>
    <t>Put</t>
  </si>
  <si>
    <t>Value 
(₹ crore)</t>
  </si>
  <si>
    <t>No. of Trading  Days</t>
  </si>
  <si>
    <t>Currency Options</t>
  </si>
  <si>
    <t>Open Interest at the
end of Month</t>
  </si>
  <si>
    <t>No. of
Contracts</t>
  </si>
  <si>
    <t>Turnover
(₹  crore)</t>
  </si>
  <si>
    <t>Value
(₹  crore)</t>
  </si>
  <si>
    <t>Notes: 1. Trading Value :- For Futures, Value of contract = Traded Qty*Traded Price. 2. For Options, Value of contract = Traded Qty*(Strike Price+Traded Premium)</t>
  </si>
  <si>
    <t>Turnover (₹  crore)</t>
  </si>
  <si>
    <t>Turnover
(₹ crore)</t>
  </si>
  <si>
    <t>Table 44: Settlement Statistics of Currency Derivatives Segment (₹ crore)</t>
  </si>
  <si>
    <t>Currency
Futures</t>
  </si>
  <si>
    <t>Table 45: Instrument-wise Turnover in Currency Derivatives Segment of BSE</t>
  </si>
  <si>
    <t>Open Interest as on last day of the month (in lots)</t>
  </si>
  <si>
    <t>USDINR</t>
  </si>
  <si>
    <t>EURINR</t>
  </si>
  <si>
    <t>GBPINR</t>
  </si>
  <si>
    <t>JPYINR</t>
  </si>
  <si>
    <t>EURUSD</t>
  </si>
  <si>
    <t>GBPUSD</t>
  </si>
  <si>
    <t>USDJPY</t>
  </si>
  <si>
    <t>Table 46: Instrument-wise Turnover in Currency Derivatives of NSE</t>
  </si>
  <si>
    <t>Turnover ( ₹  crore)</t>
  </si>
  <si>
    <t>Open Interest as on last day of the month ( in lots)</t>
  </si>
  <si>
    <t>Table 47:  Instrument-wise Turnover in Currency Derivative Segment of MSEI</t>
  </si>
  <si>
    <t>Open Interest as on last day of the month
(in lots)</t>
  </si>
  <si>
    <t>Table 48: Maturity-wise Turnover in Currency Derivative Segment of BSE (₹ crore)</t>
  </si>
  <si>
    <t>Weekly</t>
  </si>
  <si>
    <t>1 Month</t>
  </si>
  <si>
    <t>2 Months</t>
  </si>
  <si>
    <t>3 Months</t>
  </si>
  <si>
    <t>&gt; 3 Months</t>
  </si>
  <si>
    <t>Table 49: Maturity-wise Turnover in Currency Derivative Segment of NSE  (₹ crore)</t>
  </si>
  <si>
    <t xml:space="preserve">2 Months   </t>
  </si>
  <si>
    <t>The weekly contracts for EUR-INR, GBP-INR and JPY-INR futures and options were introduced on December 7, 2020 and the weekly USD-INR futures contracts were launched at NSE from October 11, 2021.</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</si>
  <si>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</si>
  <si>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</si>
  <si>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</si>
  <si>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</si>
  <si>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</si>
  <si>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</si>
  <si>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</si>
  <si>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</si>
  <si>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</si>
  <si>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</si>
  <si>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</si>
  <si>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Table 61: Progress Report of NSDL &amp; CDSL  (Listed Companies)</t>
  </si>
  <si>
    <t>Parameter</t>
  </si>
  <si>
    <t>Unit</t>
  </si>
  <si>
    <t>NSDL (at the end of the period)</t>
  </si>
  <si>
    <t>CDSL (at the end of the period)</t>
  </si>
  <si>
    <t>Number of companies signed up to make their shares available for dematerialization</t>
  </si>
  <si>
    <t>Number</t>
  </si>
  <si>
    <t>Number of Depository Participants (registered)</t>
  </si>
  <si>
    <t>Number of Investors Accounts</t>
  </si>
  <si>
    <t>Lakh</t>
  </si>
  <si>
    <t>Quantity of Shares dematerialized</t>
  </si>
  <si>
    <t>Crore</t>
  </si>
  <si>
    <t>Value of Shares dematerialized</t>
  </si>
  <si>
    <t>₹ Crore</t>
  </si>
  <si>
    <t>Quantity of Securities dematerialized #</t>
  </si>
  <si>
    <t>Value of Securities dematerialized #</t>
  </si>
  <si>
    <t>Quantity of shares settled during the month</t>
  </si>
  <si>
    <t>Value of shares settled during the month in dematerialized form</t>
  </si>
  <si>
    <t>Training Programmes conducted for representatives of Corporates, DPs and Brokers</t>
  </si>
  <si>
    <t>The ratio of dematerialized equity shares to the total outstanding shares market value</t>
  </si>
  <si>
    <t>Percent</t>
  </si>
  <si>
    <t>Notes: 1. Shares includes only equity shares. 2. Securities include common equity shares, preference shares, debenture, MF units, etc.  3. Quantity and value of shares mentioned are single sided. 4. #Source for listed securities information: Issuer/ NSE/BSE.</t>
  </si>
  <si>
    <t>Source: NSDL and CDSL.</t>
  </si>
  <si>
    <t>Number of companies available for dematerialisation</t>
  </si>
  <si>
    <t>Number of Participants</t>
  </si>
  <si>
    <t>DPs
Locations</t>
  </si>
  <si>
    <t>Demat 
Quantity 
(million securities)</t>
  </si>
  <si>
    <t>Demat Value (₹ crore)</t>
  </si>
  <si>
    <t>Demat Value  (₹ crore)</t>
  </si>
  <si>
    <t>Notes : 1.  DPs Locations represents the total service centres.</t>
  </si>
  <si>
    <t>Particulars</t>
  </si>
  <si>
    <t>Equity</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</si>
  <si>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</si>
  <si>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</si>
  <si>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</si>
  <si>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</si>
  <si>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</si>
  <si>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</si>
  <si>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</si>
  <si>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</si>
  <si>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</si>
  <si>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</si>
  <si>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</si>
  <si>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</si>
  <si>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</si>
  <si>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</si>
  <si>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</si>
  <si>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</si>
  <si>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Quantity settled during the month</t>
  </si>
  <si>
    <t>Note: The categories included in Others are Preference Shares, Mutual Fund Trace Units, IDRs, AIF,Warrants, PTCs, Treasury Bills, Postal Savings Certificate,CPs, CDs and Government Securities. *Quanttity and value settled does not include settlement details of Warehouse receipts/commodities.</t>
  </si>
  <si>
    <t xml:space="preserve">
Table 64: Number of commodities permitted and traded at exchanges during the month</t>
  </si>
  <si>
    <t xml:space="preserve">
Exchanges</t>
  </si>
  <si>
    <t xml:space="preserve">
Particulars</t>
  </si>
  <si>
    <t>Futures</t>
  </si>
  <si>
    <t>Options #</t>
  </si>
  <si>
    <t xml:space="preserve">
Agriculture</t>
  </si>
  <si>
    <t xml:space="preserve">
Metals other than bullion</t>
  </si>
  <si>
    <t xml:space="preserve">
Bullion </t>
  </si>
  <si>
    <t xml:space="preserve">
Energy </t>
  </si>
  <si>
    <t xml:space="preserve">
Gems and Stones</t>
  </si>
  <si>
    <t xml:space="preserve">
Indices</t>
  </si>
  <si>
    <t xml:space="preserve">
NCDEX</t>
  </si>
  <si>
    <t xml:space="preserve">
Permitted for trading</t>
  </si>
  <si>
    <t xml:space="preserve">
Contracts floated </t>
  </si>
  <si>
    <t xml:space="preserve">
Traded</t>
  </si>
  <si>
    <t xml:space="preserve">
MCX</t>
  </si>
  <si>
    <t xml:space="preserve">
BSE</t>
  </si>
  <si>
    <t xml:space="preserve">
NSE</t>
  </si>
  <si>
    <t xml:space="preserve">
Note : 1. All contract variants are considered as one commodity  </t>
  </si>
  <si>
    <t xml:space="preserve">
2.  #Options includes both Options on futures &amp; on goods.</t>
  </si>
  <si>
    <t xml:space="preserve"> </t>
  </si>
  <si>
    <t xml:space="preserve">
Table 65: Trends in Commodity Index</t>
  </si>
  <si>
    <t xml:space="preserve">
Year / Month</t>
  </si>
  <si>
    <t># Average during the period.</t>
  </si>
  <si>
    <t>Source: MCX</t>
  </si>
  <si>
    <t xml:space="preserve">
Table 66: Trends in commodity derivatives at MCX </t>
  </si>
  <si>
    <t>Options</t>
  </si>
  <si>
    <t xml:space="preserve">
No.of Trading days</t>
  </si>
  <si>
    <t xml:space="preserve">
Bullion</t>
  </si>
  <si>
    <t xml:space="preserve">
Metals</t>
  </si>
  <si>
    <t xml:space="preserve">
Energy</t>
  </si>
  <si>
    <t xml:space="preserve">
iCOMDEX Bullion</t>
  </si>
  <si>
    <t xml:space="preserve">
iCOMDEX Energy</t>
  </si>
  <si>
    <t xml:space="preserve">
iCOMDEX Metal</t>
  </si>
  <si>
    <t xml:space="preserve">
Total Futures</t>
  </si>
  <si>
    <t xml:space="preserve">
Open interest at the end of the period</t>
  </si>
  <si>
    <t xml:space="preserve">
No. of contracts</t>
  </si>
  <si>
    <r>
      <t xml:space="preserve">
Turnover 
(</t>
    </r>
    <r>
      <rPr>
        <sz val="10"/>
        <color theme="1"/>
        <rFont val="Rupee Foradian"/>
        <family val="2"/>
      </rPr>
      <t>₹</t>
    </r>
    <r>
      <rPr>
        <b/>
        <sz val="10"/>
        <color theme="1"/>
        <rFont val="Rupee Foradian"/>
        <family val="2"/>
      </rPr>
      <t xml:space="preserve"> </t>
    </r>
    <r>
      <rPr>
        <b/>
        <sz val="10"/>
        <color theme="1"/>
        <rFont val="Garamond"/>
        <family val="1"/>
      </rPr>
      <t>crore)</t>
    </r>
  </si>
  <si>
    <r>
      <t xml:space="preserve">
Turnover 
(</t>
    </r>
    <r>
      <rPr>
        <sz val="10"/>
        <color theme="1"/>
        <rFont val="Rupee Foradian"/>
        <family val="2"/>
      </rPr>
      <t>₹</t>
    </r>
    <r>
      <rPr>
        <b/>
        <sz val="10"/>
        <color theme="1"/>
        <rFont val="Rupee Foradian"/>
        <family val="2"/>
      </rPr>
      <t xml:space="preserve"> </t>
    </r>
    <r>
      <rPr>
        <b/>
        <sz val="10"/>
        <color theme="1"/>
        <rFont val="Garamond"/>
        <family val="1"/>
      </rPr>
      <t>crore)</t>
    </r>
  </si>
  <si>
    <t xml:space="preserve"> 
No. of contracts</t>
  </si>
  <si>
    <r>
      <t xml:space="preserve">
Turnover (</t>
    </r>
    <r>
      <rPr>
        <sz val="10"/>
        <color theme="1"/>
        <rFont val="Rupee Foradian"/>
        <family val="2"/>
      </rPr>
      <t>₹</t>
    </r>
    <r>
      <rPr>
        <b/>
        <sz val="10"/>
        <color theme="1"/>
        <rFont val="Rupee Foradian"/>
        <family val="2"/>
      </rPr>
      <t xml:space="preserve"> </t>
    </r>
    <r>
      <rPr>
        <b/>
        <sz val="10"/>
        <color theme="1"/>
        <rFont val="Garamond"/>
        <family val="1"/>
      </rPr>
      <t>crore)</t>
    </r>
  </si>
  <si>
    <r>
      <t xml:space="preserve">
Value
(</t>
    </r>
    <r>
      <rPr>
        <sz val="10"/>
        <color theme="1"/>
        <rFont val="Rupee Foradian"/>
        <family val="2"/>
      </rPr>
      <t>₹</t>
    </r>
    <r>
      <rPr>
        <b/>
        <sz val="10"/>
        <color theme="1"/>
        <rFont val="Rupee Foradian"/>
        <family val="2"/>
      </rPr>
      <t xml:space="preserve"> </t>
    </r>
    <r>
      <rPr>
        <b/>
        <sz val="10"/>
        <color theme="1"/>
        <rFont val="Garamond"/>
        <family val="1"/>
      </rPr>
      <t>crore)</t>
    </r>
  </si>
  <si>
    <t>Bullion</t>
  </si>
  <si>
    <t xml:space="preserve">
Total Options</t>
  </si>
  <si>
    <t xml:space="preserve">Call Options </t>
  </si>
  <si>
    <t xml:space="preserve">Put Options </t>
  </si>
  <si>
    <r>
      <t xml:space="preserve">
Notional Value 
(</t>
    </r>
    <r>
      <rPr>
        <sz val="10"/>
        <rFont val="Garamond"/>
        <family val="1"/>
      </rPr>
      <t>₹</t>
    </r>
    <r>
      <rPr>
        <b/>
        <sz val="10"/>
        <rFont val="Garamond"/>
        <family val="1"/>
      </rPr>
      <t xml:space="preserve"> crore)</t>
    </r>
  </si>
  <si>
    <t xml:space="preserve">
Table 67: Trends in commodity derivatives at NCDEX </t>
  </si>
  <si>
    <t xml:space="preserve">
Agriculture </t>
  </si>
  <si>
    <t xml:space="preserve">
Agridex Index </t>
  </si>
  <si>
    <t xml:space="preserve">
Metal</t>
  </si>
  <si>
    <t xml:space="preserve">
Call options </t>
  </si>
  <si>
    <t xml:space="preserve"> 
Put options </t>
  </si>
  <si>
    <t xml:space="preserve">
Notional Value 
(₹ crore)</t>
  </si>
  <si>
    <t>Source: NCDEX</t>
  </si>
  <si>
    <t xml:space="preserve">
Table 68: Trends in commodity derivatives at BSE </t>
  </si>
  <si>
    <t>Agriculture</t>
  </si>
  <si>
    <t xml:space="preserve">Bullion </t>
  </si>
  <si>
    <t xml:space="preserve">
Base Metal</t>
  </si>
  <si>
    <t xml:space="preserve">Energy </t>
  </si>
  <si>
    <t xml:space="preserve"> Bullion</t>
  </si>
  <si>
    <t xml:space="preserve">
Table 69: Trends in commodity derivatives at NSE</t>
  </si>
  <si>
    <t>Energy</t>
  </si>
  <si>
    <t>Metals</t>
  </si>
  <si>
    <r>
      <t xml:space="preserve">
Turnover (</t>
    </r>
    <r>
      <rPr>
        <sz val="12"/>
        <color theme="1"/>
        <rFont val="Rupee Foradian"/>
        <family val="2"/>
      </rPr>
      <t xml:space="preserve">₹ </t>
    </r>
    <r>
      <rPr>
        <b/>
        <sz val="12"/>
        <color theme="1"/>
        <rFont val="Garamond"/>
        <family val="1"/>
      </rPr>
      <t>crore)</t>
    </r>
  </si>
  <si>
    <r>
      <t xml:space="preserve"> Value
(</t>
    </r>
    <r>
      <rPr>
        <sz val="12"/>
        <color theme="1"/>
        <rFont val="Rupee Foradian"/>
        <family val="2"/>
      </rPr>
      <t>₹</t>
    </r>
    <r>
      <rPr>
        <b/>
        <sz val="12"/>
        <color theme="1"/>
        <rFont val="Rupee Foradian"/>
        <family val="2"/>
      </rPr>
      <t xml:space="preserve"> </t>
    </r>
    <r>
      <rPr>
        <b/>
        <sz val="12"/>
        <color theme="1"/>
        <rFont val="Garamond"/>
        <family val="1"/>
      </rPr>
      <t>crore)</t>
    </r>
  </si>
  <si>
    <r>
      <t xml:space="preserve">
Turnover 
(</t>
    </r>
    <r>
      <rPr>
        <sz val="12"/>
        <color theme="1"/>
        <rFont val="Garamond"/>
        <family val="1"/>
      </rPr>
      <t xml:space="preserve">₹ </t>
    </r>
    <r>
      <rPr>
        <b/>
        <sz val="12"/>
        <color theme="1"/>
        <rFont val="Garamond"/>
        <family val="1"/>
      </rPr>
      <t>crore)</t>
    </r>
  </si>
  <si>
    <r>
      <t xml:space="preserve">
Notional Value 
(</t>
    </r>
    <r>
      <rPr>
        <sz val="12"/>
        <rFont val="Garamond"/>
        <family val="1"/>
      </rPr>
      <t>₹</t>
    </r>
    <r>
      <rPr>
        <b/>
        <sz val="12"/>
        <rFont val="Garamond"/>
        <family val="1"/>
      </rPr>
      <t xml:space="preserve"> crore)</t>
    </r>
  </si>
  <si>
    <t xml:space="preserve">
Table 70 : Participant-wise percentage share of turnover in commodity derivatives segment</t>
  </si>
  <si>
    <t xml:space="preserve"> Year</t>
  </si>
  <si>
    <t xml:space="preserve">
Farmers / FPOs</t>
  </si>
  <si>
    <t xml:space="preserve">
VCPs/ Hedger</t>
  </si>
  <si>
    <t xml:space="preserve">
Proprietary traders</t>
  </si>
  <si>
    <t xml:space="preserve">
Domestic Financial institutional investors</t>
  </si>
  <si>
    <t xml:space="preserve">
Foreign Participants</t>
  </si>
  <si>
    <t>Notes :1.''Category of 'others' include clients which do not fall in specific categories mentioned above, clients registered such as retail, HUF, individual proprietary firms, partnership firms, public and private companies, body corporates, etc.</t>
  </si>
  <si>
    <t>2. Data on percentage of participants for financial year is average of the monthly share.</t>
  </si>
  <si>
    <t xml:space="preserve">
Table 71: Commodity-wise turnover and trading volume at MCX</t>
  </si>
  <si>
    <t>Exchange &amp; Segment</t>
  </si>
  <si>
    <t xml:space="preserve"> 
Commodity Type</t>
  </si>
  <si>
    <t xml:space="preserve">
Name of the Commodity Contract</t>
  </si>
  <si>
    <t xml:space="preserve">
Contract Size</t>
  </si>
  <si>
    <t xml:space="preserve">
Value (₹  crore)</t>
  </si>
  <si>
    <t xml:space="preserve">
Quotation</t>
  </si>
  <si>
    <t xml:space="preserve">
Close Price</t>
  </si>
  <si>
    <t xml:space="preserve">
Values of Contracts (₹  crore)</t>
  </si>
  <si>
    <t xml:space="preserve">
MCX Futures</t>
  </si>
  <si>
    <t xml:space="preserve"> 
Bullion</t>
  </si>
  <si>
    <t>Gold</t>
  </si>
  <si>
    <t>1 'KG</t>
  </si>
  <si>
    <t>₹/10 grams</t>
  </si>
  <si>
    <t>Gold Mini</t>
  </si>
  <si>
    <t>100 'Grams</t>
  </si>
  <si>
    <t>Gold Guinea</t>
  </si>
  <si>
    <t>8 'Grams</t>
  </si>
  <si>
    <t>₹/8 grams</t>
  </si>
  <si>
    <t>Gold Petals</t>
  </si>
  <si>
    <t>1 'Gram</t>
  </si>
  <si>
    <t>₹/1 grams</t>
  </si>
  <si>
    <t xml:space="preserve"> Silver</t>
  </si>
  <si>
    <t>30 'KGs</t>
  </si>
  <si>
    <t>₹/ KG</t>
  </si>
  <si>
    <t>Silver Mini</t>
  </si>
  <si>
    <t>5 'KGs</t>
  </si>
  <si>
    <t>Silver Micro</t>
  </si>
  <si>
    <t>1 'KGs</t>
  </si>
  <si>
    <t xml:space="preserve">
Total for Bullion</t>
  </si>
  <si>
    <t xml:space="preserve">
Base Metals</t>
  </si>
  <si>
    <t>Aluminium</t>
  </si>
  <si>
    <t>5 MT</t>
  </si>
  <si>
    <t>Aluminium Mini</t>
  </si>
  <si>
    <t>1 MT</t>
  </si>
  <si>
    <t>Copper</t>
  </si>
  <si>
    <t>2.5 MT</t>
  </si>
  <si>
    <t>Lead</t>
  </si>
  <si>
    <t>Lead Mini</t>
  </si>
  <si>
    <t>Nickel</t>
  </si>
  <si>
    <t>1.5 MT</t>
  </si>
  <si>
    <t>Zinc</t>
  </si>
  <si>
    <t>Zinc Mini</t>
  </si>
  <si>
    <t xml:space="preserve"> 
Total for Base Metals</t>
  </si>
  <si>
    <t xml:space="preserve">
Agri</t>
  </si>
  <si>
    <t>Cotton</t>
  </si>
  <si>
    <t>25 'Bales (170 kg/ Bale)</t>
  </si>
  <si>
    <t>₹/ 1Bale</t>
  </si>
  <si>
    <t>Cotton Candy</t>
  </si>
  <si>
    <t>48 'Candy (355.56 kg/ Candy)</t>
  </si>
  <si>
    <t>₹/ 1Candy</t>
  </si>
  <si>
    <t>CPO</t>
  </si>
  <si>
    <t>10 MT</t>
  </si>
  <si>
    <t>₹/10 KG</t>
  </si>
  <si>
    <t>Mentha Oil</t>
  </si>
  <si>
    <t>360 KGs</t>
  </si>
  <si>
    <t>Kapas</t>
  </si>
  <si>
    <t>4 MT</t>
  </si>
  <si>
    <t>₹/20 KG</t>
  </si>
  <si>
    <t>Rubber</t>
  </si>
  <si>
    <t>₹/100 KG</t>
  </si>
  <si>
    <t xml:space="preserve"> Total for Agri.</t>
  </si>
  <si>
    <t>Crude Oil</t>
  </si>
  <si>
    <t>100 barrels</t>
  </si>
  <si>
    <t>₹/ Barrel</t>
  </si>
  <si>
    <t>Crude Oil Mini</t>
  </si>
  <si>
    <t>10 barrels</t>
  </si>
  <si>
    <t xml:space="preserve">Natural Gas </t>
  </si>
  <si>
    <t>1250 mmBtu</t>
  </si>
  <si>
    <t>₹/ mmBtu</t>
  </si>
  <si>
    <t xml:space="preserve">Natural Gas Mini </t>
  </si>
  <si>
    <t>250 mmBtu</t>
  </si>
  <si>
    <t xml:space="preserve"> Total for Energy</t>
  </si>
  <si>
    <t xml:space="preserve">
Index</t>
  </si>
  <si>
    <t xml:space="preserve">
iCOMDEX Bullion </t>
  </si>
  <si>
    <t>₹/ Unit</t>
  </si>
  <si>
    <t xml:space="preserve">
Total for Index Futures</t>
  </si>
  <si>
    <t xml:space="preserve">
Total MCX Futures</t>
  </si>
  <si>
    <t xml:space="preserve">
MCX Options</t>
  </si>
  <si>
    <t>Silver</t>
  </si>
  <si>
    <t>₹/ 1KG</t>
  </si>
  <si>
    <t xml:space="preserve">
Total for Base Metals</t>
  </si>
  <si>
    <t xml:space="preserve">
Total for Energy</t>
  </si>
  <si>
    <t xml:space="preserve">
Total MCX Options</t>
  </si>
  <si>
    <t>1. Options includes both 'options on futures' and 'options on goods'</t>
  </si>
  <si>
    <t>2. Closing prices have been considered for the 'most active contract' at the end of month</t>
  </si>
  <si>
    <t>3. Average Daily OI and Values of Contract have been derived by taking the sum of end of day OI and then dividing by no. of trading days during the month</t>
  </si>
  <si>
    <t>Source : MCX</t>
  </si>
  <si>
    <t xml:space="preserve">
Table 72: Commodity-wise turnover and trading volume at NCDEX </t>
  </si>
  <si>
    <t xml:space="preserve">
Commodity Type</t>
  </si>
  <si>
    <t xml:space="preserve">
Symbol</t>
  </si>
  <si>
    <t xml:space="preserve"> Contract Size</t>
  </si>
  <si>
    <t>Symbol</t>
  </si>
  <si>
    <t xml:space="preserve">
No. of Contracts</t>
  </si>
  <si>
    <t xml:space="preserve">
Values of Contracts ( ₹ crore)</t>
  </si>
  <si>
    <t xml:space="preserve"> 
NCDEX Futures</t>
  </si>
  <si>
    <t xml:space="preserve"> 
Agri.</t>
  </si>
  <si>
    <t>Bajra</t>
  </si>
  <si>
    <t>BAJRA</t>
  </si>
  <si>
    <t>₹/ Quintal</t>
  </si>
  <si>
    <t>Barley</t>
  </si>
  <si>
    <t>BARLEYJPR</t>
  </si>
  <si>
    <t>CASTOROIL</t>
  </si>
  <si>
    <t>2MT</t>
  </si>
  <si>
    <t>₹/ 10 KG</t>
  </si>
  <si>
    <t>Castorseed</t>
  </si>
  <si>
    <t>CASTOR</t>
  </si>
  <si>
    <t>Chana</t>
  </si>
  <si>
    <t>CHANA</t>
  </si>
  <si>
    <t>Coffee</t>
  </si>
  <si>
    <t>COFFEE</t>
  </si>
  <si>
    <t>1MT</t>
  </si>
  <si>
    <t>Coriander</t>
  </si>
  <si>
    <t>DHANIYA</t>
  </si>
  <si>
    <t xml:space="preserve">Cotton   </t>
  </si>
  <si>
    <t>COTTON</t>
  </si>
  <si>
    <t>₹/ Bale</t>
  </si>
  <si>
    <t>Cotton seed oil cake</t>
  </si>
  <si>
    <t>COCUDAKL</t>
  </si>
  <si>
    <t>Guar seed</t>
  </si>
  <si>
    <t>GUARSEED10</t>
  </si>
  <si>
    <t>Guargum</t>
  </si>
  <si>
    <t>GUARGUM5</t>
  </si>
  <si>
    <t>Groundnut</t>
  </si>
  <si>
    <t>GROUNDNUT</t>
  </si>
  <si>
    <t>5MT</t>
  </si>
  <si>
    <t>Gur</t>
  </si>
  <si>
    <t>GUR</t>
  </si>
  <si>
    <t>₹/ 40KG</t>
  </si>
  <si>
    <t>Isabgol</t>
  </si>
  <si>
    <t>ISABGOL</t>
  </si>
  <si>
    <t>3 MT</t>
  </si>
  <si>
    <t>Jeera</t>
  </si>
  <si>
    <t>JEERAUNJHA</t>
  </si>
  <si>
    <t>KAPAS</t>
  </si>
  <si>
    <t>₹/ 20KG</t>
  </si>
  <si>
    <t>Maize</t>
  </si>
  <si>
    <t>MAIZE</t>
  </si>
  <si>
    <t>Refined Soy Oil</t>
  </si>
  <si>
    <t>SYOREF</t>
  </si>
  <si>
    <t>RM seed</t>
  </si>
  <si>
    <t>RMSEED</t>
  </si>
  <si>
    <t>Sesameseed</t>
  </si>
  <si>
    <t>SESAMESEED</t>
  </si>
  <si>
    <t>Soy bean</t>
  </si>
  <si>
    <t>SYBEANIDR</t>
  </si>
  <si>
    <t>Soyameal</t>
  </si>
  <si>
    <t>SBMEALIDR</t>
  </si>
  <si>
    <t>₹/ MT</t>
  </si>
  <si>
    <t>Turmeric</t>
  </si>
  <si>
    <t>TMCFGRNZM</t>
  </si>
  <si>
    <t>Wheat</t>
  </si>
  <si>
    <t>WHEATFAQ</t>
  </si>
  <si>
    <t>Total for Agri.</t>
  </si>
  <si>
    <t>Steel Long</t>
  </si>
  <si>
    <t>STEEL</t>
  </si>
  <si>
    <t>Total for Metal</t>
  </si>
  <si>
    <t>Index</t>
  </si>
  <si>
    <t>AGRIDEX</t>
  </si>
  <si>
    <t>1 lot</t>
  </si>
  <si>
    <t>GUAREX</t>
  </si>
  <si>
    <t>SOYDEX</t>
  </si>
  <si>
    <t>Total Index Futures</t>
  </si>
  <si>
    <t xml:space="preserve">
Total NCDEX Futures</t>
  </si>
  <si>
    <t>Total NCDEX Futures</t>
  </si>
  <si>
    <t xml:space="preserve">
NCDEX Options</t>
  </si>
  <si>
    <t>Agri.</t>
  </si>
  <si>
    <t>Guarseed</t>
  </si>
  <si>
    <t>Soybean</t>
  </si>
  <si>
    <t>RM Seed</t>
  </si>
  <si>
    <t xml:space="preserve">
Total NCDEX Options</t>
  </si>
  <si>
    <t>Total NCDEX Options</t>
  </si>
  <si>
    <t xml:space="preserve">
Table 73: Commodity-wise turnover and trading volume at BSE and NSE</t>
  </si>
  <si>
    <t xml:space="preserve">
Exchange &amp; Segment</t>
  </si>
  <si>
    <t xml:space="preserve">
BSE Futures</t>
  </si>
  <si>
    <t>1 KG</t>
  </si>
  <si>
    <t>30 KGs</t>
  </si>
  <si>
    <t>Gold M</t>
  </si>
  <si>
    <t>100 Grams</t>
  </si>
  <si>
    <t>SilverKG</t>
  </si>
  <si>
    <t>5 KG</t>
  </si>
  <si>
    <t>SilverM</t>
  </si>
  <si>
    <t xml:space="preserve"> 1 KG</t>
  </si>
  <si>
    <t>Total for Bullion</t>
  </si>
  <si>
    <t xml:space="preserve">
Agri.</t>
  </si>
  <si>
    <t>BSE Almond</t>
  </si>
  <si>
    <t>1000 KGs</t>
  </si>
  <si>
    <t>CottonJ34^</t>
  </si>
  <si>
    <t>25 Bales</t>
  </si>
  <si>
    <t>Brent Crude</t>
  </si>
  <si>
    <t>Total for Energy</t>
  </si>
  <si>
    <t xml:space="preserve">
Total -BSE Futures</t>
  </si>
  <si>
    <t xml:space="preserve">
BSE Options</t>
  </si>
  <si>
    <t>30 Kg</t>
  </si>
  <si>
    <t>Silver KG</t>
  </si>
  <si>
    <t xml:space="preserve">
Total -BSE Options</t>
  </si>
  <si>
    <t xml:space="preserve">
NSE Futures</t>
  </si>
  <si>
    <t>Gold 1G</t>
  </si>
  <si>
    <t>1Gram</t>
  </si>
  <si>
    <t>₹/ gram</t>
  </si>
  <si>
    <t xml:space="preserve"> Energy</t>
  </si>
  <si>
    <t>Brent Crude Oil</t>
  </si>
  <si>
    <t>100 Barrel</t>
  </si>
  <si>
    <t>Brent Crude Oil Mini</t>
  </si>
  <si>
    <t>10 Barrel</t>
  </si>
  <si>
    <t>Natural Gas</t>
  </si>
  <si>
    <t>WTI Crude</t>
  </si>
  <si>
    <t>100 Barrels</t>
  </si>
  <si>
    <t>Crude Degummed  Soybean Oil </t>
  </si>
  <si>
    <t>₹/10 KGs</t>
  </si>
  <si>
    <t>Total for base metals</t>
  </si>
  <si>
    <t>Total -NSE Futures</t>
  </si>
  <si>
    <t xml:space="preserve">
NSE Options</t>
  </si>
  <si>
    <t>Total -NSE Options</t>
  </si>
  <si>
    <t>Source : BSE and NSE</t>
  </si>
  <si>
    <t>Gross Purchase 
(₹ crore)</t>
  </si>
  <si>
    <t>Gross Sales 
(₹ crore)</t>
  </si>
  <si>
    <t>Net Investment (₹ crore)</t>
  </si>
  <si>
    <t>Net Investment (US $ mn.)</t>
  </si>
  <si>
    <t>Cumulative Net Investment (US $ mn.)</t>
  </si>
  <si>
    <t>Source: NSDL, CDSL</t>
  </si>
  <si>
    <t>Table 54: Notional Value of Offshore Derivative Instruments (ODIs) compared to Assets Under Custody (AUC) of FPIs (₹ crore)</t>
  </si>
  <si>
    <t>Notional value of ODIs on Equity, Debt , Hybrid securities &amp; Derivatives (₹ crore)</t>
  </si>
  <si>
    <t>Notional value of ODIs on Equity, Debt , Hybrid securities excluding Derivatives (₹ crore)</t>
  </si>
  <si>
    <t>Assets Under Custody of FPIs (₹ crore)</t>
  </si>
  <si>
    <t xml:space="preserve"> Notional value of ODIs on Equity, Debt &amp; Hybrid securities including Derivatives as % of  Assets Under Custody of FPIs</t>
  </si>
  <si>
    <t>Notional value of ODIs on Equity, Debt and Hybrid securities excluding Derivatives as % of  Assets Under Custody of FPIs</t>
  </si>
  <si>
    <t>Source: NSDL.</t>
  </si>
  <si>
    <t>Source: Custodians.</t>
  </si>
  <si>
    <t>"Others" include Portfolio managers, partnership firms, trusts, depository receipt issues, AIFs, FCCB, HUFs, Brokers etc.</t>
  </si>
  <si>
    <t>No.</t>
  </si>
  <si>
    <t>Financial Institutions</t>
  </si>
  <si>
    <t>Corporates</t>
  </si>
  <si>
    <t>NRIs</t>
  </si>
  <si>
    <t>OCBs</t>
  </si>
  <si>
    <t>FVCI</t>
  </si>
  <si>
    <t>FDI</t>
  </si>
  <si>
    <t xml:space="preserve">FPIs </t>
  </si>
  <si>
    <t>Client</t>
  </si>
  <si>
    <t>Public Sector</t>
  </si>
  <si>
    <t>Pvt. Sector</t>
  </si>
  <si>
    <t>Assets at the End of
Period</t>
  </si>
  <si>
    <t>Net Inflow/ Outflow</t>
  </si>
  <si>
    <t>Redemption/Repurchase</t>
  </si>
  <si>
    <t>Gross Mobilisation</t>
  </si>
  <si>
    <t>Table 57: Trends in Resource Mobilization by Mutual Funds (₹  crore)</t>
  </si>
  <si>
    <t>Table 56: Cumulative Sectoral  Investment of Foreign Venture Capital Investors (FVCI) (₹ crore)</t>
  </si>
  <si>
    <t>Sectors of Economy</t>
  </si>
  <si>
    <t>As at the end of</t>
  </si>
  <si>
    <t>Information technology</t>
  </si>
  <si>
    <t>Telecommunications</t>
  </si>
  <si>
    <t>Pharmaceuticals</t>
  </si>
  <si>
    <t>Biotechnology</t>
  </si>
  <si>
    <t>Media/ Entertainment</t>
  </si>
  <si>
    <t>Services Sector</t>
  </si>
  <si>
    <t>Industrial Products</t>
  </si>
  <si>
    <t xml:space="preserve">Source: SEBI </t>
  </si>
  <si>
    <t>Sr. No.</t>
  </si>
  <si>
    <t>Scheme Category</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</si>
  <si>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</si>
  <si>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</si>
  <si>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</si>
  <si>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</si>
  <si>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</si>
  <si>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</si>
  <si>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</si>
  <si>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</si>
  <si>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</si>
  <si>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</si>
  <si>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</si>
  <si>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</si>
  <si>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</si>
  <si>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</si>
  <si>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</si>
  <si>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</si>
  <si>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</si>
  <si>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</si>
  <si>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</si>
  <si>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</si>
  <si>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 xml:space="preserve">Sub total - I </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</si>
  <si>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</si>
  <si>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</si>
  <si>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</si>
  <si>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</si>
  <si>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</si>
  <si>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</si>
  <si>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</si>
  <si>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</si>
  <si>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</si>
  <si>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</si>
  <si>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</si>
  <si>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</si>
  <si>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Flexi Cap Fund</t>
  </si>
  <si>
    <t xml:space="preserve">Sub total - II </t>
  </si>
  <si>
    <t>III</t>
  </si>
  <si>
    <t>Hybrid Schemes</t>
  </si>
  <si>
    <t>Conservative Hybrid Fund</t>
  </si>
  <si>
    <t>Balanced Hybrid Fund/Aggressive Hybrid Fund</t>
  </si>
  <si>
    <t>Dynamic Asset Allocation/Balanced Advantage</t>
  </si>
  <si>
    <t>Multi Asset Allocation</t>
  </si>
  <si>
    <t>Arbitrage Fund</t>
  </si>
  <si>
    <t>Equity Savings Fund</t>
  </si>
  <si>
    <t xml:space="preserve">Sub total - III </t>
  </si>
  <si>
    <t>IV</t>
  </si>
  <si>
    <t>Solution Oriented  Schemes</t>
  </si>
  <si>
    <t>Retirement Fund</t>
  </si>
  <si>
    <t>Childrens' Fund</t>
  </si>
  <si>
    <t xml:space="preserve">Sub total - IV </t>
  </si>
  <si>
    <t>V</t>
  </si>
  <si>
    <t>Other Schemes</t>
  </si>
  <si>
    <t>Index Funds</t>
  </si>
  <si>
    <t>GOLD ETFs</t>
  </si>
  <si>
    <t>Other ETFs</t>
  </si>
  <si>
    <t>Fund of funds investing overseas</t>
  </si>
  <si>
    <t xml:space="preserve">Sub total - V </t>
  </si>
  <si>
    <t>Total A-Open ended Schemes</t>
  </si>
  <si>
    <t>B</t>
  </si>
  <si>
    <t>Close  Ended Schemes</t>
  </si>
  <si>
    <t>i</t>
  </si>
  <si>
    <t>Fixed Term Plan</t>
  </si>
  <si>
    <t>ii</t>
  </si>
  <si>
    <t>Capital Protection Oriented  Schemes</t>
  </si>
  <si>
    <t>iii</t>
  </si>
  <si>
    <t xml:space="preserve">Infrastructure Debt Fund </t>
  </si>
  <si>
    <t>iv</t>
  </si>
  <si>
    <t>Other Debt</t>
  </si>
  <si>
    <t>Sub total</t>
  </si>
  <si>
    <t>Total B -Close ended Schemes</t>
  </si>
  <si>
    <t>C</t>
  </si>
  <si>
    <t>Interval Schemes</t>
  </si>
  <si>
    <t>Growth Oriented Schemes</t>
  </si>
  <si>
    <t>Total C -Interval Schemes</t>
  </si>
  <si>
    <t>Grand Total (A+B+C)</t>
  </si>
  <si>
    <t>Fund of Funds Scheme (Domestic)**</t>
  </si>
  <si>
    <t>No.of schemes also includes serial plans.</t>
  </si>
  <si>
    <t>Data in respect Fund of Funds Domestic is shown for information only. The same is included in the respective underlying schemes.</t>
  </si>
  <si>
    <t>Gross Purchases</t>
  </si>
  <si>
    <t>Gross Sales</t>
  </si>
  <si>
    <t>Net Purchases /Sales</t>
  </si>
  <si>
    <t>This data is compiled on the basis of reports submitted to SEBI by custodians.</t>
  </si>
  <si>
    <t>Discretionary#</t>
  </si>
  <si>
    <t>Non-Discretionary</t>
  </si>
  <si>
    <t>Co-Investment</t>
  </si>
  <si>
    <t>Advisory</t>
  </si>
  <si>
    <t>Advisory**</t>
  </si>
  <si>
    <t>No. of Clients</t>
  </si>
  <si>
    <t>AUM (₹ crore)</t>
  </si>
  <si>
    <t>Listed Equity</t>
  </si>
  <si>
    <t>Unlisted Equity</t>
  </si>
  <si>
    <t>Plain Debt Listed</t>
  </si>
  <si>
    <t>Plain Debt Unlisted</t>
  </si>
  <si>
    <t>Structured Debt Listed</t>
  </si>
  <si>
    <t>Structured Debt Unlisted</t>
  </si>
  <si>
    <t>Derivatives- Equity</t>
  </si>
  <si>
    <t>Derivatives- Commodity</t>
  </si>
  <si>
    <t>Derivatives- Others</t>
  </si>
  <si>
    <t xml:space="preserve">1. **Value of Assets for which Advisory Services are being given. </t>
  </si>
  <si>
    <t>A. IPOs (Main Board)</t>
  </si>
  <si>
    <t>i) OFS Component</t>
  </si>
  <si>
    <t>ii) Fresh Capital Raising Component</t>
  </si>
  <si>
    <t>B. IPO (SME)</t>
  </si>
  <si>
    <t>C. IPO (Total) [A+B]</t>
  </si>
  <si>
    <t>i) OFS Component (Total)</t>
  </si>
  <si>
    <t>ii) Fresh Capital Raising Component (Total)</t>
  </si>
  <si>
    <t>D. FPO in the Main Board</t>
  </si>
  <si>
    <t xml:space="preserve">E. FPO in the SME Segment </t>
  </si>
  <si>
    <t>F. FPO (Total) [D+E]</t>
  </si>
  <si>
    <t>G. Total Public Issues in equity (C+F)</t>
  </si>
  <si>
    <t>H. Rights Issue</t>
  </si>
  <si>
    <t xml:space="preserve">i)MainBoard Companies </t>
  </si>
  <si>
    <t>ii) SME / IGP Companies</t>
  </si>
  <si>
    <t>I. Preferential Issue</t>
  </si>
  <si>
    <t>J. QIPs/IPPs</t>
  </si>
  <si>
    <t>K. OFS through Exchanges</t>
  </si>
  <si>
    <t>i)Mainboard companies</t>
  </si>
  <si>
    <t>ii)SME/IGP companies</t>
  </si>
  <si>
    <t>Bond Market</t>
  </si>
  <si>
    <t>Of the above, listed after private placement in EBP</t>
  </si>
  <si>
    <t>Business trusts</t>
  </si>
  <si>
    <t>691406.49#</t>
  </si>
  <si>
    <t xml:space="preserve"># The increase in the amount for rated quantum for withdrawals from previous trends is due to merger of Housing Development Finance Corporation Limited (HDFC) and HDFC Bank Limited (HDFC Bank) where the instruments of HDFC were withdrawn post-merger and the same were transferred to HDFC Bank. </t>
  </si>
  <si>
    <t>Average Trade Size (₹)</t>
  </si>
  <si>
    <t xml:space="preserve">JSWSL       </t>
  </si>
  <si>
    <t>#Jio Financial Services Limited was included in SX 40 on account of adjustment for Reliance Industries Ltd (RELIANCE) due to scheme of demerger. The same was excluded w.e.f. Sep 01, 2023</t>
  </si>
  <si>
    <t>Securities Pay-in (crore)</t>
  </si>
  <si>
    <t>Table 34: Trends in Equity Derivatives Segment at BSE</t>
  </si>
  <si>
    <t>Premium*</t>
  </si>
  <si>
    <t>Table 35: Trends in Equity Derivatives Segment at NSE</t>
  </si>
  <si>
    <t>Number of Clearing Corporations (connected)</t>
  </si>
  <si>
    <t>NSE SME IPO</t>
  </si>
  <si>
    <t>*includes futures turnover</t>
  </si>
  <si>
    <t>No. of contracts traded</t>
  </si>
  <si>
    <r>
      <t>Turnover 
(</t>
    </r>
    <r>
      <rPr>
        <sz val="10"/>
        <color theme="1"/>
        <rFont val="Rupee Foradian"/>
        <family val="2"/>
      </rPr>
      <t>₹</t>
    </r>
    <r>
      <rPr>
        <b/>
        <sz val="10"/>
        <color theme="1"/>
        <rFont val="Rupee Foradian"/>
        <family val="2"/>
      </rPr>
      <t xml:space="preserve"> </t>
    </r>
    <r>
      <rPr>
        <b/>
        <sz val="10"/>
        <color theme="1"/>
        <rFont val="Garamond"/>
        <family val="1"/>
      </rPr>
      <t>crore)</t>
    </r>
  </si>
  <si>
    <r>
      <t>Turnover 
(</t>
    </r>
    <r>
      <rPr>
        <sz val="11"/>
        <color theme="1"/>
        <rFont val="Rupee Foradian"/>
        <family val="2"/>
      </rPr>
      <t>₹</t>
    </r>
    <r>
      <rPr>
        <b/>
        <sz val="11"/>
        <color theme="1"/>
        <rFont val="Rupee Foradian"/>
        <family val="2"/>
      </rPr>
      <t xml:space="preserve"> </t>
    </r>
    <r>
      <rPr>
        <b/>
        <sz val="11"/>
        <color theme="1"/>
        <rFont val="Garamond"/>
        <family val="1"/>
      </rPr>
      <t>crore)</t>
    </r>
  </si>
  <si>
    <t>₹/ BBL</t>
  </si>
  <si>
    <t>5. The amount raised through fresh issues and OFS are obtained by multiplying the respective number of shares issued with the issue price.</t>
  </si>
  <si>
    <t>``</t>
  </si>
  <si>
    <t>% Change during the year</t>
  </si>
  <si>
    <t>% Change during the month</t>
  </si>
  <si>
    <t>Average Quantity of shares settled daily (quantity of shares settled during the month divided by actual settlement days)</t>
  </si>
  <si>
    <t>Average Value of shares settled daily (value of shares settled during the month divided by actual settlement days)</t>
  </si>
  <si>
    <t xml:space="preserve">
Source: NCDEX, MCX, BSE and NSE</t>
  </si>
  <si>
    <t xml:space="preserve">
Source: MCX, NCDEX, BSE and NSE</t>
  </si>
  <si>
    <t>SUNOIL</t>
  </si>
  <si>
    <t>SILVERM</t>
  </si>
  <si>
    <t>5 KGs</t>
  </si>
  <si>
    <t>SILVERMIC</t>
  </si>
  <si>
    <t>JEERAMINI</t>
  </si>
  <si>
    <t>One NSE Natural Gas futures contract</t>
  </si>
  <si>
    <t>One NSE WTI Crude Oil futures contract</t>
  </si>
  <si>
    <t>9.10/10.25</t>
  </si>
  <si>
    <t>Steel Rebar</t>
  </si>
  <si>
    <t>4. Options Turnover is based on Notional value.</t>
  </si>
  <si>
    <t>Crude Sunflower Oil</t>
  </si>
  <si>
    <t>Note: 1. AGRIDEX volume are in '000 lots and is not included for computing the total volume in "000 tonnes" .</t>
  </si>
  <si>
    <t>2. For Options traded qty is in '000 tons.</t>
  </si>
  <si>
    <t xml:space="preserve">Market Intermediaries </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</si>
  <si>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</si>
  <si>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</si>
  <si>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</si>
  <si>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</si>
  <si>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</si>
  <si>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</si>
  <si>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</si>
  <si>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</si>
  <si>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</si>
  <si>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ICEX</t>
  </si>
  <si>
    <t>Foreign Portfolio Investors (FPIs)</t>
  </si>
  <si>
    <t>Custodians</t>
  </si>
  <si>
    <t>Designated Depositories Participants (DDPs)</t>
  </si>
  <si>
    <t>Depositories</t>
  </si>
  <si>
    <t>Depository Participants</t>
  </si>
  <si>
    <t>Merchant Bankers</t>
  </si>
  <si>
    <t>Bankers to an Issue</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</si>
  <si>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</si>
  <si>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</si>
  <si>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</si>
  <si>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</si>
  <si>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</si>
  <si>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</si>
  <si>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</si>
  <si>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</si>
  <si>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Investment Advisors</t>
  </si>
  <si>
    <t>Research Analysts</t>
  </si>
  <si>
    <t>Infrastructure Investment Trusts (InvITs)</t>
  </si>
  <si>
    <t>Real Estate Investment Trusts (REITs)</t>
  </si>
  <si>
    <t>Collective Investment Schemes</t>
  </si>
  <si>
    <t>Approved Intermediaries (Stock Lending Schemes)</t>
  </si>
  <si>
    <t>STP (Centralised Hub)</t>
  </si>
  <si>
    <t>STP Service Providers</t>
  </si>
  <si>
    <t>Source: SEBI, NSDL, CDSL.</t>
  </si>
  <si>
    <t>Public issues</t>
  </si>
  <si>
    <t>Table 5: Consolidated Resource Mobilisation through Primary markets</t>
  </si>
  <si>
    <t>FPOs</t>
  </si>
  <si>
    <t>IPOs (SME issues)</t>
  </si>
  <si>
    <t>IPOs (Mainboard)</t>
  </si>
  <si>
    <t>IPOs (Total)</t>
  </si>
  <si>
    <t xml:space="preserve">Table 6: Capital Raised from the Primary Market through  Public and Rights Issues </t>
  </si>
  <si>
    <t>Table 5: Consolidated Resource Mobilisation through Primary Market</t>
  </si>
  <si>
    <t>Table 6: Capital Raised from the Primary Market through Public and Rights Issues (Equity and Debt)</t>
  </si>
  <si>
    <t xml:space="preserve">L. Total Equity raised </t>
  </si>
  <si>
    <t>M. Fund mobilized through Private Placement in Corporate Bond Market (CBM)</t>
  </si>
  <si>
    <t>N. Fund mobilized through public issue in CBM</t>
  </si>
  <si>
    <t>P. Total funds mobilized by REITs</t>
  </si>
  <si>
    <t>Q. Total fund mobilized by InvITs</t>
  </si>
  <si>
    <t>3. The data in Table 5 is segregated into Financial and Non Financial Sector.</t>
  </si>
  <si>
    <t>4. Since, some issue have components of both fresh issues as well as OFS, the number of issues with fresh issues and OFS is not given</t>
  </si>
  <si>
    <t>R. Total fund mobilized by REITs &amp; InvITs (P+Q)</t>
  </si>
  <si>
    <t>O. Total fund Mobilized in CBM (M+N)</t>
  </si>
  <si>
    <t>i) OFS Component (Total) G(i)+K</t>
  </si>
  <si>
    <t>ii) Fresh Capital Raising Component (Total) G(ii)+H+I+J</t>
  </si>
  <si>
    <t>II. Gross Saving as a per cent of Gross National Disposable Income at current market prices in 2022-23*</t>
  </si>
  <si>
    <t>* Second Advance Estimates (2023-24) as per MOSPI press release dated February 29, 2024</t>
  </si>
  <si>
    <t>$ indicates as on March 31, 2024</t>
  </si>
  <si>
    <t>Table 4: Trends in Offers closed under SEBI (Substantial Acquisition of Shares and Takeover) Regulations, 2011</t>
  </si>
  <si>
    <t>1. Data includes funds raised through public issue, private placement, preferential issue, institutional placement, rights issue</t>
  </si>
  <si>
    <t>2. IPOs are classified based on listing date and public debt issues on the basis of closing date of the issue.</t>
  </si>
  <si>
    <t>Corporate Brokers(Cash Segment)</t>
  </si>
  <si>
    <t>Shriram Finance Ltd.</t>
  </si>
  <si>
    <t>%
Change during the year</t>
  </si>
  <si>
    <t>%
Change during the month</t>
  </si>
  <si>
    <t>No. of schemes as on March 31, 2024</t>
  </si>
  <si>
    <t>No of Folios as on March 31, 2024</t>
  </si>
  <si>
    <t>Funds mobilized for the period (Since April 01, 2023 to March 31, 2024)  (₹ crore)</t>
  </si>
  <si>
    <t xml:space="preserve">Repurchase/ Redemption for the period (Since April 01, 2023 to March 31, 2024)  (₹ crore) </t>
  </si>
  <si>
    <t>Net Inflow (+ve)/ Outflow (-ve) for the period (Since April 01, 2023 to March 31, 2024)  (₹ crore)</t>
  </si>
  <si>
    <t>Net Assets Under Management as on March 31, 2024</t>
  </si>
  <si>
    <t>Discretionary</t>
  </si>
  <si>
    <t>Foreign Depositories</t>
  </si>
  <si>
    <t>Insurance Companies</t>
  </si>
  <si>
    <t>Local Pension Funds</t>
  </si>
  <si>
    <t xml:space="preserve">Notes:  </t>
  </si>
  <si>
    <t>Table 59: Trends in Transactions on Stock Markets by Mutual Funds (₹  crore)</t>
  </si>
  <si>
    <t>2024-25</t>
  </si>
  <si>
    <t>ESG Rating Provider (ERP)</t>
  </si>
  <si>
    <t>Table 12: Private Placement of Corporate Debt listed at BSE and NSE</t>
  </si>
  <si>
    <t>2024-25$</t>
  </si>
  <si>
    <t>$ indicates as on April 30, 2024</t>
  </si>
  <si>
    <t>Net assets of INR 78067.96 crores pertaining to Funds of Funds Schemes for April 30, 2024 is not included in the above data.</t>
  </si>
  <si>
    <t>Mar-23</t>
  </si>
  <si>
    <t>MCX iCOMDEX Composite</t>
  </si>
  <si>
    <t xml:space="preserve">
Average Daily Open Interest in April 2024</t>
  </si>
  <si>
    <t>Natural Gas Mini</t>
  </si>
  <si>
    <t>6. Shriram Finance Ltd replaced UPL Ltd in the benchmark Nifty50 index, effective from March 28</t>
  </si>
  <si>
    <t>0</t>
  </si>
  <si>
    <r>
      <t>Notes: 
1. Figures are compiled based on reports submitted by FPIs/deemed FPIs issuing ODIs. 
2</t>
    </r>
    <r>
      <rPr>
        <sz val="10"/>
        <color indexed="10"/>
        <rFont val="Garamond"/>
        <family val="1"/>
      </rPr>
      <t xml:space="preserve">. </t>
    </r>
    <r>
      <rPr>
        <sz val="10"/>
        <color indexed="8"/>
        <rFont val="Garamond"/>
        <family val="1"/>
      </rPr>
      <t>AUC Figures are compiled on the basis of reports submitted by custodians &amp; does not includes positions taken by FPIs in derivatives. 
3. The total value of ODIs excludes the unhedged positions &amp; portfolio hedging positions taken by the FPIs issuing ODIs.</t>
    </r>
  </si>
  <si>
    <t>Macro Economic Sector</t>
  </si>
  <si>
    <t>Sector</t>
  </si>
  <si>
    <r>
      <rPr>
        <sz val="8"/>
        <rFont val="Garamond"/>
        <family val="1"/>
      </rPr>
      <t>Chemicals &amp; Petrochemicals</t>
    </r>
  </si>
  <si>
    <r>
      <rPr>
        <sz val="8"/>
        <rFont val="Garamond"/>
        <family val="1"/>
      </rPr>
      <t>Fertilizers &amp; Agrochemicals</t>
    </r>
  </si>
  <si>
    <r>
      <rPr>
        <sz val="8"/>
        <rFont val="Garamond"/>
        <family val="1"/>
      </rPr>
      <t>Cement &amp; Cement Products</t>
    </r>
  </si>
  <si>
    <r>
      <rPr>
        <sz val="8"/>
        <rFont val="Garamond"/>
        <family val="1"/>
      </rPr>
      <t>Other Construction Materials</t>
    </r>
  </si>
  <si>
    <r>
      <rPr>
        <sz val="8"/>
        <rFont val="Garamond"/>
        <family val="1"/>
      </rPr>
      <t>Ferrous Metals</t>
    </r>
  </si>
  <si>
    <r>
      <rPr>
        <sz val="8"/>
        <rFont val="Garamond"/>
        <family val="1"/>
      </rPr>
      <t>Non - Ferrous Metals</t>
    </r>
  </si>
  <si>
    <r>
      <rPr>
        <sz val="8"/>
        <rFont val="Garamond"/>
        <family val="1"/>
      </rPr>
      <t>Diversified Metals</t>
    </r>
  </si>
  <si>
    <r>
      <rPr>
        <sz val="8"/>
        <rFont val="Garamond"/>
        <family val="1"/>
      </rPr>
      <t>Minerals &amp; Mining</t>
    </r>
  </si>
  <si>
    <r>
      <rPr>
        <sz val="8"/>
        <rFont val="Garamond"/>
        <family val="1"/>
      </rPr>
      <t>Metals &amp; Minerals Trading</t>
    </r>
  </si>
  <si>
    <r>
      <rPr>
        <sz val="8"/>
        <rFont val="Garamond"/>
        <family val="1"/>
      </rPr>
      <t>Paper, Forest &amp; Jute Products</t>
    </r>
  </si>
  <si>
    <r>
      <rPr>
        <sz val="8"/>
        <rFont val="Garamond"/>
        <family val="1"/>
      </rPr>
      <t>Automobiles</t>
    </r>
  </si>
  <si>
    <r>
      <rPr>
        <sz val="8"/>
        <rFont val="Garamond"/>
        <family val="1"/>
      </rPr>
      <t>Auto Components</t>
    </r>
  </si>
  <si>
    <r>
      <rPr>
        <sz val="8"/>
        <rFont val="Garamond"/>
        <family val="1"/>
      </rPr>
      <t>Consumer Durables</t>
    </r>
  </si>
  <si>
    <r>
      <rPr>
        <sz val="8"/>
        <rFont val="Garamond"/>
        <family val="1"/>
      </rPr>
      <t>Textiles &amp; Apparels</t>
    </r>
  </si>
  <si>
    <r>
      <rPr>
        <sz val="8"/>
        <rFont val="Garamond"/>
        <family val="1"/>
      </rPr>
      <t>Media</t>
    </r>
  </si>
  <si>
    <r>
      <rPr>
        <sz val="8"/>
        <rFont val="Garamond"/>
        <family val="1"/>
      </rPr>
      <t>Entertainment</t>
    </r>
  </si>
  <si>
    <r>
      <rPr>
        <sz val="8"/>
        <rFont val="Garamond"/>
        <family val="1"/>
      </rPr>
      <t>Printing &amp; Publication</t>
    </r>
  </si>
  <si>
    <r>
      <rPr>
        <sz val="8"/>
        <rFont val="Garamond"/>
        <family val="1"/>
      </rPr>
      <t>Realty</t>
    </r>
  </si>
  <si>
    <r>
      <rPr>
        <sz val="8"/>
        <rFont val="Garamond"/>
        <family val="1"/>
      </rPr>
      <t>Leisure Services</t>
    </r>
  </si>
  <si>
    <r>
      <rPr>
        <sz val="8"/>
        <rFont val="Garamond"/>
        <family val="1"/>
      </rPr>
      <t>Other Consumer Services</t>
    </r>
  </si>
  <si>
    <r>
      <rPr>
        <sz val="8"/>
        <rFont val="Garamond"/>
        <family val="1"/>
      </rPr>
      <t>Retailing</t>
    </r>
  </si>
  <si>
    <r>
      <rPr>
        <sz val="8"/>
        <rFont val="Garamond"/>
        <family val="1"/>
      </rPr>
      <t>Gas</t>
    </r>
  </si>
  <si>
    <r>
      <rPr>
        <sz val="8"/>
        <rFont val="Garamond"/>
        <family val="1"/>
      </rPr>
      <t>Oil</t>
    </r>
  </si>
  <si>
    <r>
      <rPr>
        <sz val="8"/>
        <rFont val="Garamond"/>
        <family val="1"/>
      </rPr>
      <t>Petroleum Products</t>
    </r>
  </si>
  <si>
    <r>
      <rPr>
        <sz val="8"/>
        <rFont val="Garamond"/>
        <family val="1"/>
      </rPr>
      <t>Consumable Fuels</t>
    </r>
  </si>
  <si>
    <r>
      <rPr>
        <sz val="8"/>
        <rFont val="Garamond"/>
        <family val="1"/>
      </rPr>
      <t>Agricultural Food &amp; other Products</t>
    </r>
  </si>
  <si>
    <r>
      <rPr>
        <sz val="8"/>
        <rFont val="Garamond"/>
        <family val="1"/>
      </rPr>
      <t>Beverages</t>
    </r>
  </si>
  <si>
    <r>
      <rPr>
        <sz val="8"/>
        <rFont val="Garamond"/>
        <family val="1"/>
      </rPr>
      <t>Cigarettes &amp; Tobacco Products</t>
    </r>
  </si>
  <si>
    <r>
      <rPr>
        <sz val="8"/>
        <rFont val="Garamond"/>
        <family val="1"/>
      </rPr>
      <t>Food Products</t>
    </r>
  </si>
  <si>
    <r>
      <rPr>
        <sz val="8"/>
        <rFont val="Garamond"/>
        <family val="1"/>
      </rPr>
      <t>Personal Products</t>
    </r>
  </si>
  <si>
    <r>
      <rPr>
        <sz val="8"/>
        <rFont val="Garamond"/>
        <family val="1"/>
      </rPr>
      <t>Household Products</t>
    </r>
  </si>
  <si>
    <r>
      <rPr>
        <sz val="8"/>
        <rFont val="Garamond"/>
        <family val="1"/>
      </rPr>
      <t>Diversified FMCG</t>
    </r>
  </si>
  <si>
    <r>
      <rPr>
        <sz val="8"/>
        <rFont val="Garamond"/>
        <family val="1"/>
      </rPr>
      <t>Finance</t>
    </r>
  </si>
  <si>
    <r>
      <rPr>
        <sz val="8"/>
        <rFont val="Garamond"/>
        <family val="1"/>
      </rPr>
      <t>Banks</t>
    </r>
  </si>
  <si>
    <r>
      <rPr>
        <sz val="8"/>
        <rFont val="Garamond"/>
        <family val="1"/>
      </rPr>
      <t>Capital Markets</t>
    </r>
  </si>
  <si>
    <r>
      <rPr>
        <sz val="8"/>
        <rFont val="Garamond"/>
        <family val="1"/>
      </rPr>
      <t>Insurance</t>
    </r>
  </si>
  <si>
    <r>
      <rPr>
        <sz val="8"/>
        <rFont val="Garamond"/>
        <family val="1"/>
      </rPr>
      <t>Financial Technology (Fintech)</t>
    </r>
  </si>
  <si>
    <r>
      <rPr>
        <sz val="8"/>
        <rFont val="Garamond"/>
        <family val="1"/>
      </rPr>
      <t>Pharmaceuticals &amp; Biotechnology</t>
    </r>
  </si>
  <si>
    <r>
      <rPr>
        <sz val="8"/>
        <rFont val="Garamond"/>
        <family val="1"/>
      </rPr>
      <t>Healthcare Equipment &amp; Supplies</t>
    </r>
  </si>
  <si>
    <r>
      <rPr>
        <sz val="8"/>
        <rFont val="Garamond"/>
        <family val="1"/>
      </rPr>
      <t>Healthcare Services</t>
    </r>
  </si>
  <si>
    <r>
      <rPr>
        <sz val="8"/>
        <rFont val="Garamond"/>
        <family val="1"/>
      </rPr>
      <t>Construction</t>
    </r>
  </si>
  <si>
    <r>
      <rPr>
        <sz val="8"/>
        <rFont val="Garamond"/>
        <family val="1"/>
      </rPr>
      <t>Aerospace &amp; Defense</t>
    </r>
  </si>
  <si>
    <r>
      <rPr>
        <sz val="8"/>
        <rFont val="Garamond"/>
        <family val="1"/>
      </rPr>
      <t>Agricultural, Commercial
&amp; Construction Vehicles</t>
    </r>
  </si>
  <si>
    <r>
      <rPr>
        <sz val="8"/>
        <rFont val="Garamond"/>
        <family val="1"/>
      </rPr>
      <t>Electrical Equipment</t>
    </r>
  </si>
  <si>
    <r>
      <rPr>
        <sz val="8"/>
        <rFont val="Garamond"/>
        <family val="1"/>
      </rPr>
      <t>Industrial Manufacturing</t>
    </r>
  </si>
  <si>
    <r>
      <rPr>
        <sz val="8"/>
        <rFont val="Garamond"/>
        <family val="1"/>
      </rPr>
      <t>Industrial Products</t>
    </r>
  </si>
  <si>
    <r>
      <rPr>
        <sz val="8"/>
        <rFont val="Garamond"/>
        <family val="1"/>
      </rPr>
      <t>IT - Software</t>
    </r>
  </si>
  <si>
    <r>
      <rPr>
        <sz val="8"/>
        <rFont val="Garamond"/>
        <family val="1"/>
      </rPr>
      <t>IT - Services</t>
    </r>
  </si>
  <si>
    <r>
      <rPr>
        <sz val="8"/>
        <rFont val="Garamond"/>
        <family val="1"/>
      </rPr>
      <t>IT - Hardware</t>
    </r>
  </si>
  <si>
    <r>
      <rPr>
        <sz val="8"/>
        <rFont val="Garamond"/>
        <family val="1"/>
      </rPr>
      <t>Engineering Services</t>
    </r>
  </si>
  <si>
    <r>
      <rPr>
        <sz val="8"/>
        <rFont val="Garamond"/>
        <family val="1"/>
      </rPr>
      <t>Transport Services</t>
    </r>
  </si>
  <si>
    <r>
      <rPr>
        <sz val="8"/>
        <rFont val="Garamond"/>
        <family val="1"/>
      </rPr>
      <t>Transport Infrastructure</t>
    </r>
  </si>
  <si>
    <r>
      <rPr>
        <sz val="8"/>
        <rFont val="Garamond"/>
        <family val="1"/>
      </rPr>
      <t>Commercial Services &amp; Supplies</t>
    </r>
  </si>
  <si>
    <r>
      <rPr>
        <sz val="8"/>
        <rFont val="Garamond"/>
        <family val="1"/>
      </rPr>
      <t>Public Services</t>
    </r>
  </si>
  <si>
    <r>
      <rPr>
        <sz val="8"/>
        <rFont val="Garamond"/>
        <family val="1"/>
      </rPr>
      <t>Telecom - Services</t>
    </r>
  </si>
  <si>
    <r>
      <rPr>
        <sz val="8"/>
        <rFont val="Garamond"/>
        <family val="1"/>
      </rPr>
      <t>Telecom -  Equipment &amp; Accessories</t>
    </r>
  </si>
  <si>
    <r>
      <rPr>
        <sz val="8"/>
        <rFont val="Garamond"/>
        <family val="1"/>
      </rPr>
      <t>Power</t>
    </r>
  </si>
  <si>
    <r>
      <rPr>
        <sz val="8"/>
        <rFont val="Garamond"/>
        <family val="1"/>
      </rPr>
      <t>Other Utilities</t>
    </r>
  </si>
  <si>
    <r>
      <rPr>
        <sz val="8"/>
        <rFont val="Garamond"/>
        <family val="1"/>
      </rPr>
      <t>Diversified</t>
    </r>
  </si>
  <si>
    <t>Commodities</t>
  </si>
  <si>
    <t>Chemicals</t>
  </si>
  <si>
    <t>Construction Materials</t>
  </si>
  <si>
    <t>Metals &amp; Mining</t>
  </si>
  <si>
    <t>Forest Materials</t>
  </si>
  <si>
    <t>Consumer Discretionary</t>
  </si>
  <si>
    <t>Automobile and Auto Components</t>
  </si>
  <si>
    <t>Consumer Durables</t>
  </si>
  <si>
    <t>Textiles</t>
  </si>
  <si>
    <t>Media, Entertainment &amp; Publication</t>
  </si>
  <si>
    <t>Realty</t>
  </si>
  <si>
    <t>Oil, Gas &amp; Consumable Fuels</t>
  </si>
  <si>
    <t>Fast Moving Consumer Goods</t>
  </si>
  <si>
    <t>Financial Services</t>
  </si>
  <si>
    <t>Industrials</t>
  </si>
  <si>
    <t>Construction</t>
  </si>
  <si>
    <t>Capital Goods</t>
  </si>
  <si>
    <t>Information Technology</t>
  </si>
  <si>
    <t>Services</t>
  </si>
  <si>
    <t>Telecommunication</t>
  </si>
  <si>
    <t>Utilities</t>
  </si>
  <si>
    <t>Diversified</t>
  </si>
  <si>
    <t>Note: The industrial classification is based on SEBI 4 tier industry classification</t>
  </si>
  <si>
    <t>$ indicates as on May 31, 2024</t>
  </si>
  <si>
    <t>Slone Infosystems Limited</t>
  </si>
  <si>
    <t>Indegene Limited</t>
  </si>
  <si>
    <t>Refractory Shapes Limited</t>
  </si>
  <si>
    <t>Winsol Engineers Limited</t>
  </si>
  <si>
    <t>Silkflex Polymers (India) Limited</t>
  </si>
  <si>
    <t>TBO Tek Limited</t>
  </si>
  <si>
    <t>Aadhar Housing Finance Limited</t>
  </si>
  <si>
    <t>Energy Mission Machineries (India) Limited</t>
  </si>
  <si>
    <t>Premier Roadlines Limited</t>
  </si>
  <si>
    <t>Mandeep Auto Industries Limited</t>
  </si>
  <si>
    <t>ABS Marine Services Limited</t>
  </si>
  <si>
    <t>Veritaas Advertising Limited</t>
  </si>
  <si>
    <t>Indian Emulsifiers Limited</t>
  </si>
  <si>
    <t>Quest Laboratories Limited</t>
  </si>
  <si>
    <t>Go Digit General Insurance Limited</t>
  </si>
  <si>
    <t>Hoac Foods India Limited</t>
  </si>
  <si>
    <t>Rulka Electricals Limited</t>
  </si>
  <si>
    <t>Awfis Space Solutions Limited</t>
  </si>
  <si>
    <t>GSM Foils Limited</t>
  </si>
  <si>
    <t>Storage Technologies and Automation Limited</t>
  </si>
  <si>
    <t>BSE SME IPO</t>
  </si>
  <si>
    <t>Amkay Products Limited</t>
  </si>
  <si>
    <t>Finelistings Technologies Limited</t>
  </si>
  <si>
    <t>TGIF AGRIBUSINESS LIMITED</t>
  </si>
  <si>
    <t>Aztec Fluids &amp; Machinery Limited</t>
  </si>
  <si>
    <t>Sai Swami Metals and Alloys Limited</t>
  </si>
  <si>
    <t>PIOTEX INDUSTRIES LIMITED</t>
  </si>
  <si>
    <t>Iykot Hitech Toolroom Ltd</t>
  </si>
  <si>
    <t>Tierra Agrotech Limited</t>
  </si>
  <si>
    <t>AA Plus Tradelink Limited</t>
  </si>
  <si>
    <t>VMS INDUSTRIES LIMITED</t>
  </si>
  <si>
    <t>Scanpoint Geomatics Limited</t>
  </si>
  <si>
    <t>Shiva Cement Ltd.</t>
  </si>
  <si>
    <t>Spectrum Foods Limited</t>
  </si>
  <si>
    <t>MARKOBENZ VENTURES LIMITED</t>
  </si>
  <si>
    <t>Sawaca Business Machines Ltd.</t>
  </si>
  <si>
    <t>Balkrishna Paper Mills Limited</t>
  </si>
  <si>
    <t>Jyoti Structures Limited</t>
  </si>
  <si>
    <t>IIFL Finance Limited</t>
  </si>
  <si>
    <t>May-24</t>
  </si>
  <si>
    <t>Table 24: Component Stocks: S&amp;P BSE Sensex during May, 2024</t>
  </si>
  <si>
    <t>2024-25 (Till May)</t>
  </si>
  <si>
    <t>Table 25: Component Stocks: Nifty 50 Index during May, 2024</t>
  </si>
  <si>
    <t>Table 26: Component Stocks: SX40 Index during May, 2024</t>
  </si>
  <si>
    <t>Table 3: Offers closed during May 2024 under SEBI (Substantial Acquisition of Shares and Takeover) Regulations, 2011</t>
  </si>
  <si>
    <t>Cinerad Communications Limited</t>
  </si>
  <si>
    <t>Pankaj Ramesh Samani, Kaushal Uttam Shah,Ugpatwardhan Services Private Limited, Ganesh Natarajan, Uma Ganesh Natarajan, Manoj Manohar Panvelkar, Nitin Neminath Patil and Basanta Kumar Swain</t>
  </si>
  <si>
    <t xml:space="preserve">Notes: 
</t>
  </si>
  <si>
    <t>1. Equity data on IPO issues are categorised based on the listing date .</t>
  </si>
  <si>
    <t>2. Debt issues are classified based on closing date of the issue</t>
  </si>
  <si>
    <t>2024-25 (upto May 31, 2024)</t>
  </si>
  <si>
    <t>NA - Not Available - In view of interoperability of the clearing corporations, this data will be available with the Clearing Corporations</t>
  </si>
  <si>
    <t>$ indicates up to May 31, 2024</t>
  </si>
  <si>
    <t>No.of schemes as on May 31, 2024</t>
  </si>
  <si>
    <t>No.of folios as on May 31, 2024</t>
  </si>
  <si>
    <t>Funds mobilised for the period (since April 01, 2024 to May 31, 2024) in Rs. cr</t>
  </si>
  <si>
    <t>Repurchase/redemption for the period (since April 01, 2024 to May 31, 2024) in Rs. cr</t>
  </si>
  <si>
    <t>Net Inflow(ve) / Outflow(-ve) for the period (since April 01, 2024 to May 31, 2024 ) in Rs. cr</t>
  </si>
  <si>
    <t>Net Asset under management as on May 31, 2024 in Rs. cr</t>
  </si>
  <si>
    <t>$ indicates upto May 31, 2024</t>
  </si>
  <si>
    <t>April, 2024</t>
  </si>
  <si>
    <t>April, 2023</t>
  </si>
  <si>
    <t>2. #Of the April , 2023 AUM, Rs.20,89,647/- Crores are contributed by funds from EPFO/PFs.</t>
  </si>
  <si>
    <t>3. Of the April , 2024 AUM,  Rs.24,12,290/- Crores are contributed by funds from EPFO/PFs.</t>
  </si>
  <si>
    <t>4.  The above data is as per submissions made by 408 Nos. of PMS on the SI Portal till May 31, 2024</t>
  </si>
  <si>
    <t>Table 63: Depository Statistics as on May 31, 2024</t>
  </si>
  <si>
    <t>Open</t>
  </si>
  <si>
    <t>Average of Daily Close #</t>
  </si>
  <si>
    <t>Note: Options Turnover is based on Notional value (i.e. Strike Price + Premium).</t>
  </si>
  <si>
    <t>$ indicates as on May 31,2024</t>
  </si>
  <si>
    <t>Note: 1. Conversion factor for Brent Crude Oil of Energy segment is 1 Tonne = 7.33 Barrels</t>
  </si>
  <si>
    <t>Open interest at the end of the period</t>
  </si>
  <si>
    <t>Average Daily Open Interest in May 2024</t>
  </si>
  <si>
    <t>Close Price</t>
  </si>
  <si>
    <t>Values of Contracts (₹ crore)</t>
  </si>
  <si>
    <t>SUFIBLT (Steel Billets Futures)</t>
  </si>
  <si>
    <t>Total -NSE Option</t>
  </si>
  <si>
    <t xml:space="preserve">I.GDP at Current prices for 2023-24 Q4 (₹ crore) #                   </t>
  </si>
  <si>
    <t>III.Gross Fixed Capital Formation as a per cent of GDP in FY 2023-24$</t>
  </si>
  <si>
    <t>#Quartely Estimates as per MOSPI press release dated May 31, 2024</t>
  </si>
  <si>
    <t>$ Provisional Estimates of Annual GDP (2023-24) as per MOSPI press release dated May 31, 2024</t>
  </si>
  <si>
    <t>2024-25#</t>
  </si>
  <si>
    <t>Note: Data in the table may include ratings of a single company from multiple credit rating agencies across rating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</si>
</sst>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2">
    <numFmt numFmtId="43" formatCode="_ * #,##0.00_ ;_ * \-#,##0.00_ ;_ * &quot;-&quot;??_ ;_ @_ "/>
    <numFmt numFmtId="164" formatCode="#,##0;\-#,##0;0"/>
    <numFmt numFmtId="165" formatCode="[$-F800]dddd\,\ mmmm\ dd\,\ yyyy"/>
    <numFmt numFmtId="166" formatCode="#,##0;\-#,##0;0.0"/>
    <numFmt numFmtId="167" formatCode="_ * #,##0_ ;_ * \-#,##0_ ;_ * &quot;-&quot;??_ ;_ @_ "/>
    <numFmt numFmtId="168" formatCode="[$-409]mmm\-yy;@"/>
    <numFmt numFmtId="169" formatCode="0;\(0\)"/>
    <numFmt numFmtId="170" formatCode="0\,00\,000;\-0\,00\,000;0"/>
    <numFmt numFmtId="171" formatCode="0.0;\(0.0\)"/>
    <numFmt numFmtId="172" formatCode="0\,00\,00\,000;\-0\,00\,00\,000;0"/>
    <numFmt numFmtId="173" formatCode="[$-409]d\-mmm\-yy;@"/>
    <numFmt numFmtId="174" formatCode="#,##0.00;\-#,##0.00;0.00"/>
    <numFmt numFmtId="175" formatCode="#,##0.0;\-#,##0.0;0.0"/>
    <numFmt numFmtId="176" formatCode="#,##0.000000;\-#,##0.000000;0.000000"/>
    <numFmt numFmtId="177" formatCode="0.0;\-0.0;0.0"/>
    <numFmt numFmtId="178" formatCode="0;\-0;0"/>
    <numFmt numFmtId="179" formatCode="0.0"/>
    <numFmt numFmtId="180" formatCode="0.00_);\(0.00\)"/>
    <numFmt numFmtId="181" formatCode="0.0%"/>
    <numFmt numFmtId="182" formatCode="0.0;0.0;0"/>
    <numFmt numFmtId="183" formatCode="0.0;\-0.0;0"/>
    <numFmt numFmtId="184" formatCode="0.0;\(0\);0.0"/>
    <numFmt numFmtId="185" formatCode="0.00;\-0.00;0.0"/>
    <numFmt numFmtId="186" formatCode="#,##0.0"/>
    <numFmt numFmtId="187" formatCode="_(* #,##0.00000_);_(* \(#,##0.00000\);_(* &quot;-&quot;??_);_(@_)"/>
    <numFmt numFmtId="188" formatCode="0_);\(0\)"/>
    <numFmt numFmtId="189" formatCode="_-* #,##0_-;\-* #,##0_-;_-* &quot;-&quot;??_-;_-@_-"/>
    <numFmt numFmtId="190" formatCode="0.00;\-0.00;0.00"/>
    <numFmt numFmtId="191" formatCode="0\,00\,00\,00\,000;\-0\,00\,00\,00\,000;0"/>
    <numFmt numFmtId="192" formatCode="_(* #,##0.00_);_(* \(#,##0.00\);_(* &quot;-&quot;??_);_(@_)"/>
    <numFmt numFmtId="193" formatCode="[$-409]d/mmm/yy;@"/>
    <numFmt numFmtId="194" formatCode="[&gt;=10000000]#.###\,##\,##0;[&gt;=100000]#.###\,##0;##,##0.0"/>
    <numFmt numFmtId="195" formatCode="[&gt;=10000000]#\,##\,##\,##0;[&gt;=100000]#\,##\,##0;##,##0"/>
    <numFmt numFmtId="196" formatCode="_(* #,##0_);_(* \(#,##0\);_(* &quot;-&quot;??_);_(@_)"/>
    <numFmt numFmtId="197" formatCode="[&gt;=10000000]#.0\,##\,##\,##0;[&gt;=100000]#.0\,##\,##0;##,##0.0"/>
    <numFmt numFmtId="198" formatCode="_(* #,##0.0_);_(* \(#,##0.0\);_(* &quot;-&quot;??_);_(@_)"/>
    <numFmt numFmtId="199" formatCode="_ * #,##0.0_ ;_ * \-#,##0.0_ ;_ * &quot;-&quot;??_ ;_ @_ "/>
    <numFmt numFmtId="200" formatCode="0.0000%"/>
    <numFmt numFmtId="201" formatCode="[&gt;=10000000]#.00\,##\,##\,##0;[&gt;=100000]#.00\,##\,##0;##,##0.00"/>
    <numFmt numFmtId="202" formatCode="#,##0.0;\-#,##0.0;0"/>
    <numFmt numFmtId="203" formatCode="dd\/mm\/yyyy"/>
    <numFmt numFmtId="204" formatCode="#,##0.00;\-#,##0.00;0.0"/>
  </numFmts>
  <fonts count="96"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4"/>
      <color theme="4" tint="-0.499984740745262"/>
      <name val="Garamond"/>
      <family val="1"/>
    </font>
    <font>
      <sz val="6"/>
      <color indexed="8"/>
      <name val="Arial"/>
      <family val="2"/>
    </font>
    <font>
      <sz val="12"/>
      <color indexed="8"/>
      <name val="Garamond"/>
      <family val="1"/>
    </font>
    <font>
      <sz val="12"/>
      <name val="Garamond"/>
      <family val="1"/>
    </font>
    <font>
      <b/>
      <sz val="11"/>
      <color indexed="8"/>
      <name val="Garamond"/>
      <family val="1"/>
    </font>
    <font>
      <sz val="11"/>
      <color indexed="8"/>
      <name val="Garamond"/>
      <family val="1"/>
    </font>
    <font>
      <sz val="11"/>
      <color rgb="FF000000"/>
      <name val="Garamond"/>
      <family val="1"/>
    </font>
    <font>
      <sz val="11"/>
      <color theme="1"/>
      <name val="Garamond"/>
      <family val="1"/>
    </font>
    <font>
      <sz val="11"/>
      <name val="Garamond"/>
      <family val="1"/>
    </font>
    <font>
      <b/>
      <sz val="11"/>
      <name val="Garamond"/>
      <family val="1"/>
    </font>
    <font>
      <sz val="12"/>
      <color theme="1"/>
      <name val="Garamond"/>
      <family val="1"/>
    </font>
    <font>
      <b/>
      <sz val="11"/>
      <color rgb="FF000000"/>
      <name val="Garamond"/>
      <family val="1"/>
    </font>
    <font>
      <sz val="12"/>
      <color rgb="FF000000"/>
      <name val="Garamond"/>
      <family val="1"/>
    </font>
    <font>
      <sz val="12"/>
      <color theme="1"/>
      <name val="Calibri"/>
      <family val="2"/>
      <scheme val="minor"/>
    </font>
    <font>
      <sz val="10"/>
      <color rgb="FF000000"/>
      <name val="Palatino Linotype"/>
      <family val="1"/>
    </font>
    <font>
      <b/>
      <sz val="11"/>
      <color theme="1"/>
      <name val="Garamond"/>
      <family val="1"/>
    </font>
    <font>
      <sz val="11"/>
      <color theme="1"/>
      <name val="Consolas"/>
      <family val="2"/>
    </font>
    <font>
      <b/>
      <sz val="10"/>
      <color indexed="8"/>
      <name val="Palatino Linotype"/>
      <family val="1"/>
    </font>
    <font>
      <b/>
      <sz val="10"/>
      <name val="Palatino Linotype"/>
      <family val="1"/>
    </font>
    <font>
      <b/>
      <sz val="11"/>
      <color indexed="8"/>
      <name val="Rupee Foradian"/>
      <family val="2"/>
    </font>
    <font>
      <i/>
      <sz val="11"/>
      <color indexed="8"/>
      <name val="Garamond"/>
      <family val="1"/>
    </font>
    <font>
      <sz val="10"/>
      <name val="Garamond"/>
      <family val="1"/>
    </font>
    <font>
      <sz val="10"/>
      <color theme="1"/>
      <name val="Garamond"/>
      <family val="1"/>
    </font>
    <font>
      <sz val="10"/>
      <color indexed="8"/>
      <name val="Garamond"/>
      <family val="1"/>
    </font>
    <font>
      <sz val="9"/>
      <color rgb="FF000000"/>
      <name val="Arial"/>
      <family val="2"/>
    </font>
    <font>
      <b/>
      <sz val="9"/>
      <color indexed="8"/>
      <name val="Garamond"/>
      <family val="1"/>
    </font>
    <font>
      <sz val="9"/>
      <name val="Garamond"/>
      <family val="1"/>
    </font>
    <font>
      <sz val="9"/>
      <color indexed="8"/>
      <name val="Garamond"/>
      <family val="1"/>
    </font>
    <font>
      <sz val="9"/>
      <color indexed="8"/>
      <name val="Arial"/>
      <family val="2"/>
    </font>
    <font>
      <b/>
      <sz val="11"/>
      <name val="Rupee Foradian"/>
      <family val="2"/>
    </font>
    <font>
      <sz val="10"/>
      <color theme="1"/>
      <name val="Garamond"/>
      <family val="2"/>
    </font>
    <font>
      <b/>
      <sz val="10"/>
      <color theme="1"/>
      <name val="Garamond"/>
      <family val="1"/>
    </font>
    <font>
      <b/>
      <i/>
      <sz val="11"/>
      <color indexed="8"/>
      <name val="Garamond"/>
      <family val="1"/>
    </font>
    <font>
      <sz val="6"/>
      <color indexed="8"/>
      <name val="Garamond"/>
      <family val="1"/>
    </font>
    <font>
      <b/>
      <sz val="9"/>
      <color theme="1"/>
      <name val="Garamond"/>
      <family val="1"/>
    </font>
    <font>
      <b/>
      <sz val="10"/>
      <name val="Garamond"/>
      <family val="1"/>
    </font>
    <font>
      <sz val="8"/>
      <color theme="1"/>
      <name val="Arial"/>
      <family val="2"/>
    </font>
    <font>
      <sz val="9"/>
      <color theme="1"/>
      <name val="Garamond"/>
      <family val="1"/>
    </font>
    <font>
      <b/>
      <sz val="10"/>
      <color rgb="FF000000"/>
      <name val="Garamond"/>
      <family val="1"/>
    </font>
    <font>
      <b/>
      <sz val="12"/>
      <color rgb="FF000000"/>
      <name val="Garamond"/>
      <family val="1"/>
    </font>
    <font>
      <sz val="10"/>
      <color theme="1"/>
      <name val="Rupee Foradian"/>
      <family val="2"/>
    </font>
    <font>
      <b/>
      <sz val="10"/>
      <color theme="1"/>
      <name val="Rupee Foradian"/>
      <family val="2"/>
    </font>
    <font>
      <sz val="10"/>
      <name val="Times New Roman"/>
      <family val="1"/>
    </font>
    <font>
      <b/>
      <sz val="12"/>
      <color theme="1"/>
      <name val="Garamond"/>
      <family val="1"/>
    </font>
    <font>
      <b/>
      <sz val="8"/>
      <name val="Arial"/>
      <family val="2"/>
    </font>
    <font>
      <sz val="10"/>
      <color rgb="FF000000"/>
      <name val="Garamond"/>
      <family val="1"/>
    </font>
    <font>
      <b/>
      <sz val="14"/>
      <color rgb="FF000000"/>
      <name val="Garamond"/>
      <family val="1"/>
    </font>
    <font>
      <sz val="12"/>
      <color theme="1"/>
      <name val="Rupee Foradian"/>
      <family val="2"/>
    </font>
    <font>
      <b/>
      <sz val="12"/>
      <color theme="1"/>
      <name val="Rupee Foradian"/>
      <family val="2"/>
    </font>
    <font>
      <b/>
      <sz val="12"/>
      <name val="Garamond"/>
      <family val="1"/>
    </font>
    <font>
      <b/>
      <sz val="12"/>
      <name val="Calibri"/>
      <family val="2"/>
      <scheme val="minor"/>
    </font>
    <font>
      <sz val="12"/>
      <name val="Calibri"/>
      <family val="2"/>
      <scheme val="minor"/>
    </font>
    <font>
      <b/>
      <sz val="14"/>
      <color theme="1"/>
      <name val="Garamond"/>
      <family val="1"/>
    </font>
    <font>
      <sz val="10"/>
      <color theme="1"/>
      <name val="Calibri"/>
      <family val="2"/>
      <scheme val="minor"/>
    </font>
    <font>
      <b/>
      <i/>
      <sz val="10"/>
      <color theme="1"/>
      <name val="Garamond"/>
      <family val="1"/>
    </font>
    <font>
      <i/>
      <sz val="10"/>
      <color rgb="FF000000"/>
      <name val="Garamond"/>
      <family val="1"/>
    </font>
    <font>
      <sz val="9"/>
      <color rgb="FF000000"/>
      <name val="Garamond"/>
      <family val="1"/>
    </font>
    <font>
      <i/>
      <sz val="9"/>
      <color rgb="FF000000"/>
      <name val="Garamond"/>
      <family val="1"/>
    </font>
    <font>
      <sz val="8"/>
      <color rgb="FF000000"/>
      <name val="Arial"/>
      <family val="2"/>
    </font>
    <font>
      <i/>
      <sz val="10"/>
      <name val="Garamond"/>
      <family val="1"/>
    </font>
    <font>
      <b/>
      <i/>
      <sz val="9"/>
      <color rgb="FF000000"/>
      <name val="Garamond"/>
      <family val="1"/>
    </font>
    <font>
      <b/>
      <i/>
      <sz val="10"/>
      <color rgb="FF000000"/>
      <name val="Garamond"/>
      <family val="1"/>
    </font>
    <font>
      <b/>
      <sz val="9"/>
      <name val="Garamond"/>
      <family val="1"/>
    </font>
    <font>
      <b/>
      <i/>
      <sz val="10"/>
      <name val="Garamond"/>
      <family val="1"/>
    </font>
    <font>
      <i/>
      <sz val="10"/>
      <color theme="1"/>
      <name val="Garamond"/>
      <family val="1"/>
    </font>
    <font>
      <i/>
      <sz val="10"/>
      <color theme="1"/>
      <name val="Calibri"/>
      <family val="2"/>
      <scheme val="minor"/>
    </font>
    <font>
      <sz val="8"/>
      <name val="Garamond"/>
      <family val="1"/>
    </font>
    <font>
      <sz val="8"/>
      <color rgb="FF000000"/>
      <name val="Garamond"/>
      <family val="1"/>
    </font>
    <font>
      <b/>
      <sz val="8"/>
      <color rgb="FF000000"/>
      <name val="Garamond"/>
      <family val="1"/>
    </font>
    <font>
      <b/>
      <sz val="8"/>
      <color theme="1"/>
      <name val="Arial"/>
      <family val="2"/>
    </font>
    <font>
      <b/>
      <sz val="11"/>
      <color indexed="8"/>
      <name val="Calibri Light"/>
      <family val="2"/>
      <scheme val="major"/>
    </font>
    <font>
      <sz val="11"/>
      <color theme="1"/>
      <name val="Calibri Light"/>
      <family val="2"/>
      <scheme val="major"/>
    </font>
    <font>
      <sz val="11"/>
      <name val="Calibri Light"/>
      <family val="2"/>
      <scheme val="major"/>
    </font>
    <font>
      <sz val="11"/>
      <color indexed="8"/>
      <name val="Calibri"/>
      <family val="2"/>
    </font>
    <font>
      <u/>
      <sz val="11"/>
      <color theme="10"/>
      <name val="Calibri"/>
      <family val="2"/>
      <scheme val="minor"/>
    </font>
    <font>
      <sz val="10"/>
      <color theme="1"/>
      <name val="Book Antiqua"/>
      <family val="1"/>
    </font>
    <font>
      <sz val="11"/>
      <color theme="1"/>
      <name val="Rupee Foradian"/>
      <family val="2"/>
    </font>
    <font>
      <b/>
      <sz val="11"/>
      <color theme="1"/>
      <name val="Rupee Foradian"/>
      <family val="2"/>
    </font>
    <font>
      <sz val="13"/>
      <color rgb="FF333333"/>
      <name val="Segoe UI"/>
      <family val="2"/>
    </font>
    <font>
      <sz val="11"/>
      <name val="Times New Roman"/>
      <family val="1"/>
    </font>
    <font>
      <sz val="11"/>
      <color theme="1"/>
      <name val="Times New Roman"/>
      <family val="1"/>
    </font>
    <font>
      <sz val="10"/>
      <color rgb="FF000000"/>
      <name val="Book Antiqua"/>
      <family val="1"/>
    </font>
    <font>
      <sz val="10"/>
      <name val="Century Gothic"/>
      <family val="2"/>
    </font>
    <font>
      <sz val="8"/>
      <color theme="1"/>
      <name val="Garamond"/>
      <family val="1"/>
    </font>
    <font>
      <sz val="11"/>
      <color indexed="8"/>
      <name val="Calibri Light"/>
      <family val="2"/>
    </font>
    <font>
      <sz val="10"/>
      <color indexed="8"/>
      <name val="Calibri Light"/>
      <family val="2"/>
    </font>
    <font>
      <sz val="10"/>
      <color theme="1"/>
      <name val="Calibri Light"/>
      <family val="2"/>
      <scheme val="major"/>
    </font>
    <font>
      <sz val="10"/>
      <color rgb="FF000000"/>
      <name val="Calibri Light"/>
      <family val="2"/>
      <scheme val="major"/>
    </font>
    <font>
      <sz val="10"/>
      <color indexed="10"/>
      <name val="Garamond"/>
      <family val="1"/>
    </font>
    <font>
      <b/>
      <sz val="10"/>
      <color indexed="8"/>
      <name val="Garamond"/>
      <family val="1"/>
    </font>
    <font>
      <sz val="12"/>
      <color rgb="FFFF0000"/>
      <name val="Calibri"/>
      <family val="2"/>
      <scheme val="minor"/>
    </font>
    <font>
      <sz val="10"/>
      <color indexed="8"/>
      <name val="Garamond"/>
      <family val="2"/>
    </font>
  </fonts>
  <fills count="13">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theme="8" tint="0.79998168889431442"/>
        <bgColor indexed="64"/>
      </patternFill>
    </fill>
    <fill>
      <patternFill patternType="solid">
        <fgColor indexed="9"/>
        <bgColor indexed="9"/>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theme="0"/>
        <bgColor theme="4" tint="0.79998168889431442"/>
      </patternFill>
    </fill>
    <fill>
      <patternFill patternType="solid">
        <fgColor theme="2"/>
        <bgColor indexed="64"/>
      </patternFill>
    </fill>
    <fill>
      <patternFill patternType="solid">
        <fgColor rgb="FFFFFF00"/>
        <bgColor indexed="64"/>
      </patternFill>
    </fill>
  </fills>
  <borders count="112">
    <border>
      <left/>
      <right/>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8"/>
      </right>
      <top/>
      <bottom/>
      <diagonal/>
    </border>
    <border>
      <left/>
      <right/>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top style="thin">
        <color indexed="8"/>
      </top>
      <bottom/>
      <diagonal/>
    </border>
    <border>
      <left style="thin">
        <color indexed="8"/>
      </left>
      <right/>
      <top/>
      <bottom style="thin">
        <color indexed="64"/>
      </bottom>
      <diagonal/>
    </border>
    <border>
      <left/>
      <right style="thin">
        <color indexed="8"/>
      </right>
      <top/>
      <bottom style="thin">
        <color indexed="64"/>
      </bottom>
      <diagonal/>
    </border>
    <border>
      <left/>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diagonal/>
    </border>
    <border>
      <left style="double">
        <color indexed="8"/>
      </left>
      <right style="thin">
        <color indexed="8"/>
      </right>
      <top/>
      <bottom style="thin">
        <color indexed="8"/>
      </bottom>
      <diagonal/>
    </border>
    <border>
      <left style="thin">
        <color indexed="8"/>
      </left>
      <right style="double">
        <color indexed="8"/>
      </right>
      <top/>
      <bottom style="thin">
        <color indexed="64"/>
      </bottom>
      <diagonal/>
    </border>
    <border>
      <left style="double">
        <color indexed="8"/>
      </left>
      <right style="thin">
        <color indexed="8"/>
      </right>
      <top/>
      <bottom/>
      <diagonal/>
    </border>
    <border>
      <left style="thin">
        <color indexed="64"/>
      </left>
      <right/>
      <top/>
      <bottom/>
      <diagonal/>
    </border>
    <border>
      <left style="thin">
        <color auto="1"/>
      </left>
      <right style="thin">
        <color auto="1"/>
      </right>
      <top style="thin">
        <color auto="1"/>
      </top>
      <bottom/>
      <diagonal/>
    </border>
    <border>
      <left/>
      <right/>
      <top/>
      <bottom style="thin">
        <color auto="1"/>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double">
        <color indexed="8"/>
      </left>
      <right/>
      <top style="thin">
        <color indexed="8"/>
      </top>
      <bottom style="thin">
        <color indexed="8"/>
      </bottom>
      <diagonal/>
    </border>
    <border>
      <left/>
      <right style="double">
        <color indexed="8"/>
      </right>
      <top style="thin">
        <color indexed="8"/>
      </top>
      <bottom style="thin">
        <color indexed="8"/>
      </bottom>
      <diagonal/>
    </border>
    <border>
      <left style="thin">
        <color indexed="8"/>
      </left>
      <right/>
      <top style="thin">
        <color indexed="8"/>
      </top>
      <bottom/>
      <diagonal/>
    </border>
    <border>
      <left style="double">
        <color indexed="8"/>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double">
        <color indexed="8"/>
      </right>
      <top style="thin">
        <color indexed="8"/>
      </top>
      <bottom/>
      <diagonal/>
    </border>
    <border>
      <left style="thin">
        <color indexed="8"/>
      </left>
      <right style="double">
        <color indexed="8"/>
      </right>
      <top style="thin">
        <color indexed="8"/>
      </top>
      <bottom style="thin">
        <color indexed="64"/>
      </bottom>
      <diagonal/>
    </border>
    <border>
      <left style="thin">
        <color auto="1"/>
      </left>
      <right/>
      <top style="thin">
        <color auto="1"/>
      </top>
      <bottom style="thin">
        <color auto="1"/>
      </bottom>
      <diagonal/>
    </border>
    <border>
      <left style="double">
        <color indexed="8"/>
      </left>
      <right style="thin">
        <color indexed="8"/>
      </right>
      <top style="thin">
        <color indexed="8"/>
      </top>
      <bottom/>
      <diagonal/>
    </border>
    <border>
      <left style="double">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right style="thin">
        <color indexed="64"/>
      </right>
      <top style="thin">
        <color indexed="64"/>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style="thin">
        <color indexed="64"/>
      </left>
      <right/>
      <top style="thin">
        <color auto="1"/>
      </top>
      <bottom style="thin">
        <color indexed="8"/>
      </bottom>
      <diagonal/>
    </border>
    <border>
      <left/>
      <right style="thin">
        <color auto="1"/>
      </right>
      <top style="thin">
        <color auto="1"/>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8"/>
      </left>
      <right style="thin">
        <color indexed="8"/>
      </right>
      <top style="thin">
        <color indexed="8"/>
      </top>
      <bottom/>
      <diagonal/>
    </border>
    <border>
      <left/>
      <right/>
      <top/>
      <bottom style="thin">
        <color indexed="8"/>
      </bottom>
      <diagonal/>
    </border>
  </borders>
  <cellStyleXfs count="53">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ont="0" applyFill="0" applyBorder="0" applyAlignment="0" applyProtection="0"/>
    <xf numFmtId="0" fontId="1" fillId="0" borderId="0"/>
    <xf numFmtId="0" fontId="1" fillId="0" borderId="0"/>
    <xf numFmtId="0" fontId="20" fillId="0" borderId="0"/>
    <xf numFmtId="43" fontId="1" fillId="0" borderId="0" applyFont="0" applyFill="0" applyBorder="0" applyAlignment="0" applyProtection="0"/>
    <xf numFmtId="0" fontId="3" fillId="0" borderId="0" applyNumberFormat="0" applyFont="0" applyFill="0" applyBorder="0" applyAlignment="0" applyProtection="0"/>
    <xf numFmtId="173" fontId="1" fillId="0" borderId="0" applyNumberFormat="0" applyFill="0" applyBorder="0" applyAlignment="0" applyProtection="0"/>
    <xf numFmtId="9" fontId="1" fillId="0" borderId="0" applyFont="0" applyFill="0" applyBorder="0" applyAlignment="0" applyProtection="0"/>
    <xf numFmtId="43" fontId="20" fillId="0" borderId="0" applyFont="0" applyFill="0" applyBorder="0" applyAlignment="0" applyProtection="0"/>
    <xf numFmtId="0" fontId="1" fillId="0" borderId="0"/>
    <xf numFmtId="179" fontId="3" fillId="0" borderId="0" applyFont="0" applyFill="0" applyBorder="0" applyAlignment="0" applyProtection="0"/>
    <xf numFmtId="173" fontId="1" fillId="0" borderId="0"/>
    <xf numFmtId="0" fontId="3" fillId="0" borderId="0"/>
    <xf numFmtId="0" fontId="1" fillId="0" borderId="0"/>
    <xf numFmtId="192" fontId="3" fillId="0" borderId="0" applyNumberFormat="0" applyFont="0" applyFill="0" applyBorder="0" applyAlignment="0" applyProtection="0"/>
    <xf numFmtId="0" fontId="34" fillId="0" borderId="0"/>
    <xf numFmtId="173" fontId="3" fillId="0" borderId="0"/>
    <xf numFmtId="173" fontId="1" fillId="0" borderId="0"/>
    <xf numFmtId="193" fontId="1" fillId="0" borderId="0"/>
    <xf numFmtId="173" fontId="3" fillId="0" borderId="0" applyNumberFormat="0" applyFill="0" applyBorder="0" applyAlignment="0" applyProtection="0"/>
    <xf numFmtId="173" fontId="3" fillId="0" borderId="0" applyNumberFormat="0" applyFill="0" applyBorder="0" applyAlignment="0" applyProtection="0"/>
    <xf numFmtId="194" fontId="46" fillId="0" borderId="0">
      <alignment horizontal="right"/>
    </xf>
    <xf numFmtId="0" fontId="3" fillId="0" borderId="0"/>
    <xf numFmtId="192" fontId="1" fillId="0" borderId="0" applyFont="0" applyFill="0" applyBorder="0" applyAlignment="0" applyProtection="0"/>
    <xf numFmtId="43" fontId="1" fillId="0" borderId="0" applyFont="0" applyFill="0" applyBorder="0" applyAlignment="0" applyProtection="0"/>
    <xf numFmtId="179" fontId="3" fillId="0" borderId="0" applyFont="0" applyFill="0" applyBorder="0" applyAlignment="0" applyProtection="0"/>
    <xf numFmtId="192" fontId="1" fillId="0" borderId="0" applyFont="0" applyFill="0" applyBorder="0" applyAlignment="0" applyProtection="0"/>
    <xf numFmtId="192" fontId="1" fillId="0" borderId="0" applyFont="0" applyFill="0" applyBorder="0" applyAlignment="0" applyProtection="0"/>
    <xf numFmtId="43" fontId="3" fillId="0" borderId="0" applyFont="0" applyFill="0" applyBorder="0" applyAlignment="0" applyProtection="0"/>
    <xf numFmtId="0" fontId="1" fillId="0" borderId="0"/>
    <xf numFmtId="192" fontId="77" fillId="0" borderId="0" applyFont="0" applyFill="0" applyBorder="0" applyAlignment="0" applyProtection="0"/>
    <xf numFmtId="43" fontId="77" fillId="0" borderId="0" applyFont="0" applyFill="0" applyBorder="0" applyAlignment="0" applyProtection="0"/>
    <xf numFmtId="43" fontId="1" fillId="0" borderId="0" applyFont="0" applyFill="0" applyBorder="0" applyAlignment="0" applyProtection="0"/>
    <xf numFmtId="0" fontId="78" fillId="0" borderId="0" applyNumberFormat="0" applyFill="0" applyBorder="0" applyAlignment="0" applyProtection="0"/>
    <xf numFmtId="192"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3" fillId="0" borderId="0" applyNumberFormat="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7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73" fontId="3" fillId="0" borderId="0" applyNumberFormat="0" applyFill="0" applyBorder="0" applyAlignment="0" applyProtection="0"/>
    <xf numFmtId="173" fontId="1" fillId="0" borderId="0" applyNumberFormat="0" applyFill="0" applyBorder="0" applyAlignment="0" applyProtection="0"/>
    <xf numFmtId="193" fontId="3" fillId="0" borderId="0"/>
    <xf numFmtId="192" fontId="95" fillId="0" borderId="0" applyFont="0" applyFill="0" applyBorder="0" applyAlignment="0" applyProtection="0"/>
  </cellStyleXfs>
  <cellXfs count="1598">
    <xf numFmtId="0" fontId="0" fillId="0" borderId="0" xfId="0"/>
    <xf numFmtId="0" fontId="3" fillId="0" borderId="0" xfId="3" applyNumberFormat="1" applyFont="1" applyFill="1" applyBorder="1" applyAlignment="1"/>
    <xf numFmtId="0" fontId="5" fillId="2" borderId="0" xfId="3" applyFont="1" applyFill="1" applyAlignment="1">
      <alignment vertical="center"/>
    </xf>
    <xf numFmtId="0" fontId="7" fillId="0" borderId="0" xfId="3" applyNumberFormat="1" applyFont="1" applyFill="1" applyBorder="1" applyAlignment="1"/>
    <xf numFmtId="0" fontId="0" fillId="0" borderId="0" xfId="0" applyBorder="1"/>
    <xf numFmtId="49" fontId="8" fillId="0" borderId="0" xfId="0" applyNumberFormat="1" applyFont="1" applyFill="1" applyBorder="1" applyAlignment="1">
      <alignment horizontal="left"/>
    </xf>
    <xf numFmtId="0" fontId="13" fillId="0" borderId="11" xfId="0" applyFont="1" applyFill="1" applyBorder="1" applyAlignment="1">
      <alignment horizontal="center" vertical="center" wrapText="1"/>
    </xf>
    <xf numFmtId="0" fontId="11" fillId="0" borderId="4" xfId="0" applyFont="1" applyFill="1" applyBorder="1"/>
    <xf numFmtId="0" fontId="15" fillId="0" borderId="6" xfId="0" applyFont="1" applyFill="1" applyBorder="1" applyAlignment="1">
      <alignment horizontal="left" vertical="top"/>
    </xf>
    <xf numFmtId="0" fontId="13" fillId="0" borderId="0" xfId="0" applyFont="1" applyFill="1" applyAlignment="1">
      <alignment horizontal="left"/>
    </xf>
    <xf numFmtId="0" fontId="14" fillId="0" borderId="0" xfId="0" applyFont="1" applyFill="1" applyBorder="1" applyAlignment="1">
      <alignment horizontal="center"/>
    </xf>
    <xf numFmtId="0" fontId="14" fillId="0" borderId="0" xfId="0" applyFont="1" applyBorder="1" applyAlignment="1">
      <alignment horizontal="center"/>
    </xf>
    <xf numFmtId="2" fontId="14" fillId="0" borderId="0" xfId="0" applyNumberFormat="1" applyFont="1" applyBorder="1" applyAlignment="1">
      <alignment horizontal="center"/>
    </xf>
    <xf numFmtId="2" fontId="16" fillId="0" borderId="0" xfId="0" applyNumberFormat="1" applyFont="1" applyBorder="1" applyAlignment="1">
      <alignment horizontal="center"/>
    </xf>
    <xf numFmtId="3" fontId="14" fillId="0" borderId="0" xfId="0" applyNumberFormat="1" applyFont="1" applyBorder="1" applyAlignment="1">
      <alignment horizontal="center"/>
    </xf>
    <xf numFmtId="0" fontId="14" fillId="0" borderId="0" xfId="0" applyFont="1" applyBorder="1" applyProtection="1">
      <protection locked="0"/>
    </xf>
    <xf numFmtId="14" fontId="14" fillId="0" borderId="0" xfId="0" applyNumberFormat="1" applyFont="1" applyFill="1" applyBorder="1" applyAlignment="1">
      <alignment horizontal="right"/>
    </xf>
    <xf numFmtId="0" fontId="14" fillId="0" borderId="0" xfId="0" applyFont="1" applyBorder="1"/>
    <xf numFmtId="14" fontId="14" fillId="0" borderId="0" xfId="0" applyNumberFormat="1" applyFont="1" applyBorder="1" applyAlignment="1">
      <alignment horizontal="right"/>
    </xf>
    <xf numFmtId="2" fontId="14" fillId="0" borderId="0" xfId="0" applyNumberFormat="1" applyFont="1" applyFill="1" applyBorder="1" applyAlignment="1">
      <alignment horizontal="center"/>
    </xf>
    <xf numFmtId="2" fontId="16" fillId="0" borderId="0" xfId="0" applyNumberFormat="1" applyFont="1" applyFill="1" applyBorder="1" applyAlignment="1">
      <alignment horizontal="center"/>
    </xf>
    <xf numFmtId="0" fontId="11" fillId="0" borderId="0" xfId="0" applyFont="1" applyFill="1" applyBorder="1" applyAlignment="1">
      <alignment horizontal="center"/>
    </xf>
    <xf numFmtId="0" fontId="17" fillId="0" borderId="0" xfId="0" applyFont="1" applyBorder="1"/>
    <xf numFmtId="14" fontId="17" fillId="0" borderId="0" xfId="0" applyNumberFormat="1" applyFont="1" applyBorder="1"/>
    <xf numFmtId="0" fontId="0" fillId="0" borderId="0" xfId="0" applyFill="1" applyBorder="1" applyProtection="1">
      <protection locked="0"/>
    </xf>
    <xf numFmtId="14" fontId="17" fillId="0" borderId="0" xfId="0" applyNumberFormat="1" applyFont="1" applyFill="1" applyBorder="1" applyAlignment="1">
      <alignment horizontal="right"/>
    </xf>
    <xf numFmtId="0" fontId="0" fillId="0" borderId="0" xfId="0" applyBorder="1" applyProtection="1">
      <protection locked="0"/>
    </xf>
    <xf numFmtId="14" fontId="17" fillId="0" borderId="0" xfId="0" applyNumberFormat="1" applyFont="1" applyBorder="1" applyAlignment="1">
      <alignment horizontal="right"/>
    </xf>
    <xf numFmtId="0" fontId="17" fillId="0" borderId="0" xfId="0" applyFont="1" applyFill="1" applyBorder="1"/>
    <xf numFmtId="49" fontId="8" fillId="0" borderId="0" xfId="0" applyNumberFormat="1" applyFont="1" applyFill="1" applyBorder="1" applyAlignment="1">
      <alignment vertical="top" wrapText="1"/>
    </xf>
    <xf numFmtId="0" fontId="9" fillId="0" borderId="0" xfId="0" applyFont="1" applyFill="1" applyAlignment="1">
      <alignment vertical="top" wrapText="1"/>
    </xf>
    <xf numFmtId="0" fontId="8" fillId="0" borderId="12" xfId="0" applyFont="1" applyFill="1" applyBorder="1" applyAlignment="1">
      <alignment horizontal="center" vertical="center" wrapText="1"/>
    </xf>
    <xf numFmtId="0" fontId="9" fillId="0" borderId="0" xfId="0" applyFont="1" applyFill="1" applyBorder="1" applyAlignment="1">
      <alignment vertical="top" wrapText="1"/>
    </xf>
    <xf numFmtId="0" fontId="0" fillId="0" borderId="0" xfId="0" applyFill="1" applyBorder="1"/>
    <xf numFmtId="2" fontId="11" fillId="0" borderId="0" xfId="0" applyNumberFormat="1" applyFont="1"/>
    <xf numFmtId="165" fontId="0" fillId="0" borderId="0" xfId="0" applyNumberFormat="1" applyFill="1" applyBorder="1"/>
    <xf numFmtId="165" fontId="0" fillId="0" borderId="0" xfId="0" applyNumberFormat="1" applyFill="1"/>
    <xf numFmtId="165" fontId="0" fillId="0" borderId="0" xfId="0" applyNumberFormat="1"/>
    <xf numFmtId="0" fontId="0" fillId="0" borderId="0" xfId="0" applyFill="1"/>
    <xf numFmtId="0" fontId="12" fillId="0" borderId="0" xfId="0" applyFont="1" applyFill="1" applyBorder="1" applyAlignment="1">
      <alignment horizontal="center" vertical="top" wrapText="1"/>
    </xf>
    <xf numFmtId="0" fontId="11" fillId="0" borderId="0" xfId="0" applyFont="1" applyFill="1" applyBorder="1" applyAlignment="1">
      <alignment horizontal="left" vertical="top" wrapText="1"/>
    </xf>
    <xf numFmtId="165" fontId="11" fillId="0" borderId="0" xfId="0" applyNumberFormat="1" applyFont="1" applyFill="1" applyBorder="1" applyAlignment="1">
      <alignment horizontal="center" vertical="center" wrapText="1"/>
    </xf>
    <xf numFmtId="165" fontId="11" fillId="0" borderId="0" xfId="0" applyNumberFormat="1" applyFont="1" applyFill="1" applyBorder="1" applyAlignment="1">
      <alignment horizontal="center" vertical="top"/>
    </xf>
    <xf numFmtId="0" fontId="11" fillId="0" borderId="0" xfId="0" applyFont="1" applyFill="1" applyBorder="1" applyAlignment="1">
      <alignment horizontal="right" vertical="top"/>
    </xf>
    <xf numFmtId="165" fontId="11" fillId="0" borderId="0" xfId="0" applyNumberFormat="1" applyFont="1" applyFill="1" applyBorder="1" applyAlignment="1">
      <alignment horizontal="center" vertical="center"/>
    </xf>
    <xf numFmtId="49" fontId="8" fillId="0" borderId="0" xfId="0" applyNumberFormat="1" applyFont="1" applyFill="1" applyAlignment="1">
      <alignment vertical="center"/>
    </xf>
    <xf numFmtId="49" fontId="8" fillId="2" borderId="12" xfId="0" applyNumberFormat="1" applyFont="1" applyFill="1" applyBorder="1" applyAlignment="1">
      <alignment horizontal="center" vertical="center" wrapText="1"/>
    </xf>
    <xf numFmtId="3" fontId="15" fillId="0" borderId="4" xfId="0" applyNumberFormat="1" applyFont="1" applyFill="1" applyBorder="1" applyAlignment="1">
      <alignment horizontal="right" vertical="center" wrapText="1"/>
    </xf>
    <xf numFmtId="3" fontId="8" fillId="0" borderId="0" xfId="0" applyNumberFormat="1" applyFont="1" applyFill="1" applyBorder="1" applyAlignment="1">
      <alignment horizontal="right"/>
    </xf>
    <xf numFmtId="3" fontId="0" fillId="0" borderId="0" xfId="0" applyNumberFormat="1"/>
    <xf numFmtId="0" fontId="9" fillId="2" borderId="4" xfId="0" applyFont="1" applyFill="1" applyBorder="1" applyAlignment="1">
      <alignment horizontal="right"/>
    </xf>
    <xf numFmtId="0" fontId="9" fillId="0" borderId="4" xfId="0" applyFont="1" applyFill="1" applyBorder="1" applyAlignment="1">
      <alignment horizontal="right"/>
    </xf>
    <xf numFmtId="164" fontId="9" fillId="0" borderId="4" xfId="0" applyNumberFormat="1" applyFont="1" applyFill="1" applyBorder="1" applyAlignment="1">
      <alignment horizontal="right"/>
    </xf>
    <xf numFmtId="0" fontId="9" fillId="0" borderId="0" xfId="0" applyFont="1" applyFill="1" applyBorder="1" applyAlignment="1">
      <alignment horizontal="right"/>
    </xf>
    <xf numFmtId="166" fontId="9" fillId="0" borderId="0" xfId="0" applyNumberFormat="1" applyFont="1" applyFill="1" applyBorder="1" applyAlignment="1">
      <alignment horizontal="right"/>
    </xf>
    <xf numFmtId="49" fontId="9" fillId="0" borderId="0" xfId="0" applyNumberFormat="1" applyFont="1" applyFill="1" applyBorder="1" applyAlignment="1">
      <alignment horizontal="left"/>
    </xf>
    <xf numFmtId="164" fontId="9" fillId="0" borderId="0" xfId="0" applyNumberFormat="1" applyFont="1" applyFill="1" applyBorder="1" applyAlignment="1">
      <alignment horizontal="right"/>
    </xf>
    <xf numFmtId="49" fontId="8" fillId="0" borderId="0" xfId="0" applyNumberFormat="1" applyFont="1" applyFill="1" applyAlignment="1"/>
    <xf numFmtId="49" fontId="9" fillId="0" borderId="0" xfId="0" applyNumberFormat="1" applyFont="1" applyFill="1" applyBorder="1" applyAlignment="1">
      <alignment horizontal="left" vertical="center"/>
    </xf>
    <xf numFmtId="1" fontId="9" fillId="0" borderId="0" xfId="0" applyNumberFormat="1" applyFont="1" applyFill="1" applyBorder="1" applyAlignment="1">
      <alignment horizontal="right"/>
    </xf>
    <xf numFmtId="49" fontId="9" fillId="0" borderId="0" xfId="0" applyNumberFormat="1" applyFont="1" applyFill="1" applyBorder="1" applyAlignment="1"/>
    <xf numFmtId="0" fontId="18" fillId="0" borderId="0" xfId="0" applyFont="1" applyBorder="1" applyAlignment="1">
      <alignment horizontal="right" vertical="center" wrapText="1"/>
    </xf>
    <xf numFmtId="3" fontId="18" fillId="0" borderId="0" xfId="0" applyNumberFormat="1" applyFont="1" applyBorder="1" applyAlignment="1">
      <alignment horizontal="right" vertical="center" wrapText="1"/>
    </xf>
    <xf numFmtId="3" fontId="0" fillId="0" borderId="0" xfId="0" applyNumberFormat="1" applyFill="1"/>
    <xf numFmtId="49" fontId="9" fillId="0" borderId="0" xfId="5" applyNumberFormat="1" applyFont="1" applyFill="1" applyBorder="1" applyAlignment="1">
      <alignment horizontal="left" vertical="center"/>
    </xf>
    <xf numFmtId="1" fontId="9" fillId="0" borderId="0" xfId="5" applyNumberFormat="1" applyFont="1" applyFill="1" applyBorder="1" applyAlignment="1">
      <alignment horizontal="right"/>
    </xf>
    <xf numFmtId="17" fontId="9" fillId="0" borderId="0" xfId="5" applyNumberFormat="1" applyFont="1" applyFill="1" applyBorder="1" applyAlignment="1">
      <alignment horizontal="left" vertical="center"/>
    </xf>
    <xf numFmtId="1" fontId="11" fillId="0" borderId="0" xfId="0" applyNumberFormat="1" applyFont="1"/>
    <xf numFmtId="3" fontId="11" fillId="0" borderId="0" xfId="0" applyNumberFormat="1" applyFont="1"/>
    <xf numFmtId="0" fontId="11" fillId="0" borderId="0" xfId="0" applyFont="1"/>
    <xf numFmtId="164" fontId="8" fillId="0" borderId="4" xfId="0" applyNumberFormat="1" applyFont="1" applyFill="1" applyBorder="1" applyAlignment="1">
      <alignment horizontal="right" vertical="top"/>
    </xf>
    <xf numFmtId="164" fontId="0" fillId="0" borderId="0" xfId="0" applyNumberFormat="1"/>
    <xf numFmtId="164" fontId="9" fillId="0" borderId="4" xfId="0" applyNumberFormat="1" applyFont="1" applyFill="1" applyBorder="1" applyAlignment="1">
      <alignment horizontal="right" vertical="top"/>
    </xf>
    <xf numFmtId="0" fontId="3" fillId="0" borderId="0" xfId="0" applyFont="1" applyFill="1" applyBorder="1" applyAlignment="1">
      <alignment vertical="center" wrapText="1"/>
    </xf>
    <xf numFmtId="164" fontId="9" fillId="0" borderId="0" xfId="0" applyNumberFormat="1" applyFont="1" applyFill="1" applyAlignment="1">
      <alignment horizontal="left" vertical="top"/>
    </xf>
    <xf numFmtId="168" fontId="9" fillId="0" borderId="0" xfId="0" applyNumberFormat="1" applyFont="1" applyFill="1" applyBorder="1" applyAlignment="1">
      <alignment horizontal="left" vertical="top"/>
    </xf>
    <xf numFmtId="164" fontId="9" fillId="0" borderId="0" xfId="0" applyNumberFormat="1" applyFont="1" applyFill="1" applyBorder="1" applyAlignment="1">
      <alignment horizontal="right" vertical="top"/>
    </xf>
    <xf numFmtId="0" fontId="7" fillId="0" borderId="0" xfId="0" applyFont="1" applyFill="1" applyBorder="1" applyAlignment="1">
      <alignment horizontal="right" vertical="center" wrapText="1"/>
    </xf>
    <xf numFmtId="167" fontId="7" fillId="0" borderId="0" xfId="7" applyNumberFormat="1" applyFont="1" applyFill="1" applyBorder="1" applyAlignment="1">
      <alignment horizontal="right" vertical="center" wrapText="1"/>
    </xf>
    <xf numFmtId="49" fontId="9" fillId="0" borderId="0" xfId="6" applyNumberFormat="1" applyFont="1" applyFill="1" applyBorder="1" applyAlignment="1">
      <alignment horizontal="left" vertical="center"/>
    </xf>
    <xf numFmtId="164" fontId="9" fillId="0" borderId="0" xfId="6" applyNumberFormat="1" applyFont="1" applyFill="1" applyBorder="1" applyAlignment="1">
      <alignment horizontal="right" vertical="center"/>
    </xf>
    <xf numFmtId="167" fontId="12" fillId="0" borderId="0" xfId="7" applyNumberFormat="1" applyFont="1" applyFill="1" applyBorder="1" applyAlignment="1">
      <alignment horizontal="right" vertical="center" wrapText="1"/>
    </xf>
    <xf numFmtId="0" fontId="9" fillId="0" borderId="0" xfId="6" applyFont="1" applyFill="1" applyBorder="1" applyAlignment="1">
      <alignment vertical="center"/>
    </xf>
    <xf numFmtId="1" fontId="9" fillId="0" borderId="0" xfId="6" applyNumberFormat="1" applyFont="1" applyFill="1" applyBorder="1" applyAlignment="1">
      <alignment vertical="center"/>
    </xf>
    <xf numFmtId="2" fontId="3" fillId="0" borderId="0" xfId="0" applyNumberFormat="1" applyFont="1" applyFill="1" applyBorder="1" applyAlignment="1">
      <alignment horizontal="center" wrapText="1"/>
    </xf>
    <xf numFmtId="49" fontId="8" fillId="0" borderId="4" xfId="0" applyNumberFormat="1" applyFont="1" applyFill="1" applyBorder="1" applyAlignment="1">
      <alignment horizontal="center" vertical="top" wrapText="1"/>
    </xf>
    <xf numFmtId="168" fontId="9" fillId="0" borderId="4" xfId="5" applyNumberFormat="1" applyFont="1" applyFill="1" applyBorder="1" applyAlignment="1">
      <alignment horizontal="left" vertical="top" wrapText="1"/>
    </xf>
    <xf numFmtId="168" fontId="9" fillId="0" borderId="0" xfId="5" applyNumberFormat="1" applyFont="1" applyFill="1" applyBorder="1" applyAlignment="1">
      <alignment horizontal="left" vertical="top" wrapText="1"/>
    </xf>
    <xf numFmtId="49" fontId="21" fillId="0" borderId="4" xfId="0" applyNumberFormat="1" applyFont="1" applyFill="1" applyBorder="1" applyAlignment="1">
      <alignment horizontal="center" vertical="top" wrapText="1"/>
    </xf>
    <xf numFmtId="1" fontId="0" fillId="0" borderId="0" xfId="0" applyNumberFormat="1" applyFill="1" applyBorder="1"/>
    <xf numFmtId="0" fontId="12" fillId="0" borderId="0" xfId="0" applyNumberFormat="1" applyFont="1" applyFill="1" applyBorder="1" applyAlignment="1"/>
    <xf numFmtId="49" fontId="8" fillId="0" borderId="0" xfId="0" applyNumberFormat="1" applyFont="1" applyFill="1" applyBorder="1" applyAlignment="1">
      <alignment vertical="center"/>
    </xf>
    <xf numFmtId="49" fontId="8" fillId="0" borderId="0" xfId="0" applyNumberFormat="1" applyFont="1" applyFill="1" applyBorder="1" applyAlignment="1">
      <alignment horizontal="center" vertical="top" wrapText="1"/>
    </xf>
    <xf numFmtId="0" fontId="8" fillId="0" borderId="0" xfId="0" applyFont="1" applyFill="1" applyBorder="1" applyAlignment="1">
      <alignment horizontal="right"/>
    </xf>
    <xf numFmtId="1" fontId="8" fillId="0" borderId="0" xfId="0" applyNumberFormat="1" applyFont="1" applyFill="1" applyBorder="1" applyAlignment="1">
      <alignment horizontal="right" vertical="top"/>
    </xf>
    <xf numFmtId="1" fontId="11" fillId="0" borderId="0" xfId="5" applyNumberFormat="1" applyFont="1" applyFill="1" applyBorder="1" applyAlignment="1">
      <alignment horizontal="right" vertical="center" wrapText="1"/>
    </xf>
    <xf numFmtId="1" fontId="11" fillId="0" borderId="0" xfId="0" applyNumberFormat="1" applyFont="1" applyFill="1" applyBorder="1" applyAlignment="1">
      <alignment horizontal="right" vertical="top"/>
    </xf>
    <xf numFmtId="164" fontId="11" fillId="0" borderId="0" xfId="0" applyNumberFormat="1" applyFont="1" applyFill="1" applyBorder="1" applyAlignment="1">
      <alignment horizontal="right" vertical="top"/>
    </xf>
    <xf numFmtId="49" fontId="8" fillId="0" borderId="0" xfId="0" applyNumberFormat="1" applyFont="1" applyFill="1" applyAlignment="1">
      <alignment horizontal="left"/>
    </xf>
    <xf numFmtId="168" fontId="11" fillId="0" borderId="0" xfId="0" applyNumberFormat="1" applyFont="1" applyFill="1" applyBorder="1" applyAlignment="1">
      <alignment horizontal="left" vertical="top"/>
    </xf>
    <xf numFmtId="1" fontId="12" fillId="0" borderId="0" xfId="0" applyNumberFormat="1" applyFont="1" applyFill="1" applyBorder="1" applyAlignment="1">
      <alignment horizontal="right" wrapText="1"/>
    </xf>
    <xf numFmtId="1" fontId="0" fillId="0" borderId="0" xfId="0" applyNumberFormat="1" applyFont="1" applyFill="1" applyBorder="1" applyAlignment="1"/>
    <xf numFmtId="1" fontId="12" fillId="0" borderId="0" xfId="0" applyNumberFormat="1" applyFont="1" applyFill="1" applyBorder="1" applyAlignment="1"/>
    <xf numFmtId="0" fontId="12" fillId="0" borderId="0" xfId="0" applyFont="1" applyFill="1" applyBorder="1" applyAlignment="1">
      <alignment horizontal="right" wrapText="1"/>
    </xf>
    <xf numFmtId="1" fontId="11" fillId="0" borderId="0" xfId="0" applyNumberFormat="1" applyFont="1" applyFill="1" applyBorder="1" applyAlignment="1">
      <alignment horizontal="right"/>
    </xf>
    <xf numFmtId="1" fontId="12" fillId="0" borderId="0" xfId="5" applyNumberFormat="1" applyFont="1" applyFill="1" applyBorder="1" applyAlignment="1">
      <alignment horizontal="right" vertical="center" wrapText="1"/>
    </xf>
    <xf numFmtId="0" fontId="9" fillId="0" borderId="0" xfId="0" applyFont="1" applyFill="1" applyAlignment="1">
      <alignment vertical="center"/>
    </xf>
    <xf numFmtId="49" fontId="8" fillId="0" borderId="8" xfId="0" applyNumberFormat="1" applyFont="1" applyFill="1" applyBorder="1" applyAlignment="1">
      <alignment horizontal="center" vertical="center" wrapText="1"/>
    </xf>
    <xf numFmtId="3" fontId="8" fillId="0" borderId="4" xfId="0" applyNumberFormat="1" applyFont="1" applyFill="1" applyBorder="1" applyAlignment="1">
      <alignment horizontal="right" vertical="center"/>
    </xf>
    <xf numFmtId="3" fontId="9" fillId="0" borderId="4" xfId="0" applyNumberFormat="1" applyFont="1" applyFill="1" applyBorder="1" applyAlignment="1">
      <alignment horizontal="right" vertical="center"/>
    </xf>
    <xf numFmtId="1" fontId="7" fillId="0" borderId="0" xfId="5" applyNumberFormat="1" applyFont="1" applyFill="1" applyBorder="1" applyAlignment="1">
      <alignment horizontal="right" vertical="center" wrapText="1"/>
    </xf>
    <xf numFmtId="3" fontId="9" fillId="0" borderId="0" xfId="0" applyNumberFormat="1" applyFont="1" applyFill="1" applyBorder="1" applyAlignment="1">
      <alignment horizontal="right" vertical="center"/>
    </xf>
    <xf numFmtId="168" fontId="9" fillId="0" borderId="0" xfId="0" applyNumberFormat="1" applyFont="1" applyFill="1" applyBorder="1" applyAlignment="1">
      <alignment horizontal="left" vertical="center"/>
    </xf>
    <xf numFmtId="168" fontId="9" fillId="0" borderId="0" xfId="5" applyNumberFormat="1" applyFont="1" applyFill="1" applyBorder="1" applyAlignment="1">
      <alignment horizontal="left" vertical="top"/>
    </xf>
    <xf numFmtId="168" fontId="6" fillId="0" borderId="0" xfId="5" applyNumberFormat="1" applyFont="1" applyFill="1" applyBorder="1" applyAlignment="1">
      <alignment horizontal="left" vertical="top" wrapText="1"/>
    </xf>
    <xf numFmtId="49" fontId="8" fillId="2" borderId="1" xfId="0" applyNumberFormat="1" applyFont="1" applyFill="1" applyBorder="1" applyAlignment="1">
      <alignment horizontal="center" vertical="center" wrapText="1"/>
    </xf>
    <xf numFmtId="3" fontId="8" fillId="2" borderId="12" xfId="0" applyNumberFormat="1" applyFont="1" applyFill="1" applyBorder="1" applyAlignment="1">
      <alignment horizontal="right"/>
    </xf>
    <xf numFmtId="49" fontId="8" fillId="0" borderId="0" xfId="0" applyNumberFormat="1" applyFont="1" applyFill="1" applyAlignment="1">
      <alignment horizontal="left" wrapText="1"/>
    </xf>
    <xf numFmtId="3" fontId="9" fillId="0" borderId="0" xfId="0" applyNumberFormat="1" applyFont="1" applyFill="1" applyBorder="1" applyAlignment="1">
      <alignment horizontal="right"/>
    </xf>
    <xf numFmtId="3" fontId="9" fillId="0" borderId="0" xfId="5" applyNumberFormat="1" applyFont="1" applyFill="1" applyBorder="1" applyAlignment="1">
      <alignment horizontal="right"/>
    </xf>
    <xf numFmtId="49" fontId="21" fillId="0" borderId="8" xfId="0" applyNumberFormat="1" applyFont="1" applyFill="1" applyBorder="1" applyAlignment="1">
      <alignment horizontal="center" vertical="center" wrapText="1"/>
    </xf>
    <xf numFmtId="1" fontId="11" fillId="0" borderId="0" xfId="0" applyNumberFormat="1" applyFont="1" applyFill="1" applyBorder="1"/>
    <xf numFmtId="1" fontId="10" fillId="0" borderId="0" xfId="0" applyNumberFormat="1" applyFont="1" applyFill="1" applyBorder="1"/>
    <xf numFmtId="1" fontId="11" fillId="0" borderId="0" xfId="5" applyNumberFormat="1" applyFont="1" applyFill="1" applyBorder="1"/>
    <xf numFmtId="166" fontId="9" fillId="0" borderId="0" xfId="5" applyNumberFormat="1" applyFont="1" applyFill="1" applyBorder="1" applyAlignment="1">
      <alignment horizontal="right"/>
    </xf>
    <xf numFmtId="49" fontId="8" fillId="0" borderId="0" xfId="0" applyNumberFormat="1" applyFont="1" applyFill="1" applyBorder="1" applyAlignment="1"/>
    <xf numFmtId="0" fontId="5" fillId="0" borderId="0" xfId="0" applyFont="1" applyFill="1" applyAlignment="1">
      <alignment vertical="center"/>
    </xf>
    <xf numFmtId="0" fontId="12" fillId="0" borderId="0" xfId="8" applyNumberFormat="1" applyFont="1" applyFill="1" applyBorder="1" applyAlignment="1"/>
    <xf numFmtId="0" fontId="9" fillId="2" borderId="0" xfId="8" applyFont="1" applyFill="1" applyAlignment="1">
      <alignment vertical="center"/>
    </xf>
    <xf numFmtId="49" fontId="8" fillId="0" borderId="8" xfId="8" applyNumberFormat="1" applyFont="1" applyFill="1" applyBorder="1" applyAlignment="1">
      <alignment horizontal="center" vertical="center" wrapText="1"/>
    </xf>
    <xf numFmtId="49" fontId="8" fillId="2" borderId="1" xfId="8" applyNumberFormat="1" applyFont="1" applyFill="1" applyBorder="1" applyAlignment="1">
      <alignment horizontal="left"/>
    </xf>
    <xf numFmtId="164" fontId="8" fillId="2" borderId="1" xfId="8" applyNumberFormat="1" applyFont="1" applyFill="1" applyBorder="1" applyAlignment="1">
      <alignment horizontal="right"/>
    </xf>
    <xf numFmtId="0" fontId="8" fillId="2" borderId="0" xfId="8" applyFont="1" applyFill="1" applyAlignment="1">
      <alignment vertical="center"/>
    </xf>
    <xf numFmtId="164" fontId="8" fillId="2" borderId="0" xfId="8" applyNumberFormat="1" applyFont="1" applyFill="1" applyAlignment="1">
      <alignment vertical="center"/>
    </xf>
    <xf numFmtId="49" fontId="9" fillId="2" borderId="4" xfId="8" applyNumberFormat="1" applyFont="1" applyFill="1" applyBorder="1" applyAlignment="1">
      <alignment horizontal="left"/>
    </xf>
    <xf numFmtId="169" fontId="9" fillId="2" borderId="4" xfId="8" applyNumberFormat="1" applyFont="1" applyFill="1" applyBorder="1" applyAlignment="1">
      <alignment horizontal="right"/>
    </xf>
    <xf numFmtId="164" fontId="9" fillId="2" borderId="4" xfId="8" applyNumberFormat="1" applyFont="1" applyFill="1" applyBorder="1" applyAlignment="1">
      <alignment horizontal="right"/>
    </xf>
    <xf numFmtId="164" fontId="9" fillId="0" borderId="4" xfId="8" applyNumberFormat="1" applyFont="1" applyFill="1" applyBorder="1" applyAlignment="1">
      <alignment horizontal="right"/>
    </xf>
    <xf numFmtId="169" fontId="9" fillId="0" borderId="4" xfId="8" applyNumberFormat="1" applyFont="1" applyFill="1" applyBorder="1" applyAlignment="1">
      <alignment horizontal="right"/>
    </xf>
    <xf numFmtId="164" fontId="9" fillId="2" borderId="0" xfId="8" applyNumberFormat="1" applyFont="1" applyFill="1" applyAlignment="1">
      <alignment vertical="center"/>
    </xf>
    <xf numFmtId="164" fontId="12" fillId="0" borderId="0" xfId="8" applyNumberFormat="1" applyFont="1" applyFill="1" applyBorder="1" applyAlignment="1"/>
    <xf numFmtId="169" fontId="12" fillId="0" borderId="0" xfId="8" applyNumberFormat="1" applyFont="1" applyFill="1" applyBorder="1" applyAlignment="1"/>
    <xf numFmtId="171" fontId="12" fillId="0" borderId="0" xfId="8" applyNumberFormat="1" applyFont="1" applyFill="1" applyBorder="1" applyAlignment="1"/>
    <xf numFmtId="170" fontId="8" fillId="2" borderId="1" xfId="8" applyNumberFormat="1" applyFont="1" applyFill="1" applyBorder="1" applyAlignment="1">
      <alignment horizontal="right"/>
    </xf>
    <xf numFmtId="164" fontId="8" fillId="0" borderId="1" xfId="8" applyNumberFormat="1" applyFont="1" applyFill="1" applyBorder="1" applyAlignment="1">
      <alignment horizontal="right"/>
    </xf>
    <xf numFmtId="49" fontId="8" fillId="0" borderId="12" xfId="8" applyNumberFormat="1" applyFont="1" applyFill="1" applyBorder="1" applyAlignment="1">
      <alignment horizontal="left"/>
    </xf>
    <xf numFmtId="164" fontId="8" fillId="2" borderId="12" xfId="8" applyNumberFormat="1" applyFont="1" applyFill="1" applyBorder="1" applyAlignment="1">
      <alignment horizontal="right"/>
    </xf>
    <xf numFmtId="164" fontId="8" fillId="0" borderId="0" xfId="8" applyNumberFormat="1" applyFont="1" applyFill="1" applyAlignment="1">
      <alignment vertical="center"/>
    </xf>
    <xf numFmtId="0" fontId="8" fillId="0" borderId="0" xfId="8" applyFont="1" applyFill="1" applyAlignment="1">
      <alignment vertical="center"/>
    </xf>
    <xf numFmtId="49" fontId="8" fillId="2" borderId="0" xfId="8" applyNumberFormat="1" applyFont="1" applyFill="1" applyAlignment="1">
      <alignment horizontal="left"/>
    </xf>
    <xf numFmtId="3" fontId="12" fillId="0" borderId="0" xfId="8" applyNumberFormat="1" applyFont="1" applyFill="1" applyBorder="1" applyAlignment="1"/>
    <xf numFmtId="49" fontId="8" fillId="2" borderId="1" xfId="8" applyNumberFormat="1" applyFont="1" applyFill="1" applyBorder="1" applyAlignment="1">
      <alignment horizontal="right"/>
    </xf>
    <xf numFmtId="0" fontId="8" fillId="2" borderId="1" xfId="8" applyFont="1" applyFill="1" applyBorder="1" applyAlignment="1">
      <alignment horizontal="right"/>
    </xf>
    <xf numFmtId="172" fontId="8" fillId="2" borderId="1" xfId="8" applyNumberFormat="1" applyFont="1" applyFill="1" applyBorder="1" applyAlignment="1">
      <alignment horizontal="right"/>
    </xf>
    <xf numFmtId="164" fontId="9" fillId="6" borderId="4" xfId="9" applyNumberFormat="1" applyFont="1" applyFill="1" applyBorder="1" applyAlignment="1">
      <alignment horizontal="right"/>
    </xf>
    <xf numFmtId="1" fontId="9" fillId="6" borderId="4" xfId="9" applyNumberFormat="1" applyFont="1" applyFill="1" applyBorder="1" applyAlignment="1">
      <alignment horizontal="right"/>
    </xf>
    <xf numFmtId="170" fontId="9" fillId="6" borderId="4" xfId="9" applyNumberFormat="1" applyFont="1" applyFill="1" applyBorder="1" applyAlignment="1">
      <alignment horizontal="right"/>
    </xf>
    <xf numFmtId="164" fontId="9" fillId="0" borderId="4" xfId="9" applyNumberFormat="1" applyFont="1" applyFill="1" applyBorder="1" applyAlignment="1">
      <alignment horizontal="right"/>
    </xf>
    <xf numFmtId="1" fontId="9" fillId="0" borderId="4" xfId="9" applyNumberFormat="1" applyFont="1" applyFill="1" applyBorder="1" applyAlignment="1">
      <alignment horizontal="right"/>
    </xf>
    <xf numFmtId="170" fontId="9" fillId="0" borderId="4" xfId="9" applyNumberFormat="1" applyFont="1" applyFill="1" applyBorder="1" applyAlignment="1">
      <alignment horizontal="right"/>
    </xf>
    <xf numFmtId="43" fontId="19" fillId="0" borderId="0" xfId="1" applyFont="1" applyFill="1" applyBorder="1" applyAlignment="1">
      <alignment vertical="top" wrapText="1"/>
    </xf>
    <xf numFmtId="0" fontId="0" fillId="0" borderId="0" xfId="0" applyAlignment="1">
      <alignment horizontal="right"/>
    </xf>
    <xf numFmtId="164" fontId="0" fillId="0" borderId="0" xfId="0" applyNumberFormat="1" applyBorder="1"/>
    <xf numFmtId="43" fontId="11" fillId="0" borderId="0" xfId="1" applyFont="1" applyFill="1" applyBorder="1" applyAlignment="1">
      <alignment vertical="top"/>
    </xf>
    <xf numFmtId="3" fontId="11" fillId="0" borderId="4" xfId="0" applyNumberFormat="1" applyFont="1" applyFill="1" applyBorder="1"/>
    <xf numFmtId="3" fontId="11" fillId="0" borderId="4" xfId="0" applyNumberFormat="1" applyFont="1" applyFill="1" applyBorder="1" applyAlignment="1">
      <alignment horizontal="right"/>
    </xf>
    <xf numFmtId="0" fontId="10" fillId="4" borderId="0" xfId="8" applyNumberFormat="1" applyFont="1" applyFill="1" applyBorder="1" applyAlignment="1">
      <alignment horizontal="right" vertical="center"/>
    </xf>
    <xf numFmtId="3" fontId="10" fillId="0" borderId="0" xfId="8" applyNumberFormat="1" applyFont="1" applyFill="1" applyBorder="1" applyAlignment="1">
      <alignment horizontal="right" vertical="center"/>
    </xf>
    <xf numFmtId="49" fontId="9" fillId="2" borderId="0" xfId="8" applyNumberFormat="1" applyFont="1" applyFill="1" applyBorder="1" applyAlignment="1">
      <alignment horizontal="left"/>
    </xf>
    <xf numFmtId="170" fontId="9" fillId="2" borderId="0" xfId="8" applyNumberFormat="1" applyFont="1" applyFill="1" applyBorder="1" applyAlignment="1">
      <alignment horizontal="right"/>
    </xf>
    <xf numFmtId="174" fontId="12" fillId="0" borderId="0" xfId="8" applyNumberFormat="1" applyFont="1" applyFill="1" applyBorder="1" applyAlignment="1"/>
    <xf numFmtId="170" fontId="9" fillId="2" borderId="0" xfId="8" applyNumberFormat="1" applyFont="1" applyFill="1" applyAlignment="1">
      <alignment vertical="center"/>
    </xf>
    <xf numFmtId="49" fontId="24" fillId="2" borderId="0" xfId="8" applyNumberFormat="1" applyFont="1" applyFill="1" applyAlignment="1">
      <alignment horizontal="left"/>
    </xf>
    <xf numFmtId="173" fontId="25" fillId="0" borderId="0" xfId="9" applyFont="1" applyFill="1"/>
    <xf numFmtId="172" fontId="9" fillId="2" borderId="0" xfId="8" applyNumberFormat="1" applyFont="1" applyFill="1" applyAlignment="1">
      <alignment vertical="center"/>
    </xf>
    <xf numFmtId="170" fontId="12" fillId="0" borderId="0" xfId="8" applyNumberFormat="1" applyFont="1" applyFill="1" applyBorder="1" applyAlignment="1"/>
    <xf numFmtId="176" fontId="12" fillId="0" borderId="0" xfId="8" applyNumberFormat="1" applyFont="1" applyFill="1" applyBorder="1" applyAlignment="1"/>
    <xf numFmtId="178" fontId="9" fillId="2" borderId="0" xfId="8" applyNumberFormat="1" applyFont="1" applyFill="1" applyBorder="1" applyAlignment="1">
      <alignment horizontal="right"/>
    </xf>
    <xf numFmtId="178" fontId="9" fillId="0" borderId="0" xfId="8" applyNumberFormat="1" applyFont="1" applyFill="1" applyBorder="1" applyAlignment="1">
      <alignment horizontal="right"/>
    </xf>
    <xf numFmtId="177" fontId="8" fillId="2" borderId="0" xfId="8" applyNumberFormat="1" applyFont="1" applyFill="1" applyAlignment="1">
      <alignment vertical="center"/>
    </xf>
    <xf numFmtId="0" fontId="12" fillId="0" borderId="0" xfId="8" applyNumberFormat="1" applyFont="1" applyFill="1" applyBorder="1" applyAlignment="1">
      <alignment vertical="top"/>
    </xf>
    <xf numFmtId="2" fontId="9" fillId="2" borderId="0" xfId="8" applyNumberFormat="1" applyFont="1" applyFill="1" applyAlignment="1">
      <alignment vertical="top"/>
    </xf>
    <xf numFmtId="0" fontId="30" fillId="0" borderId="0" xfId="8" applyNumberFormat="1" applyFont="1" applyFill="1" applyBorder="1" applyAlignment="1">
      <alignment vertical="top"/>
    </xf>
    <xf numFmtId="0" fontId="31" fillId="2" borderId="0" xfId="8" applyFont="1" applyFill="1" applyAlignment="1">
      <alignment vertical="top"/>
    </xf>
    <xf numFmtId="49" fontId="9" fillId="2" borderId="0" xfId="8" applyNumberFormat="1" applyFont="1" applyFill="1" applyAlignment="1"/>
    <xf numFmtId="179" fontId="8" fillId="2" borderId="0" xfId="8" applyNumberFormat="1" applyFont="1" applyFill="1" applyAlignment="1">
      <alignment vertical="center"/>
    </xf>
    <xf numFmtId="49" fontId="8" fillId="2" borderId="0" xfId="8" applyNumberFormat="1" applyFont="1" applyFill="1" applyAlignment="1"/>
    <xf numFmtId="0" fontId="13" fillId="0" borderId="0" xfId="8" applyNumberFormat="1" applyFont="1" applyFill="1" applyBorder="1" applyAlignment="1"/>
    <xf numFmtId="189" fontId="8" fillId="2" borderId="0" xfId="8" applyNumberFormat="1" applyFont="1" applyFill="1" applyAlignment="1">
      <alignment vertical="center"/>
    </xf>
    <xf numFmtId="167" fontId="12" fillId="0" borderId="0" xfId="11" applyNumberFormat="1" applyFont="1" applyFill="1" applyBorder="1" applyAlignment="1"/>
    <xf numFmtId="167" fontId="12" fillId="0" borderId="0" xfId="11" applyNumberFormat="1" applyFont="1" applyFill="1" applyBorder="1" applyAlignment="1">
      <alignment vertical="top"/>
    </xf>
    <xf numFmtId="172" fontId="12" fillId="0" borderId="0" xfId="8" applyNumberFormat="1" applyFont="1" applyFill="1" applyBorder="1" applyAlignment="1">
      <alignment vertical="top"/>
    </xf>
    <xf numFmtId="172" fontId="12" fillId="0" borderId="0" xfId="8" applyNumberFormat="1" applyFont="1" applyFill="1" applyBorder="1" applyAlignment="1"/>
    <xf numFmtId="170" fontId="8" fillId="2" borderId="22" xfId="8" applyNumberFormat="1" applyFont="1" applyFill="1" applyBorder="1" applyAlignment="1">
      <alignment horizontal="right"/>
    </xf>
    <xf numFmtId="3" fontId="25" fillId="0" borderId="0" xfId="8" applyNumberFormat="1" applyFont="1" applyFill="1" applyBorder="1" applyAlignment="1">
      <alignment horizontal="justify" vertical="center"/>
    </xf>
    <xf numFmtId="3" fontId="8" fillId="2" borderId="0" xfId="8" applyNumberFormat="1" applyFont="1" applyFill="1" applyAlignment="1">
      <alignment vertical="center"/>
    </xf>
    <xf numFmtId="3" fontId="9" fillId="2" borderId="0" xfId="8" applyNumberFormat="1" applyFont="1" applyFill="1" applyAlignment="1">
      <alignment vertical="center"/>
    </xf>
    <xf numFmtId="3" fontId="9" fillId="0" borderId="4" xfId="8" applyNumberFormat="1" applyFont="1" applyFill="1" applyBorder="1" applyAlignment="1">
      <alignment horizontal="right"/>
    </xf>
    <xf numFmtId="3" fontId="12" fillId="0" borderId="0" xfId="17" applyNumberFormat="1" applyFont="1" applyFill="1" applyBorder="1" applyAlignment="1">
      <alignment horizontal="center"/>
    </xf>
    <xf numFmtId="3" fontId="12" fillId="0" borderId="0" xfId="18" applyNumberFormat="1" applyFont="1" applyFill="1" applyBorder="1" applyAlignment="1">
      <alignment horizontal="center"/>
    </xf>
    <xf numFmtId="164" fontId="9" fillId="0" borderId="0" xfId="8" applyNumberFormat="1" applyFont="1" applyFill="1" applyBorder="1" applyAlignment="1">
      <alignment horizontal="center"/>
    </xf>
    <xf numFmtId="178" fontId="8" fillId="2" borderId="0" xfId="8" applyNumberFormat="1" applyFont="1" applyFill="1" applyAlignment="1">
      <alignment vertical="center"/>
    </xf>
    <xf numFmtId="0" fontId="37" fillId="2" borderId="0" xfId="8" applyFont="1" applyFill="1" applyAlignment="1">
      <alignment vertical="center"/>
    </xf>
    <xf numFmtId="195" fontId="39" fillId="0" borderId="0" xfId="24" applyNumberFormat="1" applyFont="1" applyFill="1" applyBorder="1" applyAlignment="1">
      <alignment horizontal="right" vertical="top"/>
    </xf>
    <xf numFmtId="3" fontId="25" fillId="0" borderId="0" xfId="24" applyNumberFormat="1" applyFont="1" applyFill="1" applyBorder="1" applyAlignment="1">
      <alignment horizontal="right" vertical="top"/>
    </xf>
    <xf numFmtId="181" fontId="26" fillId="0" borderId="0" xfId="2" applyNumberFormat="1" applyFont="1" applyFill="1" applyBorder="1" applyAlignment="1">
      <alignment horizontal="left"/>
    </xf>
    <xf numFmtId="195" fontId="39" fillId="3" borderId="0" xfId="24" applyNumberFormat="1" applyFont="1" applyFill="1" applyBorder="1" applyAlignment="1">
      <alignment horizontal="right" vertical="top"/>
    </xf>
    <xf numFmtId="164" fontId="12" fillId="0" borderId="0" xfId="6" applyNumberFormat="1" applyFont="1" applyFill="1" applyBorder="1" applyAlignment="1">
      <alignment horizontal="right" vertical="center" wrapText="1"/>
    </xf>
    <xf numFmtId="1" fontId="0" fillId="0" borderId="0" xfId="0" applyNumberFormat="1"/>
    <xf numFmtId="3" fontId="11" fillId="0" borderId="4" xfId="0" applyNumberFormat="1" applyFont="1" applyFill="1" applyBorder="1" applyAlignment="1">
      <alignment horizontal="right" wrapText="1"/>
    </xf>
    <xf numFmtId="3" fontId="19" fillId="0" borderId="4" xfId="5" applyNumberFormat="1" applyFont="1" applyFill="1" applyBorder="1"/>
    <xf numFmtId="3" fontId="11" fillId="0" borderId="4" xfId="5" applyNumberFormat="1" applyFont="1" applyFill="1" applyBorder="1"/>
    <xf numFmtId="0" fontId="75" fillId="0" borderId="0" xfId="0" applyFont="1"/>
    <xf numFmtId="49" fontId="74" fillId="3" borderId="0" xfId="0" applyNumberFormat="1" applyFont="1" applyFill="1" applyBorder="1" applyAlignment="1">
      <alignment vertical="top" wrapText="1"/>
    </xf>
    <xf numFmtId="0" fontId="76" fillId="3" borderId="0" xfId="0" applyNumberFormat="1" applyFont="1" applyFill="1" applyBorder="1" applyAlignment="1"/>
    <xf numFmtId="167" fontId="12" fillId="0" borderId="4" xfId="30" applyNumberFormat="1" applyFont="1" applyFill="1" applyBorder="1" applyAlignment="1">
      <alignment horizontal="center" vertical="top"/>
    </xf>
    <xf numFmtId="49" fontId="78" fillId="0" borderId="1" xfId="36" applyNumberFormat="1" applyFill="1" applyBorder="1" applyAlignment="1">
      <alignment horizontal="left"/>
    </xf>
    <xf numFmtId="0" fontId="19" fillId="0" borderId="4" xfId="0" applyFont="1" applyBorder="1" applyAlignment="1">
      <alignment horizontal="center" vertical="top" wrapText="1"/>
    </xf>
    <xf numFmtId="3" fontId="9" fillId="0" borderId="35" xfId="0" applyNumberFormat="1" applyFont="1" applyFill="1" applyBorder="1" applyAlignment="1">
      <alignment horizontal="right" vertical="top"/>
    </xf>
    <xf numFmtId="3" fontId="11" fillId="0" borderId="35" xfId="0" applyNumberFormat="1" applyFont="1" applyBorder="1" applyAlignment="1">
      <alignment horizontal="right"/>
    </xf>
    <xf numFmtId="1" fontId="9" fillId="0" borderId="35" xfId="0" applyNumberFormat="1" applyFont="1" applyFill="1" applyBorder="1" applyAlignment="1">
      <alignment horizontal="right"/>
    </xf>
    <xf numFmtId="17" fontId="10" fillId="4" borderId="35" xfId="8" applyNumberFormat="1" applyFont="1" applyFill="1" applyBorder="1" applyAlignment="1">
      <alignment horizontal="left" vertical="center"/>
    </xf>
    <xf numFmtId="1" fontId="25" fillId="3" borderId="35" xfId="0" applyNumberFormat="1" applyFont="1" applyFill="1" applyBorder="1" applyAlignment="1">
      <alignment horizontal="right"/>
    </xf>
    <xf numFmtId="168" fontId="25" fillId="0" borderId="35" xfId="20" applyNumberFormat="1" applyFont="1" applyFill="1" applyBorder="1" applyAlignment="1">
      <alignment horizontal="left" vertical="top" wrapText="1"/>
    </xf>
    <xf numFmtId="3" fontId="39" fillId="0" borderId="35" xfId="24" applyNumberFormat="1" applyFont="1" applyFill="1" applyBorder="1" applyAlignment="1">
      <alignment horizontal="right" vertical="top"/>
    </xf>
    <xf numFmtId="3" fontId="25" fillId="0" borderId="35" xfId="24" applyNumberFormat="1" applyFont="1" applyFill="1" applyBorder="1" applyAlignment="1">
      <alignment horizontal="right" vertical="top"/>
    </xf>
    <xf numFmtId="168" fontId="39" fillId="0" borderId="35" xfId="20" applyNumberFormat="1" applyFont="1" applyFill="1" applyBorder="1" applyAlignment="1">
      <alignment horizontal="left" vertical="top" wrapText="1"/>
    </xf>
    <xf numFmtId="168" fontId="25" fillId="0" borderId="0" xfId="0" applyNumberFormat="1" applyFont="1" applyFill="1" applyBorder="1" applyAlignment="1">
      <alignment horizontal="left"/>
    </xf>
    <xf numFmtId="3" fontId="25" fillId="0" borderId="35" xfId="24" applyNumberFormat="1" applyFont="1" applyFill="1" applyBorder="1" applyAlignment="1">
      <alignment vertical="top"/>
    </xf>
    <xf numFmtId="3" fontId="53" fillId="0" borderId="35" xfId="24" applyNumberFormat="1" applyFont="1" applyFill="1" applyBorder="1" applyAlignment="1">
      <alignment horizontal="right" vertical="top"/>
    </xf>
    <xf numFmtId="3" fontId="7" fillId="0" borderId="35" xfId="24" applyNumberFormat="1" applyFont="1" applyFill="1" applyBorder="1" applyAlignment="1">
      <alignment horizontal="right" vertical="top"/>
    </xf>
    <xf numFmtId="3" fontId="53" fillId="0" borderId="35" xfId="24" applyNumberFormat="1" applyFont="1" applyFill="1" applyBorder="1" applyAlignment="1">
      <alignment vertical="top"/>
    </xf>
    <xf numFmtId="3" fontId="7" fillId="0" borderId="35" xfId="24" applyNumberFormat="1" applyFont="1" applyFill="1" applyBorder="1" applyAlignment="1">
      <alignment vertical="top"/>
    </xf>
    <xf numFmtId="167" fontId="16" fillId="0" borderId="35" xfId="27" applyNumberFormat="1" applyFont="1" applyFill="1" applyBorder="1"/>
    <xf numFmtId="167" fontId="16" fillId="0" borderId="35" xfId="27" applyNumberFormat="1" applyFont="1" applyFill="1" applyBorder="1" applyAlignment="1">
      <alignment horizontal="right"/>
    </xf>
    <xf numFmtId="167" fontId="43" fillId="0" borderId="35" xfId="27" applyNumberFormat="1" applyFont="1" applyFill="1" applyBorder="1"/>
    <xf numFmtId="1" fontId="43" fillId="0" borderId="35" xfId="27" quotePrefix="1" applyNumberFormat="1" applyFont="1" applyFill="1" applyBorder="1" applyAlignment="1">
      <alignment horizontal="right"/>
    </xf>
    <xf numFmtId="1" fontId="16" fillId="0" borderId="35" xfId="27" applyNumberFormat="1" applyFont="1" applyFill="1" applyBorder="1"/>
    <xf numFmtId="1" fontId="16" fillId="0" borderId="35" xfId="27" quotePrefix="1" applyNumberFormat="1" applyFont="1" applyFill="1" applyBorder="1" applyAlignment="1">
      <alignment horizontal="right"/>
    </xf>
    <xf numFmtId="1" fontId="16" fillId="0" borderId="35" xfId="27" applyNumberFormat="1" applyFont="1" applyFill="1" applyBorder="1" applyAlignment="1">
      <alignment horizontal="right"/>
    </xf>
    <xf numFmtId="1" fontId="43" fillId="0" borderId="35" xfId="27" applyNumberFormat="1" applyFont="1" applyFill="1" applyBorder="1" applyAlignment="1">
      <alignment horizontal="right"/>
    </xf>
    <xf numFmtId="0" fontId="57" fillId="0" borderId="0" xfId="0" applyFont="1"/>
    <xf numFmtId="2" fontId="57" fillId="0" borderId="0" xfId="0" applyNumberFormat="1" applyFont="1"/>
    <xf numFmtId="0" fontId="57" fillId="0" borderId="0" xfId="0" applyFont="1" applyFill="1"/>
    <xf numFmtId="0" fontId="26" fillId="0" borderId="0" xfId="0" applyFont="1" applyFill="1" applyBorder="1"/>
    <xf numFmtId="0" fontId="39" fillId="0" borderId="0" xfId="0" applyFont="1" applyFill="1" applyBorder="1" applyAlignment="1">
      <alignment horizontal="center" vertical="top" wrapText="1"/>
    </xf>
    <xf numFmtId="0" fontId="67" fillId="0" borderId="0" xfId="0" applyFont="1" applyFill="1" applyBorder="1" applyAlignment="1">
      <alignment horizontal="center" vertical="top" wrapText="1"/>
    </xf>
    <xf numFmtId="0" fontId="57" fillId="0" borderId="0" xfId="0" applyFont="1" applyBorder="1"/>
    <xf numFmtId="0" fontId="35" fillId="0" borderId="0" xfId="0" applyFont="1" applyFill="1" applyBorder="1" applyAlignment="1">
      <alignment horizontal="left"/>
    </xf>
    <xf numFmtId="0" fontId="26" fillId="0" borderId="0" xfId="0" applyFont="1" applyFill="1" applyBorder="1" applyAlignment="1">
      <alignment horizontal="left"/>
    </xf>
    <xf numFmtId="0" fontId="68" fillId="0" borderId="0" xfId="0" applyFont="1" applyFill="1" applyBorder="1" applyAlignment="1">
      <alignment horizontal="center"/>
    </xf>
    <xf numFmtId="0" fontId="38" fillId="0" borderId="0" xfId="0" applyFont="1" applyBorder="1"/>
    <xf numFmtId="0" fontId="69" fillId="0" borderId="0" xfId="0" applyFont="1" applyBorder="1" applyAlignment="1">
      <alignment horizontal="center"/>
    </xf>
    <xf numFmtId="0" fontId="69" fillId="0" borderId="0" xfId="0" applyFont="1" applyAlignment="1">
      <alignment horizontal="center"/>
    </xf>
    <xf numFmtId="0" fontId="57" fillId="3" borderId="0" xfId="0" applyFont="1" applyFill="1"/>
    <xf numFmtId="0" fontId="40" fillId="0" borderId="0" xfId="0" applyFont="1" applyFill="1" applyAlignment="1">
      <alignment vertical="center"/>
    </xf>
    <xf numFmtId="179" fontId="40" fillId="0" borderId="0" xfId="0" applyNumberFormat="1" applyFont="1" applyFill="1" applyAlignment="1">
      <alignment vertical="center"/>
    </xf>
    <xf numFmtId="0" fontId="73" fillId="0" borderId="0" xfId="0" applyFont="1" applyFill="1" applyAlignment="1">
      <alignment vertical="center"/>
    </xf>
    <xf numFmtId="0" fontId="57" fillId="0" borderId="0" xfId="0" applyNumberFormat="1" applyFont="1" applyFill="1"/>
    <xf numFmtId="0" fontId="57" fillId="9" borderId="0" xfId="0" applyFont="1" applyFill="1"/>
    <xf numFmtId="179" fontId="57" fillId="0" borderId="0" xfId="0" applyNumberFormat="1" applyFont="1" applyFill="1"/>
    <xf numFmtId="0" fontId="26" fillId="0" borderId="0" xfId="0" applyFont="1" applyFill="1" applyBorder="1" applyAlignment="1"/>
    <xf numFmtId="0" fontId="57" fillId="0" borderId="0" xfId="0" applyFont="1" applyFill="1" applyAlignment="1">
      <alignment horizontal="left"/>
    </xf>
    <xf numFmtId="198" fontId="49" fillId="3" borderId="0" xfId="0" applyNumberFormat="1" applyFont="1" applyFill="1" applyBorder="1" applyAlignment="1">
      <alignment horizontal="right" vertical="top"/>
    </xf>
    <xf numFmtId="0" fontId="35" fillId="3" borderId="0" xfId="0" applyFont="1" applyFill="1" applyAlignment="1">
      <alignment horizontal="left"/>
    </xf>
    <xf numFmtId="0" fontId="26" fillId="3" borderId="0" xfId="0" applyNumberFormat="1" applyFont="1" applyFill="1" applyAlignment="1">
      <alignment horizontal="left" vertical="top"/>
    </xf>
    <xf numFmtId="0" fontId="57" fillId="0" borderId="0" xfId="0" applyFont="1" applyFill="1" applyAlignment="1">
      <alignment horizontal="right"/>
    </xf>
    <xf numFmtId="0" fontId="26" fillId="3" borderId="0" xfId="0" applyNumberFormat="1" applyFont="1" applyFill="1" applyAlignment="1">
      <alignment horizontal="left" vertical="top" wrapText="1"/>
    </xf>
    <xf numFmtId="0" fontId="57" fillId="0" borderId="0" xfId="0" applyFont="1" applyFill="1" applyAlignment="1">
      <alignment wrapText="1"/>
    </xf>
    <xf numFmtId="1" fontId="12" fillId="0" borderId="0" xfId="8" applyNumberFormat="1" applyFont="1" applyFill="1" applyBorder="1" applyAlignment="1"/>
    <xf numFmtId="185" fontId="8" fillId="2" borderId="35" xfId="8" applyNumberFormat="1" applyFont="1" applyFill="1" applyBorder="1" applyAlignment="1">
      <alignment horizontal="right"/>
    </xf>
    <xf numFmtId="1" fontId="9" fillId="0" borderId="35" xfId="8" applyNumberFormat="1" applyFont="1" applyFill="1" applyBorder="1" applyAlignment="1">
      <alignment horizontal="right"/>
    </xf>
    <xf numFmtId="179" fontId="9" fillId="0" borderId="35" xfId="8" applyNumberFormat="1" applyFont="1" applyFill="1" applyBorder="1" applyAlignment="1">
      <alignment horizontal="right"/>
    </xf>
    <xf numFmtId="164" fontId="8" fillId="2" borderId="35" xfId="8" applyNumberFormat="1" applyFont="1" applyFill="1" applyBorder="1" applyAlignment="1">
      <alignment horizontal="right"/>
    </xf>
    <xf numFmtId="179" fontId="9" fillId="2" borderId="35" xfId="8" applyNumberFormat="1" applyFont="1" applyFill="1" applyBorder="1" applyAlignment="1">
      <alignment horizontal="right" vertical="center" wrapText="1"/>
    </xf>
    <xf numFmtId="178" fontId="9" fillId="2" borderId="35" xfId="8" applyNumberFormat="1" applyFont="1" applyFill="1" applyBorder="1" applyAlignment="1">
      <alignment horizontal="right" vertical="center" wrapText="1"/>
    </xf>
    <xf numFmtId="183" fontId="9" fillId="2" borderId="35" xfId="8" applyNumberFormat="1" applyFont="1" applyFill="1" applyBorder="1" applyAlignment="1">
      <alignment horizontal="right" vertical="center" wrapText="1"/>
    </xf>
    <xf numFmtId="188" fontId="13" fillId="0" borderId="35" xfId="12" applyNumberFormat="1" applyFont="1" applyFill="1" applyBorder="1" applyAlignment="1">
      <alignment horizontal="center" vertical="top" wrapText="1"/>
    </xf>
    <xf numFmtId="188" fontId="13" fillId="0" borderId="35" xfId="12" applyNumberFormat="1" applyFont="1" applyFill="1" applyBorder="1" applyAlignment="1">
      <alignment horizontal="center" vertical="top"/>
    </xf>
    <xf numFmtId="167" fontId="15" fillId="0" borderId="35" xfId="11" applyNumberFormat="1" applyFont="1" applyFill="1" applyBorder="1" applyAlignment="1" applyProtection="1">
      <alignment horizontal="right" vertical="center" wrapText="1"/>
    </xf>
    <xf numFmtId="167" fontId="8" fillId="0" borderId="35" xfId="11" applyNumberFormat="1" applyFont="1" applyFill="1" applyBorder="1" applyAlignment="1" applyProtection="1">
      <alignment horizontal="right" vertical="center" wrapText="1"/>
    </xf>
    <xf numFmtId="3" fontId="9" fillId="0" borderId="35" xfId="15" applyNumberFormat="1" applyFont="1" applyFill="1" applyBorder="1" applyAlignment="1" applyProtection="1">
      <alignment horizontal="right" vertical="center" wrapText="1"/>
    </xf>
    <xf numFmtId="189" fontId="8" fillId="0" borderId="35" xfId="11" applyNumberFormat="1" applyFont="1" applyFill="1" applyBorder="1" applyAlignment="1" applyProtection="1">
      <alignment horizontal="right" vertical="center" wrapText="1"/>
    </xf>
    <xf numFmtId="167" fontId="8" fillId="0" borderId="35" xfId="11" applyNumberFormat="1" applyFont="1" applyFill="1" applyBorder="1" applyAlignment="1">
      <alignment horizontal="right" vertical="center" wrapText="1"/>
    </xf>
    <xf numFmtId="167" fontId="9" fillId="0" borderId="35" xfId="11" applyNumberFormat="1" applyFont="1" applyFill="1" applyBorder="1" applyAlignment="1">
      <alignment horizontal="right" vertical="center" wrapText="1"/>
    </xf>
    <xf numFmtId="189" fontId="9" fillId="0" borderId="35" xfId="11" applyNumberFormat="1" applyFont="1" applyFill="1" applyBorder="1" applyAlignment="1" applyProtection="1">
      <alignment horizontal="right" vertical="center" wrapText="1"/>
    </xf>
    <xf numFmtId="167" fontId="9" fillId="2" borderId="0" xfId="8" applyNumberFormat="1" applyFont="1" applyFill="1" applyAlignment="1">
      <alignment vertical="center"/>
    </xf>
    <xf numFmtId="3" fontId="8" fillId="0" borderId="35" xfId="15" applyNumberFormat="1" applyFont="1" applyFill="1" applyBorder="1" applyAlignment="1">
      <alignment horizontal="right" vertical="center" wrapText="1"/>
    </xf>
    <xf numFmtId="190" fontId="9" fillId="2" borderId="0" xfId="8" applyNumberFormat="1" applyFont="1" applyFill="1" applyBorder="1" applyAlignment="1">
      <alignment horizontal="right"/>
    </xf>
    <xf numFmtId="0" fontId="9" fillId="2" borderId="35" xfId="8" applyFont="1" applyFill="1" applyBorder="1" applyAlignment="1">
      <alignment horizontal="right" vertical="top"/>
    </xf>
    <xf numFmtId="172" fontId="9" fillId="2" borderId="35" xfId="8" applyNumberFormat="1" applyFont="1" applyFill="1" applyBorder="1" applyAlignment="1">
      <alignment horizontal="right" vertical="top"/>
    </xf>
    <xf numFmtId="3" fontId="8" fillId="0" borderId="35" xfId="17" applyNumberFormat="1" applyFont="1" applyFill="1" applyBorder="1" applyAlignment="1">
      <alignment horizontal="right"/>
    </xf>
    <xf numFmtId="3" fontId="8" fillId="0" borderId="35" xfId="8" applyNumberFormat="1" applyFont="1" applyFill="1" applyBorder="1" applyAlignment="1">
      <alignment horizontal="right"/>
    </xf>
    <xf numFmtId="49" fontId="8" fillId="2" borderId="0" xfId="8" applyNumberFormat="1" applyFont="1" applyFill="1" applyAlignment="1">
      <alignment vertical="center"/>
    </xf>
    <xf numFmtId="3" fontId="10" fillId="0" borderId="35" xfId="11" applyNumberFormat="1" applyFont="1" applyFill="1" applyBorder="1" applyAlignment="1">
      <alignment horizontal="right" vertical="center" wrapText="1"/>
    </xf>
    <xf numFmtId="3" fontId="12" fillId="0" borderId="35" xfId="6" applyNumberFormat="1" applyFont="1" applyBorder="1" applyAlignment="1">
      <alignment vertical="center"/>
    </xf>
    <xf numFmtId="3" fontId="12" fillId="0" borderId="35" xfId="6" applyNumberFormat="1" applyFont="1" applyBorder="1" applyAlignment="1">
      <alignment horizontal="right"/>
    </xf>
    <xf numFmtId="3" fontId="11" fillId="0" borderId="35" xfId="0" applyNumberFormat="1" applyFont="1" applyBorder="1"/>
    <xf numFmtId="164" fontId="3" fillId="0" borderId="0" xfId="0" applyNumberFormat="1" applyFont="1" applyFill="1" applyBorder="1" applyAlignment="1">
      <alignment horizontal="center" vertical="center" wrapText="1"/>
    </xf>
    <xf numFmtId="0" fontId="17" fillId="0" borderId="0" xfId="0" applyFont="1"/>
    <xf numFmtId="0" fontId="0" fillId="0" borderId="0" xfId="0" applyFont="1" applyFill="1"/>
    <xf numFmtId="0" fontId="2" fillId="0" borderId="0" xfId="0" applyFont="1" applyFill="1"/>
    <xf numFmtId="0" fontId="17" fillId="0" borderId="0" xfId="0" applyFont="1" applyFill="1"/>
    <xf numFmtId="0" fontId="11" fillId="0" borderId="0" xfId="0" applyFont="1"/>
    <xf numFmtId="3" fontId="79" fillId="0" borderId="35" xfId="35" applyNumberFormat="1" applyFont="1" applyFill="1" applyBorder="1" applyAlignment="1">
      <alignment horizontal="right"/>
    </xf>
    <xf numFmtId="0" fontId="15" fillId="4" borderId="35" xfId="8" applyNumberFormat="1" applyFont="1" applyFill="1" applyBorder="1" applyAlignment="1">
      <alignment vertical="center"/>
    </xf>
    <xf numFmtId="3" fontId="15" fillId="4" borderId="35" xfId="8" applyNumberFormat="1" applyFont="1" applyFill="1" applyBorder="1" applyAlignment="1">
      <alignment horizontal="right" vertical="center"/>
    </xf>
    <xf numFmtId="0" fontId="15" fillId="4" borderId="35" xfId="8" applyNumberFormat="1" applyFont="1" applyFill="1" applyBorder="1" applyAlignment="1">
      <alignment horizontal="right" vertical="center"/>
    </xf>
    <xf numFmtId="49" fontId="8" fillId="0" borderId="35" xfId="8" applyNumberFormat="1" applyFont="1" applyFill="1" applyBorder="1" applyAlignment="1">
      <alignment horizontal="center" vertical="center"/>
    </xf>
    <xf numFmtId="0" fontId="12" fillId="3" borderId="0" xfId="0" applyNumberFormat="1" applyFont="1" applyFill="1" applyBorder="1" applyAlignment="1">
      <alignment horizontal="left"/>
    </xf>
    <xf numFmtId="0" fontId="9" fillId="2" borderId="0" xfId="0" applyFont="1" applyFill="1" applyAlignment="1">
      <alignment horizontal="center" vertical="center"/>
    </xf>
    <xf numFmtId="0" fontId="8" fillId="3" borderId="0" xfId="0" applyFont="1" applyFill="1" applyAlignment="1">
      <alignment horizontal="left" vertical="center"/>
    </xf>
    <xf numFmtId="170" fontId="8" fillId="3" borderId="0" xfId="0" applyNumberFormat="1" applyFont="1" applyFill="1" applyAlignment="1">
      <alignment horizontal="left" vertical="center"/>
    </xf>
    <xf numFmtId="170" fontId="8" fillId="2" borderId="0" xfId="0" applyNumberFormat="1" applyFont="1" applyFill="1" applyAlignment="1">
      <alignment horizontal="left" vertical="center"/>
    </xf>
    <xf numFmtId="0" fontId="9" fillId="2" borderId="0" xfId="0" applyFont="1" applyFill="1" applyAlignment="1">
      <alignment horizontal="left" vertical="center"/>
    </xf>
    <xf numFmtId="0" fontId="12" fillId="0" borderId="0" xfId="0" applyNumberFormat="1" applyFont="1" applyFill="1" applyBorder="1" applyAlignment="1">
      <alignment horizontal="left"/>
    </xf>
    <xf numFmtId="0" fontId="11" fillId="3" borderId="0" xfId="0" applyFont="1" applyFill="1" applyBorder="1"/>
    <xf numFmtId="0" fontId="11" fillId="0" borderId="0" xfId="0" applyFont="1" applyBorder="1"/>
    <xf numFmtId="0" fontId="11" fillId="0" borderId="0" xfId="0" applyNumberFormat="1" applyFont="1" applyFill="1" applyBorder="1" applyAlignment="1"/>
    <xf numFmtId="0" fontId="8" fillId="2" borderId="0" xfId="0" applyFont="1" applyFill="1" applyAlignment="1">
      <alignment horizontal="left" vertical="center"/>
    </xf>
    <xf numFmtId="43" fontId="12" fillId="0" borderId="0" xfId="7" applyFont="1" applyFill="1" applyBorder="1" applyAlignment="1">
      <alignment horizontal="center" vertical="center"/>
    </xf>
    <xf numFmtId="43" fontId="13" fillId="0" borderId="0" xfId="7" applyFont="1" applyBorder="1" applyAlignment="1">
      <alignment horizontal="center" vertical="center"/>
    </xf>
    <xf numFmtId="0" fontId="11" fillId="0" borderId="0" xfId="0" applyFont="1" applyFill="1" applyAlignment="1">
      <alignment vertical="center"/>
    </xf>
    <xf numFmtId="0" fontId="19" fillId="0" borderId="0" xfId="0" applyFont="1" applyFill="1" applyAlignment="1">
      <alignment vertical="center"/>
    </xf>
    <xf numFmtId="0" fontId="19" fillId="0" borderId="0" xfId="0" applyNumberFormat="1" applyFont="1" applyFill="1" applyBorder="1" applyAlignment="1"/>
    <xf numFmtId="3" fontId="12" fillId="0" borderId="35" xfId="1" applyNumberFormat="1" applyFont="1" applyBorder="1" applyAlignment="1">
      <alignment horizontal="right" vertical="center"/>
    </xf>
    <xf numFmtId="3" fontId="12" fillId="0" borderId="35" xfId="0" applyNumberFormat="1" applyFont="1" applyFill="1" applyBorder="1" applyAlignment="1">
      <alignment vertical="center"/>
    </xf>
    <xf numFmtId="3" fontId="12" fillId="0" borderId="35" xfId="1" applyNumberFormat="1" applyFont="1" applyBorder="1" applyAlignment="1">
      <alignment horizontal="right"/>
    </xf>
    <xf numFmtId="3" fontId="12" fillId="0" borderId="35" xfId="0" applyNumberFormat="1" applyFont="1" applyBorder="1"/>
    <xf numFmtId="3" fontId="12" fillId="0" borderId="35" xfId="0" applyNumberFormat="1" applyFont="1" applyFill="1" applyBorder="1"/>
    <xf numFmtId="3" fontId="11" fillId="0" borderId="35" xfId="1" applyNumberFormat="1" applyFont="1" applyBorder="1" applyAlignment="1">
      <alignment horizontal="right"/>
    </xf>
    <xf numFmtId="3" fontId="12" fillId="0" borderId="35" xfId="6" applyNumberFormat="1" applyFont="1" applyBorder="1"/>
    <xf numFmtId="164" fontId="3" fillId="0" borderId="0" xfId="0" applyNumberFormat="1" applyFont="1" applyFill="1" applyBorder="1" applyAlignment="1">
      <alignment vertical="center" wrapText="1"/>
    </xf>
    <xf numFmtId="0" fontId="13" fillId="0" borderId="8" xfId="0" applyFont="1" applyFill="1" applyBorder="1" applyAlignment="1">
      <alignment horizontal="center" vertical="center"/>
    </xf>
    <xf numFmtId="200" fontId="9" fillId="2" borderId="0" xfId="2" applyNumberFormat="1" applyFont="1" applyFill="1" applyAlignment="1">
      <alignment vertical="center"/>
    </xf>
    <xf numFmtId="1" fontId="25" fillId="3" borderId="0" xfId="0" applyNumberFormat="1" applyFont="1" applyFill="1" applyBorder="1" applyAlignment="1">
      <alignment horizontal="right" vertical="center"/>
    </xf>
    <xf numFmtId="0" fontId="26" fillId="0" borderId="0" xfId="0" applyNumberFormat="1" applyFont="1" applyFill="1"/>
    <xf numFmtId="0" fontId="26" fillId="0" borderId="0" xfId="0" applyNumberFormat="1" applyFont="1" applyAlignment="1">
      <alignment vertical="top"/>
    </xf>
    <xf numFmtId="0" fontId="38" fillId="0" borderId="0" xfId="0" applyNumberFormat="1" applyFont="1" applyAlignment="1">
      <alignment vertical="top"/>
    </xf>
    <xf numFmtId="0" fontId="11" fillId="0" borderId="0" xfId="0" applyFont="1"/>
    <xf numFmtId="49" fontId="8" fillId="0" borderId="0" xfId="0" applyNumberFormat="1" applyFont="1" applyFill="1" applyBorder="1" applyAlignment="1">
      <alignment horizontal="left"/>
    </xf>
    <xf numFmtId="201" fontId="39" fillId="0" borderId="0" xfId="24" applyNumberFormat="1" applyFont="1" applyFill="1" applyBorder="1" applyAlignment="1">
      <alignment horizontal="right" vertical="top"/>
    </xf>
    <xf numFmtId="181" fontId="39" fillId="0" borderId="0" xfId="2" applyNumberFormat="1" applyFont="1" applyFill="1" applyBorder="1" applyAlignment="1">
      <alignment horizontal="right" vertical="top"/>
    </xf>
    <xf numFmtId="0" fontId="47" fillId="0" borderId="0" xfId="0" applyNumberFormat="1" applyFont="1" applyBorder="1" applyAlignment="1">
      <alignment horizontal="center"/>
    </xf>
    <xf numFmtId="0" fontId="26" fillId="0" borderId="0" xfId="0" applyNumberFormat="1" applyFont="1"/>
    <xf numFmtId="3" fontId="26" fillId="0" borderId="0" xfId="0" applyNumberFormat="1" applyFont="1"/>
    <xf numFmtId="195" fontId="26" fillId="0" borderId="0" xfId="0" applyNumberFormat="1" applyFont="1"/>
    <xf numFmtId="197" fontId="26" fillId="0" borderId="0" xfId="0" applyNumberFormat="1" applyFont="1"/>
    <xf numFmtId="0" fontId="35" fillId="0" borderId="0" xfId="0" applyNumberFormat="1" applyFont="1" applyBorder="1" applyAlignment="1">
      <alignment vertical="top"/>
    </xf>
    <xf numFmtId="0" fontId="35" fillId="0" borderId="0" xfId="0" applyNumberFormat="1" applyFont="1" applyBorder="1" applyAlignment="1">
      <alignment horizontal="center"/>
    </xf>
    <xf numFmtId="179" fontId="35" fillId="0" borderId="0" xfId="0" applyNumberFormat="1" applyFont="1" applyBorder="1" applyAlignment="1">
      <alignment horizontal="center"/>
    </xf>
    <xf numFmtId="0" fontId="35" fillId="0" borderId="0" xfId="0" applyNumberFormat="1" applyFont="1" applyFill="1" applyBorder="1" applyAlignment="1">
      <alignment horizontal="center"/>
    </xf>
    <xf numFmtId="43" fontId="26" fillId="0" borderId="35" xfId="7" applyFont="1" applyFill="1" applyBorder="1" applyAlignment="1"/>
    <xf numFmtId="0" fontId="38" fillId="0" borderId="0" xfId="0" applyNumberFormat="1" applyFont="1"/>
    <xf numFmtId="173" fontId="43" fillId="0" borderId="35" xfId="20" applyFont="1" applyFill="1" applyBorder="1" applyAlignment="1">
      <alignment vertical="center"/>
    </xf>
    <xf numFmtId="173" fontId="47" fillId="0" borderId="35" xfId="20" applyFont="1" applyFill="1" applyBorder="1" applyAlignment="1">
      <alignment horizontal="center" vertical="center" wrapText="1"/>
    </xf>
    <xf numFmtId="0" fontId="0" fillId="0" borderId="35" xfId="0" applyBorder="1"/>
    <xf numFmtId="49" fontId="8" fillId="0" borderId="35" xfId="0" applyNumberFormat="1" applyFont="1" applyFill="1" applyBorder="1" applyAlignment="1">
      <alignment horizontal="left" vertical="center"/>
    </xf>
    <xf numFmtId="49" fontId="8" fillId="0" borderId="35" xfId="0" applyNumberFormat="1" applyFont="1" applyFill="1" applyBorder="1" applyAlignment="1">
      <alignment horizontal="center"/>
    </xf>
    <xf numFmtId="0" fontId="10" fillId="0" borderId="35" xfId="0" applyFont="1" applyFill="1" applyBorder="1" applyAlignment="1">
      <alignment horizontal="left" vertical="center"/>
    </xf>
    <xf numFmtId="164" fontId="9" fillId="0" borderId="35" xfId="0" applyNumberFormat="1" applyFont="1" applyFill="1" applyBorder="1" applyAlignment="1">
      <alignment horizontal="center"/>
    </xf>
    <xf numFmtId="0" fontId="11" fillId="0" borderId="35" xfId="0" applyFont="1" applyFill="1" applyBorder="1" applyAlignment="1">
      <alignment horizontal="center"/>
    </xf>
    <xf numFmtId="0" fontId="0" fillId="0" borderId="0" xfId="0" applyFont="1" applyBorder="1"/>
    <xf numFmtId="0" fontId="0" fillId="0" borderId="0" xfId="0" applyFont="1"/>
    <xf numFmtId="49" fontId="9" fillId="0" borderId="35" xfId="0" applyNumberFormat="1" applyFont="1" applyFill="1" applyBorder="1" applyAlignment="1">
      <alignment horizontal="left"/>
    </xf>
    <xf numFmtId="0" fontId="82" fillId="0" borderId="0" xfId="0" applyFont="1"/>
    <xf numFmtId="49" fontId="8" fillId="0" borderId="0" xfId="0" applyNumberFormat="1" applyFont="1" applyFill="1" applyBorder="1" applyAlignment="1">
      <alignment horizontal="center"/>
    </xf>
    <xf numFmtId="0" fontId="3" fillId="0" borderId="20" xfId="8" applyNumberFormat="1" applyFont="1" applyFill="1" applyBorder="1" applyAlignment="1"/>
    <xf numFmtId="15" fontId="11" fillId="0" borderId="35" xfId="0" applyNumberFormat="1" applyFont="1" applyBorder="1" applyAlignment="1">
      <alignment horizontal="center" vertical="center"/>
    </xf>
    <xf numFmtId="49" fontId="8" fillId="2" borderId="0" xfId="8" applyNumberFormat="1" applyFont="1" applyFill="1" applyAlignment="1">
      <alignment vertical="top"/>
    </xf>
    <xf numFmtId="164" fontId="8" fillId="9" borderId="35" xfId="8" applyNumberFormat="1" applyFont="1" applyFill="1" applyBorder="1" applyAlignment="1">
      <alignment horizontal="right"/>
    </xf>
    <xf numFmtId="49" fontId="8" fillId="2" borderId="20" xfId="8" applyNumberFormat="1" applyFont="1" applyFill="1" applyBorder="1" applyAlignment="1">
      <alignment vertical="center" wrapText="1"/>
    </xf>
    <xf numFmtId="179" fontId="8" fillId="9" borderId="35" xfId="8" applyNumberFormat="1" applyFont="1" applyFill="1" applyBorder="1" applyAlignment="1">
      <alignment horizontal="right"/>
    </xf>
    <xf numFmtId="49" fontId="8" fillId="2" borderId="20" xfId="8" applyNumberFormat="1" applyFont="1" applyFill="1" applyBorder="1" applyAlignment="1">
      <alignment vertical="top"/>
    </xf>
    <xf numFmtId="177" fontId="9" fillId="0" borderId="42" xfId="8" applyNumberFormat="1" applyFont="1" applyFill="1" applyBorder="1" applyAlignment="1">
      <alignment horizontal="right"/>
    </xf>
    <xf numFmtId="177" fontId="8" fillId="0" borderId="22" xfId="8" applyNumberFormat="1" applyFont="1" applyFill="1" applyBorder="1" applyAlignment="1">
      <alignment horizontal="right"/>
    </xf>
    <xf numFmtId="177" fontId="8" fillId="0" borderId="28" xfId="8" applyNumberFormat="1" applyFont="1" applyFill="1" applyBorder="1" applyAlignment="1">
      <alignment horizontal="right"/>
    </xf>
    <xf numFmtId="1" fontId="8" fillId="0" borderId="29" xfId="8" applyNumberFormat="1" applyFont="1" applyFill="1" applyBorder="1" applyAlignment="1">
      <alignment horizontal="right"/>
    </xf>
    <xf numFmtId="1" fontId="8" fillId="0" borderId="22" xfId="8" applyNumberFormat="1" applyFont="1" applyFill="1" applyBorder="1" applyAlignment="1">
      <alignment horizontal="right"/>
    </xf>
    <xf numFmtId="179" fontId="8" fillId="0" borderId="22" xfId="8" applyNumberFormat="1" applyFont="1" applyFill="1" applyBorder="1" applyAlignment="1">
      <alignment horizontal="right"/>
    </xf>
    <xf numFmtId="0" fontId="9" fillId="0" borderId="0" xfId="8" applyFont="1" applyFill="1" applyAlignment="1">
      <alignment vertical="center"/>
    </xf>
    <xf numFmtId="186" fontId="10" fillId="0" borderId="35" xfId="8" applyNumberFormat="1" applyFont="1" applyFill="1" applyBorder="1" applyAlignment="1">
      <alignment horizontal="right" vertical="center"/>
    </xf>
    <xf numFmtId="167" fontId="15" fillId="9" borderId="35" xfId="11" applyNumberFormat="1" applyFont="1" applyFill="1" applyBorder="1" applyAlignment="1" applyProtection="1">
      <alignment horizontal="right" vertical="center" wrapText="1"/>
    </xf>
    <xf numFmtId="49" fontId="8" fillId="2" borderId="0" xfId="8" applyNumberFormat="1" applyFont="1" applyFill="1" applyAlignment="1">
      <alignment vertical="top" wrapText="1"/>
    </xf>
    <xf numFmtId="202" fontId="9" fillId="2" borderId="35" xfId="8" applyNumberFormat="1" applyFont="1" applyFill="1" applyBorder="1" applyAlignment="1">
      <alignment horizontal="right"/>
    </xf>
    <xf numFmtId="0" fontId="75" fillId="0" borderId="0" xfId="0" applyFont="1" applyBorder="1" applyAlignment="1">
      <alignment vertical="center"/>
    </xf>
    <xf numFmtId="0" fontId="11" fillId="0" borderId="0" xfId="0" applyNumberFormat="1" applyFont="1"/>
    <xf numFmtId="0" fontId="26" fillId="0" borderId="0" xfId="0" applyNumberFormat="1" applyFont="1" applyAlignment="1">
      <alignment horizontal="center"/>
    </xf>
    <xf numFmtId="0" fontId="35" fillId="0" borderId="0" xfId="0" applyNumberFormat="1" applyFont="1" applyFill="1"/>
    <xf numFmtId="0" fontId="26" fillId="0" borderId="0" xfId="0" applyNumberFormat="1" applyFont="1" applyFill="1" applyAlignment="1">
      <alignment horizontal="center"/>
    </xf>
    <xf numFmtId="3" fontId="39" fillId="0" borderId="35" xfId="1" applyNumberFormat="1" applyFont="1" applyFill="1" applyBorder="1" applyAlignment="1">
      <alignment horizontal="right" vertical="top"/>
    </xf>
    <xf numFmtId="3" fontId="25" fillId="0" borderId="35" xfId="1" applyNumberFormat="1" applyFont="1" applyFill="1" applyBorder="1" applyAlignment="1">
      <alignment horizontal="right" vertical="top"/>
    </xf>
    <xf numFmtId="0" fontId="26" fillId="3" borderId="0" xfId="0" applyNumberFormat="1" applyFont="1" applyFill="1"/>
    <xf numFmtId="3" fontId="26" fillId="0" borderId="35" xfId="1" applyNumberFormat="1" applyFont="1" applyFill="1" applyBorder="1" applyAlignment="1"/>
    <xf numFmtId="0" fontId="54" fillId="0" borderId="0" xfId="0" applyFont="1" applyFill="1"/>
    <xf numFmtId="0" fontId="55" fillId="0" borderId="0" xfId="0" applyFont="1" applyFill="1"/>
    <xf numFmtId="3" fontId="14" fillId="0" borderId="0" xfId="1" applyNumberFormat="1" applyFont="1" applyFill="1" applyBorder="1" applyAlignment="1"/>
    <xf numFmtId="2" fontId="17" fillId="0" borderId="0" xfId="0" applyNumberFormat="1" applyFont="1" applyFill="1"/>
    <xf numFmtId="0" fontId="0" fillId="3" borderId="0" xfId="0" applyFont="1" applyFill="1"/>
    <xf numFmtId="0" fontId="9" fillId="0" borderId="35" xfId="0" applyFont="1" applyFill="1" applyBorder="1" applyAlignment="1">
      <alignment horizontal="right"/>
    </xf>
    <xf numFmtId="3" fontId="9" fillId="0" borderId="35" xfId="0" applyNumberFormat="1" applyFont="1" applyFill="1" applyBorder="1" applyAlignment="1">
      <alignment horizontal="right" vertical="center"/>
    </xf>
    <xf numFmtId="0" fontId="11" fillId="0" borderId="35" xfId="0" applyFont="1" applyFill="1" applyBorder="1"/>
    <xf numFmtId="3" fontId="11" fillId="0" borderId="35" xfId="0" applyNumberFormat="1" applyFont="1" applyFill="1" applyBorder="1"/>
    <xf numFmtId="3" fontId="11" fillId="0" borderId="35" xfId="0" applyNumberFormat="1" applyFont="1" applyFill="1" applyBorder="1" applyAlignment="1">
      <alignment horizontal="right"/>
    </xf>
    <xf numFmtId="0" fontId="9" fillId="0" borderId="35" xfId="0" applyFont="1" applyFill="1" applyBorder="1" applyAlignment="1">
      <alignment horizontal="right" vertical="top"/>
    </xf>
    <xf numFmtId="1" fontId="11" fillId="0" borderId="35" xfId="0" applyNumberFormat="1" applyFont="1" applyFill="1" applyBorder="1"/>
    <xf numFmtId="3" fontId="8" fillId="11" borderId="17" xfId="0" applyNumberFormat="1" applyFont="1" applyFill="1" applyBorder="1" applyAlignment="1">
      <alignment horizontal="right"/>
    </xf>
    <xf numFmtId="164" fontId="8" fillId="11" borderId="4" xfId="0" applyNumberFormat="1" applyFont="1" applyFill="1" applyBorder="1" applyAlignment="1">
      <alignment horizontal="right" vertical="top"/>
    </xf>
    <xf numFmtId="167" fontId="21" fillId="11" borderId="4" xfId="1" applyNumberFormat="1" applyFont="1" applyFill="1" applyBorder="1" applyAlignment="1">
      <alignment vertical="top" wrapText="1"/>
    </xf>
    <xf numFmtId="3" fontId="8" fillId="11" borderId="35" xfId="0" applyNumberFormat="1" applyFont="1" applyFill="1" applyBorder="1" applyAlignment="1">
      <alignment horizontal="right" vertical="top"/>
    </xf>
    <xf numFmtId="3" fontId="8" fillId="11" borderId="4" xfId="0" applyNumberFormat="1" applyFont="1" applyFill="1" applyBorder="1" applyAlignment="1">
      <alignment horizontal="right" vertical="top"/>
    </xf>
    <xf numFmtId="3" fontId="8" fillId="11" borderId="4" xfId="0" applyNumberFormat="1" applyFont="1" applyFill="1" applyBorder="1" applyAlignment="1">
      <alignment horizontal="right" vertical="center"/>
    </xf>
    <xf numFmtId="3" fontId="8" fillId="11" borderId="4" xfId="0" applyNumberFormat="1" applyFont="1" applyFill="1" applyBorder="1" applyAlignment="1">
      <alignment horizontal="right"/>
    </xf>
    <xf numFmtId="3" fontId="19" fillId="11" borderId="4" xfId="5" applyNumberFormat="1" applyFont="1" applyFill="1" applyBorder="1"/>
    <xf numFmtId="3" fontId="8" fillId="11" borderId="12" xfId="8" applyNumberFormat="1" applyFont="1" applyFill="1" applyBorder="1" applyAlignment="1">
      <alignment horizontal="right"/>
    </xf>
    <xf numFmtId="3" fontId="15" fillId="11" borderId="35" xfId="8" applyNumberFormat="1" applyFont="1" applyFill="1" applyBorder="1" applyAlignment="1">
      <alignment horizontal="right" vertical="center"/>
    </xf>
    <xf numFmtId="3" fontId="10" fillId="0" borderId="35" xfId="11" applyNumberFormat="1" applyFont="1" applyFill="1" applyBorder="1" applyAlignment="1" applyProtection="1">
      <alignment horizontal="right" vertical="center" wrapText="1"/>
      <protection locked="0"/>
    </xf>
    <xf numFmtId="3" fontId="8" fillId="0" borderId="39" xfId="17" applyNumberFormat="1" applyFont="1" applyFill="1" applyBorder="1" applyAlignment="1">
      <alignment horizontal="right"/>
    </xf>
    <xf numFmtId="179" fontId="12" fillId="0" borderId="0" xfId="8" applyNumberFormat="1" applyFont="1" applyFill="1" applyBorder="1" applyAlignment="1"/>
    <xf numFmtId="3" fontId="79" fillId="0" borderId="35" xfId="0" applyNumberFormat="1" applyFont="1" applyFill="1" applyBorder="1" applyAlignment="1">
      <alignment horizontal="right"/>
    </xf>
    <xf numFmtId="3" fontId="85" fillId="0" borderId="35" xfId="0" applyNumberFormat="1" applyFont="1" applyFill="1" applyBorder="1" applyAlignment="1">
      <alignment horizontal="right" vertical="center" wrapText="1"/>
    </xf>
    <xf numFmtId="0" fontId="86" fillId="0" borderId="35" xfId="0" applyFont="1" applyBorder="1" applyAlignment="1">
      <alignment horizontal="left"/>
    </xf>
    <xf numFmtId="3" fontId="86" fillId="0" borderId="35" xfId="0" applyNumberFormat="1" applyFont="1" applyBorder="1" applyAlignment="1">
      <alignment horizontal="right"/>
    </xf>
    <xf numFmtId="0" fontId="11" fillId="0" borderId="4" xfId="5" applyFont="1" applyFill="1" applyBorder="1"/>
    <xf numFmtId="1" fontId="11" fillId="0" borderId="4" xfId="5" applyNumberFormat="1" applyFont="1" applyFill="1" applyBorder="1"/>
    <xf numFmtId="198" fontId="59" fillId="3" borderId="35" xfId="0" quotePrefix="1" applyNumberFormat="1" applyFont="1" applyFill="1" applyBorder="1" applyAlignment="1">
      <alignment horizontal="center" vertical="top"/>
    </xf>
    <xf numFmtId="167" fontId="60" fillId="3" borderId="35" xfId="7" applyNumberFormat="1" applyFont="1" applyFill="1" applyBorder="1" applyAlignment="1">
      <alignment horizontal="right" vertical="top"/>
    </xf>
    <xf numFmtId="3" fontId="49" fillId="3" borderId="35" xfId="7" applyNumberFormat="1" applyFont="1" applyFill="1" applyBorder="1" applyAlignment="1">
      <alignment horizontal="right" vertical="top"/>
    </xf>
    <xf numFmtId="196" fontId="60" fillId="3" borderId="35" xfId="0" applyNumberFormat="1" applyFont="1" applyFill="1" applyBorder="1" applyAlignment="1">
      <alignment horizontal="left" vertical="top"/>
    </xf>
    <xf numFmtId="3" fontId="61" fillId="9" borderId="35" xfId="7" applyNumberFormat="1" applyFont="1" applyFill="1" applyBorder="1" applyAlignment="1">
      <alignment horizontal="right" vertical="top"/>
    </xf>
    <xf numFmtId="167" fontId="61" fillId="9" borderId="35" xfId="7" applyNumberFormat="1" applyFont="1" applyFill="1" applyBorder="1" applyAlignment="1">
      <alignment horizontal="right" vertical="top"/>
    </xf>
    <xf numFmtId="3" fontId="59" fillId="3" borderId="35" xfId="7" quotePrefix="1" applyNumberFormat="1" applyFont="1" applyFill="1" applyBorder="1" applyAlignment="1">
      <alignment horizontal="center" vertical="top"/>
    </xf>
    <xf numFmtId="167" fontId="60" fillId="0" borderId="35" xfId="7" applyNumberFormat="1" applyFont="1" applyFill="1" applyBorder="1" applyAlignment="1">
      <alignment horizontal="right" vertical="top"/>
    </xf>
    <xf numFmtId="1" fontId="60" fillId="3" borderId="35" xfId="7" applyNumberFormat="1" applyFont="1" applyFill="1" applyBorder="1" applyAlignment="1">
      <alignment horizontal="right" vertical="top"/>
    </xf>
    <xf numFmtId="3" fontId="26" fillId="3" borderId="35" xfId="7" applyNumberFormat="1" applyFont="1" applyFill="1" applyBorder="1" applyAlignment="1">
      <alignment horizontal="right" vertical="top"/>
    </xf>
    <xf numFmtId="196" fontId="60" fillId="3" borderId="35" xfId="0" applyNumberFormat="1" applyFont="1" applyFill="1" applyBorder="1" applyAlignment="1">
      <alignment horizontal="right" vertical="top"/>
    </xf>
    <xf numFmtId="3" fontId="59" fillId="9" borderId="35" xfId="7" applyNumberFormat="1" applyFont="1" applyFill="1" applyBorder="1" applyAlignment="1">
      <alignment horizontal="center" vertical="top"/>
    </xf>
    <xf numFmtId="3" fontId="59" fillId="9" borderId="35" xfId="7" applyNumberFormat="1" applyFont="1" applyFill="1" applyBorder="1" applyAlignment="1">
      <alignment horizontal="right" vertical="top"/>
    </xf>
    <xf numFmtId="196" fontId="61" fillId="9" borderId="35" xfId="7" applyNumberFormat="1" applyFont="1" applyFill="1" applyBorder="1" applyAlignment="1">
      <alignment horizontal="left" vertical="top"/>
    </xf>
    <xf numFmtId="17" fontId="39" fillId="9" borderId="35" xfId="28" applyNumberFormat="1" applyFont="1" applyFill="1" applyBorder="1" applyAlignment="1">
      <alignment horizontal="center" vertical="center" wrapText="1"/>
    </xf>
    <xf numFmtId="198" fontId="49" fillId="0" borderId="35" xfId="20" applyNumberFormat="1" applyFont="1" applyFill="1" applyBorder="1" applyAlignment="1">
      <alignment horizontal="left" vertical="top"/>
    </xf>
    <xf numFmtId="198" fontId="49" fillId="3" borderId="35" xfId="20" applyNumberFormat="1" applyFont="1" applyFill="1" applyBorder="1" applyAlignment="1">
      <alignment horizontal="left" vertical="top"/>
    </xf>
    <xf numFmtId="3" fontId="59" fillId="9" borderId="35" xfId="7" applyNumberFormat="1" applyFont="1" applyFill="1" applyBorder="1" applyAlignment="1">
      <alignment horizontal="left" vertical="top" wrapText="1"/>
    </xf>
    <xf numFmtId="3" fontId="59" fillId="9" borderId="35" xfId="7" applyNumberFormat="1" applyFont="1" applyFill="1" applyBorder="1" applyAlignment="1">
      <alignment horizontal="left" vertical="top"/>
    </xf>
    <xf numFmtId="198" fontId="49" fillId="0" borderId="35" xfId="0" applyNumberFormat="1" applyFont="1" applyFill="1" applyBorder="1" applyAlignment="1">
      <alignment horizontal="left" vertical="top"/>
    </xf>
    <xf numFmtId="198" fontId="49" fillId="3" borderId="35" xfId="0" applyNumberFormat="1" applyFont="1" applyFill="1" applyBorder="1" applyAlignment="1">
      <alignment horizontal="left" vertical="top"/>
    </xf>
    <xf numFmtId="1" fontId="60" fillId="0" borderId="35" xfId="7" applyNumberFormat="1" applyFont="1" applyFill="1" applyBorder="1" applyAlignment="1">
      <alignment horizontal="right" vertical="top"/>
    </xf>
    <xf numFmtId="198" fontId="59" fillId="0" borderId="35" xfId="20" quotePrefix="1" applyNumberFormat="1" applyFont="1" applyFill="1" applyBorder="1" applyAlignment="1">
      <alignment horizontal="center" vertical="top" wrapText="1"/>
    </xf>
    <xf numFmtId="3" fontId="49" fillId="0" borderId="35" xfId="7" applyNumberFormat="1" applyFont="1" applyFill="1" applyBorder="1" applyAlignment="1">
      <alignment horizontal="right" vertical="top"/>
    </xf>
    <xf numFmtId="1" fontId="62" fillId="3" borderId="35" xfId="7" applyNumberFormat="1" applyFont="1" applyFill="1" applyBorder="1" applyAlignment="1">
      <alignment horizontal="right" vertical="center"/>
    </xf>
    <xf numFmtId="198" fontId="49" fillId="3" borderId="35" xfId="20" applyNumberFormat="1" applyFont="1" applyFill="1" applyBorder="1" applyAlignment="1">
      <alignment horizontal="left" vertical="top" wrapText="1"/>
    </xf>
    <xf numFmtId="3" fontId="59" fillId="0" borderId="35" xfId="7" quotePrefix="1" applyNumberFormat="1" applyFont="1" applyFill="1" applyBorder="1" applyAlignment="1">
      <alignment horizontal="center" vertical="top"/>
    </xf>
    <xf numFmtId="196" fontId="59" fillId="3" borderId="35" xfId="0" quotePrefix="1" applyNumberFormat="1" applyFont="1" applyFill="1" applyBorder="1" applyAlignment="1">
      <alignment horizontal="left" vertical="top"/>
    </xf>
    <xf numFmtId="196" fontId="25" fillId="9" borderId="35" xfId="20" applyNumberFormat="1" applyFont="1" applyFill="1" applyBorder="1" applyAlignment="1">
      <alignment horizontal="center" vertical="center" wrapText="1"/>
    </xf>
    <xf numFmtId="196" fontId="39" fillId="9" borderId="35" xfId="20" applyNumberFormat="1" applyFont="1" applyFill="1" applyBorder="1" applyAlignment="1">
      <alignment horizontal="center" vertical="center" wrapText="1"/>
    </xf>
    <xf numFmtId="196" fontId="63" fillId="9" borderId="35" xfId="20" applyNumberFormat="1" applyFont="1" applyFill="1" applyBorder="1" applyAlignment="1">
      <alignment horizontal="center" vertical="center" wrapText="1"/>
    </xf>
    <xf numFmtId="167" fontId="64" fillId="9" borderId="35" xfId="7" applyNumberFormat="1" applyFont="1" applyFill="1" applyBorder="1" applyAlignment="1">
      <alignment horizontal="right" vertical="top"/>
    </xf>
    <xf numFmtId="3" fontId="65" fillId="9" borderId="35" xfId="7" applyNumberFormat="1" applyFont="1" applyFill="1" applyBorder="1" applyAlignment="1">
      <alignment horizontal="right" vertical="top"/>
    </xf>
    <xf numFmtId="196" fontId="66" fillId="9" borderId="35" xfId="0" applyNumberFormat="1" applyFont="1" applyFill="1" applyBorder="1" applyAlignment="1">
      <alignment horizontal="center" vertical="center" wrapText="1"/>
    </xf>
    <xf numFmtId="167" fontId="30" fillId="0" borderId="35" xfId="7" applyNumberFormat="1" applyFont="1" applyFill="1" applyBorder="1" applyAlignment="1">
      <alignment horizontal="right" vertical="top"/>
    </xf>
    <xf numFmtId="167" fontId="30" fillId="3" borderId="35" xfId="7" applyNumberFormat="1" applyFont="1" applyFill="1" applyBorder="1" applyAlignment="1">
      <alignment horizontal="right" vertical="top"/>
    </xf>
    <xf numFmtId="196" fontId="49" fillId="0" borderId="35" xfId="0" applyNumberFormat="1" applyFont="1" applyFill="1" applyBorder="1" applyAlignment="1">
      <alignment horizontal="right" vertical="top"/>
    </xf>
    <xf numFmtId="198" fontId="25" fillId="0" borderId="35" xfId="20" applyNumberFormat="1" applyFont="1" applyFill="1" applyBorder="1" applyAlignment="1">
      <alignment horizontal="left" vertical="top" wrapText="1"/>
    </xf>
    <xf numFmtId="198" fontId="59" fillId="9" borderId="35" xfId="7" applyNumberFormat="1" applyFont="1" applyFill="1" applyBorder="1" applyAlignment="1">
      <alignment horizontal="left" vertical="top"/>
    </xf>
    <xf numFmtId="196" fontId="63" fillId="9" borderId="35" xfId="0" applyNumberFormat="1" applyFont="1" applyFill="1" applyBorder="1" applyAlignment="1">
      <alignment horizontal="center" vertical="center" wrapText="1"/>
    </xf>
    <xf numFmtId="198" fontId="39" fillId="9" borderId="35" xfId="0" applyNumberFormat="1" applyFont="1" applyFill="1" applyBorder="1" applyAlignment="1">
      <alignment horizontal="center" vertical="center" wrapText="1"/>
    </xf>
    <xf numFmtId="0" fontId="26" fillId="3" borderId="0" xfId="0" applyFont="1" applyFill="1" applyAlignment="1">
      <alignment horizontal="left"/>
    </xf>
    <xf numFmtId="198" fontId="71" fillId="3" borderId="35" xfId="0" applyNumberFormat="1" applyFont="1" applyFill="1" applyBorder="1" applyAlignment="1">
      <alignment vertical="center"/>
    </xf>
    <xf numFmtId="3" fontId="71" fillId="3" borderId="35" xfId="7" applyNumberFormat="1" applyFont="1" applyFill="1" applyBorder="1" applyAlignment="1">
      <alignment vertical="center"/>
    </xf>
    <xf numFmtId="3" fontId="71" fillId="3" borderId="35" xfId="7" quotePrefix="1" applyNumberFormat="1" applyFont="1" applyFill="1" applyBorder="1" applyAlignment="1">
      <alignment horizontal="center" vertical="center"/>
    </xf>
    <xf numFmtId="3" fontId="71" fillId="3" borderId="35" xfId="7" applyNumberFormat="1" applyFont="1" applyFill="1" applyBorder="1" applyAlignment="1">
      <alignment horizontal="right" vertical="center"/>
    </xf>
    <xf numFmtId="3" fontId="71" fillId="0" borderId="35" xfId="7" applyNumberFormat="1" applyFont="1" applyFill="1" applyBorder="1" applyAlignment="1">
      <alignment horizontal="right" vertical="center"/>
    </xf>
    <xf numFmtId="3" fontId="71" fillId="3" borderId="35" xfId="0" applyNumberFormat="1" applyFont="1" applyFill="1" applyBorder="1" applyAlignment="1">
      <alignment horizontal="right" vertical="center"/>
    </xf>
    <xf numFmtId="3" fontId="62" fillId="3" borderId="35" xfId="7" applyNumberFormat="1" applyFont="1" applyFill="1" applyBorder="1" applyAlignment="1">
      <alignment vertical="center"/>
    </xf>
    <xf numFmtId="3" fontId="62" fillId="3" borderId="35" xfId="7" quotePrefix="1" applyNumberFormat="1" applyFont="1" applyFill="1" applyBorder="1" applyAlignment="1">
      <alignment horizontal="center" vertical="center"/>
    </xf>
    <xf numFmtId="198" fontId="71" fillId="0" borderId="35" xfId="0" applyNumberFormat="1" applyFont="1" applyFill="1" applyBorder="1" applyAlignment="1">
      <alignment vertical="center"/>
    </xf>
    <xf numFmtId="3" fontId="71" fillId="0" borderId="35" xfId="0" applyNumberFormat="1" applyFont="1" applyFill="1" applyBorder="1" applyAlignment="1">
      <alignment horizontal="right" vertical="top"/>
    </xf>
    <xf numFmtId="3" fontId="72" fillId="9" borderId="35" xfId="7" applyNumberFormat="1" applyFont="1" applyFill="1" applyBorder="1" applyAlignment="1">
      <alignment vertical="center"/>
    </xf>
    <xf numFmtId="3" fontId="72" fillId="9" borderId="35" xfId="7" applyNumberFormat="1" applyFont="1" applyFill="1" applyBorder="1" applyAlignment="1">
      <alignment horizontal="right" vertical="center"/>
    </xf>
    <xf numFmtId="186" fontId="72" fillId="9" borderId="35" xfId="7" applyNumberFormat="1" applyFont="1" applyFill="1" applyBorder="1" applyAlignment="1">
      <alignment horizontal="right" vertical="center"/>
    </xf>
    <xf numFmtId="186" fontId="71" fillId="3" borderId="35" xfId="7" applyNumberFormat="1" applyFont="1" applyFill="1" applyBorder="1" applyAlignment="1">
      <alignment horizontal="right" vertical="center"/>
    </xf>
    <xf numFmtId="4" fontId="72" fillId="9" borderId="35" xfId="7" applyNumberFormat="1" applyFont="1" applyFill="1" applyBorder="1" applyAlignment="1">
      <alignment horizontal="right" vertical="center"/>
    </xf>
    <xf numFmtId="3" fontId="71" fillId="0" borderId="35" xfId="7" applyNumberFormat="1" applyFont="1" applyFill="1" applyBorder="1" applyAlignment="1">
      <alignment vertical="center"/>
    </xf>
    <xf numFmtId="186" fontId="72" fillId="9" borderId="35" xfId="7" applyNumberFormat="1" applyFont="1" applyFill="1" applyBorder="1" applyAlignment="1">
      <alignment horizontal="center" vertical="center"/>
    </xf>
    <xf numFmtId="3" fontId="72" fillId="9" borderId="35" xfId="7" applyNumberFormat="1" applyFont="1" applyFill="1" applyBorder="1" applyAlignment="1">
      <alignment horizontal="center" vertical="center" wrapText="1"/>
    </xf>
    <xf numFmtId="186" fontId="71" fillId="0" borderId="35" xfId="7" applyNumberFormat="1" applyFont="1" applyFill="1" applyBorder="1" applyAlignment="1">
      <alignment horizontal="right" vertical="center"/>
    </xf>
    <xf numFmtId="3" fontId="72" fillId="9" borderId="35" xfId="7" applyNumberFormat="1" applyFont="1" applyFill="1" applyBorder="1" applyAlignment="1">
      <alignment horizontal="center" vertical="center"/>
    </xf>
    <xf numFmtId="3" fontId="49" fillId="3" borderId="35" xfId="0" applyNumberFormat="1" applyFont="1" applyFill="1" applyBorder="1" applyAlignment="1">
      <alignment horizontal="right" vertical="top"/>
    </xf>
    <xf numFmtId="3" fontId="49" fillId="0" borderId="35" xfId="0" applyNumberFormat="1" applyFont="1" applyFill="1" applyBorder="1" applyAlignment="1">
      <alignment horizontal="center" vertical="top"/>
    </xf>
    <xf numFmtId="198" fontId="59" fillId="9" borderId="35" xfId="0" applyNumberFormat="1" applyFont="1" applyFill="1" applyBorder="1" applyAlignment="1">
      <alignment horizontal="left" vertical="top"/>
    </xf>
    <xf numFmtId="3" fontId="59" fillId="9" borderId="35" xfId="0" applyNumberFormat="1" applyFont="1" applyFill="1" applyBorder="1" applyAlignment="1">
      <alignment horizontal="right" vertical="top"/>
    </xf>
    <xf numFmtId="198" fontId="49" fillId="0" borderId="35" xfId="20" applyNumberFormat="1" applyFont="1" applyFill="1" applyBorder="1" applyAlignment="1">
      <alignment horizontal="left" vertical="top" wrapText="1"/>
    </xf>
    <xf numFmtId="173" fontId="49" fillId="9" borderId="35" xfId="20" applyFont="1" applyFill="1" applyBorder="1" applyAlignment="1">
      <alignment horizontal="left" vertical="top" wrapText="1"/>
    </xf>
    <xf numFmtId="198" fontId="49" fillId="9" borderId="35" xfId="0" applyNumberFormat="1" applyFont="1" applyFill="1" applyBorder="1" applyAlignment="1">
      <alignment horizontal="left" vertical="top"/>
    </xf>
    <xf numFmtId="3" fontId="49" fillId="9" borderId="35" xfId="0" applyNumberFormat="1" applyFont="1" applyFill="1" applyBorder="1" applyAlignment="1">
      <alignment horizontal="right" vertical="top"/>
    </xf>
    <xf numFmtId="173" fontId="49" fillId="9" borderId="35" xfId="20" applyFont="1" applyFill="1" applyBorder="1" applyAlignment="1">
      <alignment horizontal="left" vertical="top"/>
    </xf>
    <xf numFmtId="198" fontId="49" fillId="3" borderId="35" xfId="0" applyNumberFormat="1" applyFont="1" applyFill="1" applyBorder="1" applyAlignment="1">
      <alignment horizontal="left" vertical="top" wrapText="1"/>
    </xf>
    <xf numFmtId="0" fontId="49" fillId="9" borderId="35" xfId="0" applyFont="1" applyFill="1" applyBorder="1" applyAlignment="1">
      <alignment horizontal="left" vertical="top"/>
    </xf>
    <xf numFmtId="173" fontId="49" fillId="3" borderId="35" xfId="20" applyFont="1" applyFill="1" applyBorder="1" applyAlignment="1">
      <alignment horizontal="center" vertical="center"/>
    </xf>
    <xf numFmtId="173" fontId="49" fillId="3" borderId="35" xfId="20" applyFont="1" applyFill="1" applyBorder="1" applyAlignment="1">
      <alignment horizontal="right" vertical="center"/>
    </xf>
    <xf numFmtId="0" fontId="57" fillId="12" borderId="0" xfId="0" applyFont="1" applyFill="1"/>
    <xf numFmtId="167" fontId="75" fillId="0" borderId="0" xfId="1" applyNumberFormat="1" applyFont="1" applyBorder="1" applyAlignment="1">
      <alignment vertical="center"/>
    </xf>
    <xf numFmtId="0" fontId="11" fillId="3" borderId="0" xfId="0" applyFont="1" applyFill="1" applyAlignment="1"/>
    <xf numFmtId="167" fontId="9" fillId="2" borderId="35" xfId="1" applyNumberFormat="1" applyFont="1" applyFill="1" applyBorder="1" applyAlignment="1">
      <alignment horizontal="right"/>
    </xf>
    <xf numFmtId="167" fontId="12" fillId="0" borderId="35" xfId="1" applyNumberFormat="1" applyFont="1" applyFill="1" applyBorder="1" applyAlignment="1">
      <alignment horizontal="right"/>
    </xf>
    <xf numFmtId="0" fontId="13" fillId="0" borderId="0" xfId="8" applyFont="1" applyFill="1" applyAlignment="1">
      <alignment vertical="center"/>
    </xf>
    <xf numFmtId="0" fontId="13" fillId="0" borderId="0" xfId="8" applyFont="1" applyFill="1" applyAlignment="1">
      <alignment vertical="top"/>
    </xf>
    <xf numFmtId="0" fontId="12" fillId="0" borderId="0" xfId="8" applyFont="1" applyFill="1" applyAlignment="1">
      <alignment vertical="center"/>
    </xf>
    <xf numFmtId="49" fontId="8" fillId="0" borderId="0" xfId="0" applyNumberFormat="1" applyFont="1" applyFill="1" applyAlignment="1">
      <alignment horizontal="left" vertical="top"/>
    </xf>
    <xf numFmtId="0" fontId="9" fillId="0" borderId="0" xfId="0" applyFont="1" applyFill="1" applyAlignment="1">
      <alignment horizontal="left" vertical="top"/>
    </xf>
    <xf numFmtId="0" fontId="9" fillId="0" borderId="0" xfId="0" applyFont="1" applyFill="1" applyAlignment="1">
      <alignment horizontal="left" vertical="top"/>
    </xf>
    <xf numFmtId="0" fontId="78" fillId="0" borderId="35" xfId="36" applyBorder="1"/>
    <xf numFmtId="0" fontId="19" fillId="5" borderId="35" xfId="0" applyFont="1" applyFill="1" applyBorder="1" applyAlignment="1">
      <alignment horizontal="center" vertical="top"/>
    </xf>
    <xf numFmtId="167" fontId="19" fillId="5" borderId="32" xfId="30" applyNumberFormat="1" applyFont="1" applyFill="1" applyBorder="1" applyAlignment="1">
      <alignment horizontal="center" vertical="top"/>
    </xf>
    <xf numFmtId="167" fontId="19" fillId="5" borderId="33" xfId="30" applyNumberFormat="1" applyFont="1" applyFill="1" applyBorder="1" applyAlignment="1">
      <alignment horizontal="center" vertical="top"/>
    </xf>
    <xf numFmtId="167" fontId="19" fillId="5" borderId="34" xfId="30" applyNumberFormat="1" applyFont="1" applyFill="1" applyBorder="1" applyAlignment="1">
      <alignment horizontal="center" vertical="top"/>
    </xf>
    <xf numFmtId="167" fontId="19" fillId="0" borderId="4" xfId="30" applyNumberFormat="1" applyFont="1" applyBorder="1" applyAlignment="1">
      <alignment horizontal="left" vertical="top"/>
    </xf>
    <xf numFmtId="167" fontId="12" fillId="0" borderId="4" xfId="30" applyNumberFormat="1" applyFont="1" applyBorder="1" applyAlignment="1">
      <alignment horizontal="center" vertical="top"/>
    </xf>
    <xf numFmtId="167" fontId="13" fillId="0" borderId="4" xfId="30" applyNumberFormat="1" applyFont="1" applyBorder="1" applyAlignment="1">
      <alignment horizontal="center" vertical="top"/>
    </xf>
    <xf numFmtId="167" fontId="19" fillId="0" borderId="4" xfId="30" applyNumberFormat="1" applyFont="1" applyFill="1" applyBorder="1" applyAlignment="1">
      <alignment horizontal="left" vertical="top"/>
    </xf>
    <xf numFmtId="3" fontId="11" fillId="0" borderId="35" xfId="1" applyNumberFormat="1" applyFont="1" applyFill="1" applyBorder="1" applyAlignment="1">
      <alignment horizontal="right"/>
    </xf>
    <xf numFmtId="3" fontId="11" fillId="0" borderId="35" xfId="1" applyNumberFormat="1" applyFont="1" applyFill="1" applyBorder="1" applyAlignment="1"/>
    <xf numFmtId="3" fontId="12" fillId="0" borderId="35" xfId="6" applyNumberFormat="1" applyFont="1" applyFill="1" applyBorder="1" applyAlignment="1">
      <alignment horizontal="right"/>
    </xf>
    <xf numFmtId="3" fontId="9" fillId="0" borderId="4" xfId="0" applyNumberFormat="1" applyFont="1" applyFill="1" applyBorder="1" applyAlignment="1">
      <alignment vertical="top"/>
    </xf>
    <xf numFmtId="3" fontId="9" fillId="0" borderId="4" xfId="0" applyNumberFormat="1" applyFont="1" applyFill="1" applyBorder="1" applyAlignment="1">
      <alignment horizontal="right" vertical="top"/>
    </xf>
    <xf numFmtId="3" fontId="11" fillId="0" borderId="4" xfId="0" applyNumberFormat="1" applyFont="1" applyFill="1" applyBorder="1" applyAlignment="1">
      <alignment horizontal="right" vertical="center"/>
    </xf>
    <xf numFmtId="3" fontId="12" fillId="0" borderId="4" xfId="0" applyNumberFormat="1" applyFont="1" applyFill="1" applyBorder="1" applyAlignment="1">
      <alignment horizontal="right" vertical="center"/>
    </xf>
    <xf numFmtId="3" fontId="12" fillId="0" borderId="35" xfId="0" applyNumberFormat="1" applyFont="1" applyFill="1" applyBorder="1" applyAlignment="1">
      <alignment horizontal="right" vertical="center"/>
    </xf>
    <xf numFmtId="0" fontId="11" fillId="0" borderId="35" xfId="1" applyNumberFormat="1" applyFont="1" applyBorder="1" applyAlignment="1">
      <alignment horizontal="right"/>
    </xf>
    <xf numFmtId="3" fontId="12" fillId="0" borderId="35" xfId="6" applyNumberFormat="1" applyFont="1" applyBorder="1" applyAlignment="1">
      <alignment horizontal="right" vertical="center"/>
    </xf>
    <xf numFmtId="0" fontId="12" fillId="0" borderId="35" xfId="6" applyFont="1" applyBorder="1" applyAlignment="1">
      <alignment horizontal="right"/>
    </xf>
    <xf numFmtId="167" fontId="19" fillId="11" borderId="4" xfId="30" applyNumberFormat="1" applyFont="1" applyFill="1" applyBorder="1" applyAlignment="1">
      <alignment horizontal="left" vertical="top"/>
    </xf>
    <xf numFmtId="3" fontId="11" fillId="11" borderId="35" xfId="0" applyNumberFormat="1" applyFont="1" applyFill="1" applyBorder="1" applyAlignment="1">
      <alignment horizontal="right"/>
    </xf>
    <xf numFmtId="167" fontId="13" fillId="11" borderId="4" xfId="30" applyNumberFormat="1" applyFont="1" applyFill="1" applyBorder="1" applyAlignment="1">
      <alignment horizontal="center" vertical="top"/>
    </xf>
    <xf numFmtId="3" fontId="12" fillId="11" borderId="35" xfId="6" applyNumberFormat="1" applyFont="1" applyFill="1" applyBorder="1" applyAlignment="1">
      <alignment horizontal="right"/>
    </xf>
    <xf numFmtId="3" fontId="11" fillId="11" borderId="35" xfId="1" applyNumberFormat="1" applyFont="1" applyFill="1" applyBorder="1" applyAlignment="1">
      <alignment horizontal="right" vertical="top"/>
    </xf>
    <xf numFmtId="3" fontId="11" fillId="11" borderId="35" xfId="1" applyNumberFormat="1" applyFont="1" applyFill="1" applyBorder="1" applyAlignment="1">
      <alignment horizontal="right"/>
    </xf>
    <xf numFmtId="3" fontId="12" fillId="11" borderId="35" xfId="6" applyNumberFormat="1" applyFont="1" applyFill="1" applyBorder="1" applyAlignment="1">
      <alignment vertical="center"/>
    </xf>
    <xf numFmtId="3" fontId="12" fillId="11" borderId="35" xfId="1" applyNumberFormat="1" applyFont="1" applyFill="1" applyBorder="1" applyAlignment="1">
      <alignment horizontal="right"/>
    </xf>
    <xf numFmtId="3" fontId="12" fillId="11" borderId="35" xfId="1" applyNumberFormat="1" applyFont="1" applyFill="1" applyBorder="1" applyAlignment="1"/>
    <xf numFmtId="3" fontId="11" fillId="11" borderId="35" xfId="1" applyNumberFormat="1" applyFont="1" applyFill="1" applyBorder="1" applyAlignment="1"/>
    <xf numFmtId="167" fontId="19" fillId="11" borderId="4" xfId="30" applyNumberFormat="1" applyFont="1" applyFill="1" applyBorder="1" applyAlignment="1">
      <alignment horizontal="center" vertical="top"/>
    </xf>
    <xf numFmtId="3" fontId="11" fillId="0" borderId="0" xfId="5" applyNumberFormat="1" applyFont="1" applyFill="1" applyBorder="1" applyAlignment="1">
      <alignment horizontal="right" vertical="center" wrapText="1"/>
    </xf>
    <xf numFmtId="203" fontId="86" fillId="0" borderId="35" xfId="0" applyNumberFormat="1" applyFont="1" applyBorder="1" applyAlignment="1">
      <alignment horizontal="left"/>
    </xf>
    <xf numFmtId="0" fontId="86" fillId="0" borderId="35" xfId="0" applyFont="1" applyBorder="1" applyAlignment="1">
      <alignment horizontal="right"/>
    </xf>
    <xf numFmtId="3" fontId="11" fillId="0" borderId="35" xfId="0" applyNumberFormat="1" applyFont="1" applyBorder="1" applyAlignment="1">
      <alignment horizontal="center" vertical="center"/>
    </xf>
    <xf numFmtId="0" fontId="12" fillId="0" borderId="35" xfId="0" applyFont="1" applyFill="1" applyBorder="1" applyAlignment="1">
      <alignment horizontal="center" vertical="center"/>
    </xf>
    <xf numFmtId="0" fontId="11" fillId="0" borderId="35" xfId="5" applyFont="1" applyFill="1" applyBorder="1"/>
    <xf numFmtId="167" fontId="19" fillId="0" borderId="35" xfId="1" applyNumberFormat="1" applyFont="1" applyFill="1" applyBorder="1" applyAlignment="1">
      <alignment vertical="top" wrapText="1"/>
    </xf>
    <xf numFmtId="0" fontId="40" fillId="0" borderId="0" xfId="0" applyFont="1" applyFill="1" applyBorder="1" applyAlignment="1">
      <alignment vertical="center"/>
    </xf>
    <xf numFmtId="0" fontId="9" fillId="2" borderId="0" xfId="8" applyFont="1" applyFill="1" applyAlignment="1">
      <alignment vertical="top"/>
    </xf>
    <xf numFmtId="0" fontId="9" fillId="0" borderId="0" xfId="8" applyFont="1" applyFill="1" applyAlignment="1">
      <alignment vertical="top"/>
    </xf>
    <xf numFmtId="0" fontId="8" fillId="2" borderId="0" xfId="8" applyFont="1" applyFill="1" applyAlignment="1">
      <alignment vertical="top"/>
    </xf>
    <xf numFmtId="49" fontId="13" fillId="0" borderId="0" xfId="8" applyNumberFormat="1" applyFont="1" applyFill="1" applyAlignment="1">
      <alignment vertical="center"/>
    </xf>
    <xf numFmtId="0" fontId="26" fillId="0" borderId="0" xfId="8" applyNumberFormat="1" applyFont="1" applyFill="1" applyBorder="1" applyAlignment="1">
      <alignment horizontal="center" vertical="top"/>
    </xf>
    <xf numFmtId="49" fontId="27" fillId="2" borderId="0" xfId="8" applyNumberFormat="1" applyFont="1" applyFill="1" applyBorder="1" applyAlignment="1">
      <alignment horizontal="left" vertical="center" wrapText="1"/>
    </xf>
    <xf numFmtId="3" fontId="26" fillId="0" borderId="0" xfId="8" applyNumberFormat="1" applyFont="1" applyFill="1" applyBorder="1" applyAlignment="1">
      <alignment horizontal="right" vertical="top"/>
    </xf>
    <xf numFmtId="4" fontId="26" fillId="0" borderId="0" xfId="8" applyNumberFormat="1" applyFont="1" applyFill="1" applyBorder="1" applyAlignment="1">
      <alignment horizontal="right" vertical="top"/>
    </xf>
    <xf numFmtId="180" fontId="26" fillId="0" borderId="0" xfId="8" applyNumberFormat="1" applyFont="1" applyFill="1" applyBorder="1" applyAlignment="1">
      <alignment horizontal="right" vertical="top"/>
    </xf>
    <xf numFmtId="2" fontId="26" fillId="0" borderId="0" xfId="8" applyNumberFormat="1" applyFont="1" applyFill="1" applyBorder="1" applyAlignment="1">
      <alignment horizontal="right" vertical="top"/>
    </xf>
    <xf numFmtId="0" fontId="26" fillId="0" borderId="35" xfId="8" applyNumberFormat="1" applyFont="1" applyFill="1" applyBorder="1" applyAlignment="1">
      <alignment horizontal="center" vertical="top"/>
    </xf>
    <xf numFmtId="3" fontId="26" fillId="0" borderId="35" xfId="8" applyNumberFormat="1" applyFont="1" applyFill="1" applyBorder="1" applyAlignment="1">
      <alignment horizontal="right" vertical="top"/>
    </xf>
    <xf numFmtId="4" fontId="26" fillId="0" borderId="35" xfId="8" applyNumberFormat="1" applyFont="1" applyFill="1" applyBorder="1" applyAlignment="1">
      <alignment horizontal="right" vertical="top"/>
    </xf>
    <xf numFmtId="180" fontId="26" fillId="0" borderId="35" xfId="8" applyNumberFormat="1" applyFont="1" applyFill="1" applyBorder="1" applyAlignment="1">
      <alignment horizontal="right" vertical="top"/>
    </xf>
    <xf numFmtId="2" fontId="26" fillId="0" borderId="35" xfId="8" applyNumberFormat="1" applyFont="1" applyFill="1" applyBorder="1" applyAlignment="1">
      <alignment horizontal="right" vertical="top"/>
    </xf>
    <xf numFmtId="49" fontId="29" fillId="2" borderId="0" xfId="8" applyNumberFormat="1" applyFont="1" applyFill="1" applyAlignment="1">
      <alignment horizontal="left" vertical="center"/>
    </xf>
    <xf numFmtId="0" fontId="32" fillId="2" borderId="0" xfId="8" applyFont="1" applyFill="1" applyBorder="1" applyAlignment="1">
      <alignment horizontal="center" vertical="center"/>
    </xf>
    <xf numFmtId="49" fontId="32" fillId="2" borderId="0" xfId="8" applyNumberFormat="1" applyFont="1" applyFill="1" applyBorder="1" applyAlignment="1">
      <alignment horizontal="left" vertical="center"/>
    </xf>
    <xf numFmtId="164" fontId="32" fillId="2" borderId="0" xfId="8" applyNumberFormat="1" applyFont="1" applyFill="1" applyBorder="1" applyAlignment="1">
      <alignment horizontal="left" vertical="center"/>
    </xf>
    <xf numFmtId="181" fontId="32" fillId="2" borderId="0" xfId="10" applyNumberFormat="1" applyFont="1" applyFill="1" applyBorder="1" applyAlignment="1">
      <alignment horizontal="left" vertical="center"/>
    </xf>
    <xf numFmtId="0" fontId="32" fillId="2" borderId="0" xfId="8" applyFont="1" applyFill="1" applyBorder="1" applyAlignment="1">
      <alignment horizontal="left" vertical="center"/>
    </xf>
    <xf numFmtId="49" fontId="8" fillId="2" borderId="20" xfId="8" applyNumberFormat="1" applyFont="1" applyFill="1" applyBorder="1" applyAlignment="1">
      <alignment vertical="center"/>
    </xf>
    <xf numFmtId="182" fontId="9" fillId="2" borderId="35" xfId="8" applyNumberFormat="1" applyFont="1" applyFill="1" applyBorder="1" applyAlignment="1">
      <alignment horizontal="right"/>
    </xf>
    <xf numFmtId="182" fontId="9" fillId="0" borderId="35" xfId="8" applyNumberFormat="1" applyFont="1" applyFill="1" applyBorder="1" applyAlignment="1">
      <alignment horizontal="right"/>
    </xf>
    <xf numFmtId="183" fontId="9" fillId="2" borderId="35" xfId="8" applyNumberFormat="1" applyFont="1" applyFill="1" applyBorder="1" applyAlignment="1">
      <alignment horizontal="right"/>
    </xf>
    <xf numFmtId="179" fontId="9" fillId="2" borderId="35" xfId="8" applyNumberFormat="1" applyFont="1" applyFill="1" applyBorder="1" applyAlignment="1">
      <alignment horizontal="right"/>
    </xf>
    <xf numFmtId="185" fontId="9" fillId="2" borderId="35" xfId="8" applyNumberFormat="1" applyFont="1" applyFill="1" applyBorder="1" applyAlignment="1">
      <alignment horizontal="right"/>
    </xf>
    <xf numFmtId="3" fontId="9" fillId="2" borderId="35" xfId="8" applyNumberFormat="1" applyFont="1" applyFill="1" applyBorder="1" applyAlignment="1">
      <alignment horizontal="right"/>
    </xf>
    <xf numFmtId="186" fontId="9" fillId="2" borderId="35" xfId="8" applyNumberFormat="1" applyFont="1" applyFill="1" applyBorder="1" applyAlignment="1">
      <alignment horizontal="right"/>
    </xf>
    <xf numFmtId="1" fontId="9" fillId="0" borderId="35" xfId="15" applyNumberFormat="1" applyFont="1" applyFill="1" applyBorder="1" applyAlignment="1" applyProtection="1">
      <alignment horizontal="right" vertical="center" wrapText="1"/>
    </xf>
    <xf numFmtId="3" fontId="9" fillId="0" borderId="35" xfId="15" applyNumberFormat="1" applyFont="1" applyFill="1" applyBorder="1" applyAlignment="1">
      <alignment horizontal="right" vertical="center" wrapText="1"/>
    </xf>
    <xf numFmtId="177" fontId="9" fillId="0" borderId="35" xfId="8" applyNumberFormat="1" applyFont="1" applyFill="1" applyBorder="1" applyAlignment="1">
      <alignment horizontal="right"/>
    </xf>
    <xf numFmtId="177" fontId="9" fillId="2" borderId="35" xfId="8" applyNumberFormat="1" applyFont="1" applyFill="1" applyBorder="1" applyAlignment="1">
      <alignment horizontal="right"/>
    </xf>
    <xf numFmtId="170" fontId="9" fillId="2" borderId="35" xfId="8" applyNumberFormat="1" applyFont="1" applyFill="1" applyBorder="1" applyAlignment="1">
      <alignment horizontal="right" vertical="top"/>
    </xf>
    <xf numFmtId="164" fontId="9" fillId="2" borderId="35" xfId="8" applyNumberFormat="1" applyFont="1" applyFill="1" applyBorder="1" applyAlignment="1">
      <alignment horizontal="right" vertical="top"/>
    </xf>
    <xf numFmtId="175" fontId="9" fillId="2" borderId="35" xfId="8" applyNumberFormat="1" applyFont="1" applyFill="1" applyBorder="1" applyAlignment="1">
      <alignment horizontal="right"/>
    </xf>
    <xf numFmtId="178" fontId="9" fillId="2" borderId="35" xfId="8" applyNumberFormat="1" applyFont="1" applyFill="1" applyBorder="1" applyAlignment="1">
      <alignment horizontal="right"/>
    </xf>
    <xf numFmtId="0" fontId="9" fillId="2" borderId="35" xfId="8" applyFont="1" applyFill="1" applyBorder="1" applyAlignment="1">
      <alignment horizontal="right"/>
    </xf>
    <xf numFmtId="172" fontId="9" fillId="2" borderId="35" xfId="8" applyNumberFormat="1" applyFont="1" applyFill="1" applyBorder="1" applyAlignment="1">
      <alignment horizontal="right"/>
    </xf>
    <xf numFmtId="170" fontId="9" fillId="0" borderId="35" xfId="8" applyNumberFormat="1" applyFont="1" applyFill="1" applyBorder="1" applyAlignment="1">
      <alignment horizontal="right"/>
    </xf>
    <xf numFmtId="3" fontId="10" fillId="0" borderId="35" xfId="8" applyNumberFormat="1" applyFont="1" applyFill="1" applyBorder="1" applyAlignment="1">
      <alignment horizontal="right" vertical="center"/>
    </xf>
    <xf numFmtId="0" fontId="9" fillId="2" borderId="35" xfId="8" applyFont="1" applyFill="1" applyBorder="1" applyAlignment="1">
      <alignment vertical="center"/>
    </xf>
    <xf numFmtId="164" fontId="9" fillId="0" borderId="35" xfId="8" applyNumberFormat="1" applyFont="1" applyFill="1" applyBorder="1" applyAlignment="1">
      <alignment horizontal="right"/>
    </xf>
    <xf numFmtId="3" fontId="9" fillId="0" borderId="35" xfId="8" applyNumberFormat="1" applyFont="1" applyFill="1" applyBorder="1" applyAlignment="1">
      <alignment horizontal="right"/>
    </xf>
    <xf numFmtId="0" fontId="10" fillId="4" borderId="35" xfId="8" applyNumberFormat="1" applyFont="1" applyFill="1" applyBorder="1" applyAlignment="1">
      <alignment horizontal="right" vertical="center"/>
    </xf>
    <xf numFmtId="178" fontId="12" fillId="0" borderId="0" xfId="8" applyNumberFormat="1" applyFont="1" applyFill="1" applyBorder="1" applyAlignment="1"/>
    <xf numFmtId="175" fontId="9" fillId="2" borderId="0" xfId="8" applyNumberFormat="1" applyFont="1" applyFill="1" applyBorder="1" applyAlignment="1">
      <alignment horizontal="right"/>
    </xf>
    <xf numFmtId="17" fontId="35" fillId="0" borderId="35" xfId="8" applyNumberFormat="1" applyFont="1" applyFill="1" applyBorder="1" applyAlignment="1">
      <alignment horizontal="center" vertical="center" wrapText="1"/>
    </xf>
    <xf numFmtId="49" fontId="8" fillId="2" borderId="35" xfId="8" applyNumberFormat="1" applyFont="1" applyFill="1" applyBorder="1" applyAlignment="1">
      <alignment horizontal="center" vertical="center" wrapText="1"/>
    </xf>
    <xf numFmtId="183" fontId="9" fillId="9" borderId="22" xfId="8" applyNumberFormat="1" applyFont="1" applyFill="1" applyBorder="1" applyAlignment="1">
      <alignment horizontal="right"/>
    </xf>
    <xf numFmtId="3" fontId="10" fillId="4" borderId="35" xfId="8" applyNumberFormat="1" applyFont="1" applyFill="1" applyBorder="1" applyAlignment="1">
      <alignment horizontal="right" vertical="center"/>
    </xf>
    <xf numFmtId="164" fontId="9" fillId="2" borderId="35" xfId="8" applyNumberFormat="1" applyFont="1" applyFill="1" applyBorder="1" applyAlignment="1">
      <alignment horizontal="right"/>
    </xf>
    <xf numFmtId="170" fontId="9" fillId="2" borderId="35" xfId="8" applyNumberFormat="1" applyFont="1" applyFill="1" applyBorder="1" applyAlignment="1">
      <alignment horizontal="right"/>
    </xf>
    <xf numFmtId="0" fontId="9" fillId="2" borderId="0" xfId="8" applyFont="1" applyFill="1" applyAlignment="1">
      <alignment vertical="center"/>
    </xf>
    <xf numFmtId="0" fontId="0" fillId="0" borderId="0" xfId="0"/>
    <xf numFmtId="164" fontId="9" fillId="2" borderId="0" xfId="8" applyNumberFormat="1" applyFont="1" applyFill="1" applyBorder="1" applyAlignment="1">
      <alignment horizontal="right"/>
    </xf>
    <xf numFmtId="3" fontId="9" fillId="2" borderId="0" xfId="8" applyNumberFormat="1" applyFont="1" applyFill="1" applyBorder="1" applyAlignment="1">
      <alignment horizontal="right"/>
    </xf>
    <xf numFmtId="49" fontId="9" fillId="2" borderId="0" xfId="8" applyNumberFormat="1" applyFont="1" applyFill="1" applyBorder="1" applyAlignment="1">
      <alignment horizontal="center" vertical="center"/>
    </xf>
    <xf numFmtId="0" fontId="13" fillId="0" borderId="27" xfId="0" applyFont="1" applyBorder="1" applyAlignment="1">
      <alignment horizontal="left" vertical="top" wrapText="1"/>
    </xf>
    <xf numFmtId="49" fontId="4" fillId="2" borderId="58" xfId="3" applyNumberFormat="1" applyFont="1" applyFill="1" applyBorder="1" applyAlignment="1">
      <alignment horizontal="center"/>
    </xf>
    <xf numFmtId="0" fontId="11" fillId="0" borderId="0" xfId="0" applyFont="1"/>
    <xf numFmtId="0" fontId="12" fillId="0" borderId="0" xfId="0" applyFont="1" applyAlignment="1">
      <alignment horizontal="left" vertical="top"/>
    </xf>
    <xf numFmtId="0" fontId="9" fillId="0" borderId="4" xfId="8" applyFont="1" applyFill="1" applyBorder="1" applyAlignment="1">
      <alignment horizontal="right"/>
    </xf>
    <xf numFmtId="1" fontId="9" fillId="0" borderId="4" xfId="8" applyNumberFormat="1" applyFont="1" applyFill="1" applyBorder="1" applyAlignment="1">
      <alignment horizontal="right"/>
    </xf>
    <xf numFmtId="2" fontId="86" fillId="0" borderId="35" xfId="0" applyNumberFormat="1" applyFont="1" applyBorder="1" applyAlignment="1">
      <alignment horizontal="right"/>
    </xf>
    <xf numFmtId="3" fontId="12" fillId="0" borderId="35" xfId="6" applyNumberFormat="1" applyFont="1" applyBorder="1" applyAlignment="1"/>
    <xf numFmtId="0" fontId="86" fillId="0" borderId="61" xfId="0" applyFont="1" applyBorder="1" applyAlignment="1">
      <alignment horizontal="left"/>
    </xf>
    <xf numFmtId="0" fontId="11" fillId="0" borderId="35" xfId="0" applyFont="1" applyBorder="1" applyAlignment="1">
      <alignment horizontal="center" vertical="center"/>
    </xf>
    <xf numFmtId="43" fontId="11" fillId="0" borderId="35" xfId="1" applyFont="1" applyBorder="1" applyAlignment="1">
      <alignment horizontal="center" vertical="center"/>
    </xf>
    <xf numFmtId="0" fontId="0" fillId="3" borderId="0" xfId="0" applyFill="1"/>
    <xf numFmtId="167" fontId="9" fillId="0" borderId="4" xfId="0" applyNumberFormat="1" applyFont="1" applyFill="1" applyBorder="1" applyAlignment="1">
      <alignment horizontal="right" vertical="top"/>
    </xf>
    <xf numFmtId="179" fontId="10" fillId="4" borderId="35" xfId="8" applyNumberFormat="1" applyFont="1" applyFill="1" applyBorder="1" applyAlignment="1">
      <alignment horizontal="right" vertical="center"/>
    </xf>
    <xf numFmtId="186" fontId="10" fillId="4" borderId="35" xfId="8" applyNumberFormat="1" applyFont="1" applyFill="1" applyBorder="1" applyAlignment="1">
      <alignment horizontal="right" vertical="center"/>
    </xf>
    <xf numFmtId="179" fontId="10" fillId="0" borderId="35" xfId="8" applyNumberFormat="1" applyFont="1" applyFill="1" applyBorder="1" applyAlignment="1">
      <alignment horizontal="right" vertical="center"/>
    </xf>
    <xf numFmtId="186" fontId="9" fillId="2" borderId="35" xfId="8" applyNumberFormat="1" applyFont="1" applyFill="1" applyBorder="1" applyAlignment="1">
      <alignment vertical="center"/>
    </xf>
    <xf numFmtId="3" fontId="9" fillId="2" borderId="35" xfId="8" applyNumberFormat="1" applyFont="1" applyFill="1" applyBorder="1" applyAlignment="1">
      <alignment vertical="center"/>
    </xf>
    <xf numFmtId="167" fontId="10" fillId="4" borderId="35" xfId="1" applyNumberFormat="1" applyFont="1" applyFill="1" applyBorder="1" applyAlignment="1">
      <alignment horizontal="right" vertical="center"/>
    </xf>
    <xf numFmtId="1" fontId="10" fillId="4" borderId="35" xfId="8" applyNumberFormat="1" applyFont="1" applyFill="1" applyBorder="1" applyAlignment="1">
      <alignment horizontal="right" vertical="center"/>
    </xf>
    <xf numFmtId="1" fontId="10" fillId="0" borderId="35" xfId="8" applyNumberFormat="1" applyFont="1" applyFill="1" applyBorder="1" applyAlignment="1">
      <alignment horizontal="right" vertical="center"/>
    </xf>
    <xf numFmtId="1" fontId="9" fillId="2" borderId="35" xfId="8" applyNumberFormat="1" applyFont="1" applyFill="1" applyBorder="1" applyAlignment="1">
      <alignment vertical="center"/>
    </xf>
    <xf numFmtId="170" fontId="11" fillId="0" borderId="0" xfId="0" applyNumberFormat="1" applyFont="1"/>
    <xf numFmtId="0" fontId="87" fillId="0" borderId="0" xfId="0" applyFont="1"/>
    <xf numFmtId="1" fontId="87" fillId="0" borderId="0" xfId="0" applyNumberFormat="1" applyFont="1"/>
    <xf numFmtId="1" fontId="9" fillId="2" borderId="4" xfId="0" applyNumberFormat="1" applyFont="1" applyFill="1" applyBorder="1" applyAlignment="1">
      <alignment horizontal="right"/>
    </xf>
    <xf numFmtId="167" fontId="8" fillId="0" borderId="4" xfId="0" applyNumberFormat="1" applyFont="1" applyFill="1" applyBorder="1" applyAlignment="1">
      <alignment horizontal="right" vertical="top"/>
    </xf>
    <xf numFmtId="167" fontId="8" fillId="0" borderId="35" xfId="0" applyNumberFormat="1" applyFont="1" applyFill="1" applyBorder="1" applyAlignment="1">
      <alignment horizontal="right" vertical="top"/>
    </xf>
    <xf numFmtId="3" fontId="8" fillId="0" borderId="4" xfId="0" applyNumberFormat="1" applyFont="1" applyFill="1" applyBorder="1" applyAlignment="1">
      <alignment horizontal="right" vertical="top"/>
    </xf>
    <xf numFmtId="14" fontId="86" fillId="0" borderId="35" xfId="0" applyNumberFormat="1" applyFont="1" applyBorder="1" applyAlignment="1">
      <alignment horizontal="left"/>
    </xf>
    <xf numFmtId="1" fontId="86" fillId="0" borderId="35" xfId="0" applyNumberFormat="1" applyFont="1" applyBorder="1" applyAlignment="1">
      <alignment horizontal="right"/>
    </xf>
    <xf numFmtId="1" fontId="11" fillId="0" borderId="4" xfId="0" applyNumberFormat="1" applyFont="1" applyFill="1" applyBorder="1"/>
    <xf numFmtId="3" fontId="8" fillId="2" borderId="1" xfId="8" applyNumberFormat="1" applyFont="1" applyFill="1" applyBorder="1" applyAlignment="1">
      <alignment horizontal="right"/>
    </xf>
    <xf numFmtId="3" fontId="8" fillId="0" borderId="1" xfId="8" applyNumberFormat="1" applyFont="1" applyFill="1" applyBorder="1" applyAlignment="1">
      <alignment horizontal="right"/>
    </xf>
    <xf numFmtId="1" fontId="9" fillId="2" borderId="4" xfId="8" applyNumberFormat="1" applyFont="1" applyFill="1" applyBorder="1" applyAlignment="1">
      <alignment horizontal="right"/>
    </xf>
    <xf numFmtId="0" fontId="12" fillId="0" borderId="35" xfId="1" applyNumberFormat="1" applyFont="1" applyBorder="1" applyAlignment="1">
      <alignment horizontal="right"/>
    </xf>
    <xf numFmtId="49" fontId="8" fillId="2" borderId="0" xfId="8" applyNumberFormat="1" applyFont="1" applyFill="1" applyAlignment="1">
      <alignment horizontal="left"/>
    </xf>
    <xf numFmtId="49" fontId="8" fillId="2" borderId="0" xfId="8" applyNumberFormat="1" applyFont="1" applyFill="1" applyAlignment="1">
      <alignment horizontal="left" vertical="top" wrapText="1"/>
    </xf>
    <xf numFmtId="49" fontId="8" fillId="2" borderId="29" xfId="8" applyNumberFormat="1" applyFont="1" applyFill="1" applyBorder="1" applyAlignment="1">
      <alignment horizontal="center" vertical="center"/>
    </xf>
    <xf numFmtId="49" fontId="8" fillId="2" borderId="0" xfId="8" applyNumberFormat="1" applyFont="1" applyFill="1" applyAlignment="1">
      <alignment horizontal="left" wrapText="1"/>
    </xf>
    <xf numFmtId="49" fontId="9" fillId="2" borderId="0" xfId="8" applyNumberFormat="1" applyFont="1" applyFill="1" applyBorder="1" applyAlignment="1">
      <alignment horizontal="left" wrapText="1"/>
    </xf>
    <xf numFmtId="49" fontId="8" fillId="2" borderId="22" xfId="8" applyNumberFormat="1" applyFont="1" applyFill="1" applyBorder="1" applyAlignment="1">
      <alignment horizontal="center" vertical="center"/>
    </xf>
    <xf numFmtId="49" fontId="8" fillId="2" borderId="0" xfId="8" applyNumberFormat="1" applyFont="1" applyFill="1" applyBorder="1" applyAlignment="1">
      <alignment horizontal="left"/>
    </xf>
    <xf numFmtId="49" fontId="31" fillId="2" borderId="0" xfId="8" applyNumberFormat="1" applyFont="1" applyFill="1" applyAlignment="1">
      <alignment horizontal="left" vertical="top" wrapText="1"/>
    </xf>
    <xf numFmtId="49" fontId="8" fillId="2" borderId="0" xfId="8" applyNumberFormat="1" applyFont="1" applyFill="1" applyAlignment="1">
      <alignment horizontal="left" vertical="center"/>
    </xf>
    <xf numFmtId="49" fontId="9" fillId="2" borderId="0" xfId="8" applyNumberFormat="1" applyFont="1" applyFill="1" applyAlignment="1">
      <alignment horizontal="left"/>
    </xf>
    <xf numFmtId="0" fontId="13" fillId="0" borderId="35" xfId="12" applyFont="1" applyFill="1" applyBorder="1" applyAlignment="1">
      <alignment horizontal="center" vertical="center" wrapText="1"/>
    </xf>
    <xf numFmtId="49" fontId="8" fillId="2" borderId="35" xfId="8" applyNumberFormat="1" applyFont="1" applyFill="1" applyBorder="1" applyAlignment="1">
      <alignment horizontal="center" vertical="center"/>
    </xf>
    <xf numFmtId="0" fontId="90" fillId="0" borderId="0" xfId="0" applyNumberFormat="1" applyFont="1" applyFill="1" applyBorder="1" applyAlignment="1">
      <alignment horizontal="left" wrapText="1"/>
    </xf>
    <xf numFmtId="0" fontId="90" fillId="0" borderId="0" xfId="0" applyNumberFormat="1" applyFont="1" applyFill="1" applyBorder="1" applyAlignment="1">
      <alignment horizontal="left"/>
    </xf>
    <xf numFmtId="167" fontId="91" fillId="0" borderId="0" xfId="1" applyNumberFormat="1" applyFont="1" applyFill="1" applyBorder="1" applyAlignment="1">
      <alignment horizontal="left" vertical="center"/>
    </xf>
    <xf numFmtId="0" fontId="91" fillId="0" borderId="0" xfId="0" applyFont="1" applyFill="1" applyBorder="1" applyAlignment="1">
      <alignment horizontal="left" vertical="center"/>
    </xf>
    <xf numFmtId="0" fontId="75" fillId="0" borderId="0" xfId="0" applyFont="1" applyFill="1" applyBorder="1" applyAlignment="1">
      <alignment vertical="center"/>
    </xf>
    <xf numFmtId="0" fontId="11" fillId="0" borderId="0" xfId="0" applyNumberFormat="1" applyFont="1" applyAlignment="1">
      <alignment vertical="top"/>
    </xf>
    <xf numFmtId="3" fontId="39" fillId="0" borderId="35" xfId="19" applyNumberFormat="1" applyFont="1" applyFill="1" applyBorder="1" applyAlignment="1">
      <alignment horizontal="right" vertical="top" wrapText="1"/>
    </xf>
    <xf numFmtId="0" fontId="35" fillId="0" borderId="0" xfId="0" applyNumberFormat="1" applyFont="1" applyFill="1" applyAlignment="1">
      <alignment vertical="top"/>
    </xf>
    <xf numFmtId="3" fontId="25" fillId="0" borderId="35" xfId="19" applyNumberFormat="1" applyFont="1" applyFill="1" applyBorder="1" applyAlignment="1">
      <alignment horizontal="right" vertical="top" wrapText="1"/>
    </xf>
    <xf numFmtId="0" fontId="26" fillId="3" borderId="0" xfId="0" applyNumberFormat="1" applyFont="1" applyFill="1" applyAlignment="1">
      <alignment vertical="top"/>
    </xf>
    <xf numFmtId="14" fontId="26" fillId="0" borderId="0" xfId="0" applyNumberFormat="1" applyFont="1" applyAlignment="1">
      <alignment vertical="top"/>
    </xf>
    <xf numFmtId="0" fontId="35" fillId="0" borderId="0" xfId="0" applyNumberFormat="1" applyFont="1" applyAlignment="1">
      <alignment vertical="top"/>
    </xf>
    <xf numFmtId="3" fontId="35" fillId="0" borderId="68" xfId="0" applyNumberFormat="1" applyFont="1" applyBorder="1" applyAlignment="1"/>
    <xf numFmtId="3" fontId="35" fillId="0" borderId="68" xfId="0" applyNumberFormat="1" applyFont="1" applyBorder="1"/>
    <xf numFmtId="3" fontId="35" fillId="0" borderId="68" xfId="0" applyNumberFormat="1" applyFont="1" applyBorder="1" applyAlignment="1">
      <alignment horizontal="right"/>
    </xf>
    <xf numFmtId="3" fontId="26" fillId="0" borderId="35" xfId="44" applyNumberFormat="1" applyFont="1" applyFill="1" applyBorder="1" applyAlignment="1"/>
    <xf numFmtId="17" fontId="66" fillId="9" borderId="35" xfId="28" applyNumberFormat="1" applyFont="1" applyFill="1" applyBorder="1" applyAlignment="1">
      <alignment horizontal="center" vertical="center" wrapText="1"/>
    </xf>
    <xf numFmtId="196" fontId="60" fillId="3" borderId="35" xfId="1" applyNumberFormat="1" applyFont="1" applyFill="1" applyBorder="1" applyAlignment="1">
      <alignment horizontal="right" vertical="top"/>
    </xf>
    <xf numFmtId="196" fontId="61" fillId="9" borderId="35" xfId="1" applyNumberFormat="1" applyFont="1" applyFill="1" applyBorder="1" applyAlignment="1">
      <alignment horizontal="right" vertical="top"/>
    </xf>
    <xf numFmtId="179" fontId="57" fillId="0" borderId="0" xfId="0" applyNumberFormat="1" applyFont="1"/>
    <xf numFmtId="1" fontId="60" fillId="3" borderId="35" xfId="1" applyNumberFormat="1" applyFont="1" applyFill="1" applyBorder="1" applyAlignment="1">
      <alignment horizontal="right" vertical="top"/>
    </xf>
    <xf numFmtId="196" fontId="66" fillId="9" borderId="35" xfId="1" applyNumberFormat="1" applyFont="1" applyFill="1" applyBorder="1" applyAlignment="1">
      <alignment horizontal="right" vertical="center" wrapText="1"/>
    </xf>
    <xf numFmtId="196" fontId="30" fillId="0" borderId="35" xfId="1" applyNumberFormat="1" applyFont="1" applyFill="1" applyBorder="1" applyAlignment="1">
      <alignment horizontal="right" vertical="top" wrapText="1"/>
    </xf>
    <xf numFmtId="3" fontId="71" fillId="3" borderId="35" xfId="43" quotePrefix="1" applyNumberFormat="1" applyFont="1" applyFill="1" applyBorder="1" applyAlignment="1">
      <alignment horizontal="center" vertical="center"/>
    </xf>
    <xf numFmtId="196" fontId="49" fillId="3" borderId="35" xfId="1" applyNumberFormat="1" applyFont="1" applyFill="1" applyBorder="1" applyAlignment="1">
      <alignment horizontal="center" vertical="top"/>
    </xf>
    <xf numFmtId="196" fontId="62" fillId="3" borderId="35" xfId="1" applyNumberFormat="1" applyFont="1" applyFill="1" applyBorder="1" applyAlignment="1">
      <alignment horizontal="center" vertical="center"/>
    </xf>
    <xf numFmtId="196" fontId="59" fillId="9" borderId="35" xfId="1" applyNumberFormat="1" applyFont="1" applyFill="1" applyBorder="1" applyAlignment="1">
      <alignment vertical="top"/>
    </xf>
    <xf numFmtId="196" fontId="59" fillId="9" borderId="35" xfId="1" applyNumberFormat="1" applyFont="1" applyFill="1" applyBorder="1" applyAlignment="1">
      <alignment horizontal="right" vertical="top"/>
    </xf>
    <xf numFmtId="196" fontId="49" fillId="3" borderId="35" xfId="1" applyNumberFormat="1" applyFont="1" applyFill="1" applyBorder="1" applyAlignment="1">
      <alignment vertical="top"/>
    </xf>
    <xf numFmtId="196" fontId="49" fillId="0" borderId="35" xfId="1" applyNumberFormat="1" applyFont="1" applyFill="1" applyBorder="1" applyAlignment="1">
      <alignment horizontal="right" vertical="top"/>
    </xf>
    <xf numFmtId="1" fontId="49" fillId="3" borderId="35" xfId="1" applyNumberFormat="1" applyFont="1" applyFill="1" applyBorder="1" applyAlignment="1">
      <alignment horizontal="right" vertical="top"/>
    </xf>
    <xf numFmtId="196" fontId="49" fillId="0" borderId="35" xfId="1" applyNumberFormat="1" applyFont="1" applyFill="1" applyBorder="1" applyAlignment="1">
      <alignment horizontal="center" vertical="top"/>
    </xf>
    <xf numFmtId="3" fontId="49" fillId="3" borderId="35" xfId="44" applyNumberFormat="1" applyFont="1" applyFill="1" applyBorder="1" applyAlignment="1">
      <alignment horizontal="left" vertical="top"/>
    </xf>
    <xf numFmtId="196" fontId="49" fillId="3" borderId="35" xfId="1" applyNumberFormat="1" applyFont="1" applyFill="1" applyBorder="1" applyAlignment="1">
      <alignment horizontal="right" vertical="top"/>
    </xf>
    <xf numFmtId="196" fontId="62" fillId="3" borderId="35" xfId="1" applyNumberFormat="1" applyFont="1" applyFill="1" applyBorder="1" applyAlignment="1">
      <alignment vertical="center"/>
    </xf>
    <xf numFmtId="196" fontId="49" fillId="9" borderId="35" xfId="1" applyNumberFormat="1" applyFont="1" applyFill="1" applyBorder="1" applyAlignment="1">
      <alignment vertical="top"/>
    </xf>
    <xf numFmtId="196" fontId="49" fillId="9" borderId="35" xfId="1" applyNumberFormat="1" applyFont="1" applyFill="1" applyBorder="1" applyAlignment="1">
      <alignment horizontal="right" vertical="top"/>
    </xf>
    <xf numFmtId="3" fontId="49" fillId="3" borderId="35" xfId="44" applyNumberFormat="1" applyFont="1" applyFill="1" applyBorder="1" applyAlignment="1">
      <alignment horizontal="right" vertical="top"/>
    </xf>
    <xf numFmtId="49" fontId="8" fillId="2" borderId="71" xfId="8" applyNumberFormat="1" applyFont="1" applyFill="1" applyBorder="1" applyAlignment="1">
      <alignment horizontal="center" vertical="center" wrapText="1"/>
    </xf>
    <xf numFmtId="49" fontId="8" fillId="2" borderId="44" xfId="8" applyNumberFormat="1" applyFont="1" applyFill="1" applyBorder="1" applyAlignment="1">
      <alignment horizontal="center" wrapText="1"/>
    </xf>
    <xf numFmtId="17" fontId="10" fillId="4" borderId="0" xfId="8" applyNumberFormat="1" applyFont="1" applyFill="1" applyBorder="1" applyAlignment="1">
      <alignment horizontal="left" vertical="center"/>
    </xf>
    <xf numFmtId="3" fontId="10" fillId="4" borderId="0" xfId="8" applyNumberFormat="1" applyFont="1" applyFill="1" applyBorder="1" applyAlignment="1">
      <alignment horizontal="right" vertical="center"/>
    </xf>
    <xf numFmtId="49" fontId="8" fillId="2" borderId="76" xfId="8" applyNumberFormat="1" applyFont="1" applyFill="1" applyBorder="1" applyAlignment="1">
      <alignment horizontal="left"/>
    </xf>
    <xf numFmtId="49" fontId="8" fillId="2" borderId="76" xfId="8" applyNumberFormat="1" applyFont="1" applyFill="1" applyBorder="1" applyAlignment="1">
      <alignment horizontal="center"/>
    </xf>
    <xf numFmtId="164" fontId="9" fillId="2" borderId="76" xfId="8" applyNumberFormat="1" applyFont="1" applyFill="1" applyBorder="1" applyAlignment="1">
      <alignment horizontal="right"/>
    </xf>
    <xf numFmtId="49" fontId="8" fillId="2" borderId="76" xfId="8" applyNumberFormat="1" applyFont="1" applyFill="1" applyBorder="1" applyAlignment="1">
      <alignment horizontal="center" vertical="center" wrapText="1"/>
    </xf>
    <xf numFmtId="164" fontId="8" fillId="2" borderId="76" xfId="8" applyNumberFormat="1" applyFont="1" applyFill="1" applyBorder="1" applyAlignment="1">
      <alignment horizontal="right"/>
    </xf>
    <xf numFmtId="0" fontId="8" fillId="2" borderId="76" xfId="8" applyFont="1" applyFill="1" applyBorder="1" applyAlignment="1">
      <alignment horizontal="right"/>
    </xf>
    <xf numFmtId="170" fontId="8" fillId="2" borderId="76" xfId="8" applyNumberFormat="1" applyFont="1" applyFill="1" applyBorder="1" applyAlignment="1">
      <alignment horizontal="right"/>
    </xf>
    <xf numFmtId="172" fontId="8" fillId="2" borderId="76" xfId="8" applyNumberFormat="1" applyFont="1" applyFill="1" applyBorder="1" applyAlignment="1">
      <alignment horizontal="right"/>
    </xf>
    <xf numFmtId="164" fontId="8" fillId="9" borderId="71" xfId="8" applyNumberFormat="1" applyFont="1" applyFill="1" applyBorder="1" applyAlignment="1">
      <alignment horizontal="right"/>
    </xf>
    <xf numFmtId="167" fontId="8" fillId="2" borderId="76" xfId="1" applyNumberFormat="1" applyFont="1" applyFill="1" applyBorder="1" applyAlignment="1">
      <alignment horizontal="right"/>
    </xf>
    <xf numFmtId="0" fontId="9" fillId="2" borderId="0" xfId="8" applyFont="1" applyFill="1" applyBorder="1" applyAlignment="1">
      <alignment horizontal="right"/>
    </xf>
    <xf numFmtId="172" fontId="9" fillId="2" borderId="0" xfId="8" applyNumberFormat="1" applyFont="1" applyFill="1" applyBorder="1" applyAlignment="1">
      <alignment horizontal="right"/>
    </xf>
    <xf numFmtId="164" fontId="8" fillId="2" borderId="71" xfId="8" applyNumberFormat="1" applyFont="1" applyFill="1" applyBorder="1" applyAlignment="1">
      <alignment horizontal="right"/>
    </xf>
    <xf numFmtId="172" fontId="8" fillId="2" borderId="71" xfId="8" applyNumberFormat="1" applyFont="1" applyFill="1" applyBorder="1" applyAlignment="1">
      <alignment horizontal="right"/>
    </xf>
    <xf numFmtId="164" fontId="8" fillId="0" borderId="71" xfId="8" applyNumberFormat="1" applyFont="1" applyFill="1" applyBorder="1" applyAlignment="1">
      <alignment horizontal="right"/>
    </xf>
    <xf numFmtId="49" fontId="8" fillId="0" borderId="76" xfId="8" applyNumberFormat="1" applyFont="1" applyFill="1" applyBorder="1" applyAlignment="1">
      <alignment horizontal="center"/>
    </xf>
    <xf numFmtId="0" fontId="9" fillId="2" borderId="76" xfId="8" applyFont="1" applyFill="1" applyBorder="1" applyAlignment="1">
      <alignment horizontal="right"/>
    </xf>
    <xf numFmtId="49" fontId="9" fillId="2" borderId="76" xfId="8" applyNumberFormat="1" applyFont="1" applyFill="1" applyBorder="1" applyAlignment="1">
      <alignment horizontal="left"/>
    </xf>
    <xf numFmtId="177" fontId="9" fillId="2" borderId="76" xfId="8" applyNumberFormat="1" applyFont="1" applyFill="1" applyBorder="1" applyAlignment="1">
      <alignment horizontal="right"/>
    </xf>
    <xf numFmtId="177" fontId="9" fillId="0" borderId="76" xfId="8" applyNumberFormat="1" applyFont="1" applyFill="1" applyBorder="1" applyAlignment="1">
      <alignment horizontal="right"/>
    </xf>
    <xf numFmtId="178" fontId="9" fillId="2" borderId="76" xfId="8" applyNumberFormat="1" applyFont="1" applyFill="1" applyBorder="1" applyAlignment="1">
      <alignment horizontal="right"/>
    </xf>
    <xf numFmtId="178" fontId="9" fillId="0" borderId="76" xfId="8" applyNumberFormat="1" applyFont="1" applyFill="1" applyBorder="1" applyAlignment="1">
      <alignment horizontal="right"/>
    </xf>
    <xf numFmtId="177" fontId="8" fillId="2" borderId="76" xfId="8" applyNumberFormat="1" applyFont="1" applyFill="1" applyBorder="1" applyAlignment="1">
      <alignment horizontal="right"/>
    </xf>
    <xf numFmtId="177" fontId="8" fillId="0" borderId="71" xfId="8" applyNumberFormat="1" applyFont="1" applyFill="1" applyBorder="1" applyAlignment="1">
      <alignment horizontal="right"/>
    </xf>
    <xf numFmtId="177" fontId="9" fillId="2" borderId="0" xfId="8" applyNumberFormat="1" applyFont="1" applyFill="1" applyBorder="1" applyAlignment="1">
      <alignment horizontal="right"/>
    </xf>
    <xf numFmtId="49" fontId="8" fillId="2" borderId="71" xfId="8" applyNumberFormat="1" applyFont="1" applyFill="1" applyBorder="1" applyAlignment="1">
      <alignment horizontal="center" vertical="center"/>
    </xf>
    <xf numFmtId="177" fontId="8" fillId="0" borderId="76" xfId="8" applyNumberFormat="1" applyFont="1" applyFill="1" applyBorder="1" applyAlignment="1">
      <alignment horizontal="right"/>
    </xf>
    <xf numFmtId="179" fontId="8" fillId="2" borderId="76" xfId="8" applyNumberFormat="1" applyFont="1" applyFill="1" applyBorder="1" applyAlignment="1">
      <alignment horizontal="right"/>
    </xf>
    <xf numFmtId="179" fontId="8" fillId="2" borderId="71" xfId="8" applyNumberFormat="1" applyFont="1" applyFill="1" applyBorder="1" applyAlignment="1">
      <alignment horizontal="right"/>
    </xf>
    <xf numFmtId="179" fontId="9" fillId="2" borderId="0" xfId="8" applyNumberFormat="1" applyFont="1" applyFill="1" applyBorder="1" applyAlignment="1">
      <alignment horizontal="right"/>
    </xf>
    <xf numFmtId="49" fontId="8" fillId="2" borderId="76" xfId="8" applyNumberFormat="1" applyFont="1" applyFill="1" applyBorder="1" applyAlignment="1">
      <alignment horizontal="center" vertical="top" wrapText="1"/>
    </xf>
    <xf numFmtId="0" fontId="8" fillId="2" borderId="71" xfId="8" applyFont="1" applyFill="1" applyBorder="1" applyAlignment="1">
      <alignment horizontal="center" vertical="top" wrapText="1"/>
    </xf>
    <xf numFmtId="49" fontId="8" fillId="2" borderId="71" xfId="8" applyNumberFormat="1" applyFont="1" applyFill="1" applyBorder="1" applyAlignment="1">
      <alignment horizontal="center" vertical="top" wrapText="1"/>
    </xf>
    <xf numFmtId="0" fontId="8" fillId="0" borderId="71" xfId="8" applyFont="1" applyFill="1" applyBorder="1" applyAlignment="1">
      <alignment horizontal="center" vertical="top" wrapText="1"/>
    </xf>
    <xf numFmtId="49" fontId="27" fillId="2" borderId="76" xfId="8" applyNumberFormat="1" applyFont="1" applyFill="1" applyBorder="1" applyAlignment="1">
      <alignment horizontal="left" vertical="center" wrapText="1"/>
    </xf>
    <xf numFmtId="0" fontId="26" fillId="0" borderId="77" xfId="8" applyNumberFormat="1" applyFont="1" applyFill="1" applyBorder="1" applyAlignment="1">
      <alignment horizontal="center" vertical="top"/>
    </xf>
    <xf numFmtId="2" fontId="28" fillId="0" borderId="77" xfId="8" applyNumberFormat="1" applyFont="1" applyBorder="1" applyAlignment="1">
      <alignment vertical="top"/>
    </xf>
    <xf numFmtId="3" fontId="26" fillId="0" borderId="77" xfId="8" applyNumberFormat="1" applyFont="1" applyFill="1" applyBorder="1" applyAlignment="1">
      <alignment horizontal="right" vertical="top"/>
    </xf>
    <xf numFmtId="4" fontId="26" fillId="0" borderId="77" xfId="8" applyNumberFormat="1" applyFont="1" applyFill="1" applyBorder="1" applyAlignment="1">
      <alignment horizontal="center" vertical="top"/>
    </xf>
    <xf numFmtId="4" fontId="26" fillId="0" borderId="77" xfId="8" applyNumberFormat="1" applyFont="1" applyFill="1" applyBorder="1" applyAlignment="1">
      <alignment horizontal="right" vertical="top"/>
    </xf>
    <xf numFmtId="180" fontId="26" fillId="0" borderId="77" xfId="8" applyNumberFormat="1" applyFont="1" applyFill="1" applyBorder="1" applyAlignment="1">
      <alignment horizontal="right" vertical="top"/>
    </xf>
    <xf numFmtId="2" fontId="26" fillId="0" borderId="77" xfId="8" applyNumberFormat="1" applyFont="1" applyFill="1" applyBorder="1" applyAlignment="1">
      <alignment horizontal="right" vertical="top"/>
    </xf>
    <xf numFmtId="49" fontId="29" fillId="2" borderId="76" xfId="8" applyNumberFormat="1" applyFont="1" applyFill="1" applyBorder="1" applyAlignment="1">
      <alignment horizontal="center" vertical="top" wrapText="1"/>
    </xf>
    <xf numFmtId="0" fontId="29" fillId="2" borderId="76" xfId="8" applyFont="1" applyFill="1" applyBorder="1" applyAlignment="1">
      <alignment horizontal="center" vertical="top" wrapText="1"/>
    </xf>
    <xf numFmtId="49" fontId="27" fillId="0" borderId="76" xfId="8" applyNumberFormat="1" applyFont="1" applyFill="1" applyBorder="1" applyAlignment="1">
      <alignment horizontal="left" vertical="center" wrapText="1"/>
    </xf>
    <xf numFmtId="49" fontId="31" fillId="2" borderId="0" xfId="8" applyNumberFormat="1" applyFont="1" applyFill="1" applyAlignment="1">
      <alignment horizontal="left" vertical="top"/>
    </xf>
    <xf numFmtId="182" fontId="8" fillId="2" borderId="76" xfId="8" applyNumberFormat="1" applyFont="1" applyFill="1" applyBorder="1" applyAlignment="1">
      <alignment horizontal="right"/>
    </xf>
    <xf numFmtId="164" fontId="8" fillId="0" borderId="76" xfId="8" applyNumberFormat="1" applyFont="1" applyFill="1" applyBorder="1" applyAlignment="1">
      <alignment horizontal="right"/>
    </xf>
    <xf numFmtId="182" fontId="8" fillId="0" borderId="76" xfId="8" applyNumberFormat="1" applyFont="1" applyFill="1" applyBorder="1" applyAlignment="1">
      <alignment horizontal="right"/>
    </xf>
    <xf numFmtId="0" fontId="8" fillId="0" borderId="76" xfId="8" applyFont="1" applyFill="1" applyBorder="1" applyAlignment="1">
      <alignment horizontal="right"/>
    </xf>
    <xf numFmtId="183" fontId="8" fillId="0" borderId="76" xfId="8" applyNumberFormat="1" applyFont="1" applyFill="1" applyBorder="1" applyAlignment="1">
      <alignment horizontal="right"/>
    </xf>
    <xf numFmtId="175" fontId="8" fillId="9" borderId="71" xfId="8" applyNumberFormat="1" applyFont="1" applyFill="1" applyBorder="1" applyAlignment="1">
      <alignment horizontal="right"/>
    </xf>
    <xf numFmtId="182" fontId="9" fillId="2" borderId="0" xfId="8" applyNumberFormat="1" applyFont="1" applyFill="1" applyBorder="1" applyAlignment="1">
      <alignment horizontal="right"/>
    </xf>
    <xf numFmtId="164" fontId="9" fillId="0" borderId="0" xfId="8" applyNumberFormat="1" applyFont="1" applyFill="1" applyBorder="1" applyAlignment="1">
      <alignment horizontal="right"/>
    </xf>
    <xf numFmtId="182" fontId="9" fillId="0" borderId="0" xfId="8" applyNumberFormat="1" applyFont="1" applyFill="1" applyBorder="1" applyAlignment="1">
      <alignment horizontal="right"/>
    </xf>
    <xf numFmtId="183" fontId="9" fillId="2" borderId="0" xfId="8" applyNumberFormat="1" applyFont="1" applyFill="1" applyBorder="1" applyAlignment="1">
      <alignment horizontal="right"/>
    </xf>
    <xf numFmtId="184" fontId="8" fillId="2" borderId="76" xfId="8" applyNumberFormat="1" applyFont="1" applyFill="1" applyBorder="1" applyAlignment="1">
      <alignment horizontal="right"/>
    </xf>
    <xf numFmtId="175" fontId="13" fillId="0" borderId="71" xfId="8" applyNumberFormat="1" applyFont="1" applyFill="1" applyBorder="1" applyAlignment="1">
      <alignment horizontal="right"/>
    </xf>
    <xf numFmtId="49" fontId="8" fillId="2" borderId="76" xfId="8" applyNumberFormat="1" applyFont="1" applyFill="1" applyBorder="1" applyAlignment="1">
      <alignment horizontal="center" vertical="center"/>
    </xf>
    <xf numFmtId="185" fontId="8" fillId="2" borderId="71" xfId="8" applyNumberFormat="1" applyFont="1" applyFill="1" applyBorder="1" applyAlignment="1">
      <alignment horizontal="right"/>
    </xf>
    <xf numFmtId="185" fontId="8" fillId="0" borderId="78" xfId="8" applyNumberFormat="1" applyFont="1" applyFill="1" applyBorder="1" applyAlignment="1">
      <alignment horizontal="right"/>
    </xf>
    <xf numFmtId="185" fontId="8" fillId="2" borderId="78" xfId="8" applyNumberFormat="1" applyFont="1" applyFill="1" applyBorder="1" applyAlignment="1">
      <alignment horizontal="right"/>
    </xf>
    <xf numFmtId="185" fontId="9" fillId="2" borderId="0" xfId="8" applyNumberFormat="1" applyFont="1" applyFill="1" applyBorder="1" applyAlignment="1">
      <alignment horizontal="right"/>
    </xf>
    <xf numFmtId="177" fontId="8" fillId="0" borderId="81" xfId="8" applyNumberFormat="1" applyFont="1" applyFill="1" applyBorder="1" applyAlignment="1">
      <alignment horizontal="right"/>
    </xf>
    <xf numFmtId="177" fontId="8" fillId="0" borderId="82" xfId="8" applyNumberFormat="1" applyFont="1" applyFill="1" applyBorder="1" applyAlignment="1">
      <alignment horizontal="right"/>
    </xf>
    <xf numFmtId="177" fontId="8" fillId="0" borderId="83" xfId="8" applyNumberFormat="1" applyFont="1" applyFill="1" applyBorder="1" applyAlignment="1">
      <alignment horizontal="right"/>
    </xf>
    <xf numFmtId="177" fontId="8" fillId="0" borderId="84" xfId="8" applyNumberFormat="1" applyFont="1" applyFill="1" applyBorder="1" applyAlignment="1">
      <alignment horizontal="right"/>
    </xf>
    <xf numFmtId="177" fontId="8" fillId="0" borderId="85" xfId="8" applyNumberFormat="1" applyFont="1" applyFill="1" applyBorder="1" applyAlignment="1">
      <alignment horizontal="right"/>
    </xf>
    <xf numFmtId="1" fontId="8" fillId="0" borderId="83" xfId="8" applyNumberFormat="1" applyFont="1" applyFill="1" applyBorder="1" applyAlignment="1">
      <alignment horizontal="right"/>
    </xf>
    <xf numFmtId="1" fontId="8" fillId="0" borderId="84" xfId="8" applyNumberFormat="1" applyFont="1" applyFill="1" applyBorder="1" applyAlignment="1">
      <alignment horizontal="right"/>
    </xf>
    <xf numFmtId="177" fontId="8" fillId="0" borderId="86" xfId="8" applyNumberFormat="1" applyFont="1" applyFill="1" applyBorder="1" applyAlignment="1">
      <alignment horizontal="right"/>
    </xf>
    <xf numFmtId="177" fontId="9" fillId="0" borderId="87" xfId="8" applyNumberFormat="1" applyFont="1" applyFill="1" applyBorder="1" applyAlignment="1">
      <alignment horizontal="right"/>
    </xf>
    <xf numFmtId="177" fontId="9" fillId="0" borderId="82" xfId="8" applyNumberFormat="1" applyFont="1" applyFill="1" applyBorder="1" applyAlignment="1">
      <alignment horizontal="right"/>
    </xf>
    <xf numFmtId="177" fontId="9" fillId="0" borderId="72" xfId="8" applyNumberFormat="1" applyFont="1" applyFill="1" applyBorder="1" applyAlignment="1">
      <alignment horizontal="right"/>
    </xf>
    <xf numFmtId="177" fontId="9" fillId="0" borderId="46" xfId="8" applyNumberFormat="1" applyFont="1" applyFill="1" applyBorder="1" applyAlignment="1">
      <alignment horizontal="right"/>
    </xf>
    <xf numFmtId="177" fontId="9" fillId="0" borderId="85" xfId="8" applyNumberFormat="1" applyFont="1" applyFill="1" applyBorder="1" applyAlignment="1">
      <alignment horizontal="right"/>
    </xf>
    <xf numFmtId="1" fontId="9" fillId="0" borderId="72" xfId="8" applyNumberFormat="1" applyFont="1" applyFill="1" applyBorder="1" applyAlignment="1">
      <alignment horizontal="right"/>
    </xf>
    <xf numFmtId="0" fontId="9" fillId="2" borderId="72" xfId="8" applyFont="1" applyFill="1" applyBorder="1" applyAlignment="1">
      <alignment vertical="center"/>
    </xf>
    <xf numFmtId="0" fontId="10" fillId="0" borderId="82" xfId="8" applyNumberFormat="1" applyFont="1" applyFill="1" applyBorder="1" applyAlignment="1">
      <alignment horizontal="right" vertical="center"/>
    </xf>
    <xf numFmtId="3" fontId="10" fillId="0" borderId="72" xfId="8" applyNumberFormat="1" applyFont="1" applyFill="1" applyBorder="1" applyAlignment="1">
      <alignment horizontal="right" vertical="center"/>
    </xf>
    <xf numFmtId="0" fontId="9" fillId="0" borderId="46" xfId="8" applyFont="1" applyFill="1" applyBorder="1" applyAlignment="1">
      <alignment vertical="center"/>
    </xf>
    <xf numFmtId="0" fontId="9" fillId="0" borderId="86" xfId="8" applyFont="1" applyFill="1" applyBorder="1" applyAlignment="1">
      <alignment vertical="center"/>
    </xf>
    <xf numFmtId="177" fontId="8" fillId="0" borderId="88" xfId="8" applyNumberFormat="1" applyFont="1" applyFill="1" applyBorder="1" applyAlignment="1">
      <alignment horizontal="right"/>
    </xf>
    <xf numFmtId="177" fontId="9" fillId="0" borderId="88" xfId="8" applyNumberFormat="1" applyFont="1" applyFill="1" applyBorder="1" applyAlignment="1">
      <alignment horizontal="right"/>
    </xf>
    <xf numFmtId="186" fontId="10" fillId="4" borderId="46" xfId="8" applyNumberFormat="1" applyFont="1" applyFill="1" applyBorder="1" applyAlignment="1">
      <alignment horizontal="right" vertical="center"/>
    </xf>
    <xf numFmtId="179" fontId="10" fillId="0" borderId="89" xfId="8" applyNumberFormat="1" applyFont="1" applyFill="1" applyBorder="1" applyAlignment="1">
      <alignment horizontal="right" vertical="center"/>
    </xf>
    <xf numFmtId="179" fontId="10" fillId="0" borderId="72" xfId="8" applyNumberFormat="1" applyFont="1" applyFill="1" applyBorder="1" applyAlignment="1">
      <alignment horizontal="right" vertical="center"/>
    </xf>
    <xf numFmtId="179" fontId="9" fillId="0" borderId="46" xfId="8" applyNumberFormat="1" applyFont="1" applyFill="1" applyBorder="1" applyAlignment="1">
      <alignment vertical="center"/>
    </xf>
    <xf numFmtId="179" fontId="9" fillId="0" borderId="86" xfId="8" applyNumberFormat="1" applyFont="1" applyFill="1" applyBorder="1" applyAlignment="1">
      <alignment vertical="center"/>
    </xf>
    <xf numFmtId="49" fontId="8" fillId="2" borderId="90" xfId="8" applyNumberFormat="1" applyFont="1" applyFill="1" applyBorder="1" applyAlignment="1">
      <alignment horizontal="center" vertical="center" wrapText="1"/>
    </xf>
    <xf numFmtId="49" fontId="8" fillId="2" borderId="90" xfId="8" applyNumberFormat="1" applyFont="1" applyFill="1" applyBorder="1" applyAlignment="1">
      <alignment horizontal="left"/>
    </xf>
    <xf numFmtId="3" fontId="8" fillId="2" borderId="90" xfId="8" applyNumberFormat="1" applyFont="1" applyFill="1" applyBorder="1" applyAlignment="1">
      <alignment horizontal="right"/>
    </xf>
    <xf numFmtId="170" fontId="8" fillId="2" borderId="90" xfId="8" applyNumberFormat="1" applyFont="1" applyFill="1" applyBorder="1" applyAlignment="1">
      <alignment horizontal="right"/>
    </xf>
    <xf numFmtId="175" fontId="8" fillId="2" borderId="90" xfId="8" applyNumberFormat="1" applyFont="1" applyFill="1" applyBorder="1" applyAlignment="1">
      <alignment horizontal="right"/>
    </xf>
    <xf numFmtId="186" fontId="8" fillId="2" borderId="90" xfId="8" applyNumberFormat="1" applyFont="1" applyFill="1" applyBorder="1" applyAlignment="1">
      <alignment horizontal="right"/>
    </xf>
    <xf numFmtId="177" fontId="8" fillId="2" borderId="90" xfId="8" applyNumberFormat="1" applyFont="1" applyFill="1" applyBorder="1" applyAlignment="1">
      <alignment horizontal="right"/>
    </xf>
    <xf numFmtId="164" fontId="8" fillId="2" borderId="90" xfId="8" applyNumberFormat="1" applyFont="1" applyFill="1" applyBorder="1" applyAlignment="1">
      <alignment horizontal="right"/>
    </xf>
    <xf numFmtId="185" fontId="8" fillId="2" borderId="90" xfId="8" applyNumberFormat="1" applyFont="1" applyFill="1" applyBorder="1" applyAlignment="1">
      <alignment horizontal="right"/>
    </xf>
    <xf numFmtId="164" fontId="8" fillId="9" borderId="84" xfId="8" applyNumberFormat="1" applyFont="1" applyFill="1" applyBorder="1" applyAlignment="1">
      <alignment horizontal="right"/>
    </xf>
    <xf numFmtId="175" fontId="8" fillId="9" borderId="84" xfId="8" applyNumberFormat="1" applyFont="1" applyFill="1" applyBorder="1" applyAlignment="1">
      <alignment horizontal="right"/>
    </xf>
    <xf numFmtId="175" fontId="8" fillId="9" borderId="90" xfId="8" applyNumberFormat="1" applyFont="1" applyFill="1" applyBorder="1" applyAlignment="1">
      <alignment horizontal="right"/>
    </xf>
    <xf numFmtId="177" fontId="8" fillId="9" borderId="90" xfId="8" applyNumberFormat="1" applyFont="1" applyFill="1" applyBorder="1" applyAlignment="1">
      <alignment horizontal="right"/>
    </xf>
    <xf numFmtId="190" fontId="8" fillId="9" borderId="90" xfId="8" applyNumberFormat="1" applyFont="1" applyFill="1" applyBorder="1" applyAlignment="1">
      <alignment horizontal="right"/>
    </xf>
    <xf numFmtId="170" fontId="9" fillId="2" borderId="90" xfId="8" applyNumberFormat="1" applyFont="1" applyFill="1" applyBorder="1" applyAlignment="1">
      <alignment horizontal="right"/>
    </xf>
    <xf numFmtId="186" fontId="9" fillId="0" borderId="35" xfId="8" applyNumberFormat="1" applyFont="1" applyFill="1" applyBorder="1" applyAlignment="1">
      <alignment horizontal="right"/>
    </xf>
    <xf numFmtId="170" fontId="9" fillId="0" borderId="90" xfId="8" applyNumberFormat="1" applyFont="1" applyFill="1" applyBorder="1" applyAlignment="1">
      <alignment horizontal="right"/>
    </xf>
    <xf numFmtId="185" fontId="9" fillId="0" borderId="35" xfId="8" applyNumberFormat="1" applyFont="1" applyFill="1" applyBorder="1" applyAlignment="1">
      <alignment horizontal="right"/>
    </xf>
    <xf numFmtId="3" fontId="9" fillId="0" borderId="0" xfId="8" applyNumberFormat="1" applyFont="1" applyFill="1" applyAlignment="1">
      <alignment vertical="center"/>
    </xf>
    <xf numFmtId="1" fontId="9" fillId="0" borderId="35" xfId="8" applyNumberFormat="1" applyFont="1" applyFill="1" applyBorder="1" applyAlignment="1">
      <alignment vertical="center"/>
    </xf>
    <xf numFmtId="186" fontId="9" fillId="2" borderId="0" xfId="8" applyNumberFormat="1" applyFont="1" applyFill="1" applyBorder="1" applyAlignment="1">
      <alignment horizontal="right"/>
    </xf>
    <xf numFmtId="167" fontId="9" fillId="2" borderId="0" xfId="11" applyNumberFormat="1" applyFont="1" applyFill="1" applyBorder="1" applyAlignment="1">
      <alignment horizontal="right"/>
    </xf>
    <xf numFmtId="179" fontId="8" fillId="2" borderId="84" xfId="8" applyNumberFormat="1" applyFont="1" applyFill="1" applyBorder="1" applyAlignment="1">
      <alignment horizontal="right" vertical="center" wrapText="1"/>
    </xf>
    <xf numFmtId="178" fontId="8" fillId="2" borderId="84" xfId="8" applyNumberFormat="1" applyFont="1" applyFill="1" applyBorder="1" applyAlignment="1">
      <alignment horizontal="right" vertical="center" wrapText="1"/>
    </xf>
    <xf numFmtId="183" fontId="8" fillId="2" borderId="84" xfId="8" applyNumberFormat="1" applyFont="1" applyFill="1" applyBorder="1" applyAlignment="1">
      <alignment horizontal="right" vertical="center" wrapText="1"/>
    </xf>
    <xf numFmtId="179" fontId="9" fillId="2" borderId="0" xfId="8" applyNumberFormat="1" applyFont="1" applyFill="1" applyBorder="1" applyAlignment="1">
      <alignment horizontal="right" vertical="center" wrapText="1"/>
    </xf>
    <xf numFmtId="178" fontId="9" fillId="2" borderId="0" xfId="8" applyNumberFormat="1" applyFont="1" applyFill="1" applyBorder="1" applyAlignment="1">
      <alignment horizontal="right" vertical="center" wrapText="1"/>
    </xf>
    <xf numFmtId="183" fontId="9" fillId="2" borderId="0" xfId="8" applyNumberFormat="1" applyFont="1" applyFill="1" applyBorder="1" applyAlignment="1">
      <alignment horizontal="right" vertical="center" wrapText="1"/>
    </xf>
    <xf numFmtId="188" fontId="13" fillId="0" borderId="78" xfId="12" applyNumberFormat="1" applyFont="1" applyFill="1" applyBorder="1" applyAlignment="1">
      <alignment horizontal="center" vertical="top"/>
    </xf>
    <xf numFmtId="1" fontId="8" fillId="0" borderId="90" xfId="11" applyNumberFormat="1" applyFont="1" applyFill="1" applyBorder="1" applyAlignment="1">
      <alignment horizontal="right"/>
    </xf>
    <xf numFmtId="164" fontId="9" fillId="2" borderId="90" xfId="8" applyNumberFormat="1" applyFont="1" applyFill="1" applyBorder="1" applyAlignment="1">
      <alignment horizontal="right"/>
    </xf>
    <xf numFmtId="3" fontId="10" fillId="0" borderId="78" xfId="11" applyNumberFormat="1" applyFont="1" applyFill="1" applyBorder="1" applyAlignment="1">
      <alignment horizontal="right" vertical="center" wrapText="1"/>
    </xf>
    <xf numFmtId="167" fontId="9" fillId="0" borderId="78" xfId="11" applyNumberFormat="1" applyFont="1" applyFill="1" applyBorder="1" applyAlignment="1">
      <alignment horizontal="right" vertical="center" wrapText="1"/>
    </xf>
    <xf numFmtId="164" fontId="9" fillId="2" borderId="84" xfId="8" applyNumberFormat="1" applyFont="1" applyFill="1" applyBorder="1" applyAlignment="1">
      <alignment horizontal="right"/>
    </xf>
    <xf numFmtId="1" fontId="9" fillId="0" borderId="78" xfId="15" applyNumberFormat="1" applyFont="1" applyFill="1" applyBorder="1" applyAlignment="1" applyProtection="1">
      <alignment horizontal="right" vertical="center" wrapText="1"/>
    </xf>
    <xf numFmtId="3" fontId="9" fillId="0" borderId="78" xfId="15" applyNumberFormat="1" applyFont="1" applyFill="1" applyBorder="1" applyAlignment="1" applyProtection="1">
      <alignment horizontal="right" vertical="center" wrapText="1"/>
    </xf>
    <xf numFmtId="167" fontId="8" fillId="2" borderId="0" xfId="1" applyNumberFormat="1" applyFont="1" applyFill="1" applyAlignment="1">
      <alignment horizontal="left"/>
    </xf>
    <xf numFmtId="0" fontId="8" fillId="2" borderId="90" xfId="8" applyFont="1" applyFill="1" applyBorder="1" applyAlignment="1">
      <alignment horizontal="center" vertical="center" wrapText="1"/>
    </xf>
    <xf numFmtId="49" fontId="8" fillId="2" borderId="90" xfId="8" applyNumberFormat="1" applyFont="1" applyFill="1" applyBorder="1" applyAlignment="1">
      <alignment horizontal="center" vertical="center"/>
    </xf>
    <xf numFmtId="177" fontId="8" fillId="2" borderId="78" xfId="8" applyNumberFormat="1" applyFont="1" applyFill="1" applyBorder="1" applyAlignment="1">
      <alignment horizontal="right"/>
    </xf>
    <xf numFmtId="177" fontId="8" fillId="9" borderId="84" xfId="8" applyNumberFormat="1" applyFont="1" applyFill="1" applyBorder="1" applyAlignment="1">
      <alignment horizontal="right"/>
    </xf>
    <xf numFmtId="49" fontId="8" fillId="2" borderId="90" xfId="8" applyNumberFormat="1" applyFont="1" applyFill="1" applyBorder="1" applyAlignment="1">
      <alignment horizontal="center"/>
    </xf>
    <xf numFmtId="49" fontId="8" fillId="2" borderId="90" xfId="8" applyNumberFormat="1" applyFont="1" applyFill="1" applyBorder="1" applyAlignment="1">
      <alignment vertical="center"/>
    </xf>
    <xf numFmtId="177" fontId="8" fillId="0" borderId="90" xfId="8" applyNumberFormat="1" applyFont="1" applyFill="1" applyBorder="1" applyAlignment="1">
      <alignment horizontal="right"/>
    </xf>
    <xf numFmtId="0" fontId="8" fillId="2" borderId="90" xfId="8" applyFont="1" applyFill="1" applyBorder="1" applyAlignment="1">
      <alignment horizontal="right" vertical="top"/>
    </xf>
    <xf numFmtId="172" fontId="8" fillId="2" borderId="90" xfId="8" applyNumberFormat="1" applyFont="1" applyFill="1" applyBorder="1" applyAlignment="1">
      <alignment horizontal="right" vertical="top"/>
    </xf>
    <xf numFmtId="170" fontId="8" fillId="2" borderId="90" xfId="8" applyNumberFormat="1" applyFont="1" applyFill="1" applyBorder="1" applyAlignment="1">
      <alignment horizontal="right" vertical="top"/>
    </xf>
    <xf numFmtId="164" fontId="8" fillId="2" borderId="90" xfId="8" applyNumberFormat="1" applyFont="1" applyFill="1" applyBorder="1" applyAlignment="1">
      <alignment horizontal="right" vertical="top"/>
    </xf>
    <xf numFmtId="49" fontId="9" fillId="2" borderId="0" xfId="8" applyNumberFormat="1" applyFont="1" applyFill="1" applyBorder="1" applyAlignment="1">
      <alignment horizontal="left" vertical="top"/>
    </xf>
    <xf numFmtId="0" fontId="9" fillId="2" borderId="0" xfId="8" applyFont="1" applyFill="1" applyBorder="1" applyAlignment="1">
      <alignment horizontal="right" vertical="top"/>
    </xf>
    <xf numFmtId="172" fontId="9" fillId="2" borderId="0" xfId="8" applyNumberFormat="1" applyFont="1" applyFill="1" applyBorder="1" applyAlignment="1">
      <alignment horizontal="right" vertical="top"/>
    </xf>
    <xf numFmtId="170" fontId="9" fillId="2" borderId="0" xfId="8" applyNumberFormat="1" applyFont="1" applyFill="1" applyBorder="1" applyAlignment="1">
      <alignment horizontal="right" vertical="top"/>
    </xf>
    <xf numFmtId="181" fontId="9" fillId="2" borderId="0" xfId="2" applyNumberFormat="1" applyFont="1" applyFill="1" applyBorder="1" applyAlignment="1">
      <alignment horizontal="right" vertical="top"/>
    </xf>
    <xf numFmtId="164" fontId="9" fillId="2" borderId="0" xfId="8" applyNumberFormat="1" applyFont="1" applyFill="1" applyBorder="1" applyAlignment="1">
      <alignment horizontal="right" vertical="top"/>
    </xf>
    <xf numFmtId="9" fontId="9" fillId="2" borderId="0" xfId="2" applyFont="1" applyFill="1" applyBorder="1" applyAlignment="1">
      <alignment horizontal="right" vertical="top"/>
    </xf>
    <xf numFmtId="49" fontId="8" fillId="2" borderId="90" xfId="8" applyNumberFormat="1" applyFont="1" applyFill="1" applyBorder="1" applyAlignment="1">
      <alignment horizontal="center" wrapText="1"/>
    </xf>
    <xf numFmtId="0" fontId="8" fillId="2" borderId="90" xfId="8" applyFont="1" applyFill="1" applyBorder="1" applyAlignment="1">
      <alignment horizontal="right"/>
    </xf>
    <xf numFmtId="172" fontId="8" fillId="2" borderId="90" xfId="8" applyNumberFormat="1" applyFont="1" applyFill="1" applyBorder="1" applyAlignment="1">
      <alignment horizontal="right"/>
    </xf>
    <xf numFmtId="191" fontId="8" fillId="2" borderId="90" xfId="8" applyNumberFormat="1" applyFont="1" applyFill="1" applyBorder="1" applyAlignment="1">
      <alignment horizontal="right"/>
    </xf>
    <xf numFmtId="0" fontId="9" fillId="0" borderId="35" xfId="8" applyFont="1" applyFill="1" applyBorder="1" applyAlignment="1">
      <alignment horizontal="right"/>
    </xf>
    <xf numFmtId="172" fontId="9" fillId="0" borderId="35" xfId="8" applyNumberFormat="1" applyFont="1" applyFill="1" applyBorder="1" applyAlignment="1">
      <alignment horizontal="right"/>
    </xf>
    <xf numFmtId="167" fontId="9" fillId="0" borderId="35" xfId="1" applyNumberFormat="1" applyFont="1" applyFill="1" applyBorder="1" applyAlignment="1">
      <alignment horizontal="right"/>
    </xf>
    <xf numFmtId="178" fontId="8" fillId="2" borderId="90" xfId="8" applyNumberFormat="1" applyFont="1" applyFill="1" applyBorder="1" applyAlignment="1">
      <alignment horizontal="right"/>
    </xf>
    <xf numFmtId="178" fontId="8" fillId="2" borderId="84" xfId="8" applyNumberFormat="1" applyFont="1" applyFill="1" applyBorder="1" applyAlignment="1">
      <alignment horizontal="right"/>
    </xf>
    <xf numFmtId="178" fontId="8" fillId="2" borderId="78" xfId="8" applyNumberFormat="1" applyFont="1" applyFill="1" applyBorder="1" applyAlignment="1">
      <alignment horizontal="right"/>
    </xf>
    <xf numFmtId="178" fontId="9" fillId="0" borderId="35" xfId="8" applyNumberFormat="1" applyFont="1" applyFill="1" applyBorder="1" applyAlignment="1">
      <alignment horizontal="right"/>
    </xf>
    <xf numFmtId="170" fontId="8" fillId="0" borderId="90" xfId="8" applyNumberFormat="1" applyFont="1" applyFill="1" applyBorder="1" applyAlignment="1">
      <alignment horizontal="right"/>
    </xf>
    <xf numFmtId="164" fontId="8" fillId="0" borderId="90" xfId="8" applyNumberFormat="1" applyFont="1" applyFill="1" applyBorder="1" applyAlignment="1">
      <alignment horizontal="right"/>
    </xf>
    <xf numFmtId="0" fontId="8" fillId="0" borderId="90" xfId="8" applyFont="1" applyFill="1" applyBorder="1" applyAlignment="1">
      <alignment horizontal="right"/>
    </xf>
    <xf numFmtId="167" fontId="8" fillId="9" borderId="90" xfId="1" applyNumberFormat="1" applyFont="1" applyFill="1" applyBorder="1" applyAlignment="1">
      <alignment horizontal="right"/>
    </xf>
    <xf numFmtId="49" fontId="8" fillId="2" borderId="95" xfId="8" applyNumberFormat="1" applyFont="1" applyFill="1" applyBorder="1" applyAlignment="1">
      <alignment horizontal="center"/>
    </xf>
    <xf numFmtId="49" fontId="8" fillId="0" borderId="95" xfId="8" applyNumberFormat="1" applyFont="1" applyFill="1" applyBorder="1" applyAlignment="1">
      <alignment horizontal="center" vertical="center"/>
    </xf>
    <xf numFmtId="49" fontId="8" fillId="0" borderId="90" xfId="8" applyNumberFormat="1" applyFont="1" applyFill="1" applyBorder="1" applyAlignment="1">
      <alignment horizontal="center" vertical="center"/>
    </xf>
    <xf numFmtId="3" fontId="8" fillId="0" borderId="84" xfId="8" applyNumberFormat="1" applyFont="1" applyFill="1" applyBorder="1" applyAlignment="1">
      <alignment horizontal="right"/>
    </xf>
    <xf numFmtId="3" fontId="25" fillId="3" borderId="35" xfId="50" applyNumberFormat="1" applyFont="1" applyFill="1" applyBorder="1" applyAlignment="1">
      <alignment horizontal="right" vertical="center" wrapText="1"/>
    </xf>
    <xf numFmtId="3" fontId="25" fillId="3" borderId="35" xfId="50" applyNumberFormat="1" applyFont="1" applyFill="1" applyBorder="1" applyAlignment="1">
      <alignment horizontal="right" wrapText="1"/>
    </xf>
    <xf numFmtId="3" fontId="9" fillId="2" borderId="0" xfId="8" applyNumberFormat="1" applyFont="1" applyFill="1" applyBorder="1" applyAlignment="1">
      <alignment horizontal="right" vertical="top"/>
    </xf>
    <xf numFmtId="164" fontId="9" fillId="0" borderId="0" xfId="8" applyNumberFormat="1" applyFont="1" applyFill="1" applyBorder="1" applyAlignment="1">
      <alignment horizontal="right" vertical="top"/>
    </xf>
    <xf numFmtId="49" fontId="8" fillId="0" borderId="90" xfId="8" applyNumberFormat="1" applyFont="1" applyFill="1" applyBorder="1" applyAlignment="1">
      <alignment horizontal="center" vertical="center" wrapText="1"/>
    </xf>
    <xf numFmtId="202" fontId="8" fillId="2" borderId="90" xfId="8" applyNumberFormat="1" applyFont="1" applyFill="1" applyBorder="1" applyAlignment="1">
      <alignment horizontal="right"/>
    </xf>
    <xf numFmtId="204" fontId="9" fillId="2" borderId="0" xfId="8" applyNumberFormat="1" applyFont="1" applyFill="1" applyBorder="1" applyAlignment="1">
      <alignment horizontal="right"/>
    </xf>
    <xf numFmtId="49" fontId="8" fillId="2" borderId="93" xfId="8" applyNumberFormat="1" applyFont="1" applyFill="1" applyBorder="1" applyAlignment="1">
      <alignment horizontal="center" vertical="center" wrapText="1"/>
    </xf>
    <xf numFmtId="49" fontId="9" fillId="2" borderId="90" xfId="8" applyNumberFormat="1" applyFont="1" applyFill="1" applyBorder="1" applyAlignment="1">
      <alignment horizontal="left" vertical="top" wrapText="1"/>
    </xf>
    <xf numFmtId="49" fontId="36" fillId="2" borderId="90" xfId="8" applyNumberFormat="1" applyFont="1" applyFill="1" applyBorder="1" applyAlignment="1">
      <alignment horizontal="center"/>
    </xf>
    <xf numFmtId="164" fontId="9" fillId="0" borderId="90" xfId="8" applyNumberFormat="1" applyFont="1" applyFill="1" applyBorder="1" applyAlignment="1">
      <alignment horizontal="right"/>
    </xf>
    <xf numFmtId="183" fontId="9" fillId="9" borderId="90" xfId="8" applyNumberFormat="1" applyFont="1" applyFill="1" applyBorder="1" applyAlignment="1">
      <alignment horizontal="right"/>
    </xf>
    <xf numFmtId="172" fontId="9" fillId="0" borderId="90" xfId="8" applyNumberFormat="1" applyFont="1" applyFill="1" applyBorder="1" applyAlignment="1">
      <alignment horizontal="right"/>
    </xf>
    <xf numFmtId="49" fontId="9" fillId="2" borderId="96" xfId="8" applyNumberFormat="1" applyFont="1" applyFill="1" applyBorder="1" applyAlignment="1">
      <alignment horizontal="left" vertical="top"/>
    </xf>
    <xf numFmtId="49" fontId="36" fillId="2" borderId="96" xfId="8" applyNumberFormat="1" applyFont="1" applyFill="1" applyBorder="1" applyAlignment="1">
      <alignment horizontal="center"/>
    </xf>
    <xf numFmtId="164" fontId="9" fillId="2" borderId="96" xfId="8" applyNumberFormat="1" applyFont="1" applyFill="1" applyBorder="1" applyAlignment="1">
      <alignment horizontal="right"/>
    </xf>
    <xf numFmtId="183" fontId="9" fillId="2" borderId="96" xfId="8" applyNumberFormat="1" applyFont="1" applyFill="1" applyBorder="1" applyAlignment="1">
      <alignment horizontal="right"/>
    </xf>
    <xf numFmtId="3" fontId="8" fillId="0" borderId="78" xfId="8" applyNumberFormat="1" applyFont="1" applyFill="1" applyBorder="1" applyAlignment="1">
      <alignment horizontal="right"/>
    </xf>
    <xf numFmtId="49" fontId="9" fillId="2" borderId="90" xfId="8" applyNumberFormat="1" applyFont="1" applyFill="1" applyBorder="1" applyAlignment="1">
      <alignment horizontal="left" wrapText="1"/>
    </xf>
    <xf numFmtId="49" fontId="9" fillId="2" borderId="90" xfId="8" applyNumberFormat="1" applyFont="1" applyFill="1" applyBorder="1" applyAlignment="1">
      <alignment horizontal="center" vertical="center"/>
    </xf>
    <xf numFmtId="164" fontId="9" fillId="9" borderId="90" xfId="8" applyNumberFormat="1" applyFont="1" applyFill="1" applyBorder="1" applyAlignment="1">
      <alignment horizontal="right"/>
    </xf>
    <xf numFmtId="3" fontId="9" fillId="0" borderId="90" xfId="8" applyNumberFormat="1" applyFont="1" applyFill="1" applyBorder="1" applyAlignment="1">
      <alignment horizontal="right"/>
    </xf>
    <xf numFmtId="0" fontId="9" fillId="0" borderId="0" xfId="0" applyFont="1" applyFill="1" applyBorder="1" applyAlignment="1">
      <alignment horizontal="left" vertical="top"/>
    </xf>
    <xf numFmtId="49" fontId="8" fillId="2" borderId="71" xfId="8" applyNumberFormat="1" applyFont="1" applyFill="1" applyBorder="1" applyAlignment="1">
      <alignment horizontal="center" vertical="center" wrapText="1"/>
    </xf>
    <xf numFmtId="49" fontId="8" fillId="0" borderId="71" xfId="8" applyNumberFormat="1" applyFont="1" applyFill="1" applyBorder="1" applyAlignment="1">
      <alignment horizontal="center" vertical="center" wrapText="1"/>
    </xf>
    <xf numFmtId="49" fontId="8" fillId="2" borderId="22" xfId="8" applyNumberFormat="1" applyFont="1" applyFill="1" applyBorder="1" applyAlignment="1">
      <alignment horizontal="center" vertical="center"/>
    </xf>
    <xf numFmtId="0" fontId="35" fillId="9" borderId="35" xfId="20" applyNumberFormat="1" applyFont="1" applyFill="1" applyBorder="1" applyAlignment="1">
      <alignment horizontal="center" vertical="center" wrapText="1"/>
    </xf>
    <xf numFmtId="0" fontId="47" fillId="9" borderId="35" xfId="20" applyNumberFormat="1" applyFont="1" applyFill="1" applyBorder="1" applyAlignment="1">
      <alignment horizontal="center" vertical="center" wrapText="1"/>
    </xf>
    <xf numFmtId="164" fontId="13" fillId="0" borderId="44" xfId="1" applyNumberFormat="1" applyFont="1" applyFill="1" applyBorder="1" applyAlignment="1" applyProtection="1">
      <alignment horizontal="right"/>
      <protection locked="0"/>
    </xf>
    <xf numFmtId="49" fontId="8" fillId="2" borderId="64" xfId="0" applyNumberFormat="1" applyFont="1" applyFill="1" applyBorder="1" applyAlignment="1">
      <alignment horizontal="center" vertical="center" wrapText="1"/>
    </xf>
    <xf numFmtId="49" fontId="8" fillId="2" borderId="65" xfId="0" applyNumberFormat="1" applyFont="1" applyFill="1" applyBorder="1" applyAlignment="1">
      <alignment horizontal="left"/>
    </xf>
    <xf numFmtId="17" fontId="9" fillId="2" borderId="65" xfId="8" applyNumberFormat="1" applyFont="1" applyFill="1" applyBorder="1" applyAlignment="1">
      <alignment horizontal="left"/>
    </xf>
    <xf numFmtId="17" fontId="9" fillId="2" borderId="35" xfId="8" applyNumberFormat="1" applyFont="1" applyFill="1" applyBorder="1" applyAlignment="1">
      <alignment horizontal="left"/>
    </xf>
    <xf numFmtId="49" fontId="27" fillId="2" borderId="35" xfId="0" applyNumberFormat="1" applyFont="1" applyFill="1" applyBorder="1" applyAlignment="1">
      <alignment horizontal="left" wrapText="1"/>
    </xf>
    <xf numFmtId="170" fontId="11" fillId="0" borderId="35" xfId="0" applyNumberFormat="1" applyFont="1" applyBorder="1"/>
    <xf numFmtId="0" fontId="11" fillId="0" borderId="35" xfId="0" applyFont="1" applyBorder="1"/>
    <xf numFmtId="167" fontId="8" fillId="2" borderId="65" xfId="1" applyNumberFormat="1" applyFont="1" applyFill="1" applyBorder="1" applyAlignment="1">
      <alignment horizontal="right"/>
    </xf>
    <xf numFmtId="167" fontId="8" fillId="11" borderId="65" xfId="1" applyNumberFormat="1" applyFont="1" applyFill="1" applyBorder="1" applyAlignment="1">
      <alignment horizontal="right"/>
    </xf>
    <xf numFmtId="49" fontId="8" fillId="2" borderId="47" xfId="0" applyNumberFormat="1" applyFont="1" applyFill="1" applyBorder="1" applyAlignment="1">
      <alignment horizontal="center" vertical="center" wrapText="1"/>
    </xf>
    <xf numFmtId="49" fontId="8" fillId="3" borderId="47" xfId="0" applyNumberFormat="1" applyFont="1" applyFill="1" applyBorder="1" applyAlignment="1">
      <alignment horizontal="left" vertical="top"/>
    </xf>
    <xf numFmtId="3" fontId="19" fillId="10" borderId="65" xfId="1" applyNumberFormat="1" applyFont="1" applyFill="1" applyBorder="1" applyAlignment="1">
      <alignment horizontal="center"/>
    </xf>
    <xf numFmtId="4" fontId="19" fillId="10" borderId="65" xfId="2" applyNumberFormat="1" applyFont="1" applyFill="1" applyBorder="1" applyAlignment="1">
      <alignment horizontal="center"/>
    </xf>
    <xf numFmtId="3" fontId="9" fillId="3" borderId="65" xfId="0" applyNumberFormat="1" applyFont="1" applyFill="1" applyBorder="1" applyAlignment="1">
      <alignment horizontal="center" vertical="top"/>
    </xf>
    <xf numFmtId="4" fontId="12" fillId="3" borderId="65" xfId="0" applyNumberFormat="1" applyFont="1" applyFill="1" applyBorder="1" applyAlignment="1">
      <alignment horizontal="center" vertical="top"/>
    </xf>
    <xf numFmtId="3" fontId="8" fillId="11" borderId="35" xfId="0" applyNumberFormat="1" applyFont="1" applyFill="1" applyBorder="1" applyAlignment="1">
      <alignment horizontal="center" vertical="top"/>
    </xf>
    <xf numFmtId="4" fontId="8" fillId="11" borderId="35" xfId="0" applyNumberFormat="1" applyFont="1" applyFill="1" applyBorder="1" applyAlignment="1">
      <alignment horizontal="center" vertical="top"/>
    </xf>
    <xf numFmtId="49" fontId="8" fillId="2" borderId="35" xfId="0" applyNumberFormat="1" applyFont="1" applyFill="1" applyBorder="1" applyAlignment="1">
      <alignment vertical="center" wrapText="1"/>
    </xf>
    <xf numFmtId="1" fontId="8" fillId="2" borderId="35" xfId="0" applyNumberFormat="1" applyFont="1" applyFill="1" applyBorder="1" applyAlignment="1">
      <alignment horizontal="right" vertical="center" wrapText="1"/>
    </xf>
    <xf numFmtId="49" fontId="8" fillId="2" borderId="35" xfId="0" applyNumberFormat="1" applyFont="1" applyFill="1" applyBorder="1" applyAlignment="1">
      <alignment horizontal="center" vertical="center" wrapText="1"/>
    </xf>
    <xf numFmtId="167" fontId="19" fillId="0" borderId="65" xfId="1" applyNumberFormat="1" applyFont="1" applyBorder="1" applyAlignment="1">
      <alignment horizontal="center" wrapText="1"/>
    </xf>
    <xf numFmtId="1" fontId="19" fillId="0" borderId="65" xfId="1" applyNumberFormat="1" applyFont="1" applyBorder="1" applyAlignment="1">
      <alignment horizontal="right" wrapText="1"/>
    </xf>
    <xf numFmtId="167" fontId="19" fillId="11" borderId="35" xfId="1" applyNumberFormat="1" applyFont="1" applyFill="1" applyBorder="1" applyAlignment="1">
      <alignment horizontal="center" wrapText="1"/>
    </xf>
    <xf numFmtId="167" fontId="19" fillId="11" borderId="35" xfId="1" applyNumberFormat="1" applyFont="1" applyFill="1" applyBorder="1" applyAlignment="1">
      <alignment horizontal="right" wrapText="1"/>
    </xf>
    <xf numFmtId="167" fontId="11" fillId="0" borderId="35" xfId="1" applyNumberFormat="1" applyFont="1" applyBorder="1" applyAlignment="1">
      <alignment horizontal="center" wrapText="1"/>
    </xf>
    <xf numFmtId="167" fontId="11" fillId="0" borderId="35" xfId="1" applyNumberFormat="1" applyFont="1" applyFill="1" applyBorder="1" applyAlignment="1">
      <alignment horizontal="center" wrapText="1"/>
    </xf>
    <xf numFmtId="167" fontId="11" fillId="0" borderId="35" xfId="1" applyNumberFormat="1" applyFont="1" applyBorder="1" applyAlignment="1">
      <alignment horizontal="right" wrapText="1"/>
    </xf>
    <xf numFmtId="1" fontId="11" fillId="0" borderId="35" xfId="1" applyNumberFormat="1" applyFont="1" applyBorder="1" applyAlignment="1">
      <alignment horizontal="right" wrapText="1"/>
    </xf>
    <xf numFmtId="167" fontId="9" fillId="2" borderId="35" xfId="1" applyNumberFormat="1" applyFont="1" applyFill="1" applyBorder="1" applyAlignment="1">
      <alignment horizontal="center"/>
    </xf>
    <xf numFmtId="0" fontId="9" fillId="2" borderId="35" xfId="0" applyFont="1" applyFill="1" applyBorder="1" applyAlignment="1">
      <alignment horizontal="left" vertical="center"/>
    </xf>
    <xf numFmtId="0" fontId="12" fillId="0" borderId="35" xfId="0" applyNumberFormat="1" applyFont="1" applyFill="1" applyBorder="1" applyAlignment="1">
      <alignment horizontal="left"/>
    </xf>
    <xf numFmtId="17" fontId="13" fillId="0" borderId="65" xfId="0" applyNumberFormat="1" applyFont="1" applyFill="1" applyBorder="1" applyAlignment="1">
      <alignment horizontal="center" vertical="center" wrapText="1"/>
    </xf>
    <xf numFmtId="17" fontId="8" fillId="2" borderId="65" xfId="8" applyNumberFormat="1" applyFont="1" applyFill="1" applyBorder="1" applyAlignment="1">
      <alignment horizontal="center" vertical="center" wrapText="1"/>
    </xf>
    <xf numFmtId="0" fontId="12" fillId="0" borderId="65" xfId="0" applyFont="1" applyFill="1" applyBorder="1" applyAlignment="1">
      <alignment wrapText="1"/>
    </xf>
    <xf numFmtId="1" fontId="12" fillId="0" borderId="65" xfId="1" applyNumberFormat="1" applyFont="1" applyFill="1" applyBorder="1"/>
    <xf numFmtId="1" fontId="12" fillId="0" borderId="65" xfId="1" applyNumberFormat="1" applyFont="1" applyFill="1" applyBorder="1" applyAlignment="1">
      <alignment horizontal="right"/>
    </xf>
    <xf numFmtId="1" fontId="12" fillId="0" borderId="65" xfId="1" applyNumberFormat="1" applyFont="1" applyFill="1" applyBorder="1" applyAlignment="1">
      <alignment wrapText="1"/>
    </xf>
    <xf numFmtId="1" fontId="11" fillId="0" borderId="65" xfId="0" applyNumberFormat="1" applyFont="1" applyBorder="1" applyAlignment="1">
      <alignment horizontal="right"/>
    </xf>
    <xf numFmtId="1" fontId="11" fillId="0" borderId="65" xfId="1" applyNumberFormat="1" applyFont="1" applyBorder="1"/>
    <xf numFmtId="1" fontId="11" fillId="0" borderId="65" xfId="0" applyNumberFormat="1" applyFont="1" applyBorder="1"/>
    <xf numFmtId="1" fontId="11" fillId="0" borderId="65" xfId="1" applyNumberFormat="1" applyFont="1" applyFill="1" applyBorder="1" applyAlignment="1"/>
    <xf numFmtId="0" fontId="13" fillId="0" borderId="65" xfId="0" applyFont="1" applyFill="1" applyBorder="1" applyAlignment="1">
      <alignment wrapText="1"/>
    </xf>
    <xf numFmtId="2" fontId="19" fillId="0" borderId="65" xfId="1" applyNumberFormat="1" applyFont="1" applyBorder="1"/>
    <xf numFmtId="0" fontId="25" fillId="0" borderId="0" xfId="0" applyNumberFormat="1" applyFont="1" applyFill="1" applyBorder="1" applyAlignment="1">
      <alignment wrapText="1"/>
    </xf>
    <xf numFmtId="0" fontId="12" fillId="0" borderId="0" xfId="0" applyNumberFormat="1" applyFont="1" applyFill="1" applyBorder="1" applyAlignment="1">
      <alignment wrapText="1"/>
    </xf>
    <xf numFmtId="49" fontId="8" fillId="2" borderId="65" xfId="0" applyNumberFormat="1" applyFont="1" applyFill="1" applyBorder="1" applyAlignment="1">
      <alignment horizontal="left" vertical="center" wrapText="1"/>
    </xf>
    <xf numFmtId="167" fontId="13" fillId="11" borderId="35" xfId="1" applyNumberFormat="1" applyFont="1" applyFill="1" applyBorder="1" applyAlignment="1">
      <alignment horizontal="left"/>
    </xf>
    <xf numFmtId="167" fontId="13" fillId="11" borderId="35" xfId="1" applyNumberFormat="1" applyFont="1" applyFill="1" applyBorder="1" applyAlignment="1">
      <alignment horizontal="center" vertical="center"/>
    </xf>
    <xf numFmtId="167" fontId="13" fillId="0" borderId="0" xfId="1" applyNumberFormat="1" applyFont="1" applyFill="1" applyAlignment="1">
      <alignment vertical="center"/>
    </xf>
    <xf numFmtId="0" fontId="13" fillId="0" borderId="66" xfId="32" applyFont="1" applyFill="1" applyBorder="1" applyAlignment="1">
      <alignment vertical="center" wrapText="1"/>
    </xf>
    <xf numFmtId="0" fontId="25" fillId="0" borderId="0" xfId="32" applyFont="1" applyFill="1" applyBorder="1" applyAlignment="1">
      <alignment vertical="center"/>
    </xf>
    <xf numFmtId="3" fontId="25" fillId="0" borderId="0" xfId="8" applyNumberFormat="1" applyFont="1" applyFill="1" applyBorder="1" applyAlignment="1">
      <alignment vertical="center"/>
    </xf>
    <xf numFmtId="3" fontId="12" fillId="0" borderId="0" xfId="8" applyNumberFormat="1" applyFont="1" applyFill="1" applyBorder="1" applyAlignment="1">
      <alignment vertical="center"/>
    </xf>
    <xf numFmtId="167" fontId="12" fillId="0" borderId="0" xfId="1" applyNumberFormat="1" applyFont="1" applyFill="1" applyAlignment="1">
      <alignment vertical="center"/>
    </xf>
    <xf numFmtId="3" fontId="12" fillId="0" borderId="0" xfId="8" applyNumberFormat="1" applyFont="1" applyFill="1" applyAlignment="1">
      <alignment vertical="center"/>
    </xf>
    <xf numFmtId="49" fontId="19" fillId="0" borderId="65" xfId="0" applyNumberFormat="1" applyFont="1" applyFill="1" applyBorder="1" applyAlignment="1">
      <alignment horizontal="center" vertical="center" wrapText="1"/>
    </xf>
    <xf numFmtId="167" fontId="19" fillId="0" borderId="65" xfId="1" applyNumberFormat="1" applyFont="1" applyFill="1" applyBorder="1" applyAlignment="1">
      <alignment vertical="top"/>
    </xf>
    <xf numFmtId="167" fontId="12" fillId="0" borderId="35" xfId="1" applyNumberFormat="1" applyFont="1" applyFill="1" applyBorder="1" applyAlignment="1">
      <alignment horizontal="left" vertical="top" wrapText="1" indent="2"/>
    </xf>
    <xf numFmtId="167" fontId="11" fillId="0" borderId="35" xfId="1" applyNumberFormat="1" applyFont="1" applyFill="1" applyBorder="1" applyAlignment="1">
      <alignment vertical="top"/>
    </xf>
    <xf numFmtId="167" fontId="11" fillId="0" borderId="35" xfId="1" applyNumberFormat="1" applyFont="1" applyFill="1" applyBorder="1" applyAlignment="1">
      <alignment horizontal="left" vertical="top" indent="2"/>
    </xf>
    <xf numFmtId="49" fontId="8" fillId="0" borderId="66" xfId="0" applyNumberFormat="1" applyFont="1" applyFill="1" applyBorder="1" applyAlignment="1">
      <alignment vertical="center" wrapText="1"/>
    </xf>
    <xf numFmtId="0" fontId="11" fillId="0" borderId="0" xfId="0" applyFont="1" applyBorder="1" applyAlignment="1">
      <alignment vertical="center"/>
    </xf>
    <xf numFmtId="49" fontId="8" fillId="0" borderId="35" xfId="0" applyNumberFormat="1" applyFont="1" applyFill="1" applyBorder="1" applyAlignment="1">
      <alignment horizontal="left" vertical="center" wrapText="1"/>
    </xf>
    <xf numFmtId="167" fontId="35" fillId="0" borderId="35" xfId="1" applyNumberFormat="1" applyFont="1" applyBorder="1" applyAlignment="1">
      <alignment vertical="center"/>
    </xf>
    <xf numFmtId="49" fontId="9" fillId="0" borderId="35" xfId="0" applyNumberFormat="1" applyFont="1" applyFill="1" applyBorder="1" applyAlignment="1">
      <alignment horizontal="left" vertical="center" wrapText="1"/>
    </xf>
    <xf numFmtId="196" fontId="12" fillId="0" borderId="35" xfId="33" applyNumberFormat="1" applyFont="1" applyFill="1" applyBorder="1" applyAlignment="1">
      <alignment horizontal="right"/>
    </xf>
    <xf numFmtId="167" fontId="10" fillId="0" borderId="35" xfId="1" applyNumberFormat="1" applyFont="1" applyFill="1" applyBorder="1"/>
    <xf numFmtId="167" fontId="11" fillId="0" borderId="35" xfId="1" applyNumberFormat="1" applyFont="1" applyBorder="1" applyAlignment="1">
      <alignment vertical="center"/>
    </xf>
    <xf numFmtId="167" fontId="19" fillId="0" borderId="35" xfId="1" applyNumberFormat="1" applyFont="1" applyBorder="1" applyAlignment="1">
      <alignment vertical="center"/>
    </xf>
    <xf numFmtId="0" fontId="26" fillId="0" borderId="0" xfId="0" applyFont="1" applyFill="1" applyBorder="1" applyAlignment="1">
      <alignment horizontal="left" vertical="center" wrapText="1"/>
    </xf>
    <xf numFmtId="167" fontId="26" fillId="0" borderId="0" xfId="1" applyNumberFormat="1" applyFont="1" applyFill="1" applyBorder="1" applyAlignment="1">
      <alignment horizontal="left" vertical="center" wrapText="1"/>
    </xf>
    <xf numFmtId="0" fontId="11" fillId="0" borderId="0"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49" fillId="0" borderId="0" xfId="0" applyFont="1" applyFill="1"/>
    <xf numFmtId="167" fontId="49" fillId="0" borderId="0" xfId="1" applyNumberFormat="1" applyFont="1" applyFill="1" applyBorder="1" applyAlignment="1">
      <alignment horizontal="left" vertical="center"/>
    </xf>
    <xf numFmtId="4" fontId="49" fillId="0" borderId="0" xfId="0" applyNumberFormat="1" applyFont="1" applyFill="1" applyBorder="1" applyAlignment="1">
      <alignment horizontal="left" vertical="center"/>
    </xf>
    <xf numFmtId="0" fontId="49" fillId="0" borderId="0" xfId="0" applyFont="1" applyFill="1" applyBorder="1" applyAlignment="1">
      <alignment horizontal="left" vertical="center"/>
    </xf>
    <xf numFmtId="3" fontId="11" fillId="0" borderId="0" xfId="0" applyNumberFormat="1" applyFont="1" applyFill="1" applyBorder="1" applyAlignment="1">
      <alignment vertical="center"/>
    </xf>
    <xf numFmtId="0" fontId="11" fillId="0" borderId="0" xfId="0" applyFont="1" applyFill="1" applyBorder="1" applyAlignment="1">
      <alignment vertical="center"/>
    </xf>
    <xf numFmtId="0" fontId="25" fillId="3" borderId="0" xfId="0" applyFont="1" applyFill="1" applyAlignment="1"/>
    <xf numFmtId="167" fontId="25" fillId="3" borderId="0" xfId="1" applyNumberFormat="1" applyFont="1" applyFill="1" applyBorder="1" applyAlignment="1">
      <alignment horizontal="left" vertical="center"/>
    </xf>
    <xf numFmtId="0" fontId="25" fillId="0" borderId="0" xfId="0" applyFont="1" applyFill="1" applyBorder="1" applyAlignment="1">
      <alignment horizontal="left" vertical="center"/>
    </xf>
    <xf numFmtId="0" fontId="11" fillId="0" borderId="0" xfId="0" applyNumberFormat="1" applyFont="1" applyFill="1" applyBorder="1" applyAlignment="1">
      <alignment vertical="center"/>
    </xf>
    <xf numFmtId="0" fontId="25" fillId="0" borderId="0" xfId="0" applyFont="1" applyFill="1" applyAlignment="1"/>
    <xf numFmtId="167" fontId="25" fillId="0" borderId="0" xfId="1" applyNumberFormat="1" applyFont="1" applyFill="1" applyBorder="1" applyAlignment="1">
      <alignment horizontal="left" vertical="center"/>
    </xf>
    <xf numFmtId="168" fontId="25" fillId="0" borderId="35" xfId="0" applyNumberFormat="1" applyFont="1" applyFill="1" applyBorder="1" applyAlignment="1">
      <alignment horizontal="left" vertical="top"/>
    </xf>
    <xf numFmtId="3" fontId="25" fillId="3" borderId="35" xfId="19" applyNumberFormat="1" applyFont="1" applyFill="1" applyBorder="1" applyAlignment="1">
      <alignment horizontal="right" vertical="top" wrapText="1"/>
    </xf>
    <xf numFmtId="0" fontId="35" fillId="0" borderId="35" xfId="0" applyNumberFormat="1" applyFont="1" applyBorder="1" applyAlignment="1">
      <alignment vertical="top"/>
    </xf>
    <xf numFmtId="0" fontId="40" fillId="0" borderId="35" xfId="0" applyFont="1" applyBorder="1" applyAlignment="1">
      <alignment vertical="top"/>
    </xf>
    <xf numFmtId="2" fontId="40" fillId="0" borderId="35" xfId="0" applyNumberFormat="1" applyFont="1" applyBorder="1" applyAlignment="1">
      <alignment vertical="top"/>
    </xf>
    <xf numFmtId="0" fontId="41" fillId="0" borderId="35" xfId="0" applyNumberFormat="1" applyFont="1" applyBorder="1" applyAlignment="1">
      <alignment vertical="top"/>
    </xf>
    <xf numFmtId="0" fontId="26" fillId="0" borderId="35" xfId="0" applyNumberFormat="1" applyFont="1" applyBorder="1" applyAlignment="1">
      <alignment vertical="top"/>
    </xf>
    <xf numFmtId="3" fontId="13" fillId="11" borderId="35" xfId="19" applyNumberFormat="1" applyFont="1" applyFill="1" applyBorder="1" applyAlignment="1">
      <alignment horizontal="right" vertical="top" wrapText="1"/>
    </xf>
    <xf numFmtId="0" fontId="31" fillId="2" borderId="76" xfId="8" applyFont="1" applyFill="1" applyBorder="1" applyAlignment="1">
      <alignment horizontal="center" vertical="center"/>
    </xf>
    <xf numFmtId="49" fontId="31" fillId="2" borderId="76" xfId="8" applyNumberFormat="1" applyFont="1" applyFill="1" applyBorder="1" applyAlignment="1">
      <alignment horizontal="left" vertical="center"/>
    </xf>
    <xf numFmtId="164" fontId="31" fillId="2" borderId="76" xfId="8" applyNumberFormat="1" applyFont="1" applyFill="1" applyBorder="1" applyAlignment="1">
      <alignment horizontal="left" vertical="center"/>
    </xf>
    <xf numFmtId="181" fontId="31" fillId="2" borderId="76" xfId="10" applyNumberFormat="1" applyFont="1" applyFill="1" applyBorder="1" applyAlignment="1">
      <alignment horizontal="left" vertical="center"/>
    </xf>
    <xf numFmtId="0" fontId="31" fillId="2" borderId="76" xfId="8" applyFont="1" applyFill="1" applyBorder="1" applyAlignment="1">
      <alignment horizontal="left" vertical="center"/>
    </xf>
    <xf numFmtId="0" fontId="31" fillId="2" borderId="71" xfId="8" applyFont="1" applyFill="1" applyBorder="1" applyAlignment="1">
      <alignment horizontal="center" vertical="center"/>
    </xf>
    <xf numFmtId="49" fontId="31" fillId="2" borderId="71" xfId="8" applyNumberFormat="1" applyFont="1" applyFill="1" applyBorder="1" applyAlignment="1">
      <alignment horizontal="left" vertical="center"/>
    </xf>
    <xf numFmtId="164" fontId="31" fillId="2" borderId="71" xfId="8" applyNumberFormat="1" applyFont="1" applyFill="1" applyBorder="1" applyAlignment="1">
      <alignment horizontal="left" vertical="center"/>
    </xf>
    <xf numFmtId="181" fontId="31" fillId="2" borderId="71" xfId="10" applyNumberFormat="1" applyFont="1" applyFill="1" applyBorder="1" applyAlignment="1">
      <alignment horizontal="left" vertical="center"/>
    </xf>
    <xf numFmtId="0" fontId="31" fillId="2" borderId="71" xfId="8" applyFont="1" applyFill="1" applyBorder="1" applyAlignment="1">
      <alignment horizontal="left" vertical="center"/>
    </xf>
    <xf numFmtId="0" fontId="31" fillId="2" borderId="35" xfId="8" applyFont="1" applyFill="1" applyBorder="1" applyAlignment="1">
      <alignment horizontal="center" vertical="center"/>
    </xf>
    <xf numFmtId="49" fontId="31" fillId="2" borderId="35" xfId="8" applyNumberFormat="1" applyFont="1" applyFill="1" applyBorder="1" applyAlignment="1">
      <alignment horizontal="left" vertical="center"/>
    </xf>
    <xf numFmtId="164" fontId="31" fillId="2" borderId="35" xfId="8" applyNumberFormat="1" applyFont="1" applyFill="1" applyBorder="1" applyAlignment="1">
      <alignment horizontal="left" vertical="center"/>
    </xf>
    <xf numFmtId="181" fontId="31" fillId="2" borderId="35" xfId="10" applyNumberFormat="1" applyFont="1" applyFill="1" applyBorder="1" applyAlignment="1">
      <alignment horizontal="left" vertical="center"/>
    </xf>
    <xf numFmtId="0" fontId="31" fillId="2" borderId="35" xfId="8" applyFont="1" applyFill="1" applyBorder="1" applyAlignment="1">
      <alignment horizontal="left" vertical="center"/>
    </xf>
    <xf numFmtId="167" fontId="8" fillId="2" borderId="65" xfId="1" applyNumberFormat="1" applyFont="1" applyFill="1" applyBorder="1" applyAlignment="1">
      <alignment horizontal="left"/>
    </xf>
    <xf numFmtId="167" fontId="12" fillId="0" borderId="35" xfId="1" applyNumberFormat="1" applyFont="1" applyFill="1" applyBorder="1" applyAlignment="1">
      <alignment horizontal="left"/>
    </xf>
    <xf numFmtId="167" fontId="9" fillId="2" borderId="35" xfId="1" applyNumberFormat="1" applyFont="1" applyFill="1" applyBorder="1" applyAlignment="1">
      <alignment horizontal="left"/>
    </xf>
    <xf numFmtId="167" fontId="19" fillId="11" borderId="35" xfId="1" applyNumberFormat="1" applyFont="1" applyFill="1" applyBorder="1" applyAlignment="1">
      <alignment vertical="top"/>
    </xf>
    <xf numFmtId="0" fontId="35" fillId="9" borderId="97" xfId="20" applyNumberFormat="1" applyFont="1" applyFill="1" applyBorder="1" applyAlignment="1">
      <alignment horizontal="center" vertical="center" wrapText="1"/>
    </xf>
    <xf numFmtId="3" fontId="39" fillId="11" borderId="35" xfId="24" applyNumberFormat="1" applyFont="1" applyFill="1" applyBorder="1" applyAlignment="1">
      <alignment horizontal="right" vertical="top"/>
    </xf>
    <xf numFmtId="17" fontId="49" fillId="4" borderId="35" xfId="8" applyNumberFormat="1" applyFont="1" applyFill="1" applyBorder="1" applyAlignment="1">
      <alignment horizontal="left" vertical="center"/>
    </xf>
    <xf numFmtId="0" fontId="39" fillId="9" borderId="97" xfId="25" applyFont="1" applyFill="1" applyBorder="1" applyAlignment="1">
      <alignment horizontal="center" vertical="center" wrapText="1"/>
    </xf>
    <xf numFmtId="3" fontId="39" fillId="11" borderId="35" xfId="1" applyNumberFormat="1" applyFont="1" applyFill="1" applyBorder="1" applyAlignment="1">
      <alignment horizontal="right" vertical="top"/>
    </xf>
    <xf numFmtId="3" fontId="25" fillId="0" borderId="35" xfId="30" applyNumberFormat="1" applyFont="1" applyFill="1" applyBorder="1" applyAlignment="1">
      <alignment horizontal="right" vertical="top"/>
    </xf>
    <xf numFmtId="0" fontId="19" fillId="0" borderId="0" xfId="0" applyFont="1" applyFill="1"/>
    <xf numFmtId="0" fontId="26" fillId="0" borderId="0" xfId="0" applyFont="1" applyFill="1"/>
    <xf numFmtId="0" fontId="15" fillId="3" borderId="0" xfId="20" applyNumberFormat="1" applyFont="1" applyFill="1" applyBorder="1" applyAlignment="1">
      <alignment horizontal="left" vertical="center"/>
    </xf>
    <xf numFmtId="3" fontId="26" fillId="0" borderId="35" xfId="30" applyNumberFormat="1" applyFont="1" applyFill="1" applyBorder="1" applyAlignment="1"/>
    <xf numFmtId="3" fontId="25" fillId="0" borderId="35" xfId="24" applyNumberFormat="1" applyFont="1" applyBorder="1" applyAlignment="1">
      <alignment vertical="top"/>
    </xf>
    <xf numFmtId="0" fontId="43" fillId="3" borderId="87" xfId="20" applyNumberFormat="1" applyFont="1" applyFill="1" applyBorder="1" applyAlignment="1">
      <alignment vertical="top"/>
    </xf>
    <xf numFmtId="0" fontId="43" fillId="3" borderId="98" xfId="20" applyNumberFormat="1" applyFont="1" applyFill="1" applyBorder="1" applyAlignment="1">
      <alignment vertical="top"/>
    </xf>
    <xf numFmtId="0" fontId="43" fillId="3" borderId="99" xfId="20" applyNumberFormat="1" applyFont="1" applyFill="1" applyBorder="1" applyAlignment="1">
      <alignment vertical="top"/>
    </xf>
    <xf numFmtId="0" fontId="94" fillId="0" borderId="0" xfId="0" applyFont="1"/>
    <xf numFmtId="3" fontId="53" fillId="11" borderId="35" xfId="24" applyNumberFormat="1" applyFont="1" applyFill="1" applyBorder="1" applyAlignment="1">
      <alignment horizontal="right" vertical="top"/>
    </xf>
    <xf numFmtId="17" fontId="9" fillId="2" borderId="35" xfId="21" applyNumberFormat="1" applyFont="1" applyFill="1" applyBorder="1" applyAlignment="1">
      <alignment horizontal="left"/>
    </xf>
    <xf numFmtId="0" fontId="47" fillId="0" borderId="0" xfId="0" applyFont="1" applyBorder="1"/>
    <xf numFmtId="3" fontId="7" fillId="3" borderId="0" xfId="24" applyNumberFormat="1" applyFont="1" applyFill="1" applyBorder="1" applyAlignment="1">
      <alignment vertical="top"/>
    </xf>
    <xf numFmtId="3" fontId="14" fillId="0" borderId="0" xfId="1" applyNumberFormat="1" applyFont="1" applyBorder="1" applyAlignment="1"/>
    <xf numFmtId="173" fontId="1" fillId="0" borderId="0" xfId="20" applyFill="1"/>
    <xf numFmtId="173" fontId="47" fillId="0" borderId="0" xfId="20" applyFont="1" applyFill="1" applyBorder="1" applyAlignment="1">
      <alignment horizontal="centerContinuous" vertical="top"/>
    </xf>
    <xf numFmtId="173" fontId="0" fillId="0" borderId="0" xfId="20" applyFont="1" applyFill="1"/>
    <xf numFmtId="173" fontId="2" fillId="0" borderId="0" xfId="20" applyFont="1" applyFill="1"/>
    <xf numFmtId="173" fontId="1" fillId="0" borderId="99" xfId="20" applyFill="1" applyBorder="1"/>
    <xf numFmtId="49" fontId="39" fillId="0" borderId="35" xfId="20" applyNumberFormat="1" applyFont="1" applyFill="1" applyBorder="1" applyAlignment="1">
      <alignment horizontal="left" vertical="top" wrapText="1"/>
    </xf>
    <xf numFmtId="0" fontId="39" fillId="11" borderId="35" xfId="20" applyNumberFormat="1" applyFont="1" applyFill="1" applyBorder="1" applyAlignment="1">
      <alignment horizontal="left" vertical="top" wrapText="1"/>
    </xf>
    <xf numFmtId="17" fontId="25" fillId="0" borderId="35" xfId="20" applyNumberFormat="1" applyFont="1" applyFill="1" applyBorder="1" applyAlignment="1">
      <alignment horizontal="left" vertical="top" wrapText="1"/>
    </xf>
    <xf numFmtId="49" fontId="93" fillId="0" borderId="35" xfId="0" applyNumberFormat="1" applyFont="1" applyFill="1" applyBorder="1" applyAlignment="1">
      <alignment horizontal="center" vertical="top" wrapText="1"/>
    </xf>
    <xf numFmtId="1" fontId="11" fillId="0" borderId="35" xfId="0" applyNumberFormat="1" applyFont="1" applyBorder="1"/>
    <xf numFmtId="0" fontId="22" fillId="0" borderId="35" xfId="0" applyFont="1" applyFill="1" applyBorder="1" applyAlignment="1">
      <alignment horizontal="left" vertical="top"/>
    </xf>
    <xf numFmtId="0" fontId="11" fillId="0" borderId="35" xfId="0" applyFont="1" applyBorder="1" applyAlignment="1">
      <alignment wrapText="1"/>
    </xf>
    <xf numFmtId="49" fontId="21" fillId="0" borderId="27" xfId="0" applyNumberFormat="1" applyFont="1" applyFill="1" applyBorder="1" applyAlignment="1">
      <alignment horizontal="left"/>
    </xf>
    <xf numFmtId="0" fontId="12" fillId="0" borderId="0" xfId="0" applyFont="1" applyAlignment="1">
      <alignment horizontal="left" vertical="top"/>
    </xf>
    <xf numFmtId="43" fontId="9" fillId="2" borderId="0" xfId="8" applyNumberFormat="1" applyFont="1" applyFill="1" applyAlignment="1">
      <alignment vertical="center"/>
    </xf>
    <xf numFmtId="3" fontId="12" fillId="5" borderId="35" xfId="6" applyNumberFormat="1" applyFont="1" applyFill="1" applyBorder="1" applyAlignment="1">
      <alignment vertical="center"/>
    </xf>
    <xf numFmtId="0" fontId="11" fillId="0" borderId="35" xfId="0" applyFont="1" applyBorder="1" applyAlignment="1">
      <alignment vertical="center" wrapText="1"/>
    </xf>
    <xf numFmtId="0" fontId="22" fillId="0" borderId="0" xfId="0" applyFont="1" applyFill="1" applyBorder="1" applyAlignment="1">
      <alignment horizontal="left" vertical="top"/>
    </xf>
    <xf numFmtId="1" fontId="11" fillId="0" borderId="0" xfId="0" applyNumberFormat="1" applyFont="1" applyBorder="1"/>
    <xf numFmtId="3" fontId="11" fillId="0" borderId="0" xfId="0" applyNumberFormat="1" applyFont="1" applyBorder="1"/>
    <xf numFmtId="49" fontId="93" fillId="0" borderId="35" xfId="0" applyNumberFormat="1" applyFont="1" applyFill="1" applyBorder="1" applyAlignment="1">
      <alignment horizontal="center" vertical="top" wrapText="1"/>
    </xf>
    <xf numFmtId="3" fontId="86" fillId="3" borderId="35" xfId="0" applyNumberFormat="1" applyFont="1" applyFill="1" applyBorder="1" applyAlignment="1">
      <alignment horizontal="right"/>
    </xf>
    <xf numFmtId="0" fontId="86" fillId="3" borderId="35" xfId="0" applyFont="1" applyFill="1" applyBorder="1" applyAlignment="1">
      <alignment horizontal="left"/>
    </xf>
    <xf numFmtId="14" fontId="86" fillId="3" borderId="35" xfId="0" applyNumberFormat="1" applyFont="1" applyFill="1" applyBorder="1" applyAlignment="1">
      <alignment horizontal="left"/>
    </xf>
    <xf numFmtId="0" fontId="86" fillId="3" borderId="35" xfId="0" applyFont="1" applyFill="1" applyBorder="1" applyAlignment="1">
      <alignment horizontal="right"/>
    </xf>
    <xf numFmtId="2" fontId="86" fillId="3" borderId="35" xfId="0" applyNumberFormat="1" applyFont="1" applyFill="1" applyBorder="1" applyAlignment="1">
      <alignment horizontal="right"/>
    </xf>
    <xf numFmtId="49" fontId="8" fillId="3" borderId="76" xfId="8" applyNumberFormat="1" applyFont="1" applyFill="1" applyBorder="1" applyAlignment="1">
      <alignment horizontal="left"/>
    </xf>
    <xf numFmtId="0" fontId="11" fillId="3" borderId="35" xfId="0" applyFont="1" applyFill="1" applyBorder="1" applyAlignment="1">
      <alignment horizontal="center"/>
    </xf>
    <xf numFmtId="49" fontId="8" fillId="3" borderId="76" xfId="8" applyNumberFormat="1" applyFont="1" applyFill="1" applyBorder="1" applyAlignment="1">
      <alignment horizontal="center"/>
    </xf>
    <xf numFmtId="49" fontId="8" fillId="3" borderId="76" xfId="8" applyNumberFormat="1" applyFont="1" applyFill="1" applyBorder="1" applyAlignment="1">
      <alignment horizontal="center" vertical="center" wrapText="1"/>
    </xf>
    <xf numFmtId="49" fontId="8" fillId="3" borderId="76" xfId="8" applyNumberFormat="1" applyFont="1" applyFill="1" applyBorder="1" applyAlignment="1">
      <alignment horizontal="center" vertical="center"/>
    </xf>
    <xf numFmtId="49" fontId="8" fillId="3" borderId="73" xfId="8" applyNumberFormat="1" applyFont="1" applyFill="1" applyBorder="1" applyAlignment="1">
      <alignment horizontal="center"/>
    </xf>
    <xf numFmtId="49" fontId="8" fillId="3" borderId="40" xfId="8" applyNumberFormat="1" applyFont="1" applyFill="1" applyBorder="1" applyAlignment="1">
      <alignment horizontal="center"/>
    </xf>
    <xf numFmtId="49" fontId="8" fillId="3" borderId="29" xfId="8" applyNumberFormat="1" applyFont="1" applyFill="1" applyBorder="1" applyAlignment="1">
      <alignment horizontal="center"/>
    </xf>
    <xf numFmtId="49" fontId="8" fillId="3" borderId="22" xfId="8" applyNumberFormat="1" applyFont="1" applyFill="1" applyBorder="1" applyAlignment="1">
      <alignment horizontal="center"/>
    </xf>
    <xf numFmtId="49" fontId="8" fillId="3" borderId="41" xfId="8" applyNumberFormat="1" applyFont="1" applyFill="1" applyBorder="1" applyAlignment="1">
      <alignment horizontal="center"/>
    </xf>
    <xf numFmtId="49" fontId="8" fillId="3" borderId="74" xfId="8" applyNumberFormat="1" applyFont="1" applyFill="1" applyBorder="1" applyAlignment="1">
      <alignment horizontal="center"/>
    </xf>
    <xf numFmtId="177" fontId="8" fillId="3" borderId="71" xfId="8" applyNumberFormat="1" applyFont="1" applyFill="1" applyBorder="1" applyAlignment="1">
      <alignment horizontal="right"/>
    </xf>
    <xf numFmtId="177" fontId="8" fillId="3" borderId="81" xfId="8" applyNumberFormat="1" applyFont="1" applyFill="1" applyBorder="1" applyAlignment="1">
      <alignment horizontal="right"/>
    </xf>
    <xf numFmtId="177" fontId="8" fillId="3" borderId="82" xfId="8" applyNumberFormat="1" applyFont="1" applyFill="1" applyBorder="1" applyAlignment="1">
      <alignment horizontal="right"/>
    </xf>
    <xf numFmtId="177" fontId="8" fillId="3" borderId="83" xfId="8" applyNumberFormat="1" applyFont="1" applyFill="1" applyBorder="1" applyAlignment="1">
      <alignment horizontal="right"/>
    </xf>
    <xf numFmtId="177" fontId="8" fillId="3" borderId="84" xfId="8" applyNumberFormat="1" applyFont="1" applyFill="1" applyBorder="1" applyAlignment="1">
      <alignment horizontal="right"/>
    </xf>
    <xf numFmtId="177" fontId="8" fillId="3" borderId="85" xfId="8" applyNumberFormat="1" applyFont="1" applyFill="1" applyBorder="1" applyAlignment="1">
      <alignment horizontal="right"/>
    </xf>
    <xf numFmtId="1" fontId="8" fillId="3" borderId="83" xfId="8" applyNumberFormat="1" applyFont="1" applyFill="1" applyBorder="1" applyAlignment="1">
      <alignment horizontal="right"/>
    </xf>
    <xf numFmtId="1" fontId="8" fillId="3" borderId="84" xfId="8" applyNumberFormat="1" applyFont="1" applyFill="1" applyBorder="1" applyAlignment="1">
      <alignment horizontal="right"/>
    </xf>
    <xf numFmtId="0" fontId="11" fillId="0" borderId="35" xfId="0" applyFont="1" applyBorder="1" applyAlignment="1">
      <alignment vertical="center"/>
    </xf>
    <xf numFmtId="49" fontId="9" fillId="3" borderId="35" xfId="0" applyNumberFormat="1" applyFont="1" applyFill="1" applyBorder="1" applyAlignment="1">
      <alignment horizontal="left"/>
    </xf>
    <xf numFmtId="164" fontId="9" fillId="3" borderId="35" xfId="0" applyNumberFormat="1" applyFont="1" applyFill="1" applyBorder="1" applyAlignment="1">
      <alignment horizontal="center"/>
    </xf>
    <xf numFmtId="0" fontId="10" fillId="3" borderId="35" xfId="0" applyFont="1" applyFill="1" applyBorder="1" applyAlignment="1">
      <alignment horizontal="left" vertical="center"/>
    </xf>
    <xf numFmtId="3" fontId="11" fillId="3" borderId="35" xfId="0" applyNumberFormat="1" applyFont="1" applyFill="1" applyBorder="1" applyAlignment="1">
      <alignment horizontal="center"/>
    </xf>
    <xf numFmtId="0" fontId="25" fillId="0" borderId="0" xfId="8" applyFont="1" applyFill="1" applyAlignment="1">
      <alignment vertical="center"/>
    </xf>
    <xf numFmtId="0" fontId="35" fillId="3" borderId="35" xfId="20" applyNumberFormat="1" applyFont="1" applyFill="1" applyBorder="1" applyAlignment="1">
      <alignment horizontal="center" vertical="center"/>
    </xf>
    <xf numFmtId="0" fontId="35" fillId="9" borderId="35" xfId="20" applyNumberFormat="1" applyFont="1" applyFill="1" applyBorder="1" applyAlignment="1">
      <alignment horizontal="center" vertical="center" wrapText="1"/>
    </xf>
    <xf numFmtId="167" fontId="19" fillId="3" borderId="4" xfId="30" applyNumberFormat="1" applyFont="1" applyFill="1" applyBorder="1" applyAlignment="1">
      <alignment horizontal="left" vertical="top"/>
    </xf>
    <xf numFmtId="167" fontId="12" fillId="3" borderId="4" xfId="30" applyNumberFormat="1" applyFont="1" applyFill="1" applyBorder="1" applyAlignment="1">
      <alignment horizontal="center" vertical="top"/>
    </xf>
    <xf numFmtId="167" fontId="19" fillId="3" borderId="4" xfId="30" applyNumberFormat="1" applyFont="1" applyFill="1" applyBorder="1" applyAlignment="1">
      <alignment horizontal="left" vertical="top" wrapText="1"/>
    </xf>
    <xf numFmtId="0" fontId="11" fillId="3" borderId="0" xfId="0" applyFont="1" applyFill="1" applyAlignment="1">
      <alignment horizontal="center"/>
    </xf>
    <xf numFmtId="3" fontId="12" fillId="0" borderId="35" xfId="6" applyNumberFormat="1" applyFont="1" applyFill="1" applyBorder="1" applyAlignment="1">
      <alignment vertical="center"/>
    </xf>
    <xf numFmtId="3" fontId="84" fillId="0" borderId="35" xfId="0" applyNumberFormat="1" applyFont="1" applyFill="1" applyBorder="1" applyAlignment="1">
      <alignment horizontal="right"/>
    </xf>
    <xf numFmtId="3" fontId="83" fillId="0" borderId="35" xfId="6" applyNumberFormat="1" applyFont="1" applyFill="1" applyBorder="1" applyAlignment="1">
      <alignment horizontal="right"/>
    </xf>
    <xf numFmtId="3" fontId="83" fillId="0" borderId="35" xfId="0" applyNumberFormat="1" applyFont="1" applyFill="1" applyBorder="1" applyAlignment="1">
      <alignment horizontal="right"/>
    </xf>
    <xf numFmtId="0" fontId="9" fillId="3" borderId="0" xfId="8" applyFont="1" applyFill="1" applyAlignment="1">
      <alignment vertical="center"/>
    </xf>
    <xf numFmtId="3" fontId="10" fillId="3" borderId="0" xfId="8" applyNumberFormat="1" applyFont="1" applyFill="1" applyBorder="1" applyAlignment="1">
      <alignment horizontal="right" vertical="center"/>
    </xf>
    <xf numFmtId="167" fontId="13" fillId="0" borderId="35" xfId="1" applyNumberFormat="1" applyFont="1" applyFill="1" applyBorder="1" applyAlignment="1">
      <alignment vertical="top" wrapText="1"/>
    </xf>
    <xf numFmtId="0" fontId="13" fillId="0" borderId="35" xfId="32" applyFont="1" applyFill="1" applyBorder="1" applyAlignment="1">
      <alignment vertical="center"/>
    </xf>
    <xf numFmtId="0" fontId="13" fillId="0" borderId="35" xfId="32" applyFont="1" applyFill="1" applyBorder="1" applyAlignment="1">
      <alignment vertical="center" wrapText="1"/>
    </xf>
    <xf numFmtId="167" fontId="13" fillId="0" borderId="35" xfId="1" applyNumberFormat="1" applyFont="1" applyFill="1" applyBorder="1" applyAlignment="1">
      <alignment vertical="center"/>
    </xf>
    <xf numFmtId="167" fontId="12" fillId="0" borderId="35" xfId="1" applyNumberFormat="1" applyFont="1" applyFill="1" applyBorder="1" applyAlignment="1">
      <alignment vertical="center"/>
    </xf>
    <xf numFmtId="0" fontId="12" fillId="0" borderId="35" xfId="32" applyFont="1" applyFill="1" applyBorder="1" applyAlignment="1">
      <alignment vertical="center"/>
    </xf>
    <xf numFmtId="0" fontId="12" fillId="0" borderId="35" xfId="32" applyFont="1" applyFill="1" applyBorder="1" applyAlignment="1">
      <alignment vertical="center" wrapText="1"/>
    </xf>
    <xf numFmtId="167" fontId="11" fillId="0" borderId="35" xfId="1" applyNumberFormat="1" applyFont="1" applyFill="1" applyBorder="1" applyAlignment="1">
      <alignment vertical="center"/>
    </xf>
    <xf numFmtId="167" fontId="39" fillId="0" borderId="35" xfId="1" applyNumberFormat="1" applyFont="1" applyFill="1" applyBorder="1" applyAlignment="1">
      <alignment vertical="center"/>
    </xf>
    <xf numFmtId="1" fontId="12" fillId="0" borderId="35" xfId="32" applyNumberFormat="1" applyFont="1" applyFill="1" applyBorder="1" applyAlignment="1">
      <alignment vertical="center" wrapText="1"/>
    </xf>
    <xf numFmtId="167" fontId="25" fillId="0" borderId="35" xfId="1" applyNumberFormat="1" applyFont="1" applyFill="1" applyBorder="1" applyAlignment="1">
      <alignment vertical="center"/>
    </xf>
    <xf numFmtId="167" fontId="12" fillId="0" borderId="35" xfId="1" applyNumberFormat="1" applyFont="1" applyFill="1" applyBorder="1" applyAlignment="1">
      <alignment vertical="top" wrapText="1"/>
    </xf>
    <xf numFmtId="167" fontId="8" fillId="0" borderId="98" xfId="1" applyNumberFormat="1" applyFont="1" applyFill="1" applyBorder="1" applyAlignment="1">
      <alignment vertical="center" wrapText="1"/>
    </xf>
    <xf numFmtId="49" fontId="8" fillId="0" borderId="98" xfId="0" applyNumberFormat="1" applyFont="1" applyFill="1" applyBorder="1" applyAlignment="1">
      <alignment vertical="center" wrapText="1"/>
    </xf>
    <xf numFmtId="49" fontId="8" fillId="0" borderId="99" xfId="0" applyNumberFormat="1" applyFont="1" applyFill="1" applyBorder="1" applyAlignment="1">
      <alignment vertical="center" wrapText="1"/>
    </xf>
    <xf numFmtId="49" fontId="93" fillId="0" borderId="105" xfId="0" applyNumberFormat="1" applyFont="1" applyFill="1" applyBorder="1" applyAlignment="1">
      <alignment horizontal="center" vertical="center" wrapText="1"/>
    </xf>
    <xf numFmtId="49" fontId="93" fillId="0" borderId="106" xfId="0" applyNumberFormat="1" applyFont="1" applyFill="1" applyBorder="1" applyAlignment="1">
      <alignment horizontal="center" vertical="center" wrapText="1"/>
    </xf>
    <xf numFmtId="167" fontId="11" fillId="0" borderId="107" xfId="0" applyNumberFormat="1" applyFont="1" applyBorder="1"/>
    <xf numFmtId="170" fontId="93" fillId="0" borderId="105" xfId="0" applyNumberFormat="1" applyFont="1" applyFill="1" applyBorder="1" applyAlignment="1">
      <alignment horizontal="right"/>
    </xf>
    <xf numFmtId="167" fontId="11" fillId="0" borderId="107" xfId="1" applyNumberFormat="1" applyFont="1" applyBorder="1"/>
    <xf numFmtId="167" fontId="8" fillId="0" borderId="105" xfId="1" applyNumberFormat="1" applyFont="1" applyFill="1" applyBorder="1" applyAlignment="1">
      <alignment horizontal="right"/>
    </xf>
    <xf numFmtId="170" fontId="39" fillId="0" borderId="105" xfId="0" applyNumberFormat="1" applyFont="1" applyFill="1" applyBorder="1" applyAlignment="1">
      <alignment horizontal="right"/>
    </xf>
    <xf numFmtId="0" fontId="26" fillId="3" borderId="35" xfId="20" applyNumberFormat="1" applyFont="1" applyFill="1" applyBorder="1" applyAlignment="1"/>
    <xf numFmtId="0" fontId="15" fillId="3" borderId="0" xfId="20" applyNumberFormat="1" applyFont="1" applyFill="1" applyBorder="1" applyAlignment="1">
      <alignment vertical="top"/>
    </xf>
    <xf numFmtId="1" fontId="26" fillId="3" borderId="35" xfId="0" applyNumberFormat="1" applyFont="1" applyFill="1" applyBorder="1" applyAlignment="1">
      <alignment horizontal="right"/>
    </xf>
    <xf numFmtId="1" fontId="26" fillId="3" borderId="0" xfId="0" applyNumberFormat="1" applyFont="1" applyFill="1"/>
    <xf numFmtId="1" fontId="25" fillId="3" borderId="35" xfId="0" applyNumberFormat="1" applyFont="1" applyFill="1" applyBorder="1" applyAlignment="1">
      <alignment horizontal="right" vertical="center"/>
    </xf>
    <xf numFmtId="1" fontId="25" fillId="3" borderId="0" xfId="20" applyNumberFormat="1" applyFont="1" applyFill="1" applyBorder="1" applyAlignment="1">
      <alignment horizontal="right" vertical="center"/>
    </xf>
    <xf numFmtId="0" fontId="26" fillId="3" borderId="0" xfId="0" applyNumberFormat="1" applyFont="1" applyFill="1" applyAlignment="1"/>
    <xf numFmtId="173" fontId="26" fillId="3" borderId="0" xfId="20" applyFont="1" applyFill="1" applyAlignment="1">
      <alignment horizontal="left" vertical="top"/>
    </xf>
    <xf numFmtId="0" fontId="35" fillId="3" borderId="0" xfId="0" applyNumberFormat="1" applyFont="1" applyFill="1"/>
    <xf numFmtId="173" fontId="39" fillId="8" borderId="35" xfId="22" applyNumberFormat="1" applyFont="1" applyFill="1" applyBorder="1" applyAlignment="1">
      <alignment horizontal="center" vertical="top"/>
    </xf>
    <xf numFmtId="173" fontId="39" fillId="8" borderId="35" xfId="23" applyNumberFormat="1" applyFont="1" applyFill="1" applyBorder="1" applyAlignment="1">
      <alignment horizontal="center" vertical="top"/>
    </xf>
    <xf numFmtId="3" fontId="39" fillId="0" borderId="35" xfId="51" applyNumberFormat="1" applyFont="1" applyBorder="1" applyAlignment="1">
      <alignment horizontal="right" vertical="top" wrapText="1"/>
    </xf>
    <xf numFmtId="168" fontId="25" fillId="0" borderId="0" xfId="0" applyNumberFormat="1" applyFont="1" applyFill="1" applyBorder="1" applyAlignment="1">
      <alignment horizontal="left" vertical="top"/>
    </xf>
    <xf numFmtId="0" fontId="26" fillId="0" borderId="0" xfId="0" applyNumberFormat="1" applyFont="1" applyBorder="1" applyAlignment="1">
      <alignment vertical="top"/>
    </xf>
    <xf numFmtId="0" fontId="25" fillId="0" borderId="0" xfId="0" applyFont="1"/>
    <xf numFmtId="0" fontId="69" fillId="0" borderId="0" xfId="0" applyFont="1"/>
    <xf numFmtId="4" fontId="25" fillId="0" borderId="35" xfId="24" applyNumberFormat="1" applyFont="1" applyFill="1" applyBorder="1" applyAlignment="1">
      <alignment vertical="top"/>
    </xf>
    <xf numFmtId="4" fontId="25" fillId="0" borderId="35" xfId="24" applyNumberFormat="1" applyFont="1" applyBorder="1" applyAlignment="1">
      <alignment vertical="top"/>
    </xf>
    <xf numFmtId="4" fontId="25" fillId="0" borderId="35" xfId="24" applyNumberFormat="1" applyFont="1" applyFill="1" applyBorder="1" applyAlignment="1">
      <alignment horizontal="right" vertical="top"/>
    </xf>
    <xf numFmtId="17" fontId="25" fillId="0" borderId="0" xfId="20" applyNumberFormat="1" applyFont="1" applyFill="1" applyBorder="1" applyAlignment="1">
      <alignment horizontal="left" vertical="top"/>
    </xf>
    <xf numFmtId="17" fontId="25" fillId="0" borderId="0" xfId="20" applyNumberFormat="1" applyFont="1" applyFill="1" applyBorder="1" applyAlignment="1">
      <alignment horizontal="left" vertical="top" wrapText="1"/>
    </xf>
    <xf numFmtId="49" fontId="39" fillId="0" borderId="35" xfId="20" applyNumberFormat="1" applyFont="1" applyFill="1" applyBorder="1" applyAlignment="1">
      <alignment horizontal="left" vertical="top"/>
    </xf>
    <xf numFmtId="0" fontId="39" fillId="11" borderId="35" xfId="20" applyNumberFormat="1" applyFont="1" applyFill="1" applyBorder="1" applyAlignment="1">
      <alignment horizontal="left" vertical="top"/>
    </xf>
    <xf numFmtId="17" fontId="25" fillId="0" borderId="35" xfId="20" applyNumberFormat="1" applyFont="1" applyFill="1" applyBorder="1" applyAlignment="1">
      <alignment horizontal="left" vertical="top"/>
    </xf>
    <xf numFmtId="0" fontId="35" fillId="9" borderId="108" xfId="20" applyNumberFormat="1" applyFont="1" applyFill="1" applyBorder="1" applyAlignment="1">
      <alignment horizontal="center" vertical="center" wrapText="1"/>
    </xf>
    <xf numFmtId="4" fontId="39" fillId="0" borderId="35" xfId="24" applyNumberFormat="1" applyFont="1" applyFill="1" applyBorder="1" applyAlignment="1">
      <alignment horizontal="right" vertical="top"/>
    </xf>
    <xf numFmtId="4" fontId="39" fillId="11" borderId="35" xfId="24" applyNumberFormat="1" applyFont="1" applyFill="1" applyBorder="1" applyAlignment="1">
      <alignment horizontal="right" vertical="top"/>
    </xf>
    <xf numFmtId="4" fontId="35" fillId="0" borderId="68" xfId="0" applyNumberFormat="1" applyFont="1" applyBorder="1" applyAlignment="1"/>
    <xf numFmtId="4" fontId="35" fillId="0" borderId="68" xfId="0" applyNumberFormat="1" applyFont="1" applyBorder="1"/>
    <xf numFmtId="4" fontId="35" fillId="0" borderId="68" xfId="0" applyNumberFormat="1" applyFont="1" applyBorder="1" applyAlignment="1">
      <alignment horizontal="right"/>
    </xf>
    <xf numFmtId="4" fontId="26" fillId="0" borderId="35" xfId="1" applyNumberFormat="1" applyFont="1" applyFill="1" applyBorder="1" applyAlignment="1"/>
    <xf numFmtId="4" fontId="26" fillId="0" borderId="35" xfId="7" applyNumberFormat="1" applyFont="1" applyFill="1" applyBorder="1" applyAlignment="1"/>
    <xf numFmtId="3" fontId="25" fillId="0" borderId="0" xfId="24" applyNumberFormat="1" applyFont="1" applyFill="1" applyBorder="1" applyAlignment="1">
      <alignment vertical="top"/>
    </xf>
    <xf numFmtId="3" fontId="26" fillId="0" borderId="0" xfId="30" applyNumberFormat="1" applyFont="1" applyFill="1" applyBorder="1" applyAlignment="1"/>
    <xf numFmtId="43" fontId="26" fillId="0" borderId="0" xfId="7" applyFont="1" applyFill="1" applyBorder="1" applyAlignment="1"/>
    <xf numFmtId="192" fontId="49" fillId="3" borderId="35" xfId="1" applyNumberFormat="1" applyFont="1" applyFill="1" applyBorder="1" applyAlignment="1">
      <alignment vertical="top"/>
    </xf>
    <xf numFmtId="192" fontId="49" fillId="9" borderId="35" xfId="1" applyNumberFormat="1" applyFont="1" applyFill="1" applyBorder="1" applyAlignment="1">
      <alignment vertical="top"/>
    </xf>
    <xf numFmtId="192" fontId="59" fillId="9" borderId="35" xfId="1" applyNumberFormat="1" applyFont="1" applyFill="1" applyBorder="1" applyAlignment="1">
      <alignment vertical="top"/>
    </xf>
    <xf numFmtId="192" fontId="49" fillId="3" borderId="35" xfId="0" applyNumberFormat="1" applyFont="1" applyFill="1" applyBorder="1" applyAlignment="1">
      <alignment horizontal="right" vertical="top"/>
    </xf>
    <xf numFmtId="173" fontId="49" fillId="9" borderId="35" xfId="20" applyFont="1" applyFill="1" applyBorder="1" applyAlignment="1">
      <alignment horizontal="left" vertical="center" wrapText="1"/>
    </xf>
    <xf numFmtId="0" fontId="49" fillId="9" borderId="35" xfId="0" applyFont="1" applyFill="1" applyBorder="1" applyAlignment="1">
      <alignment horizontal="left" vertical="center"/>
    </xf>
    <xf numFmtId="198" fontId="49" fillId="9" borderId="35" xfId="0" applyNumberFormat="1" applyFont="1" applyFill="1" applyBorder="1" applyAlignment="1">
      <alignment horizontal="left" vertical="center"/>
    </xf>
    <xf numFmtId="192" fontId="49" fillId="9" borderId="35" xfId="1" applyNumberFormat="1" applyFont="1" applyFill="1" applyBorder="1" applyAlignment="1">
      <alignment vertical="center"/>
    </xf>
    <xf numFmtId="3" fontId="49" fillId="9" borderId="35" xfId="0" applyNumberFormat="1" applyFont="1" applyFill="1" applyBorder="1" applyAlignment="1">
      <alignment horizontal="right" vertical="center"/>
    </xf>
    <xf numFmtId="196" fontId="49" fillId="9" borderId="35" xfId="1" applyNumberFormat="1" applyFont="1" applyFill="1" applyBorder="1" applyAlignment="1">
      <alignment horizontal="right" vertical="center"/>
    </xf>
    <xf numFmtId="1" fontId="49" fillId="9" borderId="35" xfId="1" applyNumberFormat="1" applyFont="1" applyFill="1" applyBorder="1" applyAlignment="1">
      <alignment horizontal="right" vertical="top"/>
    </xf>
    <xf numFmtId="177" fontId="8" fillId="3" borderId="90" xfId="8" applyNumberFormat="1" applyFont="1" applyFill="1" applyBorder="1" applyAlignment="1">
      <alignment horizontal="right"/>
    </xf>
    <xf numFmtId="1" fontId="43" fillId="3" borderId="35" xfId="27" quotePrefix="1" applyNumberFormat="1" applyFont="1" applyFill="1" applyBorder="1" applyAlignment="1">
      <alignment horizontal="right"/>
    </xf>
    <xf numFmtId="179" fontId="9" fillId="2" borderId="0" xfId="8" applyNumberFormat="1" applyFont="1" applyFill="1" applyAlignment="1">
      <alignment vertical="center"/>
    </xf>
    <xf numFmtId="0" fontId="9" fillId="2" borderId="0" xfId="0" applyFont="1" applyFill="1" applyBorder="1" applyAlignment="1">
      <alignment horizontal="right"/>
    </xf>
    <xf numFmtId="49" fontId="8" fillId="0" borderId="15" xfId="0" applyNumberFormat="1" applyFont="1" applyFill="1" applyBorder="1" applyAlignment="1">
      <alignment horizontal="left"/>
    </xf>
    <xf numFmtId="49" fontId="8" fillId="0" borderId="12" xfId="0" applyNumberFormat="1" applyFont="1" applyFill="1" applyBorder="1" applyAlignment="1">
      <alignment horizontal="left"/>
    </xf>
    <xf numFmtId="49" fontId="8" fillId="2" borderId="0" xfId="8" applyNumberFormat="1" applyFont="1" applyFill="1" applyAlignment="1">
      <alignment horizontal="left"/>
    </xf>
    <xf numFmtId="43" fontId="19" fillId="0" borderId="35" xfId="1" applyFont="1" applyFill="1" applyBorder="1" applyAlignment="1">
      <alignment vertical="top" wrapText="1"/>
    </xf>
    <xf numFmtId="199" fontId="19" fillId="0" borderId="35" xfId="1" applyNumberFormat="1" applyFont="1" applyFill="1" applyBorder="1" applyAlignment="1">
      <alignment vertical="top" wrapText="1"/>
    </xf>
    <xf numFmtId="17" fontId="19" fillId="0" borderId="35" xfId="1" applyNumberFormat="1" applyFont="1" applyFill="1" applyBorder="1" applyAlignment="1"/>
    <xf numFmtId="43" fontId="11" fillId="0" borderId="35" xfId="1" applyFont="1" applyFill="1" applyBorder="1" applyAlignment="1">
      <alignment vertical="top" wrapText="1"/>
    </xf>
    <xf numFmtId="43" fontId="12" fillId="0" borderId="35" xfId="1" applyFont="1" applyFill="1" applyBorder="1" applyAlignment="1">
      <alignment vertical="top" wrapText="1"/>
    </xf>
    <xf numFmtId="167" fontId="11" fillId="0" borderId="35" xfId="1" applyNumberFormat="1" applyFont="1" applyFill="1" applyBorder="1" applyAlignment="1">
      <alignment horizontal="right" vertical="top" wrapText="1"/>
    </xf>
    <xf numFmtId="167" fontId="11" fillId="3" borderId="35" xfId="1" applyNumberFormat="1" applyFont="1" applyFill="1" applyBorder="1" applyAlignment="1">
      <alignment horizontal="right" vertical="top" wrapText="1"/>
    </xf>
    <xf numFmtId="43" fontId="19" fillId="0" borderId="35" xfId="1" applyFont="1" applyFill="1" applyBorder="1" applyAlignment="1">
      <alignment horizontal="left" vertical="top" wrapText="1"/>
    </xf>
    <xf numFmtId="43" fontId="11" fillId="0" borderId="35" xfId="1" applyFont="1" applyFill="1" applyBorder="1" applyAlignment="1">
      <alignment horizontal="right" vertical="center" wrapText="1"/>
    </xf>
    <xf numFmtId="43" fontId="11" fillId="0" borderId="35" xfId="1" applyFont="1" applyFill="1" applyBorder="1" applyAlignment="1">
      <alignment vertical="top"/>
    </xf>
    <xf numFmtId="43" fontId="11" fillId="0" borderId="35" xfId="1" applyFont="1" applyFill="1" applyBorder="1" applyAlignment="1">
      <alignment horizontal="right" vertical="center"/>
    </xf>
    <xf numFmtId="164" fontId="11" fillId="0" borderId="35" xfId="1" applyNumberFormat="1" applyFont="1" applyFill="1" applyBorder="1" applyAlignment="1">
      <alignment horizontal="right" vertical="center" wrapText="1"/>
    </xf>
    <xf numFmtId="167" fontId="11" fillId="0" borderId="35" xfId="1" applyNumberFormat="1" applyFont="1" applyFill="1" applyBorder="1" applyAlignment="1">
      <alignment horizontal="right" vertical="center" wrapText="1"/>
    </xf>
    <xf numFmtId="43" fontId="11" fillId="0" borderId="35" xfId="1" applyFont="1" applyFill="1" applyBorder="1" applyAlignment="1">
      <alignment horizontal="right" vertical="top" wrapText="1"/>
    </xf>
    <xf numFmtId="2" fontId="11" fillId="0" borderId="35" xfId="1" applyNumberFormat="1" applyFont="1" applyFill="1" applyBorder="1" applyAlignment="1">
      <alignment horizontal="right" vertical="center" wrapText="1"/>
    </xf>
    <xf numFmtId="49" fontId="8" fillId="2" borderId="0" xfId="8" applyNumberFormat="1" applyFont="1" applyFill="1" applyAlignment="1">
      <alignment horizontal="left"/>
    </xf>
    <xf numFmtId="49" fontId="8" fillId="3" borderId="53" xfId="0" applyNumberFormat="1" applyFont="1" applyFill="1" applyBorder="1" applyAlignment="1">
      <alignment horizontal="left"/>
    </xf>
    <xf numFmtId="49" fontId="8" fillId="3" borderId="54" xfId="0" applyNumberFormat="1" applyFont="1" applyFill="1" applyBorder="1" applyAlignment="1">
      <alignment horizontal="left"/>
    </xf>
    <xf numFmtId="49" fontId="8" fillId="0" borderId="36" xfId="0" applyNumberFormat="1" applyFont="1" applyFill="1" applyBorder="1" applyAlignment="1">
      <alignment horizontal="center"/>
    </xf>
    <xf numFmtId="49" fontId="8" fillId="0" borderId="38" xfId="0" applyNumberFormat="1" applyFont="1" applyFill="1" applyBorder="1" applyAlignment="1">
      <alignment horizontal="center"/>
    </xf>
    <xf numFmtId="0" fontId="13" fillId="0" borderId="36" xfId="0" applyFont="1" applyFill="1" applyBorder="1" applyAlignment="1"/>
    <xf numFmtId="0" fontId="13" fillId="0" borderId="37" xfId="0" applyFont="1" applyFill="1" applyBorder="1" applyAlignment="1"/>
    <xf numFmtId="0" fontId="13" fillId="0" borderId="4" xfId="0" applyFont="1" applyFill="1" applyBorder="1" applyAlignment="1">
      <alignment horizontal="center" vertical="center" wrapText="1"/>
    </xf>
    <xf numFmtId="0" fontId="13" fillId="0" borderId="8" xfId="0" applyFont="1" applyFill="1" applyBorder="1" applyAlignment="1">
      <alignment horizontal="center" vertical="center" wrapText="1"/>
    </xf>
    <xf numFmtId="49" fontId="8" fillId="0" borderId="7" xfId="0" applyNumberFormat="1" applyFont="1" applyFill="1" applyBorder="1" applyAlignment="1">
      <alignment horizontal="center" vertical="center" wrapText="1"/>
    </xf>
    <xf numFmtId="49" fontId="8" fillId="0" borderId="9" xfId="0" applyNumberFormat="1" applyFont="1" applyFill="1" applyBorder="1" applyAlignment="1">
      <alignment horizontal="center" vertical="center" wrapText="1"/>
    </xf>
    <xf numFmtId="0" fontId="13" fillId="0" borderId="8"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0" xfId="0" applyFont="1" applyFill="1" applyBorder="1" applyAlignment="1">
      <alignment horizontal="center" vertical="center" wrapText="1"/>
    </xf>
    <xf numFmtId="0" fontId="13" fillId="0" borderId="2"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2" xfId="0" applyFont="1" applyFill="1" applyBorder="1" applyAlignment="1">
      <alignment horizontal="center" vertical="center" wrapText="1"/>
    </xf>
    <xf numFmtId="0" fontId="13" fillId="0" borderId="5" xfId="0" applyFont="1" applyFill="1" applyBorder="1" applyAlignment="1">
      <alignment horizontal="center" vertical="center" wrapText="1"/>
    </xf>
    <xf numFmtId="49" fontId="8" fillId="0" borderId="0" xfId="0" applyNumberFormat="1" applyFont="1" applyFill="1" applyBorder="1" applyAlignment="1">
      <alignment horizontal="left" vertical="top" wrapText="1"/>
    </xf>
    <xf numFmtId="49" fontId="8" fillId="0" borderId="12" xfId="0" applyNumberFormat="1" applyFont="1" applyFill="1" applyBorder="1" applyAlignment="1">
      <alignment horizontal="center" vertical="center" wrapText="1"/>
    </xf>
    <xf numFmtId="49" fontId="8" fillId="0" borderId="17" xfId="0" applyNumberFormat="1" applyFont="1" applyFill="1" applyBorder="1" applyAlignment="1">
      <alignment horizontal="center" vertical="center" wrapText="1"/>
    </xf>
    <xf numFmtId="49" fontId="8" fillId="0" borderId="13" xfId="0" applyNumberFormat="1" applyFont="1" applyFill="1" applyBorder="1" applyAlignment="1">
      <alignment horizontal="center" vertical="center" wrapText="1"/>
    </xf>
    <xf numFmtId="49" fontId="8" fillId="0" borderId="18" xfId="0" applyNumberFormat="1" applyFont="1" applyFill="1" applyBorder="1" applyAlignment="1">
      <alignment horizontal="center" vertical="center" wrapText="1"/>
    </xf>
    <xf numFmtId="165" fontId="8" fillId="0" borderId="4" xfId="0" applyNumberFormat="1" applyFont="1" applyFill="1" applyBorder="1" applyAlignment="1">
      <alignment horizontal="center" vertical="center" wrapText="1"/>
    </xf>
    <xf numFmtId="165" fontId="8" fillId="0" borderId="8" xfId="0" applyNumberFormat="1" applyFont="1" applyFill="1" applyBorder="1" applyAlignment="1">
      <alignment horizontal="center" vertical="center" wrapText="1"/>
    </xf>
    <xf numFmtId="165" fontId="8" fillId="0" borderId="14" xfId="0" applyNumberFormat="1" applyFont="1" applyFill="1" applyBorder="1" applyAlignment="1">
      <alignment horizontal="center" vertical="center" wrapText="1"/>
    </xf>
    <xf numFmtId="165" fontId="8" fillId="0" borderId="19" xfId="0" applyNumberFormat="1" applyFont="1" applyFill="1" applyBorder="1" applyAlignment="1">
      <alignment horizontal="center" vertical="center" wrapText="1"/>
    </xf>
    <xf numFmtId="165" fontId="8" fillId="0" borderId="12" xfId="0" applyNumberFormat="1" applyFont="1" applyFill="1" applyBorder="1" applyAlignment="1">
      <alignment horizontal="center" vertical="center" wrapText="1"/>
    </xf>
    <xf numFmtId="165" fontId="8" fillId="0" borderId="17" xfId="0" applyNumberFormat="1" applyFont="1" applyFill="1" applyBorder="1" applyAlignment="1">
      <alignment horizontal="center" vertical="center" wrapText="1"/>
    </xf>
    <xf numFmtId="49" fontId="8" fillId="0" borderId="15" xfId="0" applyNumberFormat="1" applyFont="1" applyFill="1" applyBorder="1" applyAlignment="1">
      <alignment horizontal="center" vertical="center" wrapText="1"/>
    </xf>
    <xf numFmtId="49" fontId="8" fillId="0" borderId="16" xfId="0" applyNumberFormat="1"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7" xfId="0" applyFont="1" applyFill="1" applyBorder="1" applyAlignment="1">
      <alignment horizontal="center" vertical="center" wrapText="1"/>
    </xf>
    <xf numFmtId="49" fontId="9" fillId="0" borderId="0" xfId="0" applyNumberFormat="1" applyFont="1" applyFill="1" applyBorder="1" applyAlignment="1">
      <alignment horizontal="left"/>
    </xf>
    <xf numFmtId="49" fontId="8" fillId="0" borderId="20" xfId="0" applyNumberFormat="1" applyFont="1" applyFill="1" applyBorder="1" applyAlignment="1">
      <alignment horizontal="left" vertical="center"/>
    </xf>
    <xf numFmtId="49" fontId="8" fillId="2" borderId="12" xfId="0" applyNumberFormat="1" applyFont="1" applyFill="1" applyBorder="1" applyAlignment="1">
      <alignment horizontal="center" vertical="center"/>
    </xf>
    <xf numFmtId="49" fontId="8" fillId="2" borderId="17" xfId="0" applyNumberFormat="1" applyFont="1" applyFill="1" applyBorder="1" applyAlignment="1">
      <alignment horizontal="center" vertical="center"/>
    </xf>
    <xf numFmtId="49" fontId="8" fillId="2" borderId="22" xfId="0" applyNumberFormat="1" applyFont="1" applyFill="1" applyBorder="1" applyAlignment="1">
      <alignment horizontal="center" vertical="center"/>
    </xf>
    <xf numFmtId="49" fontId="8" fillId="2" borderId="15" xfId="0" applyNumberFormat="1" applyFont="1" applyFill="1" applyBorder="1" applyAlignment="1">
      <alignment horizontal="center" wrapText="1"/>
    </xf>
    <xf numFmtId="49" fontId="8" fillId="2" borderId="21" xfId="0" applyNumberFormat="1" applyFont="1" applyFill="1" applyBorder="1" applyAlignment="1">
      <alignment horizontal="center" wrapText="1"/>
    </xf>
    <xf numFmtId="49" fontId="8" fillId="2" borderId="16" xfId="0" applyNumberFormat="1" applyFont="1" applyFill="1" applyBorder="1" applyAlignment="1">
      <alignment horizontal="center" wrapText="1"/>
    </xf>
    <xf numFmtId="49" fontId="8" fillId="2" borderId="15" xfId="0" applyNumberFormat="1" applyFont="1" applyFill="1" applyBorder="1" applyAlignment="1">
      <alignment horizontal="center"/>
    </xf>
    <xf numFmtId="49" fontId="8" fillId="2" borderId="16" xfId="0" applyNumberFormat="1" applyFont="1" applyFill="1" applyBorder="1" applyAlignment="1">
      <alignment horizontal="center"/>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49" fontId="8" fillId="2" borderId="12" xfId="0" applyNumberFormat="1" applyFont="1" applyFill="1" applyBorder="1" applyAlignment="1">
      <alignment horizontal="center" vertical="center" wrapText="1"/>
    </xf>
    <xf numFmtId="49" fontId="8" fillId="2" borderId="17" xfId="0" applyNumberFormat="1" applyFont="1" applyFill="1" applyBorder="1" applyAlignment="1">
      <alignment horizontal="center" vertical="center" wrapText="1"/>
    </xf>
    <xf numFmtId="0" fontId="13" fillId="0" borderId="45" xfId="0" applyFont="1" applyBorder="1" applyAlignment="1">
      <alignment horizontal="left" vertical="top" wrapText="1"/>
    </xf>
    <xf numFmtId="0" fontId="12" fillId="0" borderId="0" xfId="0" applyFont="1" applyAlignment="1">
      <alignment horizontal="left" vertical="top"/>
    </xf>
    <xf numFmtId="0" fontId="19" fillId="0" borderId="8" xfId="0" applyFont="1" applyBorder="1" applyAlignment="1">
      <alignment horizontal="center" vertical="center"/>
    </xf>
    <xf numFmtId="0" fontId="19" fillId="0" borderId="10" xfId="0" applyFont="1" applyBorder="1" applyAlignment="1">
      <alignment horizontal="center" vertical="center"/>
    </xf>
    <xf numFmtId="0" fontId="19" fillId="0" borderId="23" xfId="0" applyFont="1" applyBorder="1" applyAlignment="1">
      <alignment horizontal="center" vertical="center"/>
    </xf>
    <xf numFmtId="0" fontId="19" fillId="0" borderId="35" xfId="0" applyFont="1" applyFill="1" applyBorder="1" applyAlignment="1">
      <alignment horizontal="center" vertical="top"/>
    </xf>
    <xf numFmtId="0" fontId="19" fillId="0" borderId="2" xfId="0" applyFont="1" applyBorder="1" applyAlignment="1">
      <alignment horizontal="center" vertical="top"/>
    </xf>
    <xf numFmtId="0" fontId="19" fillId="0" borderId="3" xfId="0" applyFont="1" applyBorder="1" applyAlignment="1">
      <alignment horizontal="center" vertical="top"/>
    </xf>
    <xf numFmtId="0" fontId="19" fillId="0" borderId="53" xfId="0" applyFont="1" applyBorder="1" applyAlignment="1">
      <alignment horizontal="center" vertical="top"/>
    </xf>
    <xf numFmtId="0" fontId="19" fillId="0" borderId="55" xfId="0" applyFont="1" applyBorder="1" applyAlignment="1">
      <alignment horizontal="center" vertical="top"/>
    </xf>
    <xf numFmtId="168" fontId="8" fillId="0" borderId="59" xfId="5" applyNumberFormat="1" applyFont="1" applyFill="1" applyBorder="1" applyAlignment="1">
      <alignment horizontal="center" vertical="top" wrapText="1"/>
    </xf>
    <xf numFmtId="168" fontId="8" fillId="0" borderId="60" xfId="5" applyNumberFormat="1" applyFont="1" applyFill="1" applyBorder="1" applyAlignment="1">
      <alignment horizontal="center" vertical="top" wrapText="1"/>
    </xf>
    <xf numFmtId="168" fontId="8" fillId="0" borderId="62" xfId="5" applyNumberFormat="1" applyFont="1" applyFill="1" applyBorder="1" applyAlignment="1">
      <alignment horizontal="center" vertical="top" wrapText="1"/>
    </xf>
    <xf numFmtId="49" fontId="8" fillId="0" borderId="56" xfId="0" applyNumberFormat="1" applyFont="1" applyFill="1" applyBorder="1" applyAlignment="1">
      <alignment horizontal="center" vertical="top"/>
    </xf>
    <xf numFmtId="49" fontId="8" fillId="0" borderId="57" xfId="0" applyNumberFormat="1" applyFont="1" applyFill="1" applyBorder="1" applyAlignment="1">
      <alignment horizontal="center" vertical="top"/>
    </xf>
    <xf numFmtId="49" fontId="8" fillId="0" borderId="20" xfId="0" applyNumberFormat="1" applyFont="1" applyFill="1" applyBorder="1" applyAlignment="1">
      <alignment horizontal="left" vertical="top"/>
    </xf>
    <xf numFmtId="0" fontId="9" fillId="0" borderId="0" xfId="0" applyFont="1" applyFill="1" applyBorder="1" applyAlignment="1">
      <alignment horizontal="left" vertical="top" wrapText="1"/>
    </xf>
    <xf numFmtId="0" fontId="9" fillId="0" borderId="0" xfId="0" applyFont="1" applyFill="1" applyBorder="1" applyAlignment="1">
      <alignment horizontal="left" vertical="top"/>
    </xf>
    <xf numFmtId="49" fontId="8" fillId="0" borderId="48" xfId="0" applyNumberFormat="1" applyFont="1" applyFill="1" applyBorder="1" applyAlignment="1">
      <alignment horizontal="center" vertical="top"/>
    </xf>
    <xf numFmtId="49" fontId="8" fillId="0" borderId="49" xfId="0" applyNumberFormat="1" applyFont="1" applyFill="1" applyBorder="1" applyAlignment="1">
      <alignment horizontal="center" vertical="top"/>
    </xf>
    <xf numFmtId="49" fontId="8" fillId="0" borderId="48" xfId="0" applyNumberFormat="1" applyFont="1" applyFill="1" applyBorder="1" applyAlignment="1">
      <alignment horizontal="center" vertical="top" wrapText="1"/>
    </xf>
    <xf numFmtId="49" fontId="8" fillId="0" borderId="49" xfId="0" applyNumberFormat="1" applyFont="1" applyFill="1" applyBorder="1" applyAlignment="1">
      <alignment horizontal="center" vertical="top" wrapText="1"/>
    </xf>
    <xf numFmtId="49" fontId="8" fillId="0" borderId="25" xfId="0" applyNumberFormat="1" applyFont="1" applyFill="1" applyBorder="1" applyAlignment="1">
      <alignment horizontal="center" vertical="top" wrapText="1"/>
    </xf>
    <xf numFmtId="49" fontId="8" fillId="0" borderId="26" xfId="0" applyNumberFormat="1" applyFont="1" applyFill="1" applyBorder="1" applyAlignment="1">
      <alignment horizontal="center" vertical="top" wrapText="1"/>
    </xf>
    <xf numFmtId="49" fontId="8" fillId="0" borderId="13" xfId="0" applyNumberFormat="1" applyFont="1" applyFill="1" applyBorder="1" applyAlignment="1">
      <alignment horizontal="center" vertical="top" wrapText="1"/>
    </xf>
    <xf numFmtId="49" fontId="8" fillId="0" borderId="18" xfId="0" applyNumberFormat="1" applyFont="1" applyFill="1" applyBorder="1" applyAlignment="1">
      <alignment horizontal="center" vertical="top" wrapText="1"/>
    </xf>
    <xf numFmtId="49" fontId="8" fillId="0" borderId="50" xfId="0" applyNumberFormat="1" applyFont="1" applyFill="1" applyBorder="1" applyAlignment="1">
      <alignment horizontal="center" vertical="top"/>
    </xf>
    <xf numFmtId="49" fontId="8" fillId="0" borderId="51" xfId="0" applyNumberFormat="1" applyFont="1" applyFill="1" applyBorder="1" applyAlignment="1">
      <alignment horizontal="center" vertical="top"/>
    </xf>
    <xf numFmtId="49" fontId="8" fillId="0" borderId="52" xfId="0" applyNumberFormat="1" applyFont="1" applyFill="1" applyBorder="1" applyAlignment="1">
      <alignment horizontal="center" vertical="top"/>
    </xf>
    <xf numFmtId="49" fontId="8" fillId="0" borderId="24" xfId="0" applyNumberFormat="1" applyFont="1" applyFill="1" applyBorder="1" applyAlignment="1">
      <alignment horizontal="center" vertical="top"/>
    </xf>
    <xf numFmtId="49" fontId="8" fillId="0" borderId="14" xfId="0" applyNumberFormat="1" applyFont="1" applyFill="1" applyBorder="1" applyAlignment="1">
      <alignment horizontal="center" vertical="top"/>
    </xf>
    <xf numFmtId="168" fontId="93" fillId="0" borderId="66" xfId="0" applyNumberFormat="1" applyFont="1" applyFill="1" applyBorder="1" applyAlignment="1">
      <alignment horizontal="center" vertical="top" wrapText="1"/>
    </xf>
    <xf numFmtId="168" fontId="93" fillId="0" borderId="99" xfId="0" applyNumberFormat="1" applyFont="1" applyFill="1" applyBorder="1" applyAlignment="1">
      <alignment horizontal="center" vertical="top" wrapText="1"/>
    </xf>
    <xf numFmtId="0" fontId="11" fillId="0" borderId="97" xfId="0" applyFont="1" applyBorder="1" applyAlignment="1">
      <alignment vertical="center" wrapText="1"/>
    </xf>
    <xf numFmtId="0" fontId="11" fillId="0" borderId="10" xfId="0" applyFont="1" applyBorder="1" applyAlignment="1">
      <alignment vertical="center" wrapText="1"/>
    </xf>
    <xf numFmtId="0" fontId="11" fillId="0" borderId="68" xfId="0" applyFont="1" applyBorder="1" applyAlignment="1">
      <alignment vertical="center" wrapText="1"/>
    </xf>
    <xf numFmtId="168" fontId="93" fillId="0" borderId="35" xfId="0" applyNumberFormat="1" applyFont="1" applyFill="1" applyBorder="1" applyAlignment="1">
      <alignment horizontal="center" vertical="top" wrapText="1"/>
    </xf>
    <xf numFmtId="0" fontId="19" fillId="0" borderId="35" xfId="0" applyFont="1" applyBorder="1" applyAlignment="1">
      <alignment horizontal="center" vertical="center" wrapText="1"/>
    </xf>
    <xf numFmtId="49" fontId="93" fillId="0" borderId="35" xfId="0" applyNumberFormat="1" applyFont="1" applyFill="1" applyBorder="1" applyAlignment="1">
      <alignment horizontal="center" vertical="top" wrapText="1"/>
    </xf>
    <xf numFmtId="0" fontId="19" fillId="0" borderId="35" xfId="0" applyFont="1" applyBorder="1" applyAlignment="1">
      <alignment horizontal="center" vertical="center"/>
    </xf>
    <xf numFmtId="0" fontId="11" fillId="0" borderId="97" xfId="0" applyFont="1" applyBorder="1" applyAlignment="1">
      <alignment vertical="top" wrapText="1"/>
    </xf>
    <xf numFmtId="0" fontId="11" fillId="0" borderId="10" xfId="0" applyFont="1" applyBorder="1" applyAlignment="1">
      <alignment vertical="top" wrapText="1"/>
    </xf>
    <xf numFmtId="0" fontId="11" fillId="0" borderId="68" xfId="0" applyFont="1" applyBorder="1" applyAlignment="1">
      <alignment vertical="top" wrapText="1"/>
    </xf>
    <xf numFmtId="49" fontId="8" fillId="0" borderId="0" xfId="0" applyNumberFormat="1" applyFont="1" applyFill="1" applyAlignment="1">
      <alignment horizontal="left"/>
    </xf>
    <xf numFmtId="49" fontId="9" fillId="0" borderId="0" xfId="0" applyNumberFormat="1" applyFont="1" applyFill="1" applyBorder="1" applyAlignment="1">
      <alignment horizontal="left" vertical="center" wrapText="1"/>
    </xf>
    <xf numFmtId="49" fontId="8" fillId="2" borderId="2" xfId="0" applyNumberFormat="1" applyFont="1" applyFill="1" applyBorder="1" applyAlignment="1">
      <alignment horizontal="left" vertical="top"/>
    </xf>
    <xf numFmtId="49" fontId="8" fillId="2" borderId="5" xfId="0" applyNumberFormat="1" applyFont="1" applyFill="1" applyBorder="1" applyAlignment="1">
      <alignment horizontal="left" vertical="top"/>
    </xf>
    <xf numFmtId="49" fontId="8" fillId="2" borderId="3" xfId="0" applyNumberFormat="1" applyFont="1" applyFill="1" applyBorder="1" applyAlignment="1">
      <alignment horizontal="left" vertical="top"/>
    </xf>
    <xf numFmtId="49" fontId="8" fillId="2" borderId="23" xfId="0" applyNumberFormat="1" applyFont="1" applyFill="1" applyBorder="1" applyAlignment="1">
      <alignment horizontal="center" vertical="center" wrapText="1"/>
    </xf>
    <xf numFmtId="49" fontId="8" fillId="2" borderId="4" xfId="0" applyNumberFormat="1" applyFont="1" applyFill="1" applyBorder="1" applyAlignment="1">
      <alignment horizontal="center" vertical="center" wrapText="1"/>
    </xf>
    <xf numFmtId="49" fontId="8" fillId="2" borderId="23" xfId="0" applyNumberFormat="1" applyFont="1" applyFill="1" applyBorder="1" applyAlignment="1">
      <alignment horizontal="center" vertical="center"/>
    </xf>
    <xf numFmtId="49" fontId="8" fillId="2" borderId="4" xfId="0" applyNumberFormat="1" applyFont="1" applyFill="1" applyBorder="1" applyAlignment="1">
      <alignment horizontal="center" vertical="center"/>
    </xf>
    <xf numFmtId="0" fontId="9" fillId="0" borderId="0" xfId="0" applyFont="1" applyFill="1" applyBorder="1" applyAlignment="1">
      <alignment horizontal="left" vertical="center"/>
    </xf>
    <xf numFmtId="49" fontId="8" fillId="2" borderId="0" xfId="0" applyNumberFormat="1" applyFont="1" applyFill="1" applyAlignment="1">
      <alignment horizontal="left" vertical="top"/>
    </xf>
    <xf numFmtId="49" fontId="8" fillId="2" borderId="22"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wrapText="1"/>
    </xf>
    <xf numFmtId="49" fontId="8" fillId="2" borderId="16"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xf>
    <xf numFmtId="49" fontId="8" fillId="2" borderId="16" xfId="0" applyNumberFormat="1" applyFont="1" applyFill="1" applyBorder="1" applyAlignment="1">
      <alignment horizontal="center" vertical="center"/>
    </xf>
    <xf numFmtId="0" fontId="8" fillId="0" borderId="6" xfId="0" applyFont="1" applyFill="1" applyBorder="1" applyAlignment="1">
      <alignment horizontal="left" vertical="top" wrapText="1"/>
    </xf>
    <xf numFmtId="49" fontId="8" fillId="0" borderId="0" xfId="0" applyNumberFormat="1" applyFont="1" applyFill="1" applyAlignment="1">
      <alignment horizontal="left" vertical="top" wrapText="1"/>
    </xf>
    <xf numFmtId="49" fontId="8" fillId="2" borderId="0" xfId="8" applyNumberFormat="1" applyFont="1" applyFill="1" applyAlignment="1">
      <alignment horizontal="left"/>
    </xf>
    <xf numFmtId="49" fontId="8" fillId="2" borderId="0" xfId="8" applyNumberFormat="1" applyFont="1" applyFill="1" applyAlignment="1">
      <alignment horizontal="left" vertical="top" wrapText="1"/>
    </xf>
    <xf numFmtId="49" fontId="8" fillId="2" borderId="12" xfId="8" applyNumberFormat="1" applyFont="1" applyFill="1" applyBorder="1" applyAlignment="1">
      <alignment horizontal="center"/>
    </xf>
    <xf numFmtId="49" fontId="8" fillId="2" borderId="22" xfId="8" applyNumberFormat="1" applyFont="1" applyFill="1" applyBorder="1" applyAlignment="1">
      <alignment horizontal="center"/>
    </xf>
    <xf numFmtId="49" fontId="8" fillId="2" borderId="15" xfId="8" applyNumberFormat="1" applyFont="1" applyFill="1" applyBorder="1" applyAlignment="1">
      <alignment horizontal="center"/>
    </xf>
    <xf numFmtId="49" fontId="8" fillId="2" borderId="16" xfId="8" applyNumberFormat="1" applyFont="1" applyFill="1" applyBorder="1" applyAlignment="1">
      <alignment horizontal="center"/>
    </xf>
    <xf numFmtId="49" fontId="8" fillId="2" borderId="73" xfId="8" applyNumberFormat="1" applyFont="1" applyFill="1" applyBorder="1" applyAlignment="1">
      <alignment horizontal="center"/>
    </xf>
    <xf numFmtId="49" fontId="8" fillId="2" borderId="75" xfId="8" applyNumberFormat="1" applyFont="1" applyFill="1" applyBorder="1" applyAlignment="1">
      <alignment horizontal="center"/>
    </xf>
    <xf numFmtId="49" fontId="8" fillId="2" borderId="46" xfId="8" applyNumberFormat="1" applyFont="1" applyFill="1" applyBorder="1" applyAlignment="1">
      <alignment horizontal="center"/>
    </xf>
    <xf numFmtId="0" fontId="12" fillId="0" borderId="72" xfId="8" applyNumberFormat="1" applyFont="1" applyFill="1" applyBorder="1" applyAlignment="1">
      <alignment horizontal="center"/>
    </xf>
    <xf numFmtId="49" fontId="8" fillId="2" borderId="71" xfId="8" applyNumberFormat="1" applyFont="1" applyFill="1" applyBorder="1" applyAlignment="1">
      <alignment horizontal="center" vertical="center"/>
    </xf>
    <xf numFmtId="49" fontId="8" fillId="2" borderId="39" xfId="8" applyNumberFormat="1" applyFont="1" applyFill="1" applyBorder="1" applyAlignment="1">
      <alignment horizontal="center" vertical="center"/>
    </xf>
    <xf numFmtId="49" fontId="8" fillId="2" borderId="74" xfId="8" applyNumberFormat="1" applyFont="1" applyFill="1" applyBorder="1" applyAlignment="1">
      <alignment horizontal="center"/>
    </xf>
    <xf numFmtId="49" fontId="8" fillId="2" borderId="0" xfId="8" applyNumberFormat="1" applyFont="1" applyFill="1" applyAlignment="1">
      <alignment horizontal="left" vertical="top"/>
    </xf>
    <xf numFmtId="49" fontId="8" fillId="2" borderId="12" xfId="8" applyNumberFormat="1" applyFont="1" applyFill="1" applyBorder="1" applyAlignment="1">
      <alignment horizontal="right"/>
    </xf>
    <xf numFmtId="49" fontId="8" fillId="2" borderId="22" xfId="8" applyNumberFormat="1" applyFont="1" applyFill="1" applyBorder="1" applyAlignment="1">
      <alignment horizontal="right"/>
    </xf>
    <xf numFmtId="49" fontId="8" fillId="2" borderId="21" xfId="8" applyNumberFormat="1" applyFont="1" applyFill="1" applyBorder="1" applyAlignment="1">
      <alignment horizontal="center"/>
    </xf>
    <xf numFmtId="49" fontId="8" fillId="2" borderId="13" xfId="8" applyNumberFormat="1" applyFont="1" applyFill="1" applyBorder="1" applyAlignment="1">
      <alignment horizontal="center" vertical="center"/>
    </xf>
    <xf numFmtId="49" fontId="8" fillId="2" borderId="14" xfId="8" applyNumberFormat="1" applyFont="1" applyFill="1" applyBorder="1" applyAlignment="1">
      <alignment horizontal="center" vertical="center"/>
    </xf>
    <xf numFmtId="49" fontId="8" fillId="2" borderId="28" xfId="8" applyNumberFormat="1" applyFont="1" applyFill="1" applyBorder="1" applyAlignment="1">
      <alignment horizontal="center" vertical="center"/>
    </xf>
    <xf numFmtId="49" fontId="8" fillId="2" borderId="29" xfId="8" applyNumberFormat="1" applyFont="1" applyFill="1" applyBorder="1" applyAlignment="1">
      <alignment horizontal="center" vertical="center"/>
    </xf>
    <xf numFmtId="49" fontId="8" fillId="2" borderId="15" xfId="8" applyNumberFormat="1" applyFont="1" applyFill="1" applyBorder="1" applyAlignment="1">
      <alignment horizontal="center" vertical="center"/>
    </xf>
    <xf numFmtId="49" fontId="8" fillId="2" borderId="16" xfId="8" applyNumberFormat="1" applyFont="1" applyFill="1" applyBorder="1" applyAlignment="1">
      <alignment horizontal="center" vertical="center"/>
    </xf>
    <xf numFmtId="0" fontId="13" fillId="0" borderId="0" xfId="8" applyNumberFormat="1" applyFont="1" applyFill="1" applyBorder="1" applyAlignment="1">
      <alignment horizontal="left" wrapText="1"/>
    </xf>
    <xf numFmtId="49" fontId="8" fillId="2" borderId="111" xfId="8" applyNumberFormat="1" applyFont="1" applyFill="1" applyBorder="1" applyAlignment="1">
      <alignment horizontal="center" vertical="top" wrapText="1"/>
    </xf>
    <xf numFmtId="49" fontId="8" fillId="2" borderId="71" xfId="8" applyNumberFormat="1" applyFont="1" applyFill="1" applyBorder="1" applyAlignment="1">
      <alignment horizontal="center" vertical="center" wrapText="1"/>
    </xf>
    <xf numFmtId="49" fontId="8" fillId="2" borderId="22" xfId="8" applyNumberFormat="1" applyFont="1" applyFill="1" applyBorder="1" applyAlignment="1">
      <alignment horizontal="center" vertical="center" wrapText="1"/>
    </xf>
    <xf numFmtId="49" fontId="8" fillId="2" borderId="73" xfId="8" applyNumberFormat="1" applyFont="1" applyFill="1" applyBorder="1" applyAlignment="1">
      <alignment horizontal="center" vertical="center" wrapText="1"/>
    </xf>
    <xf numFmtId="49" fontId="8" fillId="2" borderId="75" xfId="8" applyNumberFormat="1" applyFont="1" applyFill="1" applyBorder="1" applyAlignment="1">
      <alignment horizontal="center" vertical="center" wrapText="1"/>
    </xf>
    <xf numFmtId="49" fontId="8" fillId="2" borderId="74" xfId="8" applyNumberFormat="1" applyFont="1" applyFill="1" applyBorder="1" applyAlignment="1">
      <alignment horizontal="center" vertical="center" wrapText="1"/>
    </xf>
    <xf numFmtId="49" fontId="8" fillId="0" borderId="71" xfId="8" applyNumberFormat="1" applyFont="1" applyFill="1" applyBorder="1" applyAlignment="1">
      <alignment horizontal="center" vertical="center" wrapText="1"/>
    </xf>
    <xf numFmtId="49" fontId="8" fillId="0" borderId="22" xfId="8" applyNumberFormat="1" applyFont="1" applyFill="1" applyBorder="1" applyAlignment="1">
      <alignment horizontal="center" vertical="center" wrapText="1"/>
    </xf>
    <xf numFmtId="49" fontId="8" fillId="2" borderId="0" xfId="8" applyNumberFormat="1" applyFont="1" applyFill="1" applyAlignment="1">
      <alignment horizontal="left" wrapText="1"/>
    </xf>
    <xf numFmtId="49" fontId="9" fillId="2" borderId="0" xfId="8" applyNumberFormat="1" applyFont="1" applyFill="1" applyAlignment="1">
      <alignment horizontal="left" vertical="top" wrapText="1"/>
    </xf>
    <xf numFmtId="0" fontId="3" fillId="0" borderId="0" xfId="8" applyNumberFormat="1" applyFont="1" applyFill="1" applyBorder="1" applyAlignment="1">
      <alignment vertical="top" wrapText="1"/>
    </xf>
    <xf numFmtId="49" fontId="8" fillId="2" borderId="0" xfId="8" applyNumberFormat="1" applyFont="1" applyFill="1" applyBorder="1" applyAlignment="1">
      <alignment horizontal="left" wrapText="1"/>
    </xf>
    <xf numFmtId="49" fontId="9" fillId="2" borderId="0" xfId="8" applyNumberFormat="1" applyFont="1" applyFill="1" applyBorder="1" applyAlignment="1">
      <alignment horizontal="left" wrapText="1"/>
    </xf>
    <xf numFmtId="49" fontId="8" fillId="2" borderId="73" xfId="8" applyNumberFormat="1" applyFont="1" applyFill="1" applyBorder="1" applyAlignment="1">
      <alignment horizontal="center" vertical="center"/>
    </xf>
    <xf numFmtId="49" fontId="8" fillId="2" borderId="75" xfId="8" applyNumberFormat="1" applyFont="1" applyFill="1" applyBorder="1" applyAlignment="1">
      <alignment horizontal="center" vertical="center"/>
    </xf>
    <xf numFmtId="49" fontId="8" fillId="2" borderId="74" xfId="8" applyNumberFormat="1" applyFont="1" applyFill="1" applyBorder="1" applyAlignment="1">
      <alignment horizontal="center" vertical="center"/>
    </xf>
    <xf numFmtId="49" fontId="8" fillId="2" borderId="22" xfId="8" applyNumberFormat="1" applyFont="1" applyFill="1" applyBorder="1" applyAlignment="1">
      <alignment horizontal="center" vertical="center"/>
    </xf>
    <xf numFmtId="49" fontId="8" fillId="0" borderId="73" xfId="8" applyNumberFormat="1" applyFont="1" applyFill="1" applyBorder="1" applyAlignment="1">
      <alignment horizontal="center" vertical="center"/>
    </xf>
    <xf numFmtId="49" fontId="8" fillId="0" borderId="74" xfId="8" applyNumberFormat="1" applyFont="1" applyFill="1" applyBorder="1" applyAlignment="1">
      <alignment horizontal="center" vertical="center"/>
    </xf>
    <xf numFmtId="0" fontId="3" fillId="0" borderId="75" xfId="8" applyNumberFormat="1" applyFont="1" applyFill="1" applyBorder="1" applyAlignment="1">
      <alignment horizontal="center"/>
    </xf>
    <xf numFmtId="0" fontId="3" fillId="0" borderId="74" xfId="8" applyNumberFormat="1" applyFont="1" applyFill="1" applyBorder="1" applyAlignment="1">
      <alignment horizontal="center"/>
    </xf>
    <xf numFmtId="49" fontId="8" fillId="2" borderId="71" xfId="8" applyNumberFormat="1" applyFont="1" applyFill="1" applyBorder="1" applyAlignment="1">
      <alignment horizontal="center" vertical="top"/>
    </xf>
    <xf numFmtId="49" fontId="8" fillId="2" borderId="22" xfId="8" applyNumberFormat="1" applyFont="1" applyFill="1" applyBorder="1" applyAlignment="1">
      <alignment horizontal="center" vertical="top"/>
    </xf>
    <xf numFmtId="49" fontId="8" fillId="2" borderId="0" xfId="8" applyNumberFormat="1" applyFont="1" applyFill="1" applyBorder="1" applyAlignment="1">
      <alignment horizontal="left"/>
    </xf>
    <xf numFmtId="49" fontId="9" fillId="2" borderId="0" xfId="8" applyNumberFormat="1" applyFont="1" applyFill="1" applyBorder="1" applyAlignment="1">
      <alignment horizontal="left" vertical="top" wrapText="1"/>
    </xf>
    <xf numFmtId="49" fontId="29" fillId="2" borderId="0" xfId="8" applyNumberFormat="1" applyFont="1" applyFill="1" applyAlignment="1">
      <alignment horizontal="left" vertical="top" wrapText="1"/>
    </xf>
    <xf numFmtId="49" fontId="31" fillId="2" borderId="0" xfId="8" applyNumberFormat="1" applyFont="1" applyFill="1" applyAlignment="1">
      <alignment horizontal="left" vertical="top" wrapText="1"/>
    </xf>
    <xf numFmtId="49" fontId="9" fillId="2" borderId="0" xfId="8" applyNumberFormat="1" applyFont="1" applyFill="1" applyAlignment="1">
      <alignment horizontal="left" vertical="center" wrapText="1"/>
    </xf>
    <xf numFmtId="49" fontId="8" fillId="2" borderId="0" xfId="8" applyNumberFormat="1" applyFont="1" applyFill="1" applyAlignment="1">
      <alignment horizontal="left" vertical="center"/>
    </xf>
    <xf numFmtId="49" fontId="9" fillId="2" borderId="0" xfId="8" applyNumberFormat="1" applyFont="1" applyFill="1" applyAlignment="1">
      <alignment horizontal="left" vertical="center"/>
    </xf>
    <xf numFmtId="49" fontId="9" fillId="2" borderId="0" xfId="8" applyNumberFormat="1" applyFont="1" applyFill="1" applyAlignment="1">
      <alignment horizontal="left"/>
    </xf>
    <xf numFmtId="49" fontId="9" fillId="2" borderId="0" xfId="8" applyNumberFormat="1" applyFont="1" applyFill="1" applyAlignment="1">
      <alignment horizontal="left" wrapText="1"/>
    </xf>
    <xf numFmtId="49" fontId="8" fillId="0" borderId="79" xfId="8" applyNumberFormat="1" applyFont="1" applyFill="1" applyBorder="1" applyAlignment="1">
      <alignment horizontal="center" vertical="center"/>
    </xf>
    <xf numFmtId="49" fontId="8" fillId="0" borderId="75" xfId="8" applyNumberFormat="1" applyFont="1" applyFill="1" applyBorder="1" applyAlignment="1">
      <alignment horizontal="center" vertical="center"/>
    </xf>
    <xf numFmtId="49" fontId="8" fillId="0" borderId="80" xfId="8" applyNumberFormat="1" applyFont="1" applyFill="1" applyBorder="1" applyAlignment="1">
      <alignment horizontal="center" vertical="center"/>
    </xf>
    <xf numFmtId="49" fontId="8" fillId="3" borderId="73" xfId="8" applyNumberFormat="1" applyFont="1" applyFill="1" applyBorder="1" applyAlignment="1">
      <alignment horizontal="center"/>
    </xf>
    <xf numFmtId="49" fontId="8" fillId="3" borderId="75" xfId="8" applyNumberFormat="1" applyFont="1" applyFill="1" applyBorder="1" applyAlignment="1">
      <alignment horizontal="center"/>
    </xf>
    <xf numFmtId="49" fontId="8" fillId="3" borderId="0" xfId="8" applyNumberFormat="1" applyFont="1" applyFill="1" applyBorder="1" applyAlignment="1">
      <alignment horizontal="center"/>
    </xf>
    <xf numFmtId="49" fontId="8" fillId="3" borderId="20" xfId="8" applyNumberFormat="1" applyFont="1" applyFill="1" applyBorder="1" applyAlignment="1">
      <alignment horizontal="center"/>
    </xf>
    <xf numFmtId="49" fontId="8" fillId="3" borderId="74" xfId="8" applyNumberFormat="1" applyFont="1" applyFill="1" applyBorder="1" applyAlignment="1">
      <alignment horizontal="center"/>
    </xf>
    <xf numFmtId="49" fontId="8" fillId="0" borderId="35" xfId="8" applyNumberFormat="1" applyFont="1" applyFill="1" applyBorder="1" applyAlignment="1">
      <alignment horizontal="center"/>
    </xf>
    <xf numFmtId="49" fontId="8" fillId="0" borderId="10" xfId="8" applyNumberFormat="1" applyFont="1" applyFill="1" applyBorder="1" applyAlignment="1">
      <alignment horizontal="center"/>
    </xf>
    <xf numFmtId="49" fontId="8" fillId="0" borderId="78" xfId="8" applyNumberFormat="1" applyFont="1" applyFill="1" applyBorder="1" applyAlignment="1">
      <alignment horizontal="center"/>
    </xf>
    <xf numFmtId="49" fontId="8" fillId="2" borderId="0" xfId="8" applyNumberFormat="1" applyFont="1" applyFill="1" applyAlignment="1">
      <alignment horizontal="left" vertical="center" wrapText="1"/>
    </xf>
    <xf numFmtId="0" fontId="13" fillId="0" borderId="46" xfId="12" applyFont="1" applyFill="1" applyBorder="1" applyAlignment="1">
      <alignment horizontal="center" vertical="center"/>
    </xf>
    <xf numFmtId="0" fontId="13" fillId="0" borderId="70" xfId="12" applyFont="1" applyFill="1" applyBorder="1" applyAlignment="1">
      <alignment horizontal="center" vertical="center"/>
    </xf>
    <xf numFmtId="0" fontId="13" fillId="0" borderId="72" xfId="12" applyFont="1" applyFill="1" applyBorder="1" applyAlignment="1">
      <alignment horizontal="center" vertical="center"/>
    </xf>
    <xf numFmtId="0" fontId="13" fillId="0" borderId="35" xfId="12" applyFont="1" applyFill="1" applyBorder="1" applyAlignment="1">
      <alignment horizontal="center" vertical="center" wrapText="1"/>
    </xf>
    <xf numFmtId="0" fontId="13" fillId="0" borderId="78" xfId="12" applyFont="1" applyFill="1" applyBorder="1" applyAlignment="1">
      <alignment horizontal="center" vertical="center" wrapText="1"/>
    </xf>
    <xf numFmtId="0" fontId="13" fillId="0" borderId="23" xfId="12" applyFont="1" applyFill="1" applyBorder="1" applyAlignment="1">
      <alignment horizontal="center" vertical="center" wrapText="1"/>
    </xf>
    <xf numFmtId="0" fontId="13" fillId="0" borderId="46" xfId="12" applyFont="1" applyFill="1" applyBorder="1" applyAlignment="1">
      <alignment horizontal="center" vertical="center" wrapText="1"/>
    </xf>
    <xf numFmtId="0" fontId="13" fillId="0" borderId="72" xfId="12" applyFont="1" applyFill="1" applyBorder="1" applyAlignment="1">
      <alignment horizontal="center" vertical="center" wrapText="1"/>
    </xf>
    <xf numFmtId="0" fontId="13" fillId="0" borderId="10" xfId="12" applyFont="1" applyFill="1" applyBorder="1" applyAlignment="1">
      <alignment horizontal="center" vertical="center" wrapText="1"/>
    </xf>
    <xf numFmtId="0" fontId="13" fillId="0" borderId="91" xfId="12" applyFont="1" applyFill="1" applyBorder="1" applyAlignment="1">
      <alignment horizontal="center" vertical="center" wrapText="1"/>
    </xf>
    <xf numFmtId="0" fontId="13" fillId="0" borderId="77" xfId="12" applyFont="1" applyFill="1" applyBorder="1" applyAlignment="1">
      <alignment horizontal="center" vertical="center" wrapText="1"/>
    </xf>
    <xf numFmtId="0" fontId="13" fillId="0" borderId="30" xfId="12" applyFont="1" applyFill="1" applyBorder="1" applyAlignment="1">
      <alignment horizontal="center" vertical="center" wrapText="1"/>
    </xf>
    <xf numFmtId="0" fontId="13" fillId="0" borderId="27" xfId="12" applyFont="1" applyFill="1" applyBorder="1" applyAlignment="1">
      <alignment horizontal="center" vertical="center" wrapText="1"/>
    </xf>
    <xf numFmtId="0" fontId="13" fillId="0" borderId="92" xfId="12" applyFont="1" applyFill="1" applyBorder="1" applyAlignment="1">
      <alignment horizontal="center" vertical="center" wrapText="1"/>
    </xf>
    <xf numFmtId="0" fontId="13" fillId="0" borderId="31" xfId="12" applyFont="1" applyFill="1" applyBorder="1" applyAlignment="1">
      <alignment horizontal="center" vertical="center" wrapText="1"/>
    </xf>
    <xf numFmtId="0" fontId="13" fillId="0" borderId="92" xfId="12" applyFont="1" applyFill="1" applyBorder="1" applyAlignment="1">
      <alignment horizontal="center" vertical="center"/>
    </xf>
    <xf numFmtId="0" fontId="13" fillId="0" borderId="30" xfId="12" applyFont="1" applyFill="1" applyBorder="1" applyAlignment="1">
      <alignment horizontal="center" vertical="center"/>
    </xf>
    <xf numFmtId="0" fontId="13" fillId="0" borderId="31" xfId="12" applyFont="1" applyFill="1" applyBorder="1" applyAlignment="1">
      <alignment horizontal="center" vertical="center"/>
    </xf>
    <xf numFmtId="0" fontId="13" fillId="0" borderId="35" xfId="12" applyFont="1" applyFill="1" applyBorder="1" applyAlignment="1">
      <alignment horizontal="center" vertical="center"/>
    </xf>
    <xf numFmtId="187" fontId="13" fillId="0" borderId="78" xfId="13" applyNumberFormat="1" applyFont="1" applyFill="1" applyBorder="1" applyAlignment="1">
      <alignment horizontal="center" vertical="center" wrapText="1"/>
    </xf>
    <xf numFmtId="187" fontId="13" fillId="0" borderId="10" xfId="13" applyNumberFormat="1" applyFont="1" applyFill="1" applyBorder="1" applyAlignment="1">
      <alignment horizontal="center" vertical="center" wrapText="1"/>
    </xf>
    <xf numFmtId="187" fontId="13" fillId="0" borderId="23" xfId="13" applyNumberFormat="1" applyFont="1" applyFill="1" applyBorder="1" applyAlignment="1">
      <alignment horizontal="center" vertical="center" wrapText="1"/>
    </xf>
    <xf numFmtId="0" fontId="13" fillId="0" borderId="43" xfId="12" applyFont="1" applyFill="1" applyBorder="1" applyAlignment="1">
      <alignment horizontal="center" vertical="center" wrapText="1"/>
    </xf>
    <xf numFmtId="0" fontId="13" fillId="0" borderId="9" xfId="12" applyFont="1" applyFill="1" applyBorder="1" applyAlignment="1">
      <alignment horizontal="center" vertical="center" wrapText="1"/>
    </xf>
    <xf numFmtId="49" fontId="8" fillId="2" borderId="84" xfId="8" applyNumberFormat="1" applyFont="1" applyFill="1" applyBorder="1" applyAlignment="1">
      <alignment horizontal="center" vertical="center"/>
    </xf>
    <xf numFmtId="0" fontId="8" fillId="2" borderId="84" xfId="8" applyFont="1" applyFill="1" applyBorder="1" applyAlignment="1">
      <alignment horizontal="center" vertical="center" wrapText="1"/>
    </xf>
    <xf numFmtId="0" fontId="8" fillId="2" borderId="22" xfId="8" applyFont="1" applyFill="1" applyBorder="1" applyAlignment="1">
      <alignment horizontal="center" vertical="center" wrapText="1"/>
    </xf>
    <xf numFmtId="49" fontId="8" fillId="2" borderId="84" xfId="8" applyNumberFormat="1" applyFont="1" applyFill="1" applyBorder="1" applyAlignment="1">
      <alignment horizontal="center" vertical="center" wrapText="1"/>
    </xf>
    <xf numFmtId="49" fontId="8" fillId="2" borderId="39" xfId="8" applyNumberFormat="1" applyFont="1" applyFill="1" applyBorder="1" applyAlignment="1">
      <alignment horizontal="center" vertical="center" wrapText="1"/>
    </xf>
    <xf numFmtId="49" fontId="8" fillId="2" borderId="93" xfId="8" applyNumberFormat="1" applyFont="1" applyFill="1" applyBorder="1" applyAlignment="1">
      <alignment horizontal="center" vertical="center"/>
    </xf>
    <xf numFmtId="49" fontId="8" fillId="2" borderId="94" xfId="8" applyNumberFormat="1" applyFont="1" applyFill="1" applyBorder="1" applyAlignment="1">
      <alignment horizontal="center" vertical="center"/>
    </xf>
    <xf numFmtId="49" fontId="8" fillId="2" borderId="95" xfId="8" applyNumberFormat="1" applyFont="1" applyFill="1" applyBorder="1" applyAlignment="1">
      <alignment horizontal="center" vertical="center"/>
    </xf>
    <xf numFmtId="0" fontId="8" fillId="2" borderId="93" xfId="8" applyFont="1" applyFill="1" applyBorder="1" applyAlignment="1">
      <alignment horizontal="center" vertical="center" wrapText="1"/>
    </xf>
    <xf numFmtId="0" fontId="8" fillId="2" borderId="94" xfId="8" applyFont="1" applyFill="1" applyBorder="1" applyAlignment="1">
      <alignment horizontal="center" vertical="center" wrapText="1"/>
    </xf>
    <xf numFmtId="0" fontId="3" fillId="0" borderId="95" xfId="8" applyNumberFormat="1" applyFont="1" applyFill="1" applyBorder="1" applyAlignment="1">
      <alignment horizontal="center" vertical="center" wrapText="1"/>
    </xf>
    <xf numFmtId="0" fontId="8" fillId="2" borderId="95" xfId="8" applyFont="1" applyFill="1" applyBorder="1" applyAlignment="1">
      <alignment horizontal="center" vertical="center" wrapText="1"/>
    </xf>
    <xf numFmtId="49" fontId="8" fillId="2" borderId="93" xfId="8" applyNumberFormat="1" applyFont="1" applyFill="1" applyBorder="1" applyAlignment="1">
      <alignment horizontal="center"/>
    </xf>
    <xf numFmtId="49" fontId="8" fillId="2" borderId="94" xfId="8" applyNumberFormat="1" applyFont="1" applyFill="1" applyBorder="1" applyAlignment="1">
      <alignment horizontal="center"/>
    </xf>
    <xf numFmtId="49" fontId="8" fillId="2" borderId="95" xfId="8" applyNumberFormat="1" applyFont="1" applyFill="1" applyBorder="1" applyAlignment="1">
      <alignment horizontal="center"/>
    </xf>
    <xf numFmtId="49" fontId="8" fillId="2" borderId="35" xfId="8" applyNumberFormat="1" applyFont="1" applyFill="1" applyBorder="1" applyAlignment="1">
      <alignment horizontal="center" vertical="center"/>
    </xf>
    <xf numFmtId="49" fontId="8" fillId="2" borderId="70" xfId="8" applyNumberFormat="1" applyFont="1" applyFill="1" applyBorder="1" applyAlignment="1">
      <alignment horizontal="center" vertical="center"/>
    </xf>
    <xf numFmtId="49" fontId="8" fillId="2" borderId="72" xfId="8" applyNumberFormat="1" applyFont="1" applyFill="1" applyBorder="1" applyAlignment="1">
      <alignment horizontal="center" vertical="center"/>
    </xf>
    <xf numFmtId="49" fontId="8" fillId="2" borderId="81" xfId="8" applyNumberFormat="1" applyFont="1" applyFill="1" applyBorder="1" applyAlignment="1">
      <alignment horizontal="center" vertical="center"/>
    </xf>
    <xf numFmtId="49" fontId="8" fillId="2" borderId="83" xfId="8" applyNumberFormat="1" applyFont="1" applyFill="1" applyBorder="1" applyAlignment="1">
      <alignment horizontal="center" vertical="center"/>
    </xf>
    <xf numFmtId="49" fontId="8" fillId="2" borderId="81" xfId="8" applyNumberFormat="1" applyFont="1" applyFill="1" applyBorder="1" applyAlignment="1">
      <alignment horizontal="center" vertical="center" wrapText="1"/>
    </xf>
    <xf numFmtId="49" fontId="8" fillId="2" borderId="83" xfId="8" applyNumberFormat="1" applyFont="1" applyFill="1" applyBorder="1" applyAlignment="1">
      <alignment horizontal="center" vertical="center" wrapText="1"/>
    </xf>
    <xf numFmtId="49" fontId="8" fillId="2" borderId="28" xfId="8" applyNumberFormat="1" applyFont="1" applyFill="1" applyBorder="1" applyAlignment="1">
      <alignment horizontal="center" vertical="center" wrapText="1"/>
    </xf>
    <xf numFmtId="49" fontId="8" fillId="2" borderId="29" xfId="8" applyNumberFormat="1" applyFont="1" applyFill="1" applyBorder="1" applyAlignment="1">
      <alignment horizontal="center" vertical="center" wrapText="1"/>
    </xf>
    <xf numFmtId="49" fontId="8" fillId="2" borderId="84" xfId="8" applyNumberFormat="1" applyFont="1" applyFill="1" applyBorder="1" applyAlignment="1">
      <alignment horizontal="center" wrapText="1"/>
    </xf>
    <xf numFmtId="0" fontId="3" fillId="0" borderId="22" xfId="8" applyNumberFormat="1" applyFont="1" applyFill="1" applyBorder="1" applyAlignment="1">
      <alignment horizontal="center" wrapText="1"/>
    </xf>
    <xf numFmtId="0" fontId="8" fillId="2" borderId="96" xfId="8" applyFont="1" applyFill="1" applyBorder="1" applyAlignment="1">
      <alignment horizontal="center" vertical="center" wrapText="1"/>
    </xf>
    <xf numFmtId="0" fontId="8" fillId="2" borderId="83" xfId="8" applyFont="1" applyFill="1" applyBorder="1" applyAlignment="1">
      <alignment horizontal="center" vertical="center" wrapText="1"/>
    </xf>
    <xf numFmtId="49" fontId="8" fillId="2" borderId="0" xfId="8" applyNumberFormat="1" applyFont="1" applyFill="1" applyAlignment="1">
      <alignment horizontal="center" vertical="center" wrapText="1"/>
    </xf>
    <xf numFmtId="49" fontId="8" fillId="2" borderId="96" xfId="8" applyNumberFormat="1" applyFont="1" applyFill="1" applyBorder="1" applyAlignment="1">
      <alignment horizontal="center" vertical="center"/>
    </xf>
    <xf numFmtId="0" fontId="8" fillId="2" borderId="93" xfId="8" applyFont="1" applyFill="1" applyBorder="1" applyAlignment="1">
      <alignment horizontal="center" wrapText="1"/>
    </xf>
    <xf numFmtId="0" fontId="8" fillId="2" borderId="94" xfId="8" applyFont="1" applyFill="1" applyBorder="1" applyAlignment="1">
      <alignment horizontal="center" wrapText="1"/>
    </xf>
    <xf numFmtId="0" fontId="8" fillId="2" borderId="95" xfId="8" applyFont="1" applyFill="1" applyBorder="1" applyAlignment="1">
      <alignment horizontal="center" wrapText="1"/>
    </xf>
    <xf numFmtId="49" fontId="8" fillId="2" borderId="81" xfId="8" applyNumberFormat="1" applyFont="1" applyFill="1" applyBorder="1" applyAlignment="1">
      <alignment horizontal="center"/>
    </xf>
    <xf numFmtId="49" fontId="8" fillId="2" borderId="96" xfId="8" applyNumberFormat="1" applyFont="1" applyFill="1" applyBorder="1" applyAlignment="1">
      <alignment horizontal="center"/>
    </xf>
    <xf numFmtId="49" fontId="8" fillId="2" borderId="83" xfId="8" applyNumberFormat="1" applyFont="1" applyFill="1" applyBorder="1" applyAlignment="1">
      <alignment horizontal="center"/>
    </xf>
    <xf numFmtId="49" fontId="8" fillId="0" borderId="84" xfId="8" applyNumberFormat="1" applyFont="1" applyFill="1" applyBorder="1" applyAlignment="1">
      <alignment horizontal="center" vertical="center"/>
    </xf>
    <xf numFmtId="49" fontId="8" fillId="0" borderId="28" xfId="8" applyNumberFormat="1" applyFont="1" applyFill="1" applyBorder="1" applyAlignment="1">
      <alignment horizontal="center" vertical="center"/>
    </xf>
    <xf numFmtId="49" fontId="8" fillId="0" borderId="81" xfId="8" applyNumberFormat="1" applyFont="1" applyFill="1" applyBorder="1" applyAlignment="1">
      <alignment horizontal="center" vertical="center"/>
    </xf>
    <xf numFmtId="0" fontId="3" fillId="0" borderId="96" xfId="8" applyNumberFormat="1" applyFont="1" applyFill="1" applyBorder="1" applyAlignment="1">
      <alignment horizontal="center" vertical="center"/>
    </xf>
    <xf numFmtId="0" fontId="3" fillId="0" borderId="83" xfId="8" applyNumberFormat="1" applyFont="1" applyFill="1" applyBorder="1" applyAlignment="1">
      <alignment horizontal="center" vertical="center"/>
    </xf>
    <xf numFmtId="49" fontId="8" fillId="0" borderId="93" xfId="8" applyNumberFormat="1" applyFont="1" applyFill="1" applyBorder="1" applyAlignment="1">
      <alignment horizontal="center" vertical="center"/>
    </xf>
    <xf numFmtId="0" fontId="3" fillId="0" borderId="94" xfId="8" applyNumberFormat="1" applyFont="1" applyFill="1" applyBorder="1" applyAlignment="1">
      <alignment horizontal="center" vertical="center"/>
    </xf>
    <xf numFmtId="0" fontId="3" fillId="0" borderId="95" xfId="8" applyNumberFormat="1" applyFont="1" applyFill="1" applyBorder="1" applyAlignment="1">
      <alignment horizontal="center" vertical="center"/>
    </xf>
    <xf numFmtId="49" fontId="9" fillId="0" borderId="0" xfId="8" applyNumberFormat="1" applyFont="1" applyFill="1" applyBorder="1" applyAlignment="1">
      <alignment horizontal="left" wrapText="1"/>
    </xf>
    <xf numFmtId="49" fontId="8" fillId="3" borderId="20" xfId="0" applyNumberFormat="1" applyFont="1" applyFill="1" applyBorder="1" applyAlignment="1">
      <alignment horizontal="left" vertical="top" wrapText="1"/>
    </xf>
    <xf numFmtId="49" fontId="27" fillId="2" borderId="0" xfId="0" applyNumberFormat="1" applyFont="1" applyFill="1" applyAlignment="1">
      <alignment horizontal="left" wrapText="1"/>
    </xf>
    <xf numFmtId="0" fontId="27" fillId="2" borderId="0" xfId="0" applyFont="1" applyFill="1" applyAlignment="1">
      <alignment horizontal="left" wrapText="1"/>
    </xf>
    <xf numFmtId="49" fontId="27" fillId="2" borderId="0" xfId="0" applyNumberFormat="1" applyFont="1" applyFill="1" applyBorder="1" applyAlignment="1">
      <alignment horizontal="left" wrapText="1"/>
    </xf>
    <xf numFmtId="49" fontId="25" fillId="2" borderId="0" xfId="0" applyNumberFormat="1" applyFont="1" applyFill="1" applyAlignment="1">
      <alignment horizontal="left" wrapText="1"/>
    </xf>
    <xf numFmtId="49" fontId="8" fillId="2" borderId="50" xfId="0" applyNumberFormat="1" applyFont="1" applyFill="1" applyBorder="1" applyAlignment="1">
      <alignment horizontal="center" vertical="center" wrapText="1"/>
    </xf>
    <xf numFmtId="49" fontId="8" fillId="2" borderId="52" xfId="0" applyNumberFormat="1" applyFont="1" applyFill="1" applyBorder="1" applyAlignment="1">
      <alignment horizontal="center" vertical="center"/>
    </xf>
    <xf numFmtId="49" fontId="8" fillId="2" borderId="35" xfId="0" applyNumberFormat="1" applyFont="1" applyFill="1" applyBorder="1" applyAlignment="1">
      <alignment horizontal="center" vertical="center" wrapText="1"/>
    </xf>
    <xf numFmtId="49" fontId="8" fillId="2" borderId="35" xfId="0" applyNumberFormat="1" applyFont="1" applyFill="1" applyBorder="1" applyAlignment="1">
      <alignment horizontal="center" vertical="center"/>
    </xf>
    <xf numFmtId="0" fontId="8" fillId="2" borderId="35" xfId="0" applyFont="1" applyFill="1" applyBorder="1" applyAlignment="1">
      <alignment horizontal="center" vertical="center" wrapText="1"/>
    </xf>
    <xf numFmtId="0" fontId="8" fillId="2" borderId="63" xfId="0" applyFont="1" applyFill="1" applyBorder="1" applyAlignment="1">
      <alignment horizontal="center" vertical="center" wrapText="1"/>
    </xf>
    <xf numFmtId="0" fontId="8" fillId="2" borderId="52" xfId="0" applyFont="1" applyFill="1" applyBorder="1" applyAlignment="1">
      <alignment horizontal="center" vertical="center" wrapText="1"/>
    </xf>
    <xf numFmtId="0" fontId="8" fillId="2" borderId="50" xfId="0" applyFont="1" applyFill="1" applyBorder="1" applyAlignment="1">
      <alignment horizontal="center" vertical="center" wrapText="1"/>
    </xf>
    <xf numFmtId="49" fontId="8" fillId="3" borderId="0" xfId="0" applyNumberFormat="1" applyFont="1" applyFill="1" applyAlignment="1">
      <alignment horizontal="left" vertical="top" wrapText="1"/>
    </xf>
    <xf numFmtId="49" fontId="8" fillId="3" borderId="0" xfId="0" applyNumberFormat="1" applyFont="1" applyFill="1" applyAlignment="1">
      <alignment horizontal="left" vertical="top"/>
    </xf>
    <xf numFmtId="49" fontId="8" fillId="2" borderId="35" xfId="0" applyNumberFormat="1" applyFont="1" applyFill="1" applyBorder="1" applyAlignment="1">
      <alignment horizontal="left" vertical="center" wrapText="1"/>
    </xf>
    <xf numFmtId="49" fontId="8" fillId="2" borderId="35" xfId="0" applyNumberFormat="1" applyFont="1" applyFill="1" applyBorder="1" applyAlignment="1">
      <alignment vertical="center" wrapText="1"/>
    </xf>
    <xf numFmtId="49" fontId="8" fillId="2" borderId="35" xfId="0" applyNumberFormat="1" applyFont="1" applyFill="1" applyBorder="1" applyAlignment="1">
      <alignment vertical="center"/>
    </xf>
    <xf numFmtId="0" fontId="8" fillId="2" borderId="35" xfId="0" applyFont="1" applyFill="1" applyBorder="1" applyAlignment="1">
      <alignment vertical="center" wrapText="1"/>
    </xf>
    <xf numFmtId="0" fontId="13" fillId="0" borderId="65" xfId="0" applyFont="1" applyFill="1" applyBorder="1" applyAlignment="1">
      <alignment horizontal="center" vertical="center" wrapText="1"/>
    </xf>
    <xf numFmtId="0" fontId="12" fillId="0" borderId="65" xfId="0" applyNumberFormat="1" applyFont="1" applyFill="1" applyBorder="1" applyAlignment="1"/>
    <xf numFmtId="0" fontId="13" fillId="3" borderId="69" xfId="0" applyFont="1" applyFill="1" applyBorder="1" applyAlignment="1">
      <alignment horizontal="left" vertical="center" wrapText="1"/>
    </xf>
    <xf numFmtId="0" fontId="13" fillId="3" borderId="27" xfId="0" applyFont="1" applyFill="1" applyBorder="1" applyAlignment="1">
      <alignment horizontal="left" vertical="center" wrapText="1"/>
    </xf>
    <xf numFmtId="0" fontId="13" fillId="0" borderId="66" xfId="0" applyNumberFormat="1" applyFont="1" applyFill="1" applyBorder="1" applyAlignment="1">
      <alignment horizontal="center"/>
    </xf>
    <xf numFmtId="0" fontId="13" fillId="0" borderId="70" xfId="0" applyNumberFormat="1" applyFont="1" applyFill="1" applyBorder="1" applyAlignment="1">
      <alignment horizontal="center"/>
    </xf>
    <xf numFmtId="0" fontId="13" fillId="0" borderId="67" xfId="0" applyNumberFormat="1" applyFont="1" applyFill="1" applyBorder="1" applyAlignment="1">
      <alignment horizontal="center"/>
    </xf>
    <xf numFmtId="49" fontId="89" fillId="2" borderId="0" xfId="0" applyNumberFormat="1" applyFont="1" applyFill="1" applyBorder="1" applyAlignment="1">
      <alignment horizontal="left" wrapText="1"/>
    </xf>
    <xf numFmtId="0" fontId="89" fillId="0" borderId="0" xfId="0" applyFont="1" applyFill="1" applyAlignment="1">
      <alignment horizontal="left" vertical="top" wrapText="1"/>
    </xf>
    <xf numFmtId="49" fontId="88" fillId="2" borderId="0" xfId="0" applyNumberFormat="1" applyFont="1" applyFill="1" applyAlignment="1">
      <alignment horizontal="left" wrapText="1"/>
    </xf>
    <xf numFmtId="49" fontId="8" fillId="0" borderId="65" xfId="0" applyNumberFormat="1" applyFont="1" applyFill="1" applyBorder="1" applyAlignment="1">
      <alignment horizontal="left" wrapText="1"/>
    </xf>
    <xf numFmtId="49" fontId="8" fillId="2" borderId="65" xfId="0" applyNumberFormat="1" applyFont="1" applyFill="1" applyBorder="1" applyAlignment="1">
      <alignment horizontal="left" vertical="center" wrapText="1"/>
    </xf>
    <xf numFmtId="49" fontId="8" fillId="2" borderId="65" xfId="0" applyNumberFormat="1" applyFont="1" applyFill="1" applyBorder="1" applyAlignment="1">
      <alignment horizontal="left" vertical="center"/>
    </xf>
    <xf numFmtId="0" fontId="8" fillId="2" borderId="65" xfId="0" applyFont="1" applyFill="1" applyBorder="1" applyAlignment="1">
      <alignment horizontal="left" vertical="center" wrapText="1"/>
    </xf>
    <xf numFmtId="167" fontId="13" fillId="0" borderId="66" xfId="1" applyNumberFormat="1" applyFont="1" applyFill="1" applyBorder="1" applyAlignment="1">
      <alignment horizontal="center" vertical="center"/>
    </xf>
    <xf numFmtId="167" fontId="13" fillId="0" borderId="98" xfId="1" applyNumberFormat="1" applyFont="1" applyFill="1" applyBorder="1" applyAlignment="1">
      <alignment horizontal="center" vertical="center"/>
    </xf>
    <xf numFmtId="0" fontId="25" fillId="0" borderId="0" xfId="32" applyFont="1" applyFill="1" applyBorder="1" applyAlignment="1">
      <alignment vertical="center" wrapText="1"/>
    </xf>
    <xf numFmtId="0" fontId="25" fillId="0" borderId="0" xfId="8" applyFont="1" applyFill="1" applyAlignment="1">
      <alignment vertical="center" wrapText="1"/>
    </xf>
    <xf numFmtId="0" fontId="25" fillId="0" borderId="0" xfId="8" applyFont="1" applyFill="1" applyAlignment="1">
      <alignment vertical="center"/>
    </xf>
    <xf numFmtId="0" fontId="13" fillId="0" borderId="35" xfId="32" applyFont="1" applyFill="1" applyBorder="1" applyAlignment="1">
      <alignment vertical="center" wrapText="1"/>
    </xf>
    <xf numFmtId="0" fontId="13" fillId="0" borderId="35" xfId="32" applyFont="1" applyFill="1" applyBorder="1" applyAlignment="1">
      <alignment vertical="center"/>
    </xf>
    <xf numFmtId="49" fontId="13" fillId="0" borderId="45" xfId="8" applyNumberFormat="1" applyFont="1" applyFill="1" applyBorder="1" applyAlignment="1">
      <alignment vertical="center" wrapText="1"/>
    </xf>
    <xf numFmtId="0" fontId="90" fillId="0" borderId="0" xfId="0" applyNumberFormat="1" applyFont="1" applyFill="1" applyBorder="1" applyAlignment="1">
      <alignment horizontal="left" wrapText="1"/>
    </xf>
    <xf numFmtId="49" fontId="19" fillId="0" borderId="66" xfId="0" applyNumberFormat="1" applyFont="1" applyFill="1" applyBorder="1" applyAlignment="1">
      <alignment horizontal="left" vertical="center" wrapText="1"/>
    </xf>
    <xf numFmtId="49" fontId="19" fillId="0" borderId="70" xfId="0" applyNumberFormat="1" applyFont="1" applyFill="1" applyBorder="1" applyAlignment="1">
      <alignment horizontal="left" vertical="center" wrapText="1"/>
    </xf>
    <xf numFmtId="49" fontId="19" fillId="0" borderId="67" xfId="0" applyNumberFormat="1" applyFont="1" applyFill="1" applyBorder="1" applyAlignment="1">
      <alignment horizontal="left" vertical="center" wrapText="1"/>
    </xf>
    <xf numFmtId="49" fontId="19" fillId="0" borderId="65" xfId="0" applyNumberFormat="1" applyFont="1" applyFill="1" applyBorder="1" applyAlignment="1">
      <alignment horizontal="center" vertical="center" wrapText="1"/>
    </xf>
    <xf numFmtId="49" fontId="19" fillId="0" borderId="65" xfId="0" applyNumberFormat="1" applyFont="1" applyFill="1" applyBorder="1" applyAlignment="1">
      <alignment horizontal="center" vertical="center"/>
    </xf>
    <xf numFmtId="17" fontId="93" fillId="0" borderId="100" xfId="0" applyNumberFormat="1" applyFont="1" applyFill="1" applyBorder="1" applyAlignment="1">
      <alignment horizontal="center" vertical="center"/>
    </xf>
    <xf numFmtId="0" fontId="12" fillId="0" borderId="101" xfId="0" applyFont="1" applyFill="1" applyBorder="1" applyAlignment="1">
      <alignment horizontal="center" vertical="center"/>
    </xf>
    <xf numFmtId="0" fontId="12" fillId="0" borderId="102" xfId="0" applyFont="1" applyFill="1" applyBorder="1" applyAlignment="1">
      <alignment horizontal="center" vertical="center"/>
    </xf>
    <xf numFmtId="167" fontId="11" fillId="0" borderId="108" xfId="1" applyNumberFormat="1" applyFont="1" applyBorder="1" applyAlignment="1">
      <alignment horizontal="center" vertical="center" wrapText="1"/>
    </xf>
    <xf numFmtId="167" fontId="11" fillId="0" borderId="10" xfId="1" applyNumberFormat="1" applyFont="1" applyBorder="1" applyAlignment="1">
      <alignment horizontal="center" vertical="center" wrapText="1"/>
    </xf>
    <xf numFmtId="167" fontId="11" fillId="0" borderId="68" xfId="1" applyNumberFormat="1" applyFont="1" applyBorder="1" applyAlignment="1">
      <alignment horizontal="center" vertical="center" wrapText="1"/>
    </xf>
    <xf numFmtId="167" fontId="11" fillId="0" borderId="108" xfId="1" applyNumberFormat="1" applyFont="1" applyBorder="1" applyAlignment="1">
      <alignment horizontal="center" vertical="center"/>
    </xf>
    <xf numFmtId="167" fontId="11" fillId="0" borderId="10" xfId="1" applyNumberFormat="1" applyFont="1" applyBorder="1" applyAlignment="1">
      <alignment horizontal="center" vertical="center"/>
    </xf>
    <xf numFmtId="167" fontId="11" fillId="0" borderId="68" xfId="1" applyNumberFormat="1" applyFont="1" applyBorder="1" applyAlignment="1">
      <alignment horizontal="center" vertical="center"/>
    </xf>
    <xf numFmtId="17" fontId="13" fillId="0" borderId="35" xfId="1" applyNumberFormat="1" applyFont="1" applyFill="1" applyBorder="1" applyAlignment="1">
      <alignment horizontal="center" vertical="center"/>
    </xf>
    <xf numFmtId="49" fontId="93" fillId="0" borderId="103" xfId="0" applyNumberFormat="1" applyFont="1" applyFill="1" applyBorder="1" applyAlignment="1">
      <alignment horizontal="center" vertical="center"/>
    </xf>
    <xf numFmtId="49" fontId="93" fillId="0" borderId="101" xfId="0" applyNumberFormat="1" applyFont="1" applyFill="1" applyBorder="1" applyAlignment="1">
      <alignment horizontal="center" vertical="center"/>
    </xf>
    <xf numFmtId="49" fontId="93" fillId="0" borderId="104" xfId="0" applyNumberFormat="1" applyFont="1" applyFill="1" applyBorder="1" applyAlignment="1">
      <alignment horizontal="center" vertical="center"/>
    </xf>
    <xf numFmtId="49" fontId="8" fillId="0" borderId="69" xfId="0" applyNumberFormat="1" applyFont="1" applyFill="1" applyBorder="1" applyAlignment="1">
      <alignment horizontal="center" vertical="center"/>
    </xf>
    <xf numFmtId="49" fontId="8" fillId="0" borderId="45" xfId="0" applyNumberFormat="1" applyFont="1" applyFill="1" applyBorder="1" applyAlignment="1">
      <alignment horizontal="center" vertical="center"/>
    </xf>
    <xf numFmtId="49" fontId="8" fillId="0" borderId="31" xfId="0" applyNumberFormat="1" applyFont="1" applyFill="1" applyBorder="1" applyAlignment="1">
      <alignment horizontal="center" vertical="center"/>
    </xf>
    <xf numFmtId="0" fontId="9" fillId="2" borderId="0" xfId="8" applyFont="1" applyFill="1" applyBorder="1" applyAlignment="1">
      <alignment horizontal="left" wrapText="1"/>
    </xf>
    <xf numFmtId="0" fontId="3" fillId="0" borderId="0" xfId="8" applyNumberFormat="1" applyFont="1" applyFill="1" applyBorder="1" applyAlignment="1"/>
    <xf numFmtId="0" fontId="38" fillId="3" borderId="43" xfId="20" applyNumberFormat="1" applyFont="1" applyFill="1" applyBorder="1" applyAlignment="1">
      <alignment horizontal="left"/>
    </xf>
    <xf numFmtId="0" fontId="38" fillId="3" borderId="0" xfId="20" applyNumberFormat="1" applyFont="1" applyFill="1" applyBorder="1" applyAlignment="1">
      <alignment horizontal="left"/>
    </xf>
    <xf numFmtId="0" fontId="15" fillId="3" borderId="45" xfId="20" applyNumberFormat="1" applyFont="1" applyFill="1" applyBorder="1" applyAlignment="1">
      <alignment horizontal="left" vertical="top"/>
    </xf>
    <xf numFmtId="0" fontId="35" fillId="3" borderId="35" xfId="20" applyNumberFormat="1" applyFont="1" applyFill="1" applyBorder="1" applyAlignment="1">
      <alignment horizontal="center" vertical="center"/>
    </xf>
    <xf numFmtId="0" fontId="15" fillId="3" borderId="35" xfId="20" applyNumberFormat="1" applyFont="1" applyFill="1" applyBorder="1" applyAlignment="1">
      <alignment horizontal="center" vertical="center"/>
    </xf>
    <xf numFmtId="173" fontId="26" fillId="3" borderId="109" xfId="20" applyFont="1" applyFill="1" applyBorder="1" applyAlignment="1">
      <alignment horizontal="left"/>
    </xf>
    <xf numFmtId="173" fontId="26" fillId="3" borderId="0" xfId="20" applyFont="1" applyFill="1" applyAlignment="1">
      <alignment horizontal="left" vertical="top"/>
    </xf>
    <xf numFmtId="0" fontId="42" fillId="3" borderId="0" xfId="20" applyNumberFormat="1" applyFont="1" applyFill="1" applyBorder="1" applyAlignment="1">
      <alignment horizontal="left" vertical="top"/>
    </xf>
    <xf numFmtId="49" fontId="93" fillId="2" borderId="110" xfId="21" applyNumberFormat="1" applyFont="1" applyFill="1" applyBorder="1" applyAlignment="1">
      <alignment horizontal="center" vertical="center" wrapText="1"/>
    </xf>
    <xf numFmtId="49" fontId="93" fillId="2" borderId="22" xfId="21" applyNumberFormat="1" applyFont="1" applyFill="1" applyBorder="1" applyAlignment="1">
      <alignment horizontal="center" vertical="center" wrapText="1"/>
    </xf>
    <xf numFmtId="0" fontId="35" fillId="7" borderId="66" xfId="20" applyNumberFormat="1" applyFont="1" applyFill="1" applyBorder="1" applyAlignment="1">
      <alignment horizontal="center" vertical="top"/>
    </xf>
    <xf numFmtId="0" fontId="35" fillId="7" borderId="98" xfId="20" applyNumberFormat="1" applyFont="1" applyFill="1" applyBorder="1" applyAlignment="1">
      <alignment horizontal="center" vertical="top"/>
    </xf>
    <xf numFmtId="0" fontId="35" fillId="7" borderId="99" xfId="20" applyNumberFormat="1" applyFont="1" applyFill="1" applyBorder="1" applyAlignment="1">
      <alignment horizontal="center" vertical="top"/>
    </xf>
    <xf numFmtId="0" fontId="47" fillId="0" borderId="27" xfId="20" applyNumberFormat="1" applyFont="1" applyBorder="1" applyAlignment="1">
      <alignment horizontal="center"/>
    </xf>
    <xf numFmtId="0" fontId="42" fillId="3" borderId="27" xfId="20" applyNumberFormat="1" applyFont="1" applyFill="1" applyBorder="1" applyAlignment="1">
      <alignment horizontal="left" wrapText="1"/>
    </xf>
    <xf numFmtId="0" fontId="43" fillId="3" borderId="35" xfId="20" applyNumberFormat="1" applyFont="1" applyFill="1" applyBorder="1" applyAlignment="1">
      <alignment horizontal="center" vertical="center"/>
    </xf>
    <xf numFmtId="49" fontId="8" fillId="2" borderId="39" xfId="21" applyNumberFormat="1" applyFont="1" applyFill="1" applyBorder="1" applyAlignment="1">
      <alignment horizontal="center" vertical="center" wrapText="1"/>
    </xf>
    <xf numFmtId="49" fontId="8" fillId="2" borderId="22" xfId="21" applyNumberFormat="1" applyFont="1" applyFill="1" applyBorder="1" applyAlignment="1">
      <alignment horizontal="center" vertical="center"/>
    </xf>
    <xf numFmtId="0" fontId="35" fillId="9" borderId="10" xfId="20" applyNumberFormat="1" applyFont="1" applyFill="1" applyBorder="1" applyAlignment="1">
      <alignment horizontal="center" vertical="center" wrapText="1"/>
    </xf>
    <xf numFmtId="0" fontId="35" fillId="9" borderId="68" xfId="20" applyNumberFormat="1" applyFont="1" applyFill="1" applyBorder="1" applyAlignment="1">
      <alignment horizontal="center" vertical="center" wrapText="1"/>
    </xf>
    <xf numFmtId="0" fontId="35" fillId="9" borderId="69" xfId="20" applyNumberFormat="1" applyFont="1" applyFill="1" applyBorder="1" applyAlignment="1">
      <alignment horizontal="center" vertical="center" wrapText="1"/>
    </xf>
    <xf numFmtId="0" fontId="35" fillId="9" borderId="31" xfId="20" applyNumberFormat="1" applyFont="1" applyFill="1" applyBorder="1" applyAlignment="1">
      <alignment horizontal="center" vertical="center" wrapText="1"/>
    </xf>
    <xf numFmtId="0" fontId="39" fillId="9" borderId="97" xfId="25" applyFont="1" applyFill="1" applyBorder="1" applyAlignment="1">
      <alignment horizontal="center" vertical="center" wrapText="1"/>
    </xf>
    <xf numFmtId="0" fontId="39" fillId="9" borderId="10" xfId="25" applyFont="1" applyFill="1" applyBorder="1" applyAlignment="1">
      <alignment horizontal="center" vertical="center" wrapText="1"/>
    </xf>
    <xf numFmtId="0" fontId="39" fillId="9" borderId="68" xfId="25" applyFont="1" applyFill="1" applyBorder="1" applyAlignment="1">
      <alignment horizontal="center" vertical="center" wrapText="1"/>
    </xf>
    <xf numFmtId="173" fontId="39" fillId="9" borderId="87" xfId="20" applyFont="1" applyFill="1" applyBorder="1" applyAlignment="1">
      <alignment horizontal="center" vertical="center" wrapText="1"/>
    </xf>
    <xf numFmtId="173" fontId="39" fillId="9" borderId="98" xfId="20" applyFont="1" applyFill="1" applyBorder="1" applyAlignment="1">
      <alignment horizontal="center" vertical="center" wrapText="1"/>
    </xf>
    <xf numFmtId="173" fontId="39" fillId="9" borderId="99" xfId="20" applyFont="1" applyFill="1" applyBorder="1" applyAlignment="1">
      <alignment horizontal="center" vertical="center" wrapText="1"/>
    </xf>
    <xf numFmtId="173" fontId="39" fillId="9" borderId="35" xfId="20" applyFont="1" applyFill="1" applyBorder="1" applyAlignment="1">
      <alignment horizontal="center" vertical="center" wrapText="1"/>
    </xf>
    <xf numFmtId="0" fontId="35" fillId="9" borderId="35" xfId="20" applyNumberFormat="1" applyFont="1" applyFill="1" applyBorder="1" applyAlignment="1">
      <alignment horizontal="center" vertical="center" wrapText="1"/>
    </xf>
    <xf numFmtId="0" fontId="39" fillId="9" borderId="87" xfId="25" applyFont="1" applyFill="1" applyBorder="1" applyAlignment="1">
      <alignment horizontal="center" vertical="center"/>
    </xf>
    <xf numFmtId="0" fontId="39" fillId="9" borderId="99" xfId="25" applyFont="1" applyFill="1" applyBorder="1" applyAlignment="1">
      <alignment horizontal="center" vertical="center"/>
    </xf>
    <xf numFmtId="0" fontId="35" fillId="9" borderId="97" xfId="20" applyNumberFormat="1" applyFont="1" applyFill="1" applyBorder="1" applyAlignment="1">
      <alignment horizontal="center" vertical="center" wrapText="1"/>
    </xf>
    <xf numFmtId="0" fontId="39" fillId="9" borderId="87" xfId="25" applyFont="1" applyFill="1" applyBorder="1" applyAlignment="1">
      <alignment horizontal="center" vertical="center" wrapText="1"/>
    </xf>
    <xf numFmtId="0" fontId="39" fillId="9" borderId="99" xfId="25" applyFont="1" applyFill="1" applyBorder="1" applyAlignment="1">
      <alignment horizontal="center" vertical="center" wrapText="1"/>
    </xf>
    <xf numFmtId="0" fontId="35" fillId="9" borderId="87" xfId="20" applyNumberFormat="1" applyFont="1" applyFill="1" applyBorder="1" applyAlignment="1">
      <alignment horizontal="center" vertical="center" wrapText="1"/>
    </xf>
    <xf numFmtId="0" fontId="35" fillId="9" borderId="99" xfId="20" applyNumberFormat="1" applyFont="1" applyFill="1" applyBorder="1" applyAlignment="1">
      <alignment horizontal="center" vertical="center" wrapText="1"/>
    </xf>
    <xf numFmtId="0" fontId="43" fillId="0" borderId="27" xfId="20" applyNumberFormat="1" applyFont="1" applyFill="1" applyBorder="1" applyAlignment="1">
      <alignment horizontal="left" vertical="top"/>
    </xf>
    <xf numFmtId="0" fontId="47" fillId="9" borderId="87" xfId="20" applyNumberFormat="1" applyFont="1" applyFill="1" applyBorder="1" applyAlignment="1">
      <alignment horizontal="center"/>
    </xf>
    <xf numFmtId="0" fontId="47" fillId="9" borderId="98" xfId="20" applyNumberFormat="1" applyFont="1" applyFill="1" applyBorder="1" applyAlignment="1">
      <alignment horizontal="center"/>
    </xf>
    <xf numFmtId="0" fontId="47" fillId="9" borderId="99" xfId="20" applyNumberFormat="1" applyFont="1" applyFill="1" applyBorder="1" applyAlignment="1">
      <alignment horizontal="center"/>
    </xf>
    <xf numFmtId="0" fontId="48" fillId="9" borderId="87" xfId="25" applyFont="1" applyFill="1" applyBorder="1" applyAlignment="1">
      <alignment horizontal="center" vertical="center" wrapText="1"/>
    </xf>
    <xf numFmtId="0" fontId="48" fillId="9" borderId="99" xfId="25" applyFont="1" applyFill="1" applyBorder="1" applyAlignment="1">
      <alignment horizontal="center" vertical="center" wrapText="1"/>
    </xf>
    <xf numFmtId="3" fontId="39" fillId="3" borderId="108" xfId="24" applyNumberFormat="1" applyFont="1" applyFill="1" applyBorder="1" applyAlignment="1">
      <alignment horizontal="center" vertical="center" wrapText="1"/>
    </xf>
    <xf numFmtId="3" fontId="39" fillId="3" borderId="68" xfId="24" applyNumberFormat="1" applyFont="1" applyFill="1" applyBorder="1" applyAlignment="1">
      <alignment horizontal="center" vertical="center" wrapText="1"/>
    </xf>
    <xf numFmtId="0" fontId="35" fillId="9" borderId="108" xfId="20" applyNumberFormat="1" applyFont="1" applyFill="1" applyBorder="1" applyAlignment="1">
      <alignment horizontal="center" vertical="center" wrapText="1"/>
    </xf>
    <xf numFmtId="0" fontId="35" fillId="9" borderId="66" xfId="20" applyNumberFormat="1" applyFont="1" applyFill="1" applyBorder="1" applyAlignment="1">
      <alignment horizontal="center" vertical="center"/>
    </xf>
    <xf numFmtId="0" fontId="35" fillId="9" borderId="99" xfId="20" applyNumberFormat="1" applyFont="1" applyFill="1" applyBorder="1" applyAlignment="1">
      <alignment horizontal="center" vertical="center"/>
    </xf>
    <xf numFmtId="0" fontId="47" fillId="0" borderId="66" xfId="20" applyNumberFormat="1" applyFont="1" applyBorder="1" applyAlignment="1">
      <alignment horizontal="center"/>
    </xf>
    <xf numFmtId="0" fontId="47" fillId="0" borderId="98" xfId="20" applyNumberFormat="1" applyFont="1" applyBorder="1" applyAlignment="1">
      <alignment horizontal="center"/>
    </xf>
    <xf numFmtId="0" fontId="47" fillId="0" borderId="99" xfId="20" applyNumberFormat="1" applyFont="1" applyBorder="1" applyAlignment="1">
      <alignment horizontal="center"/>
    </xf>
    <xf numFmtId="0" fontId="39" fillId="9" borderId="108" xfId="25" applyFont="1" applyFill="1" applyBorder="1" applyAlignment="1">
      <alignment horizontal="center" vertical="center" wrapText="1"/>
    </xf>
    <xf numFmtId="0" fontId="39" fillId="9" borderId="35" xfId="0" applyFont="1" applyFill="1" applyBorder="1" applyAlignment="1">
      <alignment horizontal="center" vertical="center" wrapText="1"/>
    </xf>
    <xf numFmtId="173" fontId="39" fillId="9" borderId="66" xfId="20" applyFont="1" applyFill="1" applyBorder="1" applyAlignment="1">
      <alignment horizontal="center" vertical="center" wrapText="1"/>
    </xf>
    <xf numFmtId="0" fontId="39" fillId="9" borderId="35" xfId="25" applyFont="1" applyFill="1" applyBorder="1" applyAlignment="1">
      <alignment horizontal="center" vertical="center"/>
    </xf>
    <xf numFmtId="0" fontId="50" fillId="3" borderId="98" xfId="20" applyNumberFormat="1" applyFont="1" applyFill="1" applyBorder="1" applyAlignment="1">
      <alignment horizontal="center" vertical="center"/>
    </xf>
    <xf numFmtId="0" fontId="47" fillId="9" borderId="35" xfId="20" applyNumberFormat="1" applyFont="1" applyFill="1" applyBorder="1" applyAlignment="1">
      <alignment horizontal="center" vertical="center" wrapText="1"/>
    </xf>
    <xf numFmtId="0" fontId="47" fillId="9" borderId="97" xfId="20" applyNumberFormat="1" applyFont="1" applyFill="1" applyBorder="1" applyAlignment="1">
      <alignment horizontal="center" vertical="center" wrapText="1"/>
    </xf>
    <xf numFmtId="0" fontId="47" fillId="9" borderId="68" xfId="20" applyNumberFormat="1" applyFont="1" applyFill="1" applyBorder="1" applyAlignment="1">
      <alignment horizontal="center" vertical="center" wrapText="1"/>
    </xf>
    <xf numFmtId="0" fontId="47" fillId="9" borderId="87" xfId="20" applyNumberFormat="1" applyFont="1" applyFill="1" applyBorder="1" applyAlignment="1">
      <alignment horizontal="center" vertical="center" wrapText="1"/>
    </xf>
    <xf numFmtId="0" fontId="47" fillId="9" borderId="99" xfId="20" applyNumberFormat="1" applyFont="1" applyFill="1" applyBorder="1" applyAlignment="1">
      <alignment horizontal="center" vertical="center" wrapText="1"/>
    </xf>
    <xf numFmtId="0" fontId="56" fillId="0" borderId="69" xfId="20" applyNumberFormat="1" applyFont="1" applyBorder="1" applyAlignment="1">
      <alignment horizontal="center"/>
    </xf>
    <xf numFmtId="0" fontId="56" fillId="0" borderId="27" xfId="20" applyNumberFormat="1" applyFont="1" applyBorder="1" applyAlignment="1">
      <alignment horizontal="center"/>
    </xf>
    <xf numFmtId="0" fontId="53" fillId="9" borderId="97" xfId="25" applyFont="1" applyFill="1" applyBorder="1" applyAlignment="1">
      <alignment horizontal="center" vertical="center" wrapText="1"/>
    </xf>
    <xf numFmtId="0" fontId="53" fillId="9" borderId="10" xfId="25" applyFont="1" applyFill="1" applyBorder="1" applyAlignment="1">
      <alignment horizontal="center" vertical="center" wrapText="1"/>
    </xf>
    <xf numFmtId="0" fontId="53" fillId="9" borderId="68" xfId="25" applyFont="1" applyFill="1" applyBorder="1" applyAlignment="1">
      <alignment horizontal="center" vertical="center" wrapText="1"/>
    </xf>
    <xf numFmtId="173" fontId="53" fillId="9" borderId="87" xfId="20" applyFont="1" applyFill="1" applyBorder="1" applyAlignment="1">
      <alignment horizontal="center" vertical="center" wrapText="1"/>
    </xf>
    <xf numFmtId="173" fontId="53" fillId="9" borderId="98" xfId="20" applyFont="1" applyFill="1" applyBorder="1" applyAlignment="1">
      <alignment horizontal="center" vertical="center" wrapText="1"/>
    </xf>
    <xf numFmtId="173" fontId="53" fillId="9" borderId="99" xfId="20" applyFont="1" applyFill="1" applyBorder="1" applyAlignment="1">
      <alignment horizontal="center" vertical="center" wrapText="1"/>
    </xf>
    <xf numFmtId="0" fontId="53" fillId="9" borderId="35" xfId="0" applyFont="1" applyFill="1" applyBorder="1" applyAlignment="1">
      <alignment horizontal="center" vertical="center" wrapText="1"/>
    </xf>
    <xf numFmtId="0" fontId="53" fillId="9" borderId="87" xfId="25" applyFont="1" applyFill="1" applyBorder="1" applyAlignment="1">
      <alignment horizontal="center" vertical="center"/>
    </xf>
    <xf numFmtId="0" fontId="53" fillId="9" borderId="99" xfId="25" applyFont="1" applyFill="1" applyBorder="1" applyAlignment="1">
      <alignment horizontal="center" vertical="center"/>
    </xf>
    <xf numFmtId="0" fontId="53" fillId="9" borderId="35" xfId="25" applyFont="1" applyFill="1" applyBorder="1" applyAlignment="1">
      <alignment horizontal="center" vertical="center"/>
    </xf>
    <xf numFmtId="168" fontId="6" fillId="0" borderId="87" xfId="20" applyNumberFormat="1" applyFont="1" applyFill="1" applyBorder="1" applyAlignment="1">
      <alignment horizontal="left" vertical="top" wrapText="1"/>
    </xf>
    <xf numFmtId="168" fontId="6" fillId="0" borderId="98" xfId="20" applyNumberFormat="1" applyFont="1" applyFill="1" applyBorder="1" applyAlignment="1">
      <alignment horizontal="left" vertical="top" wrapText="1"/>
    </xf>
    <xf numFmtId="168" fontId="6" fillId="0" borderId="10" xfId="20" applyNumberFormat="1" applyFont="1" applyFill="1" applyBorder="1" applyAlignment="1">
      <alignment horizontal="left" vertical="center" wrapText="1"/>
    </xf>
    <xf numFmtId="168" fontId="6" fillId="0" borderId="35" xfId="20" applyNumberFormat="1" applyFont="1" applyFill="1" applyBorder="1" applyAlignment="1">
      <alignment horizontal="left" vertical="center" wrapText="1"/>
    </xf>
    <xf numFmtId="168" fontId="6" fillId="0" borderId="87" xfId="20" applyNumberFormat="1" applyFont="1" applyFill="1" applyBorder="1" applyAlignment="1">
      <alignment horizontal="left" vertical="top"/>
    </xf>
    <xf numFmtId="168" fontId="6" fillId="0" borderId="98" xfId="20" applyNumberFormat="1" applyFont="1" applyFill="1" applyBorder="1" applyAlignment="1">
      <alignment horizontal="left" vertical="top"/>
    </xf>
    <xf numFmtId="173" fontId="47" fillId="0" borderId="69" xfId="20" applyFont="1" applyFill="1" applyBorder="1" applyAlignment="1">
      <alignment horizontal="left" vertical="top"/>
    </xf>
    <xf numFmtId="173" fontId="47" fillId="0" borderId="27" xfId="20" applyFont="1" applyFill="1" applyBorder="1" applyAlignment="1">
      <alignment horizontal="left" vertical="top"/>
    </xf>
    <xf numFmtId="173" fontId="47" fillId="3" borderId="87" xfId="20" applyFont="1" applyFill="1" applyBorder="1" applyAlignment="1">
      <alignment horizontal="center"/>
    </xf>
    <xf numFmtId="173" fontId="47" fillId="3" borderId="98" xfId="20" applyFont="1" applyFill="1" applyBorder="1" applyAlignment="1">
      <alignment horizontal="center"/>
    </xf>
    <xf numFmtId="173" fontId="47" fillId="0" borderId="87" xfId="20" applyFont="1" applyFill="1" applyBorder="1" applyAlignment="1">
      <alignment horizontal="center"/>
    </xf>
    <xf numFmtId="173" fontId="47" fillId="0" borderId="98" xfId="20" applyFont="1" applyFill="1" applyBorder="1" applyAlignment="1">
      <alignment horizontal="center"/>
    </xf>
    <xf numFmtId="0" fontId="15" fillId="0" borderId="45" xfId="20" applyNumberFormat="1" applyFont="1" applyFill="1" applyBorder="1" applyAlignment="1">
      <alignment horizontal="left" vertical="top"/>
    </xf>
    <xf numFmtId="0" fontId="58" fillId="9" borderId="108" xfId="20" applyNumberFormat="1" applyFont="1" applyFill="1" applyBorder="1" applyAlignment="1">
      <alignment horizontal="center" vertical="center" wrapText="1"/>
    </xf>
    <xf numFmtId="0" fontId="58" fillId="9" borderId="68" xfId="20" applyNumberFormat="1" applyFont="1" applyFill="1" applyBorder="1" applyAlignment="1">
      <alignment horizontal="center" vertical="center" wrapText="1"/>
    </xf>
    <xf numFmtId="0" fontId="35" fillId="9" borderId="66" xfId="20" applyNumberFormat="1" applyFont="1" applyFill="1" applyBorder="1" applyAlignment="1">
      <alignment horizontal="center" vertical="center" wrapText="1"/>
    </xf>
    <xf numFmtId="0" fontId="35" fillId="9" borderId="98" xfId="20" applyNumberFormat="1" applyFont="1" applyFill="1" applyBorder="1" applyAlignment="1">
      <alignment horizontal="center" vertical="center" wrapText="1"/>
    </xf>
    <xf numFmtId="173" fontId="25" fillId="0" borderId="108" xfId="20" applyFont="1" applyFill="1" applyBorder="1" applyAlignment="1">
      <alignment horizontal="center" vertical="center" wrapText="1"/>
    </xf>
    <xf numFmtId="173" fontId="25" fillId="0" borderId="10" xfId="20" applyFont="1" applyFill="1" applyBorder="1" applyAlignment="1">
      <alignment horizontal="center" vertical="center" wrapText="1"/>
    </xf>
    <xf numFmtId="173" fontId="25" fillId="0" borderId="68" xfId="20" applyFont="1" applyFill="1" applyBorder="1" applyAlignment="1">
      <alignment horizontal="center" vertical="center" wrapText="1"/>
    </xf>
    <xf numFmtId="196" fontId="25" fillId="0" borderId="108" xfId="20" applyNumberFormat="1" applyFont="1" applyFill="1" applyBorder="1" applyAlignment="1">
      <alignment horizontal="center" vertical="center" wrapText="1"/>
    </xf>
    <xf numFmtId="196" fontId="25" fillId="0" borderId="10" xfId="20" applyNumberFormat="1" applyFont="1" applyFill="1" applyBorder="1" applyAlignment="1">
      <alignment horizontal="center" vertical="center" wrapText="1"/>
    </xf>
    <xf numFmtId="196" fontId="25" fillId="0" borderId="68" xfId="20" applyNumberFormat="1" applyFont="1" applyFill="1" applyBorder="1" applyAlignment="1">
      <alignment horizontal="center" vertical="center" wrapText="1"/>
    </xf>
    <xf numFmtId="173" fontId="38" fillId="0" borderId="45" xfId="20" applyFont="1" applyFill="1" applyBorder="1" applyAlignment="1">
      <alignment horizontal="left" vertical="center"/>
    </xf>
    <xf numFmtId="173" fontId="70" fillId="0" borderId="10" xfId="20" applyFont="1" applyFill="1" applyBorder="1" applyAlignment="1">
      <alignment horizontal="center" vertical="center" wrapText="1"/>
    </xf>
    <xf numFmtId="173" fontId="70" fillId="0" borderId="68" xfId="20" applyFont="1" applyFill="1" applyBorder="1" applyAlignment="1">
      <alignment horizontal="center" vertical="center" wrapText="1"/>
    </xf>
    <xf numFmtId="196" fontId="70" fillId="0" borderId="108" xfId="20" applyNumberFormat="1" applyFont="1" applyFill="1" applyBorder="1" applyAlignment="1">
      <alignment horizontal="center" vertical="center" wrapText="1"/>
    </xf>
    <xf numFmtId="196" fontId="70" fillId="0" borderId="68" xfId="20" applyNumberFormat="1" applyFont="1" applyFill="1" applyBorder="1" applyAlignment="1">
      <alignment horizontal="center" vertical="center" wrapText="1"/>
    </xf>
    <xf numFmtId="196" fontId="70" fillId="0" borderId="10" xfId="20" applyNumberFormat="1" applyFont="1" applyFill="1" applyBorder="1" applyAlignment="1">
      <alignment horizontal="center" vertical="center" wrapText="1"/>
    </xf>
    <xf numFmtId="173" fontId="70" fillId="0" borderId="108" xfId="20" applyFont="1" applyFill="1" applyBorder="1" applyAlignment="1">
      <alignment horizontal="center" vertical="center" wrapText="1"/>
    </xf>
    <xf numFmtId="173" fontId="49" fillId="3" borderId="108" xfId="20" applyFont="1" applyFill="1" applyBorder="1" applyAlignment="1">
      <alignment horizontal="center" vertical="center" wrapText="1"/>
    </xf>
    <xf numFmtId="173" fontId="49" fillId="3" borderId="10" xfId="20" applyFont="1" applyFill="1" applyBorder="1" applyAlignment="1">
      <alignment horizontal="center" vertical="center" wrapText="1"/>
    </xf>
    <xf numFmtId="173" fontId="49" fillId="3" borderId="68" xfId="20" applyFont="1" applyFill="1" applyBorder="1" applyAlignment="1">
      <alignment horizontal="center" vertical="center" wrapText="1"/>
    </xf>
    <xf numFmtId="173" fontId="49" fillId="3" borderId="108" xfId="20" applyFont="1" applyFill="1" applyBorder="1" applyAlignment="1">
      <alignment horizontal="center" vertical="center"/>
    </xf>
    <xf numFmtId="173" fontId="49" fillId="3" borderId="68" xfId="20" applyFont="1" applyFill="1" applyBorder="1" applyAlignment="1">
      <alignment horizontal="center" vertical="center"/>
    </xf>
    <xf numFmtId="173" fontId="49" fillId="3" borderId="10" xfId="20" applyFont="1" applyFill="1" applyBorder="1" applyAlignment="1">
      <alignment horizontal="center" vertical="center"/>
    </xf>
    <xf numFmtId="0" fontId="15" fillId="3" borderId="45" xfId="0" applyNumberFormat="1" applyFont="1" applyFill="1" applyBorder="1" applyAlignment="1">
      <alignment horizontal="left" vertical="top"/>
    </xf>
    <xf numFmtId="3" fontId="84" fillId="0" borderId="35" xfId="0" applyNumberFormat="1" applyFont="1" applyBorder="1" applyAlignment="1">
      <alignment horizontal="right"/>
    </xf>
    <xf numFmtId="3" fontId="83" fillId="0" borderId="35" xfId="0" applyNumberFormat="1" applyFont="1" applyBorder="1" applyAlignment="1">
      <alignment horizontal="right"/>
    </xf>
  </cellXfs>
  <cellStyles count="53">
    <cellStyle name="Comma" xfId="1" builtinId="3"/>
    <cellStyle name="Comma 10 5" xfId="13"/>
    <cellStyle name="Comma 11" xfId="52"/>
    <cellStyle name="Comma 11 2" xfId="37"/>
    <cellStyle name="Comma 11 2 2" xfId="48"/>
    <cellStyle name="Comma 16" xfId="33"/>
    <cellStyle name="Comma 16 2" xfId="34"/>
    <cellStyle name="Comma 16 2 2" xfId="46"/>
    <cellStyle name="Comma 18" xfId="30"/>
    <cellStyle name="Comma 18 2" xfId="44"/>
    <cellStyle name="Comma 2" xfId="11"/>
    <cellStyle name="Comma 2 124" xfId="7"/>
    <cellStyle name="Comma 2 124 2" xfId="29"/>
    <cellStyle name="Comma 2 124 2 2" xfId="43"/>
    <cellStyle name="Comma 2 124 3" xfId="39"/>
    <cellStyle name="Comma 2 2" xfId="40"/>
    <cellStyle name="Comma 2 3 86" xfId="27"/>
    <cellStyle name="Comma 2 3 86 2" xfId="42"/>
    <cellStyle name="Comma 2 4" xfId="31"/>
    <cellStyle name="Comma 2 4 2" xfId="45"/>
    <cellStyle name="Comma 3" xfId="26"/>
    <cellStyle name="Comma 3 101" xfId="28"/>
    <cellStyle name="Comma 3 2" xfId="35"/>
    <cellStyle name="Comma 3 2 2" xfId="47"/>
    <cellStyle name="Comma 4" xfId="38"/>
    <cellStyle name="Comma 7" xfId="17"/>
    <cellStyle name="Comma 7 2" xfId="41"/>
    <cellStyle name="Hyperlink" xfId="36" builtinId="8"/>
    <cellStyle name="Indian Comma" xfId="24"/>
    <cellStyle name="Normal" xfId="0" builtinId="0"/>
    <cellStyle name="Normal 11" xfId="4"/>
    <cellStyle name="Normal 11 2" xfId="16"/>
    <cellStyle name="Normal 12 3 3" xfId="8"/>
    <cellStyle name="Normal 12 3 3 2" xfId="21"/>
    <cellStyle name="Normal 2" xfId="12"/>
    <cellStyle name="Normal 2 10" xfId="50"/>
    <cellStyle name="Normal 2 134" xfId="20"/>
    <cellStyle name="Normal 2 18 2" xfId="9"/>
    <cellStyle name="Normal 2 2" xfId="6"/>
    <cellStyle name="Normal 23 2" xfId="18"/>
    <cellStyle name="Normal 3" xfId="14"/>
    <cellStyle name="Normal 3 144" xfId="25"/>
    <cellStyle name="Normal 30" xfId="49"/>
    <cellStyle name="Normal 34 2" xfId="15"/>
    <cellStyle name="Normal 4" xfId="5"/>
    <cellStyle name="Normal 41" xfId="3"/>
    <cellStyle name="Normal 5 10" xfId="23"/>
    <cellStyle name="Normal 7" xfId="32"/>
    <cellStyle name="Normal 8" xfId="22"/>
    <cellStyle name="Normal_tables-oct" xfId="51"/>
    <cellStyle name="Normal_tables-oct 4" xfId="19"/>
    <cellStyle name="Percent" xfId="2" builtinId="5"/>
    <cellStyle name="Percent 2" xfId="1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5"/>
  <sheetViews>
    <sheetView zoomScaleNormal="100" workbookViewId="0">
      <selection activeCell="D8" sqref="D8"/>
    </sheetView>
  </sheetViews>
  <sheetFormatPr defaultRowHeight="15.75" x14ac:dyDescent="0.25"/>
  <cols>
    <col min="1" max="1" width="109.85546875" style="3" customWidth="1"/>
    <col min="2" max="16384" width="9.140625" style="1"/>
  </cols>
  <sheetData>
    <row r="1" spans="1:1" s="2" customFormat="1" ht="18.75" customHeight="1" x14ac:dyDescent="0.3">
      <c r="A1" s="609" t="s">
        <v>0</v>
      </c>
    </row>
    <row r="2" spans="1:1" s="2" customFormat="1" ht="18" customHeight="1" x14ac:dyDescent="0.25">
      <c r="A2" s="216" t="s">
        <v>1</v>
      </c>
    </row>
    <row r="3" spans="1:1" s="2" customFormat="1" ht="18" customHeight="1" x14ac:dyDescent="0.25">
      <c r="A3" s="216" t="s">
        <v>2</v>
      </c>
    </row>
    <row r="4" spans="1:1" s="2" customFormat="1" ht="18" customHeight="1" x14ac:dyDescent="0.25">
      <c r="A4" s="216" t="s">
        <v>3</v>
      </c>
    </row>
    <row r="5" spans="1:1" s="619" customFormat="1" ht="18" customHeight="1" x14ac:dyDescent="0.25">
      <c r="A5" s="216" t="s">
        <v>1215</v>
      </c>
    </row>
    <row r="6" spans="1:1" s="2" customFormat="1" ht="18" customHeight="1" x14ac:dyDescent="0.25">
      <c r="A6" s="216" t="s">
        <v>1199</v>
      </c>
    </row>
    <row r="7" spans="1:1" s="2" customFormat="1" ht="18" customHeight="1" x14ac:dyDescent="0.25">
      <c r="A7" s="511" t="s">
        <v>1200</v>
      </c>
    </row>
    <row r="8" spans="1:1" s="2" customFormat="1" ht="18" customHeight="1" x14ac:dyDescent="0.25">
      <c r="A8" s="216" t="s">
        <v>4</v>
      </c>
    </row>
    <row r="9" spans="1:1" s="2" customFormat="1" ht="18" customHeight="1" x14ac:dyDescent="0.25">
      <c r="A9" s="216" t="s">
        <v>5</v>
      </c>
    </row>
    <row r="10" spans="1:1" s="2" customFormat="1" ht="18" customHeight="1" x14ac:dyDescent="0.25">
      <c r="A10" s="216" t="s">
        <v>6</v>
      </c>
    </row>
    <row r="11" spans="1:1" s="2" customFormat="1" ht="18" customHeight="1" x14ac:dyDescent="0.25">
      <c r="A11" s="216" t="s">
        <v>7</v>
      </c>
    </row>
    <row r="12" spans="1:1" s="2" customFormat="1" ht="18" customHeight="1" x14ac:dyDescent="0.25">
      <c r="A12" s="216" t="s">
        <v>8</v>
      </c>
    </row>
    <row r="13" spans="1:1" s="2" customFormat="1" ht="18" customHeight="1" x14ac:dyDescent="0.25">
      <c r="A13" s="216" t="s">
        <v>1236</v>
      </c>
    </row>
    <row r="14" spans="1:1" s="2" customFormat="1" ht="18" customHeight="1" x14ac:dyDescent="0.25">
      <c r="A14" s="216" t="s">
        <v>9</v>
      </c>
    </row>
    <row r="15" spans="1:1" s="2" customFormat="1" ht="18" customHeight="1" x14ac:dyDescent="0.25">
      <c r="A15" s="216" t="s">
        <v>10</v>
      </c>
    </row>
    <row r="16" spans="1:1" s="2" customFormat="1" ht="18" customHeight="1" x14ac:dyDescent="0.25">
      <c r="A16" s="216" t="s">
        <v>11</v>
      </c>
    </row>
    <row r="17" spans="1:1" s="2" customFormat="1" ht="18" customHeight="1" x14ac:dyDescent="0.25">
      <c r="A17" s="216" t="s">
        <v>12</v>
      </c>
    </row>
    <row r="18" spans="1:1" s="2" customFormat="1" ht="18" customHeight="1" x14ac:dyDescent="0.25">
      <c r="A18" s="216" t="s">
        <v>13</v>
      </c>
    </row>
    <row r="19" spans="1:1" s="2" customFormat="1" ht="18" customHeight="1" x14ac:dyDescent="0.25">
      <c r="A19" s="216" t="s">
        <v>14</v>
      </c>
    </row>
    <row r="20" spans="1:1" s="2" customFormat="1" ht="18" customHeight="1" x14ac:dyDescent="0.25">
      <c r="A20" s="216" t="s">
        <v>15</v>
      </c>
    </row>
    <row r="21" spans="1:1" s="2" customFormat="1" ht="18" customHeight="1" x14ac:dyDescent="0.25">
      <c r="A21" s="216" t="s">
        <v>16</v>
      </c>
    </row>
    <row r="22" spans="1:1" s="2" customFormat="1" ht="18" customHeight="1" x14ac:dyDescent="0.25">
      <c r="A22" s="216" t="s">
        <v>17</v>
      </c>
    </row>
    <row r="23" spans="1:1" s="2" customFormat="1" ht="18" customHeight="1" x14ac:dyDescent="0.25">
      <c r="A23" s="216" t="s">
        <v>18</v>
      </c>
    </row>
    <row r="24" spans="1:1" s="2" customFormat="1" ht="18" customHeight="1" x14ac:dyDescent="0.25">
      <c r="A24" s="216" t="s">
        <v>19</v>
      </c>
    </row>
    <row r="25" spans="1:1" s="2" customFormat="1" ht="18" customHeight="1" x14ac:dyDescent="0.25">
      <c r="A25" s="216" t="s">
        <v>20</v>
      </c>
    </row>
    <row r="26" spans="1:1" s="2" customFormat="1" ht="18" customHeight="1" x14ac:dyDescent="0.25">
      <c r="A26" s="216" t="s">
        <v>21</v>
      </c>
    </row>
    <row r="27" spans="1:1" s="2" customFormat="1" ht="18" customHeight="1" x14ac:dyDescent="0.25">
      <c r="A27" s="216" t="s">
        <v>22</v>
      </c>
    </row>
    <row r="28" spans="1:1" s="2" customFormat="1" ht="18" customHeight="1" x14ac:dyDescent="0.25">
      <c r="A28" s="216" t="s">
        <v>23</v>
      </c>
    </row>
    <row r="29" spans="1:1" s="2" customFormat="1" ht="18" customHeight="1" x14ac:dyDescent="0.25">
      <c r="A29" s="216" t="s">
        <v>24</v>
      </c>
    </row>
    <row r="30" spans="1:1" s="2" customFormat="1" ht="18" customHeight="1" x14ac:dyDescent="0.25">
      <c r="A30" s="216" t="s">
        <v>25</v>
      </c>
    </row>
    <row r="31" spans="1:1" s="2" customFormat="1" ht="18" customHeight="1" x14ac:dyDescent="0.25">
      <c r="A31" s="216" t="s">
        <v>26</v>
      </c>
    </row>
    <row r="32" spans="1:1" s="2" customFormat="1" ht="18" customHeight="1" x14ac:dyDescent="0.25">
      <c r="A32" s="216" t="s">
        <v>27</v>
      </c>
    </row>
    <row r="33" spans="1:1" s="2" customFormat="1" ht="18" customHeight="1" x14ac:dyDescent="0.25">
      <c r="A33" s="216" t="s">
        <v>28</v>
      </c>
    </row>
    <row r="34" spans="1:1" s="2" customFormat="1" ht="18" customHeight="1" x14ac:dyDescent="0.25">
      <c r="A34" s="216" t="s">
        <v>29</v>
      </c>
    </row>
    <row r="35" spans="1:1" s="2" customFormat="1" ht="18" customHeight="1" x14ac:dyDescent="0.25">
      <c r="A35" s="216" t="s">
        <v>30</v>
      </c>
    </row>
    <row r="36" spans="1:1" s="2" customFormat="1" ht="18" customHeight="1" x14ac:dyDescent="0.25">
      <c r="A36" s="216" t="s">
        <v>31</v>
      </c>
    </row>
    <row r="37" spans="1:1" s="2" customFormat="1" ht="18" customHeight="1" x14ac:dyDescent="0.25">
      <c r="A37" s="216" t="s">
        <v>32</v>
      </c>
    </row>
    <row r="38" spans="1:1" s="2" customFormat="1" ht="18" customHeight="1" x14ac:dyDescent="0.25">
      <c r="A38" s="216" t="s">
        <v>33</v>
      </c>
    </row>
    <row r="39" spans="1:1" s="2" customFormat="1" ht="18" customHeight="1" x14ac:dyDescent="0.25">
      <c r="A39" s="216" t="s">
        <v>34</v>
      </c>
    </row>
    <row r="40" spans="1:1" s="2" customFormat="1" ht="18" customHeight="1" x14ac:dyDescent="0.25">
      <c r="A40" s="216" t="s">
        <v>35</v>
      </c>
    </row>
    <row r="41" spans="1:1" s="2" customFormat="1" ht="18" customHeight="1" x14ac:dyDescent="0.25">
      <c r="A41" s="216" t="s">
        <v>36</v>
      </c>
    </row>
    <row r="42" spans="1:1" s="2" customFormat="1" ht="18" customHeight="1" x14ac:dyDescent="0.25">
      <c r="A42" s="216" t="s">
        <v>37</v>
      </c>
    </row>
    <row r="43" spans="1:1" s="2" customFormat="1" ht="18" customHeight="1" x14ac:dyDescent="0.25">
      <c r="A43" s="216" t="s">
        <v>38</v>
      </c>
    </row>
    <row r="44" spans="1:1" s="2" customFormat="1" ht="18" customHeight="1" x14ac:dyDescent="0.25">
      <c r="A44" s="216" t="s">
        <v>39</v>
      </c>
    </row>
    <row r="45" spans="1:1" s="2" customFormat="1" ht="18" customHeight="1" x14ac:dyDescent="0.25">
      <c r="A45" s="216" t="s">
        <v>40</v>
      </c>
    </row>
    <row r="46" spans="1:1" s="2" customFormat="1" ht="18" customHeight="1" x14ac:dyDescent="0.25">
      <c r="A46" s="216" t="s">
        <v>41</v>
      </c>
    </row>
    <row r="47" spans="1:1" s="2" customFormat="1" ht="18" customHeight="1" x14ac:dyDescent="0.25">
      <c r="A47" s="216" t="s">
        <v>42</v>
      </c>
    </row>
    <row r="48" spans="1:1" s="2" customFormat="1" ht="18" customHeight="1" x14ac:dyDescent="0.25">
      <c r="A48" s="216" t="s">
        <v>43</v>
      </c>
    </row>
    <row r="49" spans="1:1" s="2" customFormat="1" ht="18" customHeight="1" x14ac:dyDescent="0.25">
      <c r="A49" s="216" t="s">
        <v>44</v>
      </c>
    </row>
    <row r="50" spans="1:1" s="2" customFormat="1" ht="18" customHeight="1" x14ac:dyDescent="0.25">
      <c r="A50" s="216" t="s">
        <v>45</v>
      </c>
    </row>
    <row r="51" spans="1:1" s="2" customFormat="1" ht="18" customHeight="1" x14ac:dyDescent="0.25">
      <c r="A51" s="216" t="s">
        <v>46</v>
      </c>
    </row>
    <row r="52" spans="1:1" s="2" customFormat="1" ht="18" customHeight="1" x14ac:dyDescent="0.25">
      <c r="A52" s="216" t="s">
        <v>47</v>
      </c>
    </row>
    <row r="53" spans="1:1" s="2" customFormat="1" ht="18" customHeight="1" x14ac:dyDescent="0.25">
      <c r="A53" s="216" t="s">
        <v>48</v>
      </c>
    </row>
    <row r="54" spans="1:1" s="2" customFormat="1" ht="18" customHeight="1" x14ac:dyDescent="0.25">
      <c r="A54" s="216" t="s">
        <v>49</v>
      </c>
    </row>
    <row r="55" spans="1:1" s="2" customFormat="1" ht="18" customHeight="1" x14ac:dyDescent="0.25">
      <c r="A55" s="216" t="s">
        <v>50</v>
      </c>
    </row>
    <row r="56" spans="1:1" s="2" customFormat="1" ht="18" customHeight="1" x14ac:dyDescent="0.25">
      <c r="A56" s="216" t="s">
        <v>51</v>
      </c>
    </row>
    <row r="57" spans="1:1" s="2" customFormat="1" ht="18" customHeight="1" x14ac:dyDescent="0.25">
      <c r="A57" s="216" t="s">
        <v>52</v>
      </c>
    </row>
    <row r="58" spans="1:1" s="2" customFormat="1" ht="18" customHeight="1" x14ac:dyDescent="0.25">
      <c r="A58" s="216" t="s">
        <v>53</v>
      </c>
    </row>
    <row r="59" spans="1:1" s="2" customFormat="1" ht="18" customHeight="1" x14ac:dyDescent="0.25">
      <c r="A59" s="216" t="s">
        <v>54</v>
      </c>
    </row>
    <row r="60" spans="1:1" s="2" customFormat="1" ht="18" customHeight="1" x14ac:dyDescent="0.25">
      <c r="A60" s="216" t="s">
        <v>55</v>
      </c>
    </row>
    <row r="61" spans="1:1" s="2" customFormat="1" ht="18" customHeight="1" x14ac:dyDescent="0.25">
      <c r="A61" s="216" t="s">
        <v>56</v>
      </c>
    </row>
    <row r="62" spans="1:1" s="2" customFormat="1" ht="18" customHeight="1" x14ac:dyDescent="0.25">
      <c r="A62" s="216" t="s">
        <v>57</v>
      </c>
    </row>
    <row r="63" spans="1:1" s="2" customFormat="1" ht="18" customHeight="1" x14ac:dyDescent="0.25">
      <c r="A63" s="216" t="s">
        <v>58</v>
      </c>
    </row>
    <row r="64" spans="1:1" s="2" customFormat="1" ht="18" customHeight="1" x14ac:dyDescent="0.25">
      <c r="A64" s="216" t="s">
        <v>59</v>
      </c>
    </row>
    <row r="65" spans="1:1" s="2" customFormat="1" ht="18" customHeight="1" x14ac:dyDescent="0.25">
      <c r="A65" s="216" t="s">
        <v>60</v>
      </c>
    </row>
    <row r="66" spans="1:1" s="2" customFormat="1" ht="18" customHeight="1" x14ac:dyDescent="0.25">
      <c r="A66" s="216" t="s">
        <v>61</v>
      </c>
    </row>
    <row r="67" spans="1:1" s="2" customFormat="1" ht="18" customHeight="1" x14ac:dyDescent="0.25">
      <c r="A67" s="216" t="s">
        <v>62</v>
      </c>
    </row>
    <row r="68" spans="1:1" s="2" customFormat="1" ht="18" customHeight="1" x14ac:dyDescent="0.25">
      <c r="A68" s="216" t="s">
        <v>63</v>
      </c>
    </row>
    <row r="69" spans="1:1" s="2" customFormat="1" ht="18" customHeight="1" x14ac:dyDescent="0.25">
      <c r="A69" s="216" t="s">
        <v>64</v>
      </c>
    </row>
    <row r="70" spans="1:1" s="2" customFormat="1" ht="18" customHeight="1" x14ac:dyDescent="0.25">
      <c r="A70" s="216" t="s">
        <v>65</v>
      </c>
    </row>
    <row r="71" spans="1:1" s="2" customFormat="1" ht="18" customHeight="1" x14ac:dyDescent="0.25">
      <c r="A71" s="216" t="s">
        <v>66</v>
      </c>
    </row>
    <row r="72" spans="1:1" s="2" customFormat="1" ht="18" customHeight="1" x14ac:dyDescent="0.25">
      <c r="A72" s="216" t="s">
        <v>67</v>
      </c>
    </row>
    <row r="73" spans="1:1" s="2" customFormat="1" ht="18" customHeight="1" x14ac:dyDescent="0.25">
      <c r="A73" s="216" t="s">
        <v>68</v>
      </c>
    </row>
    <row r="74" spans="1:1" s="2" customFormat="1" ht="18" customHeight="1" x14ac:dyDescent="0.25">
      <c r="A74" s="216" t="s">
        <v>69</v>
      </c>
    </row>
    <row r="75" spans="1:1" s="2" customFormat="1" ht="15" x14ac:dyDescent="0.25">
      <c r="A75" s="216" t="s">
        <v>70</v>
      </c>
    </row>
  </sheetData>
  <hyperlinks>
    <hyperlink ref="A2" location="'1'!A1" display="Table 1: SEBI Registered Market Intermediaries/Institutions"/>
    <hyperlink ref="A3" location="'2'!A1" display="Table 2: Company-Wise Capital Raised through Public and Rights Issues (Equity)"/>
    <hyperlink ref="A4" location="'3'!A1" display="Table 3: Offers closed during the month under SEBI (SAST), 2011"/>
    <hyperlink ref="A5" location="'4'!A1" display="Table 4: Trends in Open Offers"/>
    <hyperlink ref="A6" location="'5'!A1" display="Table 5A: Consolidated Resource Mobilisation through Primary Market"/>
    <hyperlink ref="A8" location="'7'!A1" display="Table 7: Industry-wise Classification of Capital Raised through Public and Rights Issues (Equity)"/>
    <hyperlink ref="A9" location="'8'!A1" display="Table 8: Sector-wise and Region-wise Distribution of Capital Mobilised through Public and Rights Issues (Equity)"/>
    <hyperlink ref="A10" location="'9'!A1" display="Table 9: Size-wise Classification of Capital Raised through Public and Rights Issues (Equity)"/>
    <hyperlink ref="A11" location="'10'!A1" display="Table 10: Capital Raised by Listed Companies from the Primary Market through QIPs"/>
    <hyperlink ref="A12" location="'11'!A1" display="Table 11: Preferential Allotments Listed at BSE and NSE"/>
    <hyperlink ref="A13" location="'12'!A1" display="Table 12: Private Placement of Corporate Debt Reported to BSE and NSE"/>
    <hyperlink ref="A14" location="'13'!A1" display="Table 13: Trends in Settled Trades in the Corporate Debt Market"/>
    <hyperlink ref="A15" location="'14'!A1" display="Table 14: Ratings Assigned for Long-term Corporate Debt Securities (Maturity &gt;= 1 year)"/>
    <hyperlink ref="A16" location="'15'!A1" display="Table 15: Review of Accepted Ratings of Corporate Debt Securities (Maturity &gt;= 1 year)"/>
    <hyperlink ref="A17" location="'16'!A1" display="Table 16: Distribution of Turnover on Cash Segments of Exchanges"/>
    <hyperlink ref="A18" location="'17'!A1" display="Table 17: Trends in Cash Segment of BSE"/>
    <hyperlink ref="A19" location="'18'!A1" display="Table 18: Trends in Cash Segment of NSE"/>
    <hyperlink ref="A20" location="'19'!A1" display="Table 19: Trends in Cash Segment of MSEI"/>
    <hyperlink ref="A21" location="'20'!A1" display="Table 20: City-wise Distribution of Turnover on Cash Segments"/>
    <hyperlink ref="A22" location="'21'!A1" display="Table 21: Category-wise Share of Turnover in Cash Segment of BSE"/>
    <hyperlink ref="A23" location="'22'!A1" display="Table 22: Category-wise Share of Turnover in Cash Segment of NSE"/>
    <hyperlink ref="A24" location="'23'!A1" display="Table 23: Category-wise Share of Turnover in Cash Segment of MSEI"/>
    <hyperlink ref="A25" location="'24'!A1" display="Table 24: Component Stocks: S&amp;P BSE Sensex"/>
    <hyperlink ref="A26" location="'25'!A1" display="Table 25: Component Stocks: Nifty 50 Index"/>
    <hyperlink ref="A27" location="'26'!A1" display="Table 26: Component Stock: SX 40 Index"/>
    <hyperlink ref="A28" location="'27'!A1" display="Table 27: Advances/Declines in Cash Segment"/>
    <hyperlink ref="A29" location="'28'!A1" display="Table 28: Trading Frequency in Cash Segment"/>
    <hyperlink ref="A30" location="'29'!A1" display="Table 29: Daily Volatility of Major Indices"/>
    <hyperlink ref="A31" location="'30'!A1" display="Table 30: Percentage Share of Top ‘N’ Securities/Members in Turnover of Cash Segment"/>
    <hyperlink ref="A32" location="'31'!A1" display="Table 31: Settlement Statistics for Cash Segment of BSE"/>
    <hyperlink ref="A33" location="'32'!A1" display="Table 32: Settlement Statistics for Cash Segment of NSE "/>
    <hyperlink ref="A34" location="'33'!A1" display="Table 33: Settlement Statistics for Cash Segment of MSEI "/>
    <hyperlink ref="A35" location="'34'!A1" display="Table 34: Trends in Equity Derivatives Segment at BSE (Turnover in Notional Value) "/>
    <hyperlink ref="A36" location="'35'!A1" display="Table 35: Trends in Equity Derivatives Segment at NSE (Turnover in Notional Value) "/>
    <hyperlink ref="A37" location="'36'!A1" display="Table 36: Settlement Statistics in Equity Derivatives Segment at BSE and NSE"/>
    <hyperlink ref="A38" location="'37'!A1" display="Table 37: Category-wise Share of Turnover &amp; Open Interest in Equity Derivative Segment of BSE"/>
    <hyperlink ref="A39" location="'38'!A1" display="Table 38: Category-wise Share of Turnover &amp; Open Interest in Equity Derivative Segment of NSE"/>
    <hyperlink ref="A40" location="'39'!A1" display="Table 39: Instrument-wise Turnover in Index Derivatives at BSE"/>
    <hyperlink ref="A41" location="'40'!A1" display="Table 40: Instrument-wise Turnover in Index Derivatives at NSE"/>
    <hyperlink ref="A42" location="'41'!A1" display="Table 41: Trends in Currency Derivatives Segment at BSE"/>
    <hyperlink ref="A43" location="'42'!A1" display="Table 42: Trends in Currency Derivatives Segment at NSE"/>
    <hyperlink ref="A44" location="'43'!A1" display="Table 43: Trends in Currency Derivatives Segment at MSEI"/>
    <hyperlink ref="A45" location="'44'!A1" display="Table 44: Settlement Statistics of Currency Derivatives Segment "/>
    <hyperlink ref="A46" location="'45'!A1" display="Table 45: Instrument-wise Turnover in Currency Futures Segment of BSE"/>
    <hyperlink ref="A47" location="'46'!A1" display="Table 46: Instrument-wise Turnover in Currency Derivatives Segment  of NSE"/>
    <hyperlink ref="A48" location="'47'!A1" display="Table 47: Instrument-wise Turnover in Currency Derivative Segment of MSEI"/>
    <hyperlink ref="A49" location="'48'!A1" display="Table 48: Maturity-wise Turnover in Currency Derivative Segment of BSE"/>
    <hyperlink ref="A50" location="'49'!A1" display="Table 49: Maturity-wise Turnover in Currency Derivative Segment of NSE"/>
    <hyperlink ref="A51" location="'50'!A1" display="Table 50: Maturity-wise Turnover in Currency Derivative Segment of MSEI "/>
    <hyperlink ref="A52" location="'51'!A1" display="Table 51: Trading Statistics of Interest Rate Futures at BSE, NSE and MSEI"/>
    <hyperlink ref="A53" location="'52'!A1" display="Table 52: Settlement Statistics in Interest Rate Futures at BSE, NSE and MSEI"/>
    <hyperlink ref="A54" location="'53'!A1" display="Table 53: Trends in Foreign Portfolio Investment"/>
    <hyperlink ref="A55" location="'54'!A1" display="Table 54: Notional Value of Offshore Derivative Instruments (ODIs) Vs Assets Under Custody (AUC) of FPIs"/>
    <hyperlink ref="A56" location="'55'!A1" display="Table 55: Assets under the Custody of Custodians"/>
    <hyperlink ref="A57" location="'56'!A1" display="Table 56: Cumulative Sectoral  Investment of Foreign Venture Capital Investors (FVCIs)"/>
    <hyperlink ref="A58" location="'57'!A1" display="Table 57: Trends in Resource Mobilization by Mutual Funds "/>
    <hyperlink ref="A59" location="'58'!A1" display="Table 58: Scheme-wise Statistics of Mutual Funds"/>
    <hyperlink ref="A60" location="'59'!A1" display="Table 59: Trends in Transactions on Stock Exchanges by Mutual Funds"/>
    <hyperlink ref="A61" location="'60'!A1" display="Table 60: Assets Managed by Portfolio Managers"/>
    <hyperlink ref="A62" location="'61'!A1" display="Table 61: Progress Report of NSDL &amp; CDSl as on end of Month (Listed Companies)"/>
    <hyperlink ref="A63" location="'62'!A1" display="Table 62: Progress of Dematerialisation at NSDL and CDSL (Listed and Unlisted Companies)"/>
    <hyperlink ref="A64" location="'63'!A1" display="Table 63: Depository Statistics"/>
    <hyperlink ref="A65" location="'64'!A1" display="Table 64: Number of Commodities Permitted and traded at Exchanges"/>
    <hyperlink ref="A66" location="'65'!A1" display="Table 65: Trends in Commodity Indices"/>
    <hyperlink ref="A67" location="'66'!A1" display="Table 66: Trends in Commodity Derivatives at MCX"/>
    <hyperlink ref="A68" location="'67'!A1" display="Table 67: Trends in Commodity Derivatives at NCDEX"/>
    <hyperlink ref="A69" location="'68'!A1" display="Table 68: Trends in  Commodity Derivatives at BSE"/>
    <hyperlink ref="A70" location="'69'!A1" display="Table 69: Trends in Commodity Derivatives at NSE"/>
    <hyperlink ref="A71" location="'70'!A1" display="Table 70: Participant-wise percentage share of turnover in Commodity Futures"/>
    <hyperlink ref="A72" location="'71'!A1" display="Table 71: Commodity-wise Trading Volume and Turnover at MCX"/>
    <hyperlink ref="A73" location="'72'!A1" display="Table 72: Commodity-wise Trading Volume and Turnover at NCDEX"/>
    <hyperlink ref="A74" location="'73'!A1" display="Table 73: Commodity-wise Trading Volume and Turnover at ICEX, NSE and BSE"/>
    <hyperlink ref="A75" location="'74'!A1" display="Table 74: Macro Economic Indicators"/>
    <hyperlink ref="A7" location="'6'!A1" display="Table 6: Capital Raised from the Primary Market through  Public and Rights Issues (Equity and Debt)"/>
  </hyperlinks>
  <printOptions horizontalCentered="1"/>
  <pageMargins left="0.23622047244094491" right="0.23622047244094491" top="0.31496062992125984" bottom="0.39370078740157483" header="0.31496062992125984" footer="0.31496062992125984"/>
  <pageSetup paperSize="9" scale="90" fitToHeight="0"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2"/>
  <sheetViews>
    <sheetView showWhiteSpace="0" zoomScaleNormal="100" workbookViewId="0">
      <selection activeCell="E16" sqref="E16"/>
    </sheetView>
  </sheetViews>
  <sheetFormatPr defaultRowHeight="15" x14ac:dyDescent="0.25"/>
  <cols>
    <col min="1" max="1" width="48" customWidth="1"/>
    <col min="2" max="2" width="12.28515625" customWidth="1"/>
    <col min="3" max="3" width="9.140625" style="38"/>
    <col min="10" max="10" width="20.42578125" customWidth="1"/>
  </cols>
  <sheetData>
    <row r="1" spans="1:10" x14ac:dyDescent="0.25">
      <c r="A1" s="1178" t="s">
        <v>1</v>
      </c>
      <c r="B1" s="1179"/>
      <c r="C1" s="356"/>
    </row>
    <row r="2" spans="1:10" x14ac:dyDescent="0.25">
      <c r="A2" s="357" t="s">
        <v>1157</v>
      </c>
      <c r="B2" s="358" t="s">
        <v>532</v>
      </c>
      <c r="C2" s="358" t="s">
        <v>1234</v>
      </c>
    </row>
    <row r="3" spans="1:10" x14ac:dyDescent="0.25">
      <c r="A3" s="359" t="s">
        <v>1158</v>
      </c>
      <c r="B3" s="360">
        <v>3</v>
      </c>
      <c r="C3" s="360">
        <v>3</v>
      </c>
      <c r="D3" s="38"/>
      <c r="F3" s="4"/>
      <c r="G3" s="4"/>
      <c r="H3" s="4"/>
      <c r="I3" s="4"/>
      <c r="J3" s="4"/>
    </row>
    <row r="4" spans="1:10" x14ac:dyDescent="0.25">
      <c r="A4" s="359" t="s">
        <v>1159</v>
      </c>
      <c r="B4" s="360">
        <v>3</v>
      </c>
      <c r="C4" s="360">
        <v>3</v>
      </c>
      <c r="D4" s="38"/>
      <c r="F4" s="4"/>
      <c r="G4" s="4"/>
      <c r="H4" s="4"/>
      <c r="I4" s="4"/>
      <c r="J4" s="4"/>
    </row>
    <row r="5" spans="1:10" x14ac:dyDescent="0.25">
      <c r="A5" s="359" t="s">
        <v>1160</v>
      </c>
      <c r="B5" s="360">
        <v>3</v>
      </c>
      <c r="C5" s="360">
        <v>3</v>
      </c>
      <c r="D5" s="38"/>
      <c r="F5" s="4"/>
      <c r="G5" s="4"/>
      <c r="H5" s="4"/>
      <c r="I5" s="4"/>
      <c r="J5" s="4"/>
    </row>
    <row r="6" spans="1:10" x14ac:dyDescent="0.25">
      <c r="A6" s="359" t="s">
        <v>1161</v>
      </c>
      <c r="B6" s="360">
        <v>4</v>
      </c>
      <c r="C6" s="360">
        <v>4</v>
      </c>
      <c r="D6" s="38"/>
      <c r="F6" s="4"/>
      <c r="G6" s="4"/>
      <c r="H6" s="4"/>
      <c r="I6" s="4"/>
      <c r="J6" s="4"/>
    </row>
    <row r="7" spans="1:10" x14ac:dyDescent="0.25">
      <c r="A7" s="1176" t="s">
        <v>1162</v>
      </c>
      <c r="B7" s="1177"/>
      <c r="C7" s="619"/>
      <c r="D7" s="38"/>
      <c r="F7" s="4"/>
      <c r="G7" s="4"/>
      <c r="H7" s="4"/>
      <c r="I7" s="4"/>
      <c r="J7" s="4"/>
    </row>
    <row r="8" spans="1:10" x14ac:dyDescent="0.25">
      <c r="A8" s="1070" t="s">
        <v>73</v>
      </c>
      <c r="B8" s="1069">
        <v>1269</v>
      </c>
      <c r="C8" s="1069">
        <v>1229</v>
      </c>
      <c r="D8" s="38"/>
      <c r="F8" s="4"/>
      <c r="G8" s="4"/>
      <c r="H8" s="4"/>
      <c r="I8" s="4"/>
      <c r="J8" s="4"/>
    </row>
    <row r="9" spans="1:10" x14ac:dyDescent="0.25">
      <c r="A9" s="1070" t="s">
        <v>74</v>
      </c>
      <c r="B9" s="1069">
        <v>1212</v>
      </c>
      <c r="C9" s="1069">
        <v>1218</v>
      </c>
      <c r="D9" s="38"/>
      <c r="F9" s="4"/>
      <c r="G9" s="4"/>
      <c r="H9" s="4"/>
      <c r="I9" s="4"/>
      <c r="J9" s="4"/>
    </row>
    <row r="10" spans="1:10" x14ac:dyDescent="0.25">
      <c r="A10" s="1070" t="s">
        <v>75</v>
      </c>
      <c r="B10" s="1069">
        <v>295</v>
      </c>
      <c r="C10" s="1069">
        <v>295</v>
      </c>
      <c r="D10" s="38"/>
      <c r="F10" s="4"/>
      <c r="G10" s="4"/>
      <c r="H10" s="4"/>
      <c r="I10" s="4"/>
      <c r="J10" s="4"/>
    </row>
    <row r="11" spans="1:10" x14ac:dyDescent="0.25">
      <c r="A11" s="1176" t="s">
        <v>1163</v>
      </c>
      <c r="B11" s="1177"/>
      <c r="C11" s="619"/>
      <c r="D11" s="38"/>
      <c r="F11" s="4"/>
      <c r="G11" s="4"/>
      <c r="H11" s="4"/>
      <c r="I11" s="4"/>
      <c r="J11" s="4"/>
    </row>
    <row r="12" spans="1:10" x14ac:dyDescent="0.25">
      <c r="A12" s="1070" t="s">
        <v>73</v>
      </c>
      <c r="B12" s="1049">
        <v>903</v>
      </c>
      <c r="C12" s="1049">
        <v>876</v>
      </c>
      <c r="D12" s="38"/>
      <c r="F12" s="4"/>
      <c r="G12" s="4"/>
      <c r="H12" s="4"/>
      <c r="I12" s="4"/>
      <c r="J12" s="362"/>
    </row>
    <row r="13" spans="1:10" x14ac:dyDescent="0.25">
      <c r="A13" s="1070" t="s">
        <v>74</v>
      </c>
      <c r="B13" s="1069">
        <v>1138</v>
      </c>
      <c r="C13" s="1069">
        <v>1143</v>
      </c>
      <c r="D13" s="38"/>
      <c r="J13" s="363"/>
    </row>
    <row r="14" spans="1:10" x14ac:dyDescent="0.25">
      <c r="A14" s="1070" t="s">
        <v>75</v>
      </c>
      <c r="B14" s="1049">
        <v>274</v>
      </c>
      <c r="C14" s="1049">
        <v>274</v>
      </c>
      <c r="D14" s="38"/>
      <c r="J14" s="363"/>
    </row>
    <row r="15" spans="1:10" x14ac:dyDescent="0.25">
      <c r="A15" s="1176" t="s">
        <v>1164</v>
      </c>
      <c r="B15" s="1177"/>
      <c r="C15" s="1078"/>
      <c r="D15" s="38"/>
      <c r="J15" s="363"/>
    </row>
    <row r="16" spans="1:10" x14ac:dyDescent="0.25">
      <c r="A16" s="1070" t="s">
        <v>73</v>
      </c>
      <c r="B16" s="1049">
        <v>560</v>
      </c>
      <c r="C16" s="1049">
        <v>556</v>
      </c>
      <c r="D16" s="38"/>
      <c r="J16" s="363"/>
    </row>
    <row r="17" spans="1:10" x14ac:dyDescent="0.25">
      <c r="A17" s="1070" t="s">
        <v>74</v>
      </c>
      <c r="B17" s="1049">
        <v>754</v>
      </c>
      <c r="C17" s="1049">
        <v>762</v>
      </c>
      <c r="D17" s="38"/>
      <c r="J17" s="363"/>
    </row>
    <row r="18" spans="1:10" x14ac:dyDescent="0.25">
      <c r="A18" s="1070" t="s">
        <v>75</v>
      </c>
      <c r="B18" s="1049">
        <v>470</v>
      </c>
      <c r="C18" s="1049">
        <v>470</v>
      </c>
      <c r="D18" s="38"/>
      <c r="J18" s="363"/>
    </row>
    <row r="19" spans="1:10" x14ac:dyDescent="0.25">
      <c r="A19" s="1176" t="s">
        <v>1165</v>
      </c>
      <c r="B19" s="1177"/>
      <c r="C19" s="1078"/>
      <c r="D19" s="38"/>
    </row>
    <row r="20" spans="1:10" x14ac:dyDescent="0.25">
      <c r="A20" s="1070" t="s">
        <v>73</v>
      </c>
      <c r="B20" s="1049">
        <v>280</v>
      </c>
      <c r="C20" s="1049">
        <v>281</v>
      </c>
      <c r="D20" s="38"/>
    </row>
    <row r="21" spans="1:10" x14ac:dyDescent="0.25">
      <c r="A21" s="1070" t="s">
        <v>74</v>
      </c>
      <c r="B21" s="1049">
        <v>271</v>
      </c>
      <c r="C21" s="1049">
        <v>273</v>
      </c>
      <c r="D21" s="38"/>
    </row>
    <row r="22" spans="1:10" x14ac:dyDescent="0.25">
      <c r="A22" s="1070" t="s">
        <v>75</v>
      </c>
      <c r="B22" s="1049">
        <v>14</v>
      </c>
      <c r="C22" s="1049">
        <v>14</v>
      </c>
      <c r="D22" s="38"/>
    </row>
    <row r="23" spans="1:10" x14ac:dyDescent="0.25">
      <c r="A23" s="1176" t="s">
        <v>1166</v>
      </c>
      <c r="B23" s="1177"/>
      <c r="C23" s="1078"/>
      <c r="D23" s="38"/>
    </row>
    <row r="24" spans="1:10" x14ac:dyDescent="0.25">
      <c r="A24" s="1070" t="s">
        <v>76</v>
      </c>
      <c r="B24" s="1049">
        <v>546</v>
      </c>
      <c r="C24" s="1049">
        <v>544</v>
      </c>
      <c r="D24" s="38"/>
    </row>
    <row r="25" spans="1:10" x14ac:dyDescent="0.25">
      <c r="A25" s="1070" t="s">
        <v>77</v>
      </c>
      <c r="B25" s="1049">
        <v>250</v>
      </c>
      <c r="C25" s="1049">
        <v>241</v>
      </c>
      <c r="D25" s="38"/>
    </row>
    <row r="26" spans="1:10" x14ac:dyDescent="0.25">
      <c r="A26" s="1070" t="s">
        <v>1167</v>
      </c>
      <c r="B26" s="1049">
        <v>98</v>
      </c>
      <c r="C26" s="1049">
        <v>98</v>
      </c>
      <c r="D26" s="38"/>
    </row>
    <row r="27" spans="1:10" x14ac:dyDescent="0.25">
      <c r="A27" s="1070" t="s">
        <v>73</v>
      </c>
      <c r="B27" s="1049">
        <v>288</v>
      </c>
      <c r="C27" s="1049">
        <v>288</v>
      </c>
      <c r="D27" s="38"/>
    </row>
    <row r="28" spans="1:10" x14ac:dyDescent="0.25">
      <c r="A28" s="1070" t="s">
        <v>74</v>
      </c>
      <c r="B28" s="1049">
        <v>352</v>
      </c>
      <c r="C28" s="1049">
        <v>359</v>
      </c>
      <c r="D28" s="38"/>
    </row>
    <row r="29" spans="1:10" x14ac:dyDescent="0.25">
      <c r="A29" s="1176" t="s">
        <v>1218</v>
      </c>
      <c r="B29" s="1177"/>
      <c r="C29" s="1078"/>
      <c r="D29" s="38"/>
    </row>
    <row r="30" spans="1:10" x14ac:dyDescent="0.25">
      <c r="A30" s="1070" t="s">
        <v>73</v>
      </c>
      <c r="B30" s="1069">
        <v>1092</v>
      </c>
      <c r="C30" s="1069">
        <v>1069</v>
      </c>
      <c r="D30" s="38"/>
    </row>
    <row r="31" spans="1:10" x14ac:dyDescent="0.25">
      <c r="A31" s="1070" t="s">
        <v>74</v>
      </c>
      <c r="B31" s="1069">
        <v>1093</v>
      </c>
      <c r="C31" s="1069">
        <v>1100</v>
      </c>
      <c r="D31" s="38"/>
    </row>
    <row r="32" spans="1:10" x14ac:dyDescent="0.25">
      <c r="A32" s="1070" t="s">
        <v>75</v>
      </c>
      <c r="B32" s="1049">
        <v>270</v>
      </c>
      <c r="C32" s="1049">
        <v>270</v>
      </c>
      <c r="D32" s="38"/>
    </row>
    <row r="33" spans="1:4" x14ac:dyDescent="0.25">
      <c r="A33" s="1070" t="s">
        <v>1168</v>
      </c>
      <c r="B33" s="1071">
        <v>11219</v>
      </c>
      <c r="C33" s="1071">
        <v>11338</v>
      </c>
      <c r="D33" s="38"/>
    </row>
    <row r="34" spans="1:4" x14ac:dyDescent="0.25">
      <c r="A34" s="1070" t="s">
        <v>1169</v>
      </c>
      <c r="B34" s="1071">
        <v>17</v>
      </c>
      <c r="C34" s="1071">
        <v>17</v>
      </c>
      <c r="D34" s="38"/>
    </row>
    <row r="35" spans="1:4" x14ac:dyDescent="0.25">
      <c r="A35" s="1070" t="s">
        <v>1170</v>
      </c>
      <c r="B35" s="1071">
        <v>17</v>
      </c>
      <c r="C35" s="1071">
        <v>17</v>
      </c>
      <c r="D35" s="38"/>
    </row>
    <row r="36" spans="1:4" x14ac:dyDescent="0.25">
      <c r="A36" s="1068" t="s">
        <v>1171</v>
      </c>
      <c r="B36" s="1049">
        <v>2</v>
      </c>
      <c r="C36" s="1049">
        <v>2</v>
      </c>
      <c r="D36" s="38"/>
    </row>
    <row r="37" spans="1:4" x14ac:dyDescent="0.25">
      <c r="A37" s="1176" t="s">
        <v>1172</v>
      </c>
      <c r="B37" s="1177"/>
      <c r="C37" s="1078"/>
      <c r="D37" s="38"/>
    </row>
    <row r="38" spans="1:4" x14ac:dyDescent="0.25">
      <c r="A38" s="1068" t="s">
        <v>78</v>
      </c>
      <c r="B38" s="1049">
        <v>281</v>
      </c>
      <c r="C38" s="1049">
        <v>282</v>
      </c>
      <c r="D38" s="38"/>
    </row>
    <row r="39" spans="1:4" x14ac:dyDescent="0.25">
      <c r="A39" s="1068" t="s">
        <v>79</v>
      </c>
      <c r="B39" s="1049">
        <v>580</v>
      </c>
      <c r="C39" s="1049">
        <v>577</v>
      </c>
      <c r="D39" s="38"/>
    </row>
    <row r="40" spans="1:4" x14ac:dyDescent="0.25">
      <c r="A40" s="1068" t="s">
        <v>1173</v>
      </c>
      <c r="B40" s="1049">
        <v>220</v>
      </c>
      <c r="C40" s="1049">
        <v>221</v>
      </c>
      <c r="D40" s="38"/>
    </row>
    <row r="41" spans="1:4" x14ac:dyDescent="0.25">
      <c r="A41" s="1068" t="s">
        <v>1174</v>
      </c>
      <c r="B41" s="1049">
        <v>57</v>
      </c>
      <c r="C41" s="1049">
        <v>57</v>
      </c>
      <c r="D41" s="38"/>
    </row>
    <row r="42" spans="1:4" x14ac:dyDescent="0.25">
      <c r="A42" s="1068" t="s">
        <v>1175</v>
      </c>
      <c r="B42" s="1049">
        <v>25</v>
      </c>
      <c r="C42" s="1049">
        <v>25</v>
      </c>
      <c r="D42" s="38"/>
    </row>
    <row r="43" spans="1:4" x14ac:dyDescent="0.25">
      <c r="A43" s="364" t="s">
        <v>1176</v>
      </c>
      <c r="B43" s="361">
        <v>7</v>
      </c>
      <c r="C43" s="361">
        <v>7</v>
      </c>
      <c r="D43" s="38"/>
    </row>
    <row r="44" spans="1:4" x14ac:dyDescent="0.25">
      <c r="A44" s="1068" t="s">
        <v>1177</v>
      </c>
      <c r="B44" s="1049">
        <v>5</v>
      </c>
      <c r="C44" s="1049">
        <v>5</v>
      </c>
      <c r="D44" s="38"/>
    </row>
    <row r="45" spans="1:4" x14ac:dyDescent="0.25">
      <c r="A45" s="1068" t="s">
        <v>1178</v>
      </c>
      <c r="B45" s="1049">
        <v>75</v>
      </c>
      <c r="C45" s="1049">
        <v>76</v>
      </c>
      <c r="D45" s="38"/>
    </row>
    <row r="46" spans="1:4" x14ac:dyDescent="0.25">
      <c r="A46" s="1068" t="s">
        <v>1179</v>
      </c>
      <c r="B46" s="1071">
        <v>167</v>
      </c>
      <c r="C46" s="1071">
        <v>167</v>
      </c>
      <c r="D46" s="38"/>
    </row>
    <row r="47" spans="1:4" x14ac:dyDescent="0.25">
      <c r="A47" s="1068" t="s">
        <v>1180</v>
      </c>
      <c r="B47" s="1071">
        <v>279</v>
      </c>
      <c r="C47" s="1071">
        <v>280</v>
      </c>
      <c r="D47" s="38"/>
    </row>
    <row r="48" spans="1:4" x14ac:dyDescent="0.25">
      <c r="A48" s="1068" t="s">
        <v>1181</v>
      </c>
      <c r="B48" s="1071">
        <v>1283</v>
      </c>
      <c r="C48" s="1071">
        <v>1325</v>
      </c>
    </row>
    <row r="49" spans="1:4" ht="18" customHeight="1" x14ac:dyDescent="0.35">
      <c r="A49" s="364" t="s">
        <v>1182</v>
      </c>
      <c r="B49" s="360">
        <v>420</v>
      </c>
      <c r="C49" s="360">
        <v>426</v>
      </c>
      <c r="D49" s="365"/>
    </row>
    <row r="50" spans="1:4" ht="14.25" customHeight="1" x14ac:dyDescent="0.35">
      <c r="A50" s="1068" t="s">
        <v>80</v>
      </c>
      <c r="B50" s="1069">
        <v>49</v>
      </c>
      <c r="C50" s="1069">
        <v>49</v>
      </c>
      <c r="D50" s="365"/>
    </row>
    <row r="51" spans="1:4" x14ac:dyDescent="0.25">
      <c r="A51" s="364" t="s">
        <v>1183</v>
      </c>
      <c r="B51" s="360">
        <v>1307</v>
      </c>
      <c r="C51" s="360">
        <v>958</v>
      </c>
      <c r="D51" s="38"/>
    </row>
    <row r="52" spans="1:4" x14ac:dyDescent="0.25">
      <c r="A52" s="364" t="s">
        <v>1184</v>
      </c>
      <c r="B52" s="360">
        <v>1191</v>
      </c>
      <c r="C52" s="360">
        <v>1165</v>
      </c>
      <c r="D52" s="38"/>
    </row>
    <row r="53" spans="1:4" x14ac:dyDescent="0.25">
      <c r="A53" s="364" t="s">
        <v>1185</v>
      </c>
      <c r="B53" s="361">
        <v>24</v>
      </c>
      <c r="C53" s="361">
        <v>24</v>
      </c>
      <c r="D53" s="38"/>
    </row>
    <row r="54" spans="1:4" x14ac:dyDescent="0.25">
      <c r="A54" s="364" t="s">
        <v>1186</v>
      </c>
      <c r="B54" s="361">
        <v>5</v>
      </c>
      <c r="C54" s="361">
        <v>5</v>
      </c>
      <c r="D54" s="38"/>
    </row>
    <row r="55" spans="1:4" s="604" customFormat="1" x14ac:dyDescent="0.25">
      <c r="A55" s="364" t="s">
        <v>1235</v>
      </c>
      <c r="B55" s="361">
        <v>0</v>
      </c>
      <c r="C55" s="361">
        <v>6</v>
      </c>
      <c r="D55" s="38"/>
    </row>
    <row r="56" spans="1:4" ht="18.75" x14ac:dyDescent="0.35">
      <c r="A56" s="364" t="s">
        <v>1187</v>
      </c>
      <c r="B56" s="361">
        <v>0</v>
      </c>
      <c r="C56" s="361">
        <v>0</v>
      </c>
      <c r="D56" s="365"/>
    </row>
    <row r="57" spans="1:4" x14ac:dyDescent="0.25">
      <c r="A57" s="364" t="s">
        <v>1188</v>
      </c>
      <c r="B57" s="361">
        <v>2</v>
      </c>
      <c r="C57" s="361">
        <v>2</v>
      </c>
      <c r="D57" s="38"/>
    </row>
    <row r="58" spans="1:4" x14ac:dyDescent="0.25">
      <c r="A58" s="364" t="s">
        <v>1189</v>
      </c>
      <c r="B58" s="361">
        <v>1</v>
      </c>
      <c r="C58" s="361">
        <v>1</v>
      </c>
      <c r="D58" s="38"/>
    </row>
    <row r="59" spans="1:4" x14ac:dyDescent="0.25">
      <c r="A59" s="364" t="s">
        <v>1190</v>
      </c>
      <c r="B59" s="361">
        <v>3</v>
      </c>
      <c r="C59" s="361">
        <v>3</v>
      </c>
      <c r="D59" s="38"/>
    </row>
    <row r="60" spans="1:4" x14ac:dyDescent="0.25">
      <c r="A60" s="340" t="s">
        <v>81</v>
      </c>
      <c r="B60" s="366"/>
      <c r="D60" s="38"/>
    </row>
    <row r="61" spans="1:4" x14ac:dyDescent="0.25">
      <c r="A61" s="340" t="s">
        <v>1331</v>
      </c>
      <c r="B61" s="366"/>
      <c r="D61" s="38"/>
    </row>
    <row r="62" spans="1:4" x14ac:dyDescent="0.25">
      <c r="A62" s="340" t="s">
        <v>1191</v>
      </c>
      <c r="B62" s="366"/>
      <c r="D62" s="38"/>
    </row>
  </sheetData>
  <mergeCells count="8">
    <mergeCell ref="A29:B29"/>
    <mergeCell ref="A37:B37"/>
    <mergeCell ref="A1:B1"/>
    <mergeCell ref="A7:B7"/>
    <mergeCell ref="A11:B11"/>
    <mergeCell ref="A15:B15"/>
    <mergeCell ref="A19:B19"/>
    <mergeCell ref="A23:B23"/>
  </mergeCells>
  <printOptions horizontalCentered="1"/>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87"/>
  <sheetViews>
    <sheetView zoomScaleNormal="100" workbookViewId="0">
      <pane xSplit="1" ySplit="3" topLeftCell="D4" activePane="bottomRight" state="frozen"/>
      <selection sqref="A1:M1"/>
      <selection pane="topRight" sqref="A1:M1"/>
      <selection pane="bottomLeft" sqref="A1:M1"/>
      <selection pane="bottomRight" activeCell="M9" sqref="M9"/>
    </sheetView>
  </sheetViews>
  <sheetFormatPr defaultRowHeight="15" x14ac:dyDescent="0.25"/>
  <cols>
    <col min="1" max="1" width="10.5703125" customWidth="1"/>
    <col min="2" max="2" width="36.5703125" customWidth="1"/>
    <col min="3" max="3" width="10.7109375" customWidth="1"/>
    <col min="4" max="4" width="14.28515625" customWidth="1"/>
    <col min="5" max="5" width="24" bestFit="1" customWidth="1"/>
    <col min="6" max="7" width="10" customWidth="1"/>
    <col min="8" max="8" width="10.140625" customWidth="1"/>
    <col min="9" max="9" width="8.5703125" customWidth="1"/>
    <col min="10" max="10" width="10.85546875" customWidth="1"/>
    <col min="11" max="11" width="7.85546875" customWidth="1"/>
    <col min="12" max="12" width="10" customWidth="1"/>
    <col min="13" max="15" width="12.42578125" customWidth="1"/>
    <col min="16" max="16" width="16" customWidth="1"/>
    <col min="17" max="17" width="12.42578125" customWidth="1"/>
    <col min="18" max="18" width="8.42578125" customWidth="1"/>
    <col min="19" max="21" width="9" customWidth="1"/>
    <col min="22" max="22" width="8" customWidth="1"/>
    <col min="23" max="23" width="10" bestFit="1" customWidth="1"/>
    <col min="24" max="26" width="5.5703125" customWidth="1"/>
    <col min="27" max="27" width="4.5703125" customWidth="1"/>
  </cols>
  <sheetData>
    <row r="1" spans="1:17" x14ac:dyDescent="0.25">
      <c r="A1" s="1180" t="s">
        <v>2</v>
      </c>
      <c r="B1" s="1181"/>
      <c r="C1" s="1181"/>
      <c r="D1" s="1181"/>
      <c r="E1" s="1181"/>
      <c r="F1" s="1181"/>
      <c r="G1" s="1181"/>
      <c r="H1" s="1181"/>
      <c r="I1" s="1181"/>
      <c r="J1" s="1181"/>
      <c r="K1" s="1181"/>
      <c r="L1" s="1181"/>
      <c r="M1" s="1181"/>
      <c r="N1" s="1181"/>
      <c r="O1" s="1181"/>
      <c r="P1" s="1181"/>
      <c r="Q1" s="1181"/>
    </row>
    <row r="2" spans="1:17" x14ac:dyDescent="0.25">
      <c r="A2" s="1184" t="s">
        <v>82</v>
      </c>
      <c r="B2" s="1186" t="s">
        <v>83</v>
      </c>
      <c r="C2" s="1183" t="s">
        <v>84</v>
      </c>
      <c r="D2" s="1183" t="s">
        <v>85</v>
      </c>
      <c r="E2" s="1183" t="s">
        <v>86</v>
      </c>
      <c r="F2" s="1183" t="s">
        <v>87</v>
      </c>
      <c r="G2" s="1183" t="s">
        <v>88</v>
      </c>
      <c r="H2" s="1183" t="s">
        <v>89</v>
      </c>
      <c r="I2" s="1189" t="s">
        <v>90</v>
      </c>
      <c r="J2" s="1190"/>
      <c r="K2" s="1191"/>
      <c r="L2" s="1183" t="s">
        <v>91</v>
      </c>
      <c r="M2" s="1192" t="s">
        <v>92</v>
      </c>
      <c r="N2" s="1193"/>
      <c r="O2" s="1193"/>
      <c r="P2" s="1193"/>
      <c r="Q2" s="1182" t="s">
        <v>93</v>
      </c>
    </row>
    <row r="3" spans="1:17" ht="45" x14ac:dyDescent="0.25">
      <c r="A3" s="1185"/>
      <c r="B3" s="1187"/>
      <c r="C3" s="1188"/>
      <c r="D3" s="1188"/>
      <c r="E3" s="1188"/>
      <c r="F3" s="1188"/>
      <c r="G3" s="1188"/>
      <c r="H3" s="1188"/>
      <c r="I3" s="333" t="s">
        <v>94</v>
      </c>
      <c r="J3" s="333" t="s">
        <v>95</v>
      </c>
      <c r="K3" s="333" t="s">
        <v>96</v>
      </c>
      <c r="L3" s="1188"/>
      <c r="M3" s="333" t="s">
        <v>97</v>
      </c>
      <c r="N3" s="333" t="s">
        <v>98</v>
      </c>
      <c r="O3" s="333" t="s">
        <v>99</v>
      </c>
      <c r="P3" s="6" t="s">
        <v>100</v>
      </c>
      <c r="Q3" s="1183"/>
    </row>
    <row r="4" spans="1:17" x14ac:dyDescent="0.25">
      <c r="A4" s="422">
        <v>1</v>
      </c>
      <c r="B4" s="421" t="s">
        <v>1332</v>
      </c>
      <c r="C4" s="637">
        <v>45422</v>
      </c>
      <c r="D4" s="421" t="s">
        <v>1130</v>
      </c>
      <c r="E4" s="422">
        <v>1400000</v>
      </c>
      <c r="F4" s="544">
        <v>10</v>
      </c>
      <c r="G4" s="544">
        <v>69</v>
      </c>
      <c r="H4" s="544">
        <v>79</v>
      </c>
      <c r="I4" s="614">
        <v>11.06</v>
      </c>
      <c r="J4" s="614">
        <v>0</v>
      </c>
      <c r="K4" s="614">
        <v>11.06</v>
      </c>
      <c r="L4" s="614">
        <v>616.26400000000001</v>
      </c>
      <c r="M4" s="638">
        <v>0</v>
      </c>
      <c r="N4" s="638">
        <v>664000</v>
      </c>
      <c r="O4" s="638">
        <v>665600</v>
      </c>
      <c r="P4" s="638">
        <v>70400</v>
      </c>
      <c r="Q4" s="638">
        <f t="shared" ref="Q4:Q13" si="0">SUM(M4:O4)</f>
        <v>1329600</v>
      </c>
    </row>
    <row r="5" spans="1:17" x14ac:dyDescent="0.25">
      <c r="A5" s="422">
        <f>A4+1</f>
        <v>2</v>
      </c>
      <c r="B5" s="421" t="s">
        <v>1333</v>
      </c>
      <c r="C5" s="637">
        <v>45425</v>
      </c>
      <c r="D5" s="421" t="s">
        <v>101</v>
      </c>
      <c r="E5" s="422">
        <v>40766550</v>
      </c>
      <c r="F5" s="544">
        <v>2</v>
      </c>
      <c r="G5" s="544">
        <v>450</v>
      </c>
      <c r="H5" s="544">
        <v>452</v>
      </c>
      <c r="I5" s="614">
        <v>760.88857359999997</v>
      </c>
      <c r="J5" s="614">
        <v>1081.7594864</v>
      </c>
      <c r="K5" s="614">
        <v>1841.75</v>
      </c>
      <c r="L5" s="614">
        <v>71.89</v>
      </c>
      <c r="M5" s="638">
        <v>20235170</v>
      </c>
      <c r="N5" s="544">
        <v>6070552</v>
      </c>
      <c r="O5" s="544">
        <v>14164620</v>
      </c>
      <c r="P5" s="544">
        <v>0</v>
      </c>
      <c r="Q5" s="638">
        <f t="shared" si="0"/>
        <v>40470342</v>
      </c>
    </row>
    <row r="6" spans="1:17" x14ac:dyDescent="0.25">
      <c r="A6" s="422">
        <f t="shared" ref="A6:A41" si="1">A5+1</f>
        <v>3</v>
      </c>
      <c r="B6" s="421" t="s">
        <v>1334</v>
      </c>
      <c r="C6" s="637">
        <v>45426</v>
      </c>
      <c r="D6" s="421" t="s">
        <v>1130</v>
      </c>
      <c r="E6" s="422">
        <v>6000000</v>
      </c>
      <c r="F6" s="544">
        <v>10</v>
      </c>
      <c r="G6" s="544">
        <v>21</v>
      </c>
      <c r="H6" s="544">
        <v>31</v>
      </c>
      <c r="I6" s="614">
        <v>18.600000000000001</v>
      </c>
      <c r="J6" s="614">
        <v>0</v>
      </c>
      <c r="K6" s="614">
        <v>18.600000000000001</v>
      </c>
      <c r="L6" s="614">
        <v>234.45</v>
      </c>
      <c r="M6" s="638">
        <v>2844000</v>
      </c>
      <c r="N6" s="638">
        <v>856000</v>
      </c>
      <c r="O6" s="638">
        <v>1996000</v>
      </c>
      <c r="P6" s="638">
        <v>304000</v>
      </c>
      <c r="Q6" s="638">
        <f t="shared" si="0"/>
        <v>5696000</v>
      </c>
    </row>
    <row r="7" spans="1:17" x14ac:dyDescent="0.25">
      <c r="A7" s="422">
        <f t="shared" si="1"/>
        <v>4</v>
      </c>
      <c r="B7" s="421" t="s">
        <v>1335</v>
      </c>
      <c r="C7" s="637">
        <v>45426</v>
      </c>
      <c r="D7" s="421" t="s">
        <v>1130</v>
      </c>
      <c r="E7" s="422">
        <v>3115200</v>
      </c>
      <c r="F7" s="544">
        <v>10</v>
      </c>
      <c r="G7" s="544">
        <v>65</v>
      </c>
      <c r="H7" s="544">
        <v>75</v>
      </c>
      <c r="I7" s="614">
        <v>23.364000000000001</v>
      </c>
      <c r="J7" s="614">
        <v>0</v>
      </c>
      <c r="K7" s="614">
        <v>23.364000000000001</v>
      </c>
      <c r="L7" s="614">
        <v>636.11249999999995</v>
      </c>
      <c r="M7" s="544">
        <v>1476800</v>
      </c>
      <c r="N7" s="544">
        <v>444800</v>
      </c>
      <c r="O7" s="544">
        <v>1035200</v>
      </c>
      <c r="P7" s="544">
        <v>158400</v>
      </c>
      <c r="Q7" s="638">
        <f t="shared" si="0"/>
        <v>2956800</v>
      </c>
    </row>
    <row r="8" spans="1:17" x14ac:dyDescent="0.25">
      <c r="A8" s="422">
        <f t="shared" si="1"/>
        <v>5</v>
      </c>
      <c r="B8" s="421" t="s">
        <v>1336</v>
      </c>
      <c r="C8" s="637">
        <v>45427</v>
      </c>
      <c r="D8" s="421" t="s">
        <v>1130</v>
      </c>
      <c r="E8" s="422">
        <v>3482000</v>
      </c>
      <c r="F8" s="544">
        <v>10</v>
      </c>
      <c r="G8" s="544">
        <v>42</v>
      </c>
      <c r="H8" s="544">
        <v>52</v>
      </c>
      <c r="I8" s="614">
        <v>18.106400000000001</v>
      </c>
      <c r="J8" s="614">
        <v>0</v>
      </c>
      <c r="K8" s="614">
        <v>18.106400000000001</v>
      </c>
      <c r="L8" s="614">
        <v>41.99</v>
      </c>
      <c r="M8" s="544">
        <v>0</v>
      </c>
      <c r="N8" s="544">
        <v>1652000</v>
      </c>
      <c r="O8" s="544">
        <v>1652000</v>
      </c>
      <c r="P8" s="544">
        <v>178000</v>
      </c>
      <c r="Q8" s="638">
        <f t="shared" si="0"/>
        <v>3304000</v>
      </c>
    </row>
    <row r="9" spans="1:17" x14ac:dyDescent="0.25">
      <c r="A9" s="422">
        <f t="shared" si="1"/>
        <v>6</v>
      </c>
      <c r="B9" s="421" t="s">
        <v>1337</v>
      </c>
      <c r="C9" s="637">
        <v>45427</v>
      </c>
      <c r="D9" s="421" t="s">
        <v>101</v>
      </c>
      <c r="E9" s="422">
        <v>16856623</v>
      </c>
      <c r="F9" s="544">
        <v>1</v>
      </c>
      <c r="G9" s="544">
        <v>919</v>
      </c>
      <c r="H9" s="544">
        <v>920</v>
      </c>
      <c r="I9" s="614">
        <v>399.99999200000002</v>
      </c>
      <c r="J9" s="614">
        <v>1150.8093240000001</v>
      </c>
      <c r="K9" s="614">
        <v>1550.8093160000001</v>
      </c>
      <c r="L9" s="614">
        <v>86.914900000000003</v>
      </c>
      <c r="M9" s="544">
        <v>12618012</v>
      </c>
      <c r="N9" s="544">
        <v>2523602</v>
      </c>
      <c r="O9" s="544">
        <v>1682401</v>
      </c>
      <c r="P9" s="544">
        <v>0</v>
      </c>
      <c r="Q9" s="638">
        <f t="shared" si="0"/>
        <v>16824015</v>
      </c>
    </row>
    <row r="10" spans="1:17" x14ac:dyDescent="0.25">
      <c r="A10" s="422">
        <f t="shared" si="1"/>
        <v>7</v>
      </c>
      <c r="B10" s="421" t="s">
        <v>1338</v>
      </c>
      <c r="C10" s="637">
        <v>45427</v>
      </c>
      <c r="D10" s="421" t="s">
        <v>101</v>
      </c>
      <c r="E10" s="422">
        <v>95255598</v>
      </c>
      <c r="F10" s="544">
        <v>10</v>
      </c>
      <c r="G10" s="544">
        <v>305</v>
      </c>
      <c r="H10" s="544">
        <v>315</v>
      </c>
      <c r="I10" s="614">
        <v>1000.5513525</v>
      </c>
      <c r="J10" s="614">
        <v>1999.9999845</v>
      </c>
      <c r="K10" s="614">
        <v>3000</v>
      </c>
      <c r="L10" s="614">
        <v>26.777100000000001</v>
      </c>
      <c r="M10" s="638">
        <v>47507935</v>
      </c>
      <c r="N10" s="638">
        <v>14252381</v>
      </c>
      <c r="O10" s="638">
        <v>33255556</v>
      </c>
      <c r="P10" s="638">
        <v>0</v>
      </c>
      <c r="Q10" s="638">
        <f t="shared" si="0"/>
        <v>95015872</v>
      </c>
    </row>
    <row r="11" spans="1:17" x14ac:dyDescent="0.25">
      <c r="A11" s="422">
        <f t="shared" si="1"/>
        <v>8</v>
      </c>
      <c r="B11" s="421" t="s">
        <v>1339</v>
      </c>
      <c r="C11" s="637">
        <v>45428</v>
      </c>
      <c r="D11" s="421" t="s">
        <v>1130</v>
      </c>
      <c r="E11" s="422">
        <v>2982000</v>
      </c>
      <c r="F11" s="544">
        <v>10</v>
      </c>
      <c r="G11" s="544">
        <v>128</v>
      </c>
      <c r="H11" s="544">
        <v>138</v>
      </c>
      <c r="I11" s="614">
        <v>41.151600000000002</v>
      </c>
      <c r="J11" s="614">
        <v>0</v>
      </c>
      <c r="K11" s="614">
        <v>41.151600000000002</v>
      </c>
      <c r="L11" s="614">
        <v>332.83</v>
      </c>
      <c r="M11" s="638">
        <v>1415000</v>
      </c>
      <c r="N11" s="638">
        <v>425000</v>
      </c>
      <c r="O11" s="638">
        <v>992000</v>
      </c>
      <c r="P11" s="638">
        <v>150000</v>
      </c>
      <c r="Q11" s="638">
        <f t="shared" si="0"/>
        <v>2832000</v>
      </c>
    </row>
    <row r="12" spans="1:17" x14ac:dyDescent="0.25">
      <c r="A12" s="422">
        <f t="shared" si="1"/>
        <v>9</v>
      </c>
      <c r="B12" s="421" t="s">
        <v>1340</v>
      </c>
      <c r="C12" s="637">
        <v>45429</v>
      </c>
      <c r="D12" s="421" t="s">
        <v>1130</v>
      </c>
      <c r="E12" s="422">
        <v>6024000</v>
      </c>
      <c r="F12" s="544">
        <v>10</v>
      </c>
      <c r="G12" s="544">
        <v>57</v>
      </c>
      <c r="H12" s="544">
        <v>67</v>
      </c>
      <c r="I12" s="614">
        <v>40.360799999999998</v>
      </c>
      <c r="J12" s="614">
        <v>0</v>
      </c>
      <c r="K12" s="614">
        <v>40.360799999999998</v>
      </c>
      <c r="L12" s="614">
        <v>126.7</v>
      </c>
      <c r="M12" s="544">
        <v>2858000</v>
      </c>
      <c r="N12" s="544">
        <v>858000</v>
      </c>
      <c r="O12" s="544">
        <v>2004000</v>
      </c>
      <c r="P12" s="544">
        <v>304000</v>
      </c>
      <c r="Q12" s="638">
        <f t="shared" si="0"/>
        <v>5720000</v>
      </c>
    </row>
    <row r="13" spans="1:17" x14ac:dyDescent="0.25">
      <c r="A13" s="422">
        <f t="shared" si="1"/>
        <v>10</v>
      </c>
      <c r="B13" s="421" t="s">
        <v>1341</v>
      </c>
      <c r="C13" s="637">
        <v>45433</v>
      </c>
      <c r="D13" s="421" t="s">
        <v>1130</v>
      </c>
      <c r="E13" s="422">
        <v>3768000</v>
      </c>
      <c r="F13" s="544">
        <v>10</v>
      </c>
      <c r="G13" s="544">
        <v>57</v>
      </c>
      <c r="H13" s="544">
        <v>67</v>
      </c>
      <c r="I13" s="614">
        <v>25.2456</v>
      </c>
      <c r="J13" s="614">
        <v>0</v>
      </c>
      <c r="K13" s="614">
        <v>25.2456</v>
      </c>
      <c r="L13" s="614">
        <v>89.56</v>
      </c>
      <c r="M13" s="638">
        <v>0</v>
      </c>
      <c r="N13" s="638">
        <v>1448000</v>
      </c>
      <c r="O13" s="638">
        <v>2130000</v>
      </c>
      <c r="P13" s="638">
        <v>190000</v>
      </c>
      <c r="Q13" s="638">
        <f t="shared" si="0"/>
        <v>3578000</v>
      </c>
    </row>
    <row r="14" spans="1:17" x14ac:dyDescent="0.25">
      <c r="A14" s="422">
        <f t="shared" si="1"/>
        <v>11</v>
      </c>
      <c r="B14" s="421" t="s">
        <v>1342</v>
      </c>
      <c r="C14" s="637">
        <v>45433</v>
      </c>
      <c r="D14" s="421" t="s">
        <v>1130</v>
      </c>
      <c r="E14" s="422">
        <v>6550000</v>
      </c>
      <c r="F14" s="544">
        <v>10</v>
      </c>
      <c r="G14" s="544">
        <v>137</v>
      </c>
      <c r="H14" s="544">
        <v>147</v>
      </c>
      <c r="I14" s="614">
        <v>96.284999999999997</v>
      </c>
      <c r="J14" s="614">
        <v>0</v>
      </c>
      <c r="K14" s="614">
        <v>96.284999999999997</v>
      </c>
      <c r="L14" s="614">
        <v>105.61</v>
      </c>
      <c r="M14" s="544">
        <v>3069000</v>
      </c>
      <c r="N14" s="544">
        <v>922000</v>
      </c>
      <c r="O14" s="544">
        <v>2149000</v>
      </c>
      <c r="P14" s="544">
        <v>410000</v>
      </c>
      <c r="Q14" s="638">
        <f t="shared" ref="Q14:Q41" si="2">SUM(M14:O14)</f>
        <v>6140000</v>
      </c>
    </row>
    <row r="15" spans="1:17" x14ac:dyDescent="0.25">
      <c r="A15" s="422">
        <f t="shared" si="1"/>
        <v>12</v>
      </c>
      <c r="B15" s="421" t="s">
        <v>1343</v>
      </c>
      <c r="C15" s="637">
        <v>45433</v>
      </c>
      <c r="D15" s="421" t="s">
        <v>1130</v>
      </c>
      <c r="E15" s="422">
        <v>744000</v>
      </c>
      <c r="F15" s="544">
        <v>10</v>
      </c>
      <c r="G15" s="544">
        <v>104</v>
      </c>
      <c r="H15" s="544">
        <v>114</v>
      </c>
      <c r="I15" s="614">
        <v>8.4816000000000003</v>
      </c>
      <c r="J15" s="614">
        <v>0</v>
      </c>
      <c r="K15" s="614">
        <v>8.4816000000000003</v>
      </c>
      <c r="L15" s="614">
        <v>581.62</v>
      </c>
      <c r="M15" s="638">
        <v>351600</v>
      </c>
      <c r="N15" s="638">
        <v>106800</v>
      </c>
      <c r="O15" s="638">
        <v>248400</v>
      </c>
      <c r="P15" s="638">
        <v>37200</v>
      </c>
      <c r="Q15" s="638">
        <f t="shared" si="2"/>
        <v>706800</v>
      </c>
    </row>
    <row r="16" spans="1:17" x14ac:dyDescent="0.25">
      <c r="A16" s="422">
        <f t="shared" si="1"/>
        <v>13</v>
      </c>
      <c r="B16" s="421" t="s">
        <v>1344</v>
      </c>
      <c r="C16" s="637">
        <v>45434</v>
      </c>
      <c r="D16" s="421" t="s">
        <v>1130</v>
      </c>
      <c r="E16" s="422">
        <v>3211000</v>
      </c>
      <c r="F16" s="544">
        <v>10</v>
      </c>
      <c r="G16" s="544">
        <v>122</v>
      </c>
      <c r="H16" s="544">
        <v>132</v>
      </c>
      <c r="I16" s="614">
        <v>42.385199999999998</v>
      </c>
      <c r="J16" s="614">
        <v>0</v>
      </c>
      <c r="K16" s="614">
        <v>42.385199999999998</v>
      </c>
      <c r="L16" s="614">
        <v>469.14</v>
      </c>
      <c r="M16" s="638">
        <v>1520000</v>
      </c>
      <c r="N16" s="638">
        <v>460000</v>
      </c>
      <c r="O16" s="638">
        <v>1070000</v>
      </c>
      <c r="P16" s="638">
        <v>161000</v>
      </c>
      <c r="Q16" s="638">
        <f t="shared" si="2"/>
        <v>3050000</v>
      </c>
    </row>
    <row r="17" spans="1:17" x14ac:dyDescent="0.25">
      <c r="A17" s="422">
        <f t="shared" si="1"/>
        <v>14</v>
      </c>
      <c r="B17" s="421" t="s">
        <v>1345</v>
      </c>
      <c r="C17" s="637">
        <v>45435</v>
      </c>
      <c r="D17" s="421" t="s">
        <v>1130</v>
      </c>
      <c r="E17" s="422">
        <v>4449600</v>
      </c>
      <c r="F17" s="544">
        <v>10</v>
      </c>
      <c r="G17" s="638">
        <v>87</v>
      </c>
      <c r="H17" s="544">
        <v>97</v>
      </c>
      <c r="I17" s="614">
        <v>43.161119999999997</v>
      </c>
      <c r="J17" s="614">
        <v>0</v>
      </c>
      <c r="K17" s="614">
        <v>43.161119999999997</v>
      </c>
      <c r="L17" s="614">
        <v>90.05</v>
      </c>
      <c r="M17" s="544">
        <v>2067600</v>
      </c>
      <c r="N17" s="544">
        <v>655200</v>
      </c>
      <c r="O17" s="544">
        <v>1498800</v>
      </c>
      <c r="P17" s="544">
        <v>228000</v>
      </c>
      <c r="Q17" s="638">
        <f t="shared" si="2"/>
        <v>4221600</v>
      </c>
    </row>
    <row r="18" spans="1:17" x14ac:dyDescent="0.25">
      <c r="A18" s="422">
        <f t="shared" si="1"/>
        <v>15</v>
      </c>
      <c r="B18" s="421" t="s">
        <v>1346</v>
      </c>
      <c r="C18" s="637">
        <v>45435</v>
      </c>
      <c r="D18" s="421" t="s">
        <v>101</v>
      </c>
      <c r="E18" s="422">
        <v>96126686</v>
      </c>
      <c r="F18" s="544">
        <v>10</v>
      </c>
      <c r="G18" s="544">
        <v>262</v>
      </c>
      <c r="H18" s="544">
        <v>272</v>
      </c>
      <c r="I18" s="614">
        <v>1124.9999968</v>
      </c>
      <c r="J18" s="614">
        <v>1489.6458623999999</v>
      </c>
      <c r="K18" s="614">
        <v>2614.6458591999999</v>
      </c>
      <c r="L18" s="614">
        <v>10.029999999999999</v>
      </c>
      <c r="M18" s="544">
        <v>72095016</v>
      </c>
      <c r="N18" s="544">
        <v>14419002</v>
      </c>
      <c r="O18" s="544">
        <v>9612668</v>
      </c>
      <c r="P18" s="544">
        <v>0</v>
      </c>
      <c r="Q18" s="638">
        <f t="shared" si="2"/>
        <v>96126686</v>
      </c>
    </row>
    <row r="19" spans="1:17" x14ac:dyDescent="0.25">
      <c r="A19" s="422">
        <f t="shared" si="1"/>
        <v>16</v>
      </c>
      <c r="B19" s="421" t="s">
        <v>1347</v>
      </c>
      <c r="C19" s="637">
        <v>45436</v>
      </c>
      <c r="D19" s="421" t="s">
        <v>1130</v>
      </c>
      <c r="E19" s="422">
        <v>1155000</v>
      </c>
      <c r="F19" s="544">
        <v>10</v>
      </c>
      <c r="G19" s="544">
        <v>38</v>
      </c>
      <c r="H19" s="544">
        <v>48</v>
      </c>
      <c r="I19" s="614">
        <v>5.5439999999999996</v>
      </c>
      <c r="J19" s="614">
        <v>0</v>
      </c>
      <c r="K19" s="614">
        <v>5.5439999999999996</v>
      </c>
      <c r="L19" s="614">
        <v>1835.5481</v>
      </c>
      <c r="M19" s="544">
        <v>0</v>
      </c>
      <c r="N19" s="544">
        <v>381000</v>
      </c>
      <c r="O19" s="544">
        <v>681000</v>
      </c>
      <c r="P19" s="544">
        <v>93000</v>
      </c>
      <c r="Q19" s="638">
        <f t="shared" si="2"/>
        <v>1062000</v>
      </c>
    </row>
    <row r="20" spans="1:17" x14ac:dyDescent="0.25">
      <c r="A20" s="422">
        <f t="shared" si="1"/>
        <v>17</v>
      </c>
      <c r="B20" s="421" t="s">
        <v>1348</v>
      </c>
      <c r="C20" s="637">
        <v>45436</v>
      </c>
      <c r="D20" s="421" t="s">
        <v>1130</v>
      </c>
      <c r="E20" s="422">
        <v>1123200</v>
      </c>
      <c r="F20" s="544">
        <v>10</v>
      </c>
      <c r="G20" s="544">
        <v>225</v>
      </c>
      <c r="H20" s="544">
        <v>235</v>
      </c>
      <c r="I20" s="614">
        <v>19.796399999999998</v>
      </c>
      <c r="J20" s="614">
        <v>6.5987999999999998</v>
      </c>
      <c r="K20" s="614">
        <v>26.395199999999999</v>
      </c>
      <c r="L20" s="614">
        <v>691.07</v>
      </c>
      <c r="M20" s="638">
        <v>532800</v>
      </c>
      <c r="N20" s="638">
        <v>160200</v>
      </c>
      <c r="O20" s="638">
        <v>373800</v>
      </c>
      <c r="P20" s="638">
        <v>56400</v>
      </c>
      <c r="Q20" s="638">
        <f t="shared" si="2"/>
        <v>1066800</v>
      </c>
    </row>
    <row r="21" spans="1:17" x14ac:dyDescent="0.25">
      <c r="A21" s="422">
        <f t="shared" si="1"/>
        <v>18</v>
      </c>
      <c r="B21" s="421" t="s">
        <v>1349</v>
      </c>
      <c r="C21" s="637">
        <v>45442</v>
      </c>
      <c r="D21" s="421" t="s">
        <v>101</v>
      </c>
      <c r="E21" s="422">
        <v>15639638</v>
      </c>
      <c r="F21" s="544">
        <v>10</v>
      </c>
      <c r="G21" s="544">
        <v>373</v>
      </c>
      <c r="H21" s="544">
        <v>383</v>
      </c>
      <c r="I21" s="614">
        <v>128.0728637</v>
      </c>
      <c r="J21" s="614">
        <v>470.9252717</v>
      </c>
      <c r="K21" s="614">
        <v>598.92526780000003</v>
      </c>
      <c r="L21" s="614">
        <v>111.49</v>
      </c>
      <c r="M21" s="638">
        <v>11714549</v>
      </c>
      <c r="N21" s="638">
        <v>2342909</v>
      </c>
      <c r="O21" s="638">
        <v>1561939</v>
      </c>
      <c r="P21" s="638">
        <v>0</v>
      </c>
      <c r="Q21" s="638">
        <f t="shared" si="2"/>
        <v>15619397</v>
      </c>
    </row>
    <row r="22" spans="1:17" x14ac:dyDescent="0.25">
      <c r="A22" s="422">
        <f t="shared" si="1"/>
        <v>19</v>
      </c>
      <c r="B22" s="421" t="s">
        <v>1350</v>
      </c>
      <c r="C22" s="637">
        <v>45443</v>
      </c>
      <c r="D22" s="421" t="s">
        <v>1130</v>
      </c>
      <c r="E22" s="422">
        <v>3440000</v>
      </c>
      <c r="F22" s="544">
        <v>10</v>
      </c>
      <c r="G22" s="544">
        <v>22</v>
      </c>
      <c r="H22" s="544">
        <v>32</v>
      </c>
      <c r="I22" s="614">
        <v>11.007999999999999</v>
      </c>
      <c r="J22" s="614">
        <v>0</v>
      </c>
      <c r="K22" s="614">
        <v>11.007999999999999</v>
      </c>
      <c r="L22" s="614">
        <v>281.54000000000002</v>
      </c>
      <c r="M22" s="638">
        <v>0</v>
      </c>
      <c r="N22" s="638">
        <v>1632000</v>
      </c>
      <c r="O22" s="638">
        <v>1632000</v>
      </c>
      <c r="P22" s="638">
        <v>176000</v>
      </c>
      <c r="Q22" s="638">
        <f t="shared" si="2"/>
        <v>3264000</v>
      </c>
    </row>
    <row r="23" spans="1:17" x14ac:dyDescent="0.25">
      <c r="A23" s="422">
        <f t="shared" si="1"/>
        <v>20</v>
      </c>
      <c r="B23" s="421" t="s">
        <v>1351</v>
      </c>
      <c r="C23" s="637">
        <v>45420</v>
      </c>
      <c r="D23" s="421" t="s">
        <v>1352</v>
      </c>
      <c r="E23" s="422">
        <v>3840000</v>
      </c>
      <c r="F23" s="544">
        <v>10</v>
      </c>
      <c r="G23" s="544">
        <v>68</v>
      </c>
      <c r="H23" s="544">
        <v>78</v>
      </c>
      <c r="I23" s="614">
        <v>29.952000000000002</v>
      </c>
      <c r="J23" s="614">
        <v>0</v>
      </c>
      <c r="K23" s="614">
        <v>29.95</v>
      </c>
      <c r="L23" s="614">
        <v>290.57</v>
      </c>
      <c r="M23" s="638">
        <v>320.52199999999999</v>
      </c>
      <c r="N23" s="638">
        <v>547200</v>
      </c>
      <c r="O23" s="638">
        <v>1275200</v>
      </c>
      <c r="P23" s="638">
        <v>200000</v>
      </c>
      <c r="Q23" s="638">
        <f t="shared" si="2"/>
        <v>1822720.5219999999</v>
      </c>
    </row>
    <row r="24" spans="1:17" x14ac:dyDescent="0.25">
      <c r="A24" s="422">
        <f t="shared" si="1"/>
        <v>21</v>
      </c>
      <c r="B24" s="421" t="s">
        <v>1353</v>
      </c>
      <c r="C24" s="637">
        <v>45420</v>
      </c>
      <c r="D24" s="421" t="s">
        <v>1352</v>
      </c>
      <c r="E24" s="422">
        <v>2292000</v>
      </c>
      <c r="F24" s="544">
        <v>10</v>
      </c>
      <c r="G24" s="544">
        <v>45</v>
      </c>
      <c r="H24" s="544">
        <v>55</v>
      </c>
      <c r="I24" s="614">
        <v>12.606</v>
      </c>
      <c r="J24" s="614">
        <v>0</v>
      </c>
      <c r="K24" s="614">
        <v>12.6</v>
      </c>
      <c r="L24" s="614">
        <v>785.48</v>
      </c>
      <c r="M24" s="544">
        <v>798.08600000000001</v>
      </c>
      <c r="N24" s="544">
        <v>326000</v>
      </c>
      <c r="O24" s="544">
        <v>762000</v>
      </c>
      <c r="P24" s="544">
        <v>120000</v>
      </c>
      <c r="Q24" s="638">
        <f t="shared" si="2"/>
        <v>1088798.0860000001</v>
      </c>
    </row>
    <row r="25" spans="1:17" x14ac:dyDescent="0.25">
      <c r="A25" s="422">
        <f t="shared" si="1"/>
        <v>22</v>
      </c>
      <c r="B25" s="421" t="s">
        <v>1354</v>
      </c>
      <c r="C25" s="637">
        <v>45426</v>
      </c>
      <c r="D25" s="421" t="s">
        <v>1352</v>
      </c>
      <c r="E25" s="422">
        <v>1100000</v>
      </c>
      <c r="F25" s="544">
        <v>10</v>
      </c>
      <c r="G25" s="544">
        <v>113</v>
      </c>
      <c r="H25" s="544">
        <v>123</v>
      </c>
      <c r="I25" s="614">
        <v>13.53</v>
      </c>
      <c r="J25" s="614">
        <v>0</v>
      </c>
      <c r="K25" s="614">
        <v>13.53</v>
      </c>
      <c r="L25" s="614">
        <v>36.6</v>
      </c>
      <c r="M25" s="638">
        <v>50.13</v>
      </c>
      <c r="N25" s="638">
        <v>491000</v>
      </c>
      <c r="O25" s="638">
        <v>551000</v>
      </c>
      <c r="P25" s="638">
        <v>58000</v>
      </c>
      <c r="Q25" s="638">
        <f t="shared" si="2"/>
        <v>1042050.13</v>
      </c>
    </row>
    <row r="26" spans="1:17" x14ac:dyDescent="0.25">
      <c r="A26" s="422">
        <f t="shared" si="1"/>
        <v>23</v>
      </c>
      <c r="B26" s="421" t="s">
        <v>1355</v>
      </c>
      <c r="C26" s="637">
        <v>45427</v>
      </c>
      <c r="D26" s="421" t="s">
        <v>1352</v>
      </c>
      <c r="E26" s="422">
        <v>687600</v>
      </c>
      <c r="F26" s="544">
        <v>10</v>
      </c>
      <c r="G26" s="544">
        <v>83</v>
      </c>
      <c r="H26" s="544">
        <v>93</v>
      </c>
      <c r="I26" s="614">
        <v>6.3946800000000001</v>
      </c>
      <c r="J26" s="614">
        <v>0</v>
      </c>
      <c r="K26" s="614">
        <v>6.4</v>
      </c>
      <c r="L26" s="614">
        <v>46.56</v>
      </c>
      <c r="M26" s="638">
        <v>52.954680000000003</v>
      </c>
      <c r="N26" s="638">
        <v>326400</v>
      </c>
      <c r="O26" s="638">
        <v>326400</v>
      </c>
      <c r="P26" s="638">
        <v>34800</v>
      </c>
      <c r="Q26" s="638">
        <f t="shared" si="2"/>
        <v>652852.95467999997</v>
      </c>
    </row>
    <row r="27" spans="1:17" x14ac:dyDescent="0.25">
      <c r="A27" s="422">
        <f t="shared" si="1"/>
        <v>24</v>
      </c>
      <c r="B27" s="421" t="s">
        <v>1356</v>
      </c>
      <c r="C27" s="637">
        <v>45429</v>
      </c>
      <c r="D27" s="421" t="s">
        <v>1352</v>
      </c>
      <c r="E27" s="422">
        <v>3600000</v>
      </c>
      <c r="F27" s="544">
        <v>10</v>
      </c>
      <c r="G27" s="544">
        <v>57</v>
      </c>
      <c r="H27" s="544">
        <v>67</v>
      </c>
      <c r="I27" s="614">
        <v>24.12</v>
      </c>
      <c r="J27" s="614">
        <v>0</v>
      </c>
      <c r="K27" s="614">
        <v>24.12</v>
      </c>
      <c r="L27" s="614">
        <v>235.7</v>
      </c>
      <c r="M27" s="544">
        <v>259.82</v>
      </c>
      <c r="N27" s="544">
        <v>514000</v>
      </c>
      <c r="O27" s="544">
        <v>1198000</v>
      </c>
      <c r="P27" s="544">
        <v>182000</v>
      </c>
      <c r="Q27" s="638">
        <f t="shared" si="2"/>
        <v>1712259.82</v>
      </c>
    </row>
    <row r="28" spans="1:17" x14ac:dyDescent="0.25">
      <c r="A28" s="422">
        <f t="shared" si="1"/>
        <v>25</v>
      </c>
      <c r="B28" s="421" t="s">
        <v>1357</v>
      </c>
      <c r="C28" s="637">
        <v>45420</v>
      </c>
      <c r="D28" s="421" t="s">
        <v>1352</v>
      </c>
      <c r="E28" s="422">
        <v>2500000</v>
      </c>
      <c r="F28" s="544">
        <v>10</v>
      </c>
      <c r="G28" s="544">
        <v>50</v>
      </c>
      <c r="H28" s="544">
        <v>60</v>
      </c>
      <c r="I28" s="614">
        <v>15</v>
      </c>
      <c r="J28" s="614">
        <v>0</v>
      </c>
      <c r="K28" s="614">
        <v>15</v>
      </c>
      <c r="L28" s="614">
        <v>569.20000000000005</v>
      </c>
      <c r="M28" s="544">
        <v>584.20000000000005</v>
      </c>
      <c r="N28" s="544">
        <v>1186000</v>
      </c>
      <c r="O28" s="544">
        <v>1186000</v>
      </c>
      <c r="P28" s="544">
        <v>128000</v>
      </c>
      <c r="Q28" s="638">
        <f t="shared" si="2"/>
        <v>2372584.2000000002</v>
      </c>
    </row>
    <row r="29" spans="1:17" x14ac:dyDescent="0.25">
      <c r="A29" s="422">
        <f t="shared" si="1"/>
        <v>26</v>
      </c>
      <c r="B29" s="421" t="s">
        <v>1358</v>
      </c>
      <c r="C29" s="637">
        <v>45429</v>
      </c>
      <c r="D29" s="421" t="s">
        <v>1352</v>
      </c>
      <c r="E29" s="422">
        <v>1539600</v>
      </c>
      <c r="F29" s="544">
        <v>10</v>
      </c>
      <c r="G29" s="544">
        <v>84</v>
      </c>
      <c r="H29" s="544">
        <v>94</v>
      </c>
      <c r="I29" s="614">
        <v>14.472239999999999</v>
      </c>
      <c r="J29" s="614">
        <v>0</v>
      </c>
      <c r="K29" s="614">
        <v>14.47</v>
      </c>
      <c r="L29" s="614">
        <v>120.88</v>
      </c>
      <c r="M29" s="638">
        <v>135.35223999999999</v>
      </c>
      <c r="N29" s="638">
        <v>730800</v>
      </c>
      <c r="O29" s="638">
        <v>730800</v>
      </c>
      <c r="P29" s="638">
        <v>78000</v>
      </c>
      <c r="Q29" s="638">
        <f t="shared" si="2"/>
        <v>1461735.3522399999</v>
      </c>
    </row>
    <row r="30" spans="1:17" x14ac:dyDescent="0.25">
      <c r="A30" s="422">
        <f t="shared" si="1"/>
        <v>27</v>
      </c>
      <c r="B30" s="421" t="s">
        <v>1359</v>
      </c>
      <c r="C30" s="637">
        <v>45439</v>
      </c>
      <c r="D30" s="421" t="s">
        <v>102</v>
      </c>
      <c r="E30" s="422">
        <v>14196000</v>
      </c>
      <c r="F30" s="544">
        <v>1.25</v>
      </c>
      <c r="G30" s="544">
        <v>0.5</v>
      </c>
      <c r="H30" s="544">
        <v>1.75</v>
      </c>
      <c r="I30" s="614">
        <v>2.4843000000000002</v>
      </c>
      <c r="J30" s="614">
        <v>0</v>
      </c>
      <c r="K30" s="614">
        <v>9.94</v>
      </c>
      <c r="L30" s="614">
        <v>1.9008</v>
      </c>
      <c r="M30" s="638">
        <v>0</v>
      </c>
      <c r="N30" s="638">
        <v>0</v>
      </c>
      <c r="O30" s="638">
        <v>0</v>
      </c>
      <c r="P30" s="638">
        <v>0</v>
      </c>
      <c r="Q30" s="638">
        <f t="shared" si="2"/>
        <v>0</v>
      </c>
    </row>
    <row r="31" spans="1:17" x14ac:dyDescent="0.25">
      <c r="A31" s="422">
        <f t="shared" si="1"/>
        <v>28</v>
      </c>
      <c r="B31" s="421" t="s">
        <v>1360</v>
      </c>
      <c r="C31" s="637">
        <v>45415</v>
      </c>
      <c r="D31" s="421" t="s">
        <v>102</v>
      </c>
      <c r="E31" s="422">
        <v>9661315</v>
      </c>
      <c r="F31" s="544">
        <v>10</v>
      </c>
      <c r="G31" s="544">
        <v>40</v>
      </c>
      <c r="H31" s="544">
        <v>50</v>
      </c>
      <c r="I31" s="614">
        <v>48.306575000000002</v>
      </c>
      <c r="J31" s="614">
        <v>0</v>
      </c>
      <c r="K31" s="614">
        <v>48.3</v>
      </c>
      <c r="L31" s="614">
        <v>0.1573</v>
      </c>
      <c r="M31" s="544">
        <v>0</v>
      </c>
      <c r="N31" s="544">
        <v>0</v>
      </c>
      <c r="O31" s="544">
        <v>0</v>
      </c>
      <c r="P31" s="544">
        <v>0</v>
      </c>
      <c r="Q31" s="638">
        <f t="shared" si="2"/>
        <v>0</v>
      </c>
    </row>
    <row r="32" spans="1:17" x14ac:dyDescent="0.25">
      <c r="A32" s="422">
        <f t="shared" si="1"/>
        <v>29</v>
      </c>
      <c r="B32" s="421" t="s">
        <v>1361</v>
      </c>
      <c r="C32" s="637">
        <v>45436</v>
      </c>
      <c r="D32" s="421" t="s">
        <v>102</v>
      </c>
      <c r="E32" s="422">
        <v>1616000</v>
      </c>
      <c r="F32" s="544">
        <v>10</v>
      </c>
      <c r="G32" s="544">
        <v>8</v>
      </c>
      <c r="H32" s="544">
        <v>18</v>
      </c>
      <c r="I32" s="614">
        <v>2.9087999999999998</v>
      </c>
      <c r="J32" s="614">
        <v>0</v>
      </c>
      <c r="K32" s="614">
        <v>29.088000000000001</v>
      </c>
      <c r="L32" s="614">
        <v>1.0102</v>
      </c>
      <c r="M32" s="544">
        <v>0</v>
      </c>
      <c r="N32" s="544">
        <v>0</v>
      </c>
      <c r="O32" s="544">
        <v>0</v>
      </c>
      <c r="P32" s="544">
        <v>0</v>
      </c>
      <c r="Q32" s="638">
        <f t="shared" si="2"/>
        <v>0</v>
      </c>
    </row>
    <row r="33" spans="1:17" x14ac:dyDescent="0.25">
      <c r="A33" s="422">
        <f t="shared" si="1"/>
        <v>30</v>
      </c>
      <c r="B33" s="421" t="s">
        <v>1362</v>
      </c>
      <c r="C33" s="637">
        <v>45436</v>
      </c>
      <c r="D33" s="421" t="s">
        <v>102</v>
      </c>
      <c r="E33" s="422">
        <v>8000000</v>
      </c>
      <c r="F33" s="544">
        <v>10</v>
      </c>
      <c r="G33" s="544">
        <v>25</v>
      </c>
      <c r="H33" s="544">
        <v>35</v>
      </c>
      <c r="I33" s="614">
        <v>28</v>
      </c>
      <c r="J33" s="614">
        <v>0</v>
      </c>
      <c r="K33" s="614">
        <v>28</v>
      </c>
      <c r="L33" s="614">
        <v>1.2538</v>
      </c>
      <c r="M33" s="544">
        <v>0</v>
      </c>
      <c r="N33" s="544">
        <v>0</v>
      </c>
      <c r="O33" s="544">
        <v>0</v>
      </c>
      <c r="P33" s="544">
        <v>0</v>
      </c>
      <c r="Q33" s="638">
        <f t="shared" si="2"/>
        <v>0</v>
      </c>
    </row>
    <row r="34" spans="1:17" x14ac:dyDescent="0.25">
      <c r="A34" s="422">
        <f t="shared" si="1"/>
        <v>31</v>
      </c>
      <c r="B34" s="421" t="s">
        <v>1363</v>
      </c>
      <c r="C34" s="637">
        <v>45427</v>
      </c>
      <c r="D34" s="421" t="s">
        <v>102</v>
      </c>
      <c r="E34" s="422">
        <v>98800000</v>
      </c>
      <c r="F34" s="544">
        <v>2</v>
      </c>
      <c r="G34" s="544">
        <v>3</v>
      </c>
      <c r="H34" s="544">
        <v>5</v>
      </c>
      <c r="I34" s="614">
        <v>49.4</v>
      </c>
      <c r="J34" s="614">
        <v>0</v>
      </c>
      <c r="K34" s="614">
        <v>49.4</v>
      </c>
      <c r="L34" s="614">
        <v>1.0294000000000001</v>
      </c>
      <c r="M34" s="544">
        <v>0</v>
      </c>
      <c r="N34" s="544">
        <v>0</v>
      </c>
      <c r="O34" s="544">
        <v>0</v>
      </c>
      <c r="P34" s="544">
        <v>0</v>
      </c>
      <c r="Q34" s="638">
        <f t="shared" si="2"/>
        <v>0</v>
      </c>
    </row>
    <row r="35" spans="1:17" s="619" customFormat="1" x14ac:dyDescent="0.25">
      <c r="A35" s="1043">
        <f t="shared" si="1"/>
        <v>32</v>
      </c>
      <c r="B35" s="1044" t="s">
        <v>1364</v>
      </c>
      <c r="C35" s="1045">
        <v>45426</v>
      </c>
      <c r="D35" s="1044" t="s">
        <v>102</v>
      </c>
      <c r="E35" s="1043">
        <v>100000000</v>
      </c>
      <c r="F35" s="1046">
        <v>2</v>
      </c>
      <c r="G35" s="1046">
        <v>38</v>
      </c>
      <c r="H35" s="1046">
        <v>40</v>
      </c>
      <c r="I35" s="1047">
        <v>400</v>
      </c>
      <c r="J35" s="1047">
        <v>0</v>
      </c>
      <c r="K35" s="614">
        <v>400</v>
      </c>
      <c r="L35" s="1047">
        <v>1.1445000000000001</v>
      </c>
      <c r="M35" s="1046">
        <v>0</v>
      </c>
      <c r="N35" s="1046">
        <v>0</v>
      </c>
      <c r="O35" s="1046">
        <v>0</v>
      </c>
      <c r="P35" s="1046">
        <v>0</v>
      </c>
      <c r="Q35" s="638">
        <f t="shared" si="2"/>
        <v>0</v>
      </c>
    </row>
    <row r="36" spans="1:17" x14ac:dyDescent="0.25">
      <c r="A36" s="422">
        <f t="shared" si="1"/>
        <v>33</v>
      </c>
      <c r="B36" s="421" t="s">
        <v>1365</v>
      </c>
      <c r="C36" s="637">
        <v>45425</v>
      </c>
      <c r="D36" s="421" t="s">
        <v>102</v>
      </c>
      <c r="E36" s="422">
        <v>19393544</v>
      </c>
      <c r="F36" s="544">
        <v>5</v>
      </c>
      <c r="G36" s="544">
        <v>5</v>
      </c>
      <c r="H36" s="544">
        <v>10</v>
      </c>
      <c r="I36" s="614">
        <v>19.393543999999999</v>
      </c>
      <c r="J36" s="614">
        <v>0</v>
      </c>
      <c r="K36" s="614">
        <v>38.78</v>
      </c>
      <c r="L36" s="614">
        <v>0.17466999999999999</v>
      </c>
      <c r="M36" s="544">
        <v>0</v>
      </c>
      <c r="N36" s="544">
        <v>0</v>
      </c>
      <c r="O36" s="544">
        <v>0</v>
      </c>
      <c r="P36" s="544">
        <v>0</v>
      </c>
      <c r="Q36" s="638">
        <f t="shared" si="2"/>
        <v>0</v>
      </c>
    </row>
    <row r="37" spans="1:17" x14ac:dyDescent="0.25">
      <c r="A37" s="422">
        <f t="shared" si="1"/>
        <v>34</v>
      </c>
      <c r="B37" s="421" t="s">
        <v>1366</v>
      </c>
      <c r="C37" s="637">
        <v>45422</v>
      </c>
      <c r="D37" s="421" t="s">
        <v>102</v>
      </c>
      <c r="E37" s="422">
        <v>14400000</v>
      </c>
      <c r="F37" s="544">
        <v>10</v>
      </c>
      <c r="G37" s="544">
        <v>0</v>
      </c>
      <c r="H37" s="544">
        <v>10</v>
      </c>
      <c r="I37" s="614">
        <v>14.4</v>
      </c>
      <c r="J37" s="614">
        <v>0</v>
      </c>
      <c r="K37" s="614">
        <v>14.4</v>
      </c>
      <c r="L37" s="614">
        <v>0.14838000000000001</v>
      </c>
      <c r="M37" s="544">
        <v>0</v>
      </c>
      <c r="N37" s="544">
        <v>0</v>
      </c>
      <c r="O37" s="544">
        <v>0</v>
      </c>
      <c r="P37" s="544">
        <v>0</v>
      </c>
      <c r="Q37" s="638">
        <f t="shared" si="2"/>
        <v>0</v>
      </c>
    </row>
    <row r="38" spans="1:17" x14ac:dyDescent="0.25">
      <c r="A38" s="422">
        <f t="shared" si="1"/>
        <v>35</v>
      </c>
      <c r="B38" s="421" t="s">
        <v>1367</v>
      </c>
      <c r="C38" s="637">
        <v>45420</v>
      </c>
      <c r="D38" s="421" t="s">
        <v>102</v>
      </c>
      <c r="E38" s="422">
        <v>457639600</v>
      </c>
      <c r="F38" s="544">
        <v>1</v>
      </c>
      <c r="G38" s="544">
        <v>0</v>
      </c>
      <c r="H38" s="544">
        <v>1</v>
      </c>
      <c r="I38" s="614">
        <v>45.763959999999997</v>
      </c>
      <c r="J38" s="614">
        <v>0</v>
      </c>
      <c r="K38" s="614">
        <v>45.76</v>
      </c>
      <c r="L38" s="614">
        <v>5.0099999999999999E-2</v>
      </c>
      <c r="M38" s="544">
        <v>0</v>
      </c>
      <c r="N38" s="544">
        <v>0</v>
      </c>
      <c r="O38" s="544">
        <v>0</v>
      </c>
      <c r="P38" s="544">
        <v>0</v>
      </c>
      <c r="Q38" s="638">
        <f t="shared" si="2"/>
        <v>0</v>
      </c>
    </row>
    <row r="39" spans="1:17" s="604" customFormat="1" x14ac:dyDescent="0.25">
      <c r="A39" s="422">
        <f t="shared" si="1"/>
        <v>36</v>
      </c>
      <c r="B39" s="421" t="s">
        <v>1368</v>
      </c>
      <c r="C39" s="637">
        <v>45419</v>
      </c>
      <c r="D39" s="421" t="s">
        <v>102</v>
      </c>
      <c r="E39" s="422">
        <v>21479688</v>
      </c>
      <c r="F39" s="544">
        <v>10</v>
      </c>
      <c r="G39" s="544">
        <v>11</v>
      </c>
      <c r="H39" s="544">
        <v>21</v>
      </c>
      <c r="I39" s="614">
        <v>45.1073448</v>
      </c>
      <c r="J39" s="614">
        <v>0</v>
      </c>
      <c r="K39" s="614">
        <v>45.1073448</v>
      </c>
      <c r="L39" s="614">
        <v>1.0468</v>
      </c>
      <c r="M39" s="544">
        <v>0</v>
      </c>
      <c r="N39" s="544">
        <v>0</v>
      </c>
      <c r="O39" s="544">
        <v>0</v>
      </c>
      <c r="P39" s="544">
        <v>0</v>
      </c>
      <c r="Q39" s="638">
        <f t="shared" si="2"/>
        <v>0</v>
      </c>
    </row>
    <row r="40" spans="1:17" s="604" customFormat="1" x14ac:dyDescent="0.25">
      <c r="A40" s="422">
        <f t="shared" si="1"/>
        <v>37</v>
      </c>
      <c r="B40" s="421" t="s">
        <v>1369</v>
      </c>
      <c r="C40" s="637">
        <v>45425</v>
      </c>
      <c r="D40" s="421" t="s">
        <v>102</v>
      </c>
      <c r="E40" s="422">
        <v>116420710</v>
      </c>
      <c r="F40" s="544">
        <v>2</v>
      </c>
      <c r="G40" s="544">
        <v>13</v>
      </c>
      <c r="H40" s="544">
        <v>15</v>
      </c>
      <c r="I40" s="614">
        <v>174.63106500000001</v>
      </c>
      <c r="J40" s="614">
        <v>0</v>
      </c>
      <c r="K40" s="614">
        <v>174.63106500000001</v>
      </c>
      <c r="L40" s="614">
        <v>2.0707</v>
      </c>
      <c r="M40" s="544">
        <v>0</v>
      </c>
      <c r="N40" s="544">
        <v>0</v>
      </c>
      <c r="O40" s="544">
        <v>0</v>
      </c>
      <c r="P40" s="544">
        <v>0</v>
      </c>
      <c r="Q40" s="638">
        <f t="shared" si="2"/>
        <v>0</v>
      </c>
    </row>
    <row r="41" spans="1:17" s="604" customFormat="1" x14ac:dyDescent="0.25">
      <c r="A41" s="422">
        <f t="shared" si="1"/>
        <v>38</v>
      </c>
      <c r="B41" s="421" t="s">
        <v>1370</v>
      </c>
      <c r="C41" s="637">
        <v>45436</v>
      </c>
      <c r="D41" s="421" t="s">
        <v>102</v>
      </c>
      <c r="E41" s="422">
        <v>42394270</v>
      </c>
      <c r="F41" s="544">
        <v>2</v>
      </c>
      <c r="G41" s="544">
        <v>298</v>
      </c>
      <c r="H41" s="544">
        <v>300</v>
      </c>
      <c r="I41" s="614">
        <v>1271.8280999999999</v>
      </c>
      <c r="J41" s="614">
        <v>0</v>
      </c>
      <c r="K41" s="614">
        <v>1271.8280999999999</v>
      </c>
      <c r="L41" s="614">
        <v>1.3492999999999999</v>
      </c>
      <c r="M41" s="544">
        <v>0</v>
      </c>
      <c r="N41" s="544">
        <v>0</v>
      </c>
      <c r="O41" s="544">
        <v>0</v>
      </c>
      <c r="P41" s="544">
        <v>0</v>
      </c>
      <c r="Q41" s="638">
        <f t="shared" si="2"/>
        <v>0</v>
      </c>
    </row>
    <row r="42" spans="1:17" s="604" customFormat="1" x14ac:dyDescent="0.25">
      <c r="A42" s="616"/>
      <c r="B42" s="421"/>
      <c r="C42" s="543"/>
      <c r="D42" s="421"/>
      <c r="E42" s="544"/>
      <c r="F42" s="544"/>
      <c r="G42" s="544"/>
      <c r="H42" s="544"/>
      <c r="I42" s="544"/>
      <c r="J42" s="614"/>
      <c r="K42" s="544"/>
      <c r="L42" s="544"/>
      <c r="M42" s="422"/>
      <c r="N42" s="422"/>
      <c r="O42" s="422"/>
      <c r="P42" s="422"/>
      <c r="Q42" s="422"/>
    </row>
    <row r="43" spans="1:17" ht="15.75" x14ac:dyDescent="0.25">
      <c r="A43" s="8" t="s">
        <v>103</v>
      </c>
      <c r="B43" s="17"/>
      <c r="C43" s="18"/>
      <c r="D43" s="421"/>
      <c r="E43" s="11"/>
      <c r="F43" s="11"/>
      <c r="G43" s="11"/>
      <c r="H43" s="10"/>
      <c r="I43" s="19"/>
      <c r="J43" s="20"/>
      <c r="K43" s="19"/>
      <c r="L43" s="11"/>
      <c r="M43" s="11"/>
      <c r="N43" s="11"/>
      <c r="O43" s="11"/>
      <c r="P43" s="11"/>
      <c r="Q43" s="14"/>
    </row>
    <row r="44" spans="1:17" ht="15.75" x14ac:dyDescent="0.25">
      <c r="A44" s="9" t="s">
        <v>104</v>
      </c>
      <c r="B44" s="15"/>
      <c r="C44" s="16"/>
      <c r="D44" s="10"/>
      <c r="E44" s="10"/>
      <c r="F44" s="10"/>
      <c r="G44" s="11"/>
      <c r="H44" s="10"/>
      <c r="I44" s="12"/>
      <c r="J44" s="13"/>
      <c r="K44" s="12"/>
      <c r="L44" s="10"/>
      <c r="M44" s="10"/>
      <c r="N44" s="10"/>
      <c r="O44" s="10"/>
      <c r="P44" s="11"/>
      <c r="Q44" s="14"/>
    </row>
    <row r="45" spans="1:17" ht="15.75" x14ac:dyDescent="0.25">
      <c r="A45" s="21"/>
      <c r="B45" s="15"/>
      <c r="C45" s="18"/>
      <c r="D45" s="11"/>
      <c r="E45" s="11"/>
      <c r="F45" s="11"/>
      <c r="G45" s="11"/>
      <c r="H45" s="11"/>
      <c r="I45" s="12"/>
      <c r="J45" s="13"/>
      <c r="K45" s="12"/>
      <c r="L45" s="11"/>
      <c r="M45" s="11"/>
      <c r="N45" s="11"/>
      <c r="O45" s="11"/>
      <c r="P45" s="14"/>
      <c r="Q45" s="14"/>
    </row>
    <row r="51" spans="3:4" ht="15.75" x14ac:dyDescent="0.25">
      <c r="C51" s="22"/>
      <c r="D51" s="23"/>
    </row>
    <row r="52" spans="3:4" ht="15.75" x14ac:dyDescent="0.25">
      <c r="C52" s="24"/>
      <c r="D52" s="25"/>
    </row>
    <row r="53" spans="3:4" ht="15.75" x14ac:dyDescent="0.25">
      <c r="C53" s="26"/>
      <c r="D53" s="25"/>
    </row>
    <row r="54" spans="3:4" ht="15.75" x14ac:dyDescent="0.25">
      <c r="C54" s="22"/>
      <c r="D54" s="27"/>
    </row>
    <row r="55" spans="3:4" ht="15.75" x14ac:dyDescent="0.25">
      <c r="C55" s="28"/>
      <c r="D55" s="27"/>
    </row>
    <row r="56" spans="3:4" ht="15.75" x14ac:dyDescent="0.25">
      <c r="C56" s="26"/>
      <c r="D56" s="25"/>
    </row>
    <row r="57" spans="3:4" ht="15.75" x14ac:dyDescent="0.25">
      <c r="C57" s="22"/>
      <c r="D57" s="27"/>
    </row>
    <row r="58" spans="3:4" ht="15.75" x14ac:dyDescent="0.25">
      <c r="C58" s="22"/>
      <c r="D58" s="27"/>
    </row>
    <row r="59" spans="3:4" ht="15.75" x14ac:dyDescent="0.25">
      <c r="C59" s="22"/>
      <c r="D59" s="23"/>
    </row>
    <row r="60" spans="3:4" ht="15.75" x14ac:dyDescent="0.25">
      <c r="C60" s="26"/>
      <c r="D60" s="25"/>
    </row>
    <row r="61" spans="3:4" ht="15.75" x14ac:dyDescent="0.25">
      <c r="C61" s="26"/>
      <c r="D61" s="25"/>
    </row>
    <row r="62" spans="3:4" ht="15.75" x14ac:dyDescent="0.25">
      <c r="C62" s="22"/>
      <c r="D62" s="27"/>
    </row>
    <row r="63" spans="3:4" ht="15.75" x14ac:dyDescent="0.25">
      <c r="C63" s="26"/>
      <c r="D63" s="25"/>
    </row>
    <row r="64" spans="3:4" ht="15.75" x14ac:dyDescent="0.25">
      <c r="C64" s="26"/>
      <c r="D64" s="25"/>
    </row>
    <row r="65" spans="3:4" ht="15.75" x14ac:dyDescent="0.25">
      <c r="C65" s="22"/>
      <c r="D65" s="23"/>
    </row>
    <row r="66" spans="3:4" ht="15.75" x14ac:dyDescent="0.25">
      <c r="C66" s="22"/>
      <c r="D66" s="23"/>
    </row>
    <row r="67" spans="3:4" ht="15.75" x14ac:dyDescent="0.25">
      <c r="C67" s="22"/>
      <c r="D67" s="23"/>
    </row>
    <row r="68" spans="3:4" ht="15.75" x14ac:dyDescent="0.25">
      <c r="C68" s="22"/>
      <c r="D68" s="23"/>
    </row>
    <row r="69" spans="3:4" ht="15.75" x14ac:dyDescent="0.25">
      <c r="C69" s="28"/>
      <c r="D69" s="25"/>
    </row>
    <row r="70" spans="3:4" ht="15.75" x14ac:dyDescent="0.25">
      <c r="C70" s="26"/>
      <c r="D70" s="25"/>
    </row>
    <row r="71" spans="3:4" ht="15.75" x14ac:dyDescent="0.25">
      <c r="C71" s="22"/>
      <c r="D71" s="27"/>
    </row>
    <row r="72" spans="3:4" ht="15.75" x14ac:dyDescent="0.25">
      <c r="C72" s="22"/>
      <c r="D72" s="27"/>
    </row>
    <row r="73" spans="3:4" ht="15.75" x14ac:dyDescent="0.25">
      <c r="C73" s="22"/>
      <c r="D73" s="27"/>
    </row>
    <row r="74" spans="3:4" ht="15.75" x14ac:dyDescent="0.25">
      <c r="C74" s="22"/>
      <c r="D74" s="23"/>
    </row>
    <row r="75" spans="3:4" ht="15.75" x14ac:dyDescent="0.25">
      <c r="C75" s="26"/>
      <c r="D75" s="25"/>
    </row>
    <row r="76" spans="3:4" ht="15.75" x14ac:dyDescent="0.25">
      <c r="C76" s="22"/>
      <c r="D76" s="27"/>
    </row>
    <row r="77" spans="3:4" ht="15.75" x14ac:dyDescent="0.25">
      <c r="C77" s="28"/>
      <c r="D77" s="25"/>
    </row>
    <row r="78" spans="3:4" ht="15.75" x14ac:dyDescent="0.25">
      <c r="C78" s="28"/>
      <c r="D78" s="25"/>
    </row>
    <row r="79" spans="3:4" ht="15.75" x14ac:dyDescent="0.25">
      <c r="C79" s="28"/>
      <c r="D79" s="25"/>
    </row>
    <row r="80" spans="3:4" ht="15.75" x14ac:dyDescent="0.25">
      <c r="C80" s="26"/>
      <c r="D80" s="25"/>
    </row>
    <row r="81" spans="3:4" ht="15.75" x14ac:dyDescent="0.25">
      <c r="C81" s="22"/>
      <c r="D81" s="23"/>
    </row>
    <row r="82" spans="3:4" ht="15.75" x14ac:dyDescent="0.25">
      <c r="C82" s="26"/>
      <c r="D82" s="25"/>
    </row>
    <row r="83" spans="3:4" ht="15.75" x14ac:dyDescent="0.25">
      <c r="C83" s="22"/>
      <c r="D83" s="27"/>
    </row>
    <row r="84" spans="3:4" ht="15.75" x14ac:dyDescent="0.25">
      <c r="C84" s="28"/>
      <c r="D84" s="25"/>
    </row>
    <row r="85" spans="3:4" ht="15.75" x14ac:dyDescent="0.25">
      <c r="C85" s="22"/>
      <c r="D85" s="27"/>
    </row>
    <row r="86" spans="3:4" ht="15.75" x14ac:dyDescent="0.25">
      <c r="C86" s="26"/>
      <c r="D86" s="25"/>
    </row>
    <row r="87" spans="3:4" ht="15.75" x14ac:dyDescent="0.25">
      <c r="C87" s="26"/>
      <c r="D87" s="27"/>
    </row>
  </sheetData>
  <mergeCells count="13">
    <mergeCell ref="A1:Q1"/>
    <mergeCell ref="Q2:Q3"/>
    <mergeCell ref="A2:A3"/>
    <mergeCell ref="B2:B3"/>
    <mergeCell ref="C2:C3"/>
    <mergeCell ref="D2:D3"/>
    <mergeCell ref="E2:E3"/>
    <mergeCell ref="F2:F3"/>
    <mergeCell ref="G2:G3"/>
    <mergeCell ref="H2:H3"/>
    <mergeCell ref="I2:K2"/>
    <mergeCell ref="L2:L3"/>
    <mergeCell ref="M2:P2"/>
  </mergeCells>
  <conditionalFormatting sqref="C59:C64 C66:C74">
    <cfRule type="duplicateValues" dxfId="3" priority="9"/>
  </conditionalFormatting>
  <conditionalFormatting sqref="C51:C58">
    <cfRule type="duplicateValues" dxfId="2" priority="8"/>
  </conditionalFormatting>
  <conditionalFormatting sqref="C65">
    <cfRule type="duplicateValues" dxfId="1" priority="7"/>
  </conditionalFormatting>
  <conditionalFormatting sqref="B42">
    <cfRule type="duplicateValues" dxfId="0" priority="1"/>
  </conditionalFormatting>
  <printOptions horizontalCentered="1"/>
  <pageMargins left="0.7" right="0.7" top="0.75" bottom="0.75" header="0.3" footer="0.3"/>
  <pageSetup paperSize="9" scale="5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
  <sheetViews>
    <sheetView topLeftCell="C1" zoomScaleNormal="100" workbookViewId="0">
      <selection activeCell="K12" sqref="K12"/>
    </sheetView>
  </sheetViews>
  <sheetFormatPr defaultRowHeight="15" x14ac:dyDescent="0.25"/>
  <cols>
    <col min="1" max="1" width="6.42578125" bestFit="1" customWidth="1"/>
    <col min="2" max="2" width="32.28515625" bestFit="1" customWidth="1"/>
    <col min="3" max="3" width="30.42578125" customWidth="1"/>
    <col min="4" max="4" width="11.28515625" style="36" bestFit="1" customWidth="1"/>
    <col min="5" max="6" width="11.28515625" style="37" bestFit="1" customWidth="1"/>
    <col min="7" max="7" width="12.42578125" bestFit="1" customWidth="1"/>
    <col min="8" max="8" width="9.42578125" bestFit="1" customWidth="1"/>
    <col min="9" max="9" width="12.7109375" customWidth="1"/>
    <col min="10" max="10" width="10.140625" customWidth="1"/>
  </cols>
  <sheetData>
    <row r="1" spans="1:13" x14ac:dyDescent="0.25">
      <c r="A1" s="1194" t="s">
        <v>1376</v>
      </c>
      <c r="B1" s="1194"/>
      <c r="C1" s="1194"/>
      <c r="D1" s="1194"/>
      <c r="E1" s="1194"/>
      <c r="F1" s="1194"/>
      <c r="G1" s="1194"/>
      <c r="H1" s="1194"/>
      <c r="I1" s="1194"/>
      <c r="J1" s="1194"/>
      <c r="K1" s="29"/>
    </row>
    <row r="2" spans="1:13" x14ac:dyDescent="0.25">
      <c r="A2" s="1195" t="s">
        <v>105</v>
      </c>
      <c r="B2" s="1195" t="s">
        <v>106</v>
      </c>
      <c r="C2" s="1197" t="s">
        <v>107</v>
      </c>
      <c r="D2" s="1199" t="s">
        <v>108</v>
      </c>
      <c r="E2" s="1201" t="s">
        <v>109</v>
      </c>
      <c r="F2" s="1203" t="s">
        <v>110</v>
      </c>
      <c r="G2" s="1205" t="s">
        <v>111</v>
      </c>
      <c r="H2" s="1206"/>
      <c r="I2" s="1207" t="s">
        <v>112</v>
      </c>
      <c r="J2" s="1195" t="s">
        <v>113</v>
      </c>
      <c r="K2" s="30"/>
    </row>
    <row r="3" spans="1:13" ht="60" x14ac:dyDescent="0.25">
      <c r="A3" s="1196"/>
      <c r="B3" s="1196"/>
      <c r="C3" s="1198"/>
      <c r="D3" s="1200"/>
      <c r="E3" s="1202"/>
      <c r="F3" s="1204"/>
      <c r="G3" s="31" t="s">
        <v>114</v>
      </c>
      <c r="H3" s="31" t="s">
        <v>115</v>
      </c>
      <c r="I3" s="1208"/>
      <c r="J3" s="1196"/>
      <c r="K3" s="30"/>
    </row>
    <row r="4" spans="1:13" ht="90.75" customHeight="1" x14ac:dyDescent="0.25">
      <c r="A4" s="546">
        <v>1</v>
      </c>
      <c r="B4" s="1067" t="s">
        <v>1377</v>
      </c>
      <c r="C4" s="1033" t="s">
        <v>1378</v>
      </c>
      <c r="D4" s="368">
        <v>45313</v>
      </c>
      <c r="E4" s="368">
        <v>45425</v>
      </c>
      <c r="F4" s="368">
        <v>45439</v>
      </c>
      <c r="G4" s="545">
        <v>4982098</v>
      </c>
      <c r="H4" s="617">
        <v>26</v>
      </c>
      <c r="I4" s="618">
        <v>10</v>
      </c>
      <c r="J4" s="618">
        <v>4.9800000000000004</v>
      </c>
      <c r="K4" s="32"/>
    </row>
    <row r="5" spans="1:13" x14ac:dyDescent="0.25">
      <c r="D5"/>
      <c r="E5"/>
      <c r="F5"/>
      <c r="K5" s="33"/>
      <c r="L5" s="34"/>
    </row>
    <row r="6" spans="1:13" x14ac:dyDescent="0.25">
      <c r="D6"/>
      <c r="E6"/>
      <c r="F6"/>
      <c r="K6" s="38"/>
      <c r="L6" s="34"/>
    </row>
    <row r="7" spans="1:13" x14ac:dyDescent="0.25">
      <c r="D7"/>
      <c r="E7"/>
      <c r="F7"/>
      <c r="K7" s="38"/>
      <c r="L7" s="34"/>
    </row>
    <row r="8" spans="1:13" x14ac:dyDescent="0.25">
      <c r="D8"/>
      <c r="E8"/>
      <c r="F8"/>
      <c r="L8" s="34"/>
    </row>
    <row r="9" spans="1:13" x14ac:dyDescent="0.25">
      <c r="D9"/>
      <c r="E9"/>
      <c r="F9"/>
    </row>
    <row r="10" spans="1:13" x14ac:dyDescent="0.25">
      <c r="A10" s="39"/>
      <c r="B10" s="40"/>
      <c r="C10" s="40"/>
      <c r="D10" s="41"/>
      <c r="E10" s="42"/>
      <c r="F10" s="42"/>
      <c r="G10" s="43"/>
      <c r="H10" s="43"/>
      <c r="I10" s="43"/>
      <c r="J10" s="43"/>
    </row>
    <row r="11" spans="1:13" x14ac:dyDescent="0.25">
      <c r="A11" s="39"/>
      <c r="B11" s="40"/>
      <c r="C11" s="40"/>
      <c r="D11" s="44"/>
      <c r="E11" s="42"/>
      <c r="F11" s="42"/>
      <c r="G11" s="43"/>
      <c r="H11" s="43"/>
      <c r="I11" s="43"/>
      <c r="J11" s="43"/>
    </row>
    <row r="12" spans="1:13" x14ac:dyDescent="0.25">
      <c r="A12" s="33"/>
      <c r="B12" s="33"/>
      <c r="C12" s="33"/>
      <c r="D12" s="35"/>
      <c r="E12" s="35"/>
      <c r="F12" s="35"/>
      <c r="G12" s="33"/>
      <c r="H12" s="33"/>
      <c r="I12" s="33"/>
      <c r="J12" s="33"/>
    </row>
    <row r="13" spans="1:13" x14ac:dyDescent="0.25">
      <c r="A13" s="33"/>
      <c r="B13" s="33"/>
      <c r="C13" s="33"/>
      <c r="D13" s="35"/>
      <c r="E13" s="35"/>
      <c r="F13" s="35"/>
      <c r="G13" s="33"/>
      <c r="H13" s="33"/>
      <c r="I13" s="33"/>
      <c r="J13" s="33"/>
    </row>
    <row r="14" spans="1:13" x14ac:dyDescent="0.25">
      <c r="K14" s="33"/>
      <c r="L14" s="33"/>
      <c r="M14" s="33"/>
    </row>
    <row r="15" spans="1:13" x14ac:dyDescent="0.25">
      <c r="K15" s="33"/>
      <c r="L15" s="33"/>
      <c r="M15" s="33"/>
    </row>
    <row r="16" spans="1:13" x14ac:dyDescent="0.25">
      <c r="K16" s="33"/>
      <c r="L16" s="33"/>
      <c r="M16" s="33"/>
    </row>
    <row r="17" spans="11:13" x14ac:dyDescent="0.25">
      <c r="K17" s="33"/>
      <c r="L17" s="33"/>
      <c r="M17" s="33"/>
    </row>
    <row r="18" spans="11:13" x14ac:dyDescent="0.25">
      <c r="K18" s="33"/>
      <c r="L18" s="33"/>
      <c r="M18" s="33"/>
    </row>
    <row r="19" spans="11:13" x14ac:dyDescent="0.25">
      <c r="K19" s="33"/>
      <c r="L19" s="33"/>
      <c r="M19" s="33"/>
    </row>
    <row r="20" spans="11:13" x14ac:dyDescent="0.25">
      <c r="K20" s="33"/>
      <c r="L20" s="33"/>
      <c r="M20" s="33"/>
    </row>
  </sheetData>
  <mergeCells count="10">
    <mergeCell ref="A1:J1"/>
    <mergeCell ref="A2:A3"/>
    <mergeCell ref="B2:B3"/>
    <mergeCell ref="C2:C3"/>
    <mergeCell ref="D2:D3"/>
    <mergeCell ref="E2:E3"/>
    <mergeCell ref="F2:F3"/>
    <mergeCell ref="G2:H2"/>
    <mergeCell ref="I2:I3"/>
    <mergeCell ref="J2:J3"/>
  </mergeCells>
  <printOptions horizontalCentered="1"/>
  <pageMargins left="0.70866141732283472" right="0.70866141732283472" top="0.74803149606299213" bottom="0.74803149606299213" header="0.31496062992125984" footer="0.31496062992125984"/>
  <pageSetup paperSize="9" scale="8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6"/>
  <sheetViews>
    <sheetView zoomScaleNormal="100" workbookViewId="0">
      <selection activeCell="A20" sqref="A1:I23"/>
    </sheetView>
  </sheetViews>
  <sheetFormatPr defaultRowHeight="15" x14ac:dyDescent="0.25"/>
  <cols>
    <col min="1" max="1" width="14" customWidth="1"/>
    <col min="2" max="2" width="13.7109375" customWidth="1"/>
    <col min="3" max="3" width="13" customWidth="1"/>
    <col min="4" max="4" width="11.28515625" customWidth="1"/>
    <col min="5" max="5" width="9.42578125" customWidth="1"/>
    <col min="6" max="6" width="13" customWidth="1"/>
    <col min="7" max="7" width="13.7109375" customWidth="1"/>
    <col min="8" max="8" width="16.140625" customWidth="1"/>
    <col min="9" max="9" width="16.5703125" customWidth="1"/>
  </cols>
  <sheetData>
    <row r="1" spans="1:14" x14ac:dyDescent="0.25">
      <c r="A1" s="1210" t="s">
        <v>1215</v>
      </c>
      <c r="B1" s="1210"/>
      <c r="C1" s="1210"/>
      <c r="D1" s="1210"/>
      <c r="E1" s="1210"/>
      <c r="F1" s="1210"/>
      <c r="G1" s="1210"/>
      <c r="H1" s="1210"/>
      <c r="I1" s="1210"/>
      <c r="J1" s="45"/>
      <c r="K1" s="45"/>
      <c r="L1" s="45"/>
    </row>
    <row r="2" spans="1:14" x14ac:dyDescent="0.25">
      <c r="A2" s="1211" t="s">
        <v>116</v>
      </c>
      <c r="B2" s="1214" t="s">
        <v>117</v>
      </c>
      <c r="C2" s="1215"/>
      <c r="D2" s="1215"/>
      <c r="E2" s="1215"/>
      <c r="F2" s="1215"/>
      <c r="G2" s="1215"/>
      <c r="H2" s="1215"/>
      <c r="I2" s="1216"/>
    </row>
    <row r="3" spans="1:14" x14ac:dyDescent="0.25">
      <c r="A3" s="1212"/>
      <c r="B3" s="1214" t="s">
        <v>118</v>
      </c>
      <c r="C3" s="1215"/>
      <c r="D3" s="1215"/>
      <c r="E3" s="1215"/>
      <c r="F3" s="1215"/>
      <c r="G3" s="1216"/>
      <c r="H3" s="1217" t="s">
        <v>96</v>
      </c>
      <c r="I3" s="1218"/>
    </row>
    <row r="4" spans="1:14" ht="30" customHeight="1" x14ac:dyDescent="0.25">
      <c r="A4" s="1212"/>
      <c r="B4" s="1219" t="s">
        <v>119</v>
      </c>
      <c r="C4" s="1220"/>
      <c r="D4" s="1219" t="s">
        <v>120</v>
      </c>
      <c r="E4" s="1220"/>
      <c r="F4" s="1219" t="s">
        <v>121</v>
      </c>
      <c r="G4" s="1220"/>
      <c r="H4" s="1221" t="s">
        <v>122</v>
      </c>
      <c r="I4" s="1221" t="s">
        <v>123</v>
      </c>
    </row>
    <row r="5" spans="1:14" ht="30" x14ac:dyDescent="0.25">
      <c r="A5" s="1213"/>
      <c r="B5" s="46" t="s">
        <v>122</v>
      </c>
      <c r="C5" s="46" t="s">
        <v>123</v>
      </c>
      <c r="D5" s="46" t="s">
        <v>122</v>
      </c>
      <c r="E5" s="46" t="s">
        <v>123</v>
      </c>
      <c r="F5" s="46" t="s">
        <v>122</v>
      </c>
      <c r="G5" s="46" t="s">
        <v>124</v>
      </c>
      <c r="H5" s="1222"/>
      <c r="I5" s="1222"/>
    </row>
    <row r="6" spans="1:14" x14ac:dyDescent="0.25">
      <c r="A6" s="1157" t="s">
        <v>532</v>
      </c>
      <c r="B6" s="47">
        <v>1</v>
      </c>
      <c r="C6" s="47">
        <v>4.3600000000000003</v>
      </c>
      <c r="D6" s="47">
        <v>1</v>
      </c>
      <c r="E6" s="47">
        <v>3.27</v>
      </c>
      <c r="F6" s="47">
        <v>71</v>
      </c>
      <c r="G6" s="47">
        <v>10243.92</v>
      </c>
      <c r="H6" s="47">
        <v>73</v>
      </c>
      <c r="I6" s="47">
        <v>10251.549999999999</v>
      </c>
      <c r="K6" s="48"/>
      <c r="L6" s="48"/>
      <c r="M6" s="49"/>
      <c r="N6" s="49"/>
    </row>
    <row r="7" spans="1:14" x14ac:dyDescent="0.25">
      <c r="A7" s="1158" t="s">
        <v>1413</v>
      </c>
      <c r="B7" s="406">
        <f t="shared" ref="B7:I7" si="0">SUM(B8:B19)</f>
        <v>5</v>
      </c>
      <c r="C7" s="406">
        <f t="shared" si="0"/>
        <v>30.32</v>
      </c>
      <c r="D7" s="406">
        <f t="shared" si="0"/>
        <v>1</v>
      </c>
      <c r="E7" s="406">
        <f t="shared" si="0"/>
        <v>5.61</v>
      </c>
      <c r="F7" s="406">
        <f t="shared" si="0"/>
        <v>0</v>
      </c>
      <c r="G7" s="406">
        <f t="shared" si="0"/>
        <v>0</v>
      </c>
      <c r="H7" s="406">
        <f t="shared" si="0"/>
        <v>6</v>
      </c>
      <c r="I7" s="406">
        <f t="shared" si="0"/>
        <v>35.93</v>
      </c>
      <c r="K7" s="48"/>
      <c r="L7" s="48"/>
      <c r="M7" s="49"/>
      <c r="N7" s="49"/>
    </row>
    <row r="8" spans="1:14" x14ac:dyDescent="0.25">
      <c r="A8" s="86">
        <v>45383</v>
      </c>
      <c r="B8" s="50">
        <v>4</v>
      </c>
      <c r="C8" s="633">
        <v>25.34</v>
      </c>
      <c r="D8" s="50">
        <v>1</v>
      </c>
      <c r="E8" s="633">
        <v>5.61</v>
      </c>
      <c r="F8" s="50">
        <v>0</v>
      </c>
      <c r="G8" s="50">
        <v>0</v>
      </c>
      <c r="H8" s="50">
        <f>SUM(B8,D8,F8)</f>
        <v>5</v>
      </c>
      <c r="I8" s="52">
        <f>SUM(C8,E8,G8)</f>
        <v>30.95</v>
      </c>
      <c r="K8" s="48"/>
      <c r="L8" s="48"/>
      <c r="M8" s="49"/>
      <c r="N8" s="49"/>
    </row>
    <row r="9" spans="1:14" x14ac:dyDescent="0.25">
      <c r="A9" s="86">
        <f>EOMONTH(A8,1)</f>
        <v>45443</v>
      </c>
      <c r="B9" s="51">
        <v>1</v>
      </c>
      <c r="C9" s="52">
        <v>4.9800000000000004</v>
      </c>
      <c r="D9" s="51">
        <v>0</v>
      </c>
      <c r="E9" s="52">
        <v>0</v>
      </c>
      <c r="F9" s="51">
        <v>0</v>
      </c>
      <c r="G9" s="52">
        <v>0</v>
      </c>
      <c r="H9" s="50">
        <v>1</v>
      </c>
      <c r="I9" s="52">
        <v>4.9800000000000004</v>
      </c>
      <c r="K9" s="48"/>
      <c r="L9" s="48"/>
      <c r="M9" s="49"/>
      <c r="N9" s="49"/>
    </row>
    <row r="10" spans="1:14" x14ac:dyDescent="0.25">
      <c r="A10" s="86">
        <f t="shared" ref="A10:A19" si="1">EOMONTH(A9,1)</f>
        <v>45473</v>
      </c>
      <c r="B10" s="51"/>
      <c r="C10" s="52"/>
      <c r="D10" s="51"/>
      <c r="E10" s="52"/>
      <c r="F10" s="51"/>
      <c r="G10" s="52"/>
      <c r="H10" s="50">
        <f t="shared" ref="H10:H19" si="2">SUM(B10,D10,F10)</f>
        <v>0</v>
      </c>
      <c r="I10" s="52">
        <f t="shared" ref="I10:I19" si="3">SUM(C10,E10,G10)</f>
        <v>0</v>
      </c>
      <c r="K10" s="48"/>
      <c r="L10" s="48"/>
      <c r="M10" s="49"/>
      <c r="N10" s="49"/>
    </row>
    <row r="11" spans="1:14" x14ac:dyDescent="0.25">
      <c r="A11" s="86">
        <f t="shared" si="1"/>
        <v>45504</v>
      </c>
      <c r="B11" s="51"/>
      <c r="C11" s="52"/>
      <c r="D11" s="51"/>
      <c r="E11" s="52"/>
      <c r="F11" s="51"/>
      <c r="G11" s="52"/>
      <c r="H11" s="50">
        <f t="shared" si="2"/>
        <v>0</v>
      </c>
      <c r="I11" s="52">
        <f t="shared" si="3"/>
        <v>0</v>
      </c>
      <c r="K11" s="48"/>
      <c r="L11" s="48"/>
      <c r="M11" s="49"/>
      <c r="N11" s="49"/>
    </row>
    <row r="12" spans="1:14" x14ac:dyDescent="0.25">
      <c r="A12" s="86">
        <f t="shared" si="1"/>
        <v>45535</v>
      </c>
      <c r="B12" s="51"/>
      <c r="C12" s="52"/>
      <c r="D12" s="51"/>
      <c r="E12" s="52"/>
      <c r="F12" s="220"/>
      <c r="G12" s="52"/>
      <c r="H12" s="50">
        <f t="shared" si="2"/>
        <v>0</v>
      </c>
      <c r="I12" s="52">
        <f t="shared" si="3"/>
        <v>0</v>
      </c>
      <c r="K12" s="48"/>
      <c r="L12" s="48"/>
      <c r="M12" s="49"/>
      <c r="N12" s="49"/>
    </row>
    <row r="13" spans="1:14" x14ac:dyDescent="0.25">
      <c r="A13" s="86">
        <f t="shared" si="1"/>
        <v>45565</v>
      </c>
      <c r="B13" s="51"/>
      <c r="C13" s="52"/>
      <c r="D13" s="51"/>
      <c r="E13" s="52"/>
      <c r="F13" s="220"/>
      <c r="G13" s="52"/>
      <c r="H13" s="50">
        <f t="shared" si="2"/>
        <v>0</v>
      </c>
      <c r="I13" s="52">
        <f t="shared" si="3"/>
        <v>0</v>
      </c>
      <c r="K13" s="48"/>
      <c r="L13" s="48"/>
      <c r="M13" s="49"/>
      <c r="N13" s="49"/>
    </row>
    <row r="14" spans="1:14" x14ac:dyDescent="0.25">
      <c r="A14" s="86">
        <f t="shared" si="1"/>
        <v>45596</v>
      </c>
      <c r="B14" s="51"/>
      <c r="C14" s="52"/>
      <c r="D14" s="51"/>
      <c r="E14" s="52"/>
      <c r="F14" s="220"/>
      <c r="G14" s="52"/>
      <c r="H14" s="50">
        <f t="shared" si="2"/>
        <v>0</v>
      </c>
      <c r="I14" s="52">
        <f t="shared" si="3"/>
        <v>0</v>
      </c>
      <c r="K14" s="48"/>
      <c r="L14" s="48"/>
      <c r="M14" s="49"/>
      <c r="N14" s="49"/>
    </row>
    <row r="15" spans="1:14" x14ac:dyDescent="0.25">
      <c r="A15" s="86">
        <f t="shared" si="1"/>
        <v>45626</v>
      </c>
      <c r="B15" s="51"/>
      <c r="C15" s="52"/>
      <c r="D15" s="51"/>
      <c r="E15" s="52"/>
      <c r="F15" s="220"/>
      <c r="G15" s="52"/>
      <c r="H15" s="50">
        <f t="shared" si="2"/>
        <v>0</v>
      </c>
      <c r="I15" s="52">
        <f t="shared" si="3"/>
        <v>0</v>
      </c>
      <c r="K15" s="48"/>
      <c r="L15" s="48"/>
      <c r="M15" s="49"/>
      <c r="N15" s="49"/>
    </row>
    <row r="16" spans="1:14" x14ac:dyDescent="0.25">
      <c r="A16" s="86">
        <f t="shared" si="1"/>
        <v>45657</v>
      </c>
      <c r="B16" s="399"/>
      <c r="C16" s="399"/>
      <c r="D16" s="399"/>
      <c r="E16" s="399"/>
      <c r="F16" s="399"/>
      <c r="G16" s="52"/>
      <c r="H16" s="50">
        <f t="shared" si="2"/>
        <v>0</v>
      </c>
      <c r="I16" s="52">
        <f t="shared" si="3"/>
        <v>0</v>
      </c>
      <c r="K16" s="48"/>
      <c r="L16" s="48"/>
      <c r="M16" s="49"/>
      <c r="N16" s="49"/>
    </row>
    <row r="17" spans="1:14" x14ac:dyDescent="0.25">
      <c r="A17" s="86">
        <f t="shared" si="1"/>
        <v>45688</v>
      </c>
      <c r="B17" s="399"/>
      <c r="C17" s="399"/>
      <c r="D17" s="399"/>
      <c r="E17" s="399"/>
      <c r="F17" s="399"/>
      <c r="G17" s="52"/>
      <c r="H17" s="50">
        <f t="shared" si="2"/>
        <v>0</v>
      </c>
      <c r="I17" s="52">
        <f t="shared" si="3"/>
        <v>0</v>
      </c>
      <c r="K17" s="48"/>
      <c r="L17" s="48"/>
      <c r="M17" s="49"/>
      <c r="N17" s="49"/>
    </row>
    <row r="18" spans="1:14" x14ac:dyDescent="0.25">
      <c r="A18" s="86">
        <f t="shared" si="1"/>
        <v>45716</v>
      </c>
      <c r="B18" s="399"/>
      <c r="C18" s="399"/>
      <c r="D18" s="399"/>
      <c r="E18" s="399"/>
      <c r="F18" s="52"/>
      <c r="G18" s="52"/>
      <c r="H18" s="50">
        <f t="shared" si="2"/>
        <v>0</v>
      </c>
      <c r="I18" s="52">
        <f t="shared" si="3"/>
        <v>0</v>
      </c>
      <c r="K18" s="48"/>
      <c r="L18" s="48"/>
      <c r="M18" s="49"/>
      <c r="N18" s="49"/>
    </row>
    <row r="19" spans="1:14" x14ac:dyDescent="0.25">
      <c r="A19" s="86">
        <f t="shared" si="1"/>
        <v>45747</v>
      </c>
      <c r="B19" s="51"/>
      <c r="C19" s="51"/>
      <c r="D19" s="51"/>
      <c r="E19" s="51"/>
      <c r="F19" s="52"/>
      <c r="G19" s="52"/>
      <c r="H19" s="50">
        <f t="shared" si="2"/>
        <v>0</v>
      </c>
      <c r="I19" s="52">
        <f t="shared" si="3"/>
        <v>0</v>
      </c>
      <c r="K19" s="48"/>
      <c r="L19" s="48"/>
      <c r="M19" s="49"/>
      <c r="N19" s="49"/>
    </row>
    <row r="20" spans="1:14" s="604" customFormat="1" x14ac:dyDescent="0.25">
      <c r="A20" s="1126" t="s">
        <v>1401</v>
      </c>
      <c r="B20" s="53"/>
      <c r="C20" s="53"/>
      <c r="D20" s="53"/>
      <c r="E20" s="53"/>
      <c r="F20" s="56"/>
      <c r="G20" s="56"/>
      <c r="H20" s="1156"/>
      <c r="I20" s="56"/>
      <c r="K20" s="48"/>
      <c r="L20" s="48"/>
      <c r="M20" s="49"/>
      <c r="N20" s="49"/>
    </row>
    <row r="21" spans="1:14" x14ac:dyDescent="0.25">
      <c r="A21" s="1209" t="s">
        <v>127</v>
      </c>
      <c r="B21" s="1209"/>
      <c r="C21" s="1209"/>
      <c r="D21" s="1209"/>
      <c r="E21" s="1209"/>
      <c r="F21" s="1209"/>
      <c r="G21" s="1209"/>
      <c r="H21" s="53"/>
      <c r="I21" s="54"/>
      <c r="K21" s="48"/>
      <c r="L21" s="48"/>
      <c r="M21" s="49"/>
      <c r="N21" s="49"/>
    </row>
    <row r="22" spans="1:14" x14ac:dyDescent="0.25">
      <c r="A22" s="1209" t="s">
        <v>128</v>
      </c>
      <c r="B22" s="1209"/>
      <c r="C22" s="1209"/>
      <c r="D22" s="55"/>
      <c r="E22" s="56"/>
      <c r="F22" s="53"/>
      <c r="G22" s="56"/>
      <c r="H22" s="53"/>
      <c r="I22" s="54"/>
      <c r="K22" s="48"/>
      <c r="L22" s="48"/>
      <c r="M22" s="49"/>
      <c r="N22" s="49"/>
    </row>
    <row r="23" spans="1:14" x14ac:dyDescent="0.25">
      <c r="A23" s="57" t="s">
        <v>130</v>
      </c>
      <c r="B23" s="57"/>
      <c r="C23" s="57"/>
      <c r="D23" s="57"/>
      <c r="E23" s="57"/>
      <c r="F23" s="57"/>
      <c r="G23" s="57"/>
      <c r="H23" s="53"/>
      <c r="I23" s="54"/>
      <c r="K23" s="48"/>
      <c r="L23" s="48"/>
      <c r="M23" s="49"/>
      <c r="N23" s="49"/>
    </row>
    <row r="24" spans="1:14" x14ac:dyDescent="0.25">
      <c r="A24" s="58"/>
      <c r="B24" s="53"/>
      <c r="C24" s="59"/>
      <c r="D24" s="53"/>
      <c r="E24" s="53"/>
      <c r="F24" s="53"/>
      <c r="G24" s="53"/>
      <c r="H24" s="53"/>
      <c r="I24" s="59"/>
      <c r="J24" s="60"/>
      <c r="K24" s="48"/>
      <c r="L24" s="48"/>
      <c r="M24" s="49"/>
      <c r="N24" s="49"/>
    </row>
    <row r="25" spans="1:14" x14ac:dyDescent="0.25">
      <c r="A25" s="58"/>
      <c r="B25" s="53"/>
      <c r="C25" s="59"/>
      <c r="D25" s="53"/>
      <c r="E25" s="53"/>
      <c r="F25" s="53"/>
      <c r="G25" s="53"/>
      <c r="H25" s="53"/>
      <c r="I25" s="59"/>
      <c r="J25" s="60"/>
      <c r="K25" s="48"/>
      <c r="L25" s="48"/>
      <c r="M25" s="49"/>
      <c r="N25" s="49"/>
    </row>
    <row r="26" spans="1:14" x14ac:dyDescent="0.25">
      <c r="A26" s="58"/>
      <c r="B26" s="61"/>
      <c r="C26" s="62"/>
      <c r="D26" s="61"/>
      <c r="E26" s="62"/>
      <c r="F26" s="61"/>
      <c r="G26" s="61"/>
      <c r="H26" s="61"/>
      <c r="I26" s="62"/>
      <c r="J26" s="33"/>
      <c r="K26" s="48"/>
      <c r="L26" s="48"/>
      <c r="M26" s="63"/>
      <c r="N26" s="63"/>
    </row>
    <row r="27" spans="1:14" x14ac:dyDescent="0.25">
      <c r="A27" s="64"/>
      <c r="B27" s="65"/>
      <c r="C27" s="65"/>
      <c r="D27" s="65"/>
      <c r="E27" s="65"/>
      <c r="F27" s="65"/>
      <c r="G27" s="65"/>
      <c r="H27" s="65"/>
      <c r="I27" s="65"/>
    </row>
    <row r="28" spans="1:14" x14ac:dyDescent="0.25">
      <c r="A28" s="64"/>
      <c r="B28" s="65"/>
      <c r="C28" s="65"/>
      <c r="D28" s="65"/>
      <c r="E28" s="65"/>
      <c r="F28" s="65"/>
      <c r="G28" s="65"/>
      <c r="H28" s="65"/>
      <c r="I28" s="65"/>
    </row>
    <row r="29" spans="1:14" x14ac:dyDescent="0.25">
      <c r="A29" s="66"/>
      <c r="B29" s="65"/>
      <c r="C29" s="65"/>
      <c r="D29" s="65"/>
      <c r="E29" s="65"/>
      <c r="F29" s="65"/>
      <c r="G29" s="65"/>
      <c r="H29" s="65"/>
      <c r="I29" s="65"/>
    </row>
    <row r="30" spans="1:14" x14ac:dyDescent="0.25">
      <c r="A30" s="66"/>
      <c r="B30" s="65"/>
      <c r="C30" s="65"/>
      <c r="D30" s="65"/>
      <c r="E30" s="65"/>
      <c r="F30" s="65"/>
      <c r="G30" s="65"/>
      <c r="H30" s="65"/>
      <c r="I30" s="65"/>
    </row>
    <row r="31" spans="1:14" x14ac:dyDescent="0.25">
      <c r="H31" s="57"/>
      <c r="I31" s="57"/>
    </row>
    <row r="32" spans="1:14" x14ac:dyDescent="0.25">
      <c r="H32" s="57"/>
      <c r="I32" s="57"/>
    </row>
    <row r="33" spans="2:9" x14ac:dyDescent="0.25">
      <c r="H33" s="67"/>
      <c r="I33" s="67"/>
    </row>
    <row r="34" spans="2:9" x14ac:dyDescent="0.25">
      <c r="H34" s="68"/>
      <c r="I34" s="68"/>
    </row>
    <row r="36" spans="2:9" x14ac:dyDescent="0.25">
      <c r="B36" s="49"/>
      <c r="C36" s="49"/>
      <c r="D36" s="49"/>
      <c r="E36" s="49"/>
      <c r="F36" s="49"/>
      <c r="G36" s="49"/>
      <c r="H36" s="49"/>
      <c r="I36" s="49"/>
    </row>
  </sheetData>
  <mergeCells count="12">
    <mergeCell ref="A21:G21"/>
    <mergeCell ref="A22:C22"/>
    <mergeCell ref="A1:I1"/>
    <mergeCell ref="A2:A5"/>
    <mergeCell ref="B2:I2"/>
    <mergeCell ref="B3:G3"/>
    <mergeCell ref="H3:I3"/>
    <mergeCell ref="B4:C4"/>
    <mergeCell ref="D4:E4"/>
    <mergeCell ref="F4:G4"/>
    <mergeCell ref="H4:H5"/>
    <mergeCell ref="I4:I5"/>
  </mergeCells>
  <printOptions horizontalCentered="1"/>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01"/>
  <sheetViews>
    <sheetView tabSelected="1" zoomScaleNormal="100" workbookViewId="0">
      <selection activeCell="F8" sqref="F8"/>
    </sheetView>
  </sheetViews>
  <sheetFormatPr defaultRowHeight="15" x14ac:dyDescent="0.25"/>
  <cols>
    <col min="1" max="1" width="56" customWidth="1"/>
    <col min="2" max="2" width="13.28515625" style="604" customWidth="1"/>
    <col min="3" max="3" width="9.85546875" style="604" customWidth="1"/>
    <col min="4" max="4" width="13.28515625" style="604" customWidth="1"/>
    <col min="5" max="5" width="9.85546875" style="604" customWidth="1"/>
    <col min="6" max="6" width="9.42578125" customWidth="1"/>
    <col min="7" max="7" width="9.85546875" customWidth="1"/>
    <col min="8" max="8" width="11.5703125" customWidth="1"/>
    <col min="9" max="9" width="9.85546875" customWidth="1"/>
    <col min="10" max="10" width="9.5703125" customWidth="1"/>
    <col min="11" max="11" width="9.85546875" customWidth="1"/>
    <col min="12" max="12" width="10.28515625" customWidth="1"/>
    <col min="13" max="13" width="9.85546875" customWidth="1"/>
    <col min="14" max="14" width="10.7109375" customWidth="1"/>
    <col min="15" max="15" width="10.140625" customWidth="1"/>
    <col min="16" max="16" width="9.140625" customWidth="1"/>
    <col min="17" max="17" width="12.5703125" customWidth="1"/>
  </cols>
  <sheetData>
    <row r="1" spans="1:17" ht="15" customHeight="1" x14ac:dyDescent="0.25">
      <c r="A1" s="1223" t="s">
        <v>1193</v>
      </c>
      <c r="B1" s="1223"/>
      <c r="C1" s="1223"/>
      <c r="D1" s="1223"/>
      <c r="E1" s="1223"/>
      <c r="F1" s="1223"/>
      <c r="G1" s="1223"/>
      <c r="H1" s="1223"/>
      <c r="I1" s="1223"/>
      <c r="J1" s="608"/>
      <c r="K1" s="608"/>
      <c r="L1" s="608"/>
      <c r="M1" s="608"/>
      <c r="N1" s="69"/>
      <c r="O1" s="69"/>
    </row>
    <row r="2" spans="1:17" x14ac:dyDescent="0.25">
      <c r="A2" s="1225" t="s">
        <v>131</v>
      </c>
      <c r="B2" s="1228" t="s">
        <v>532</v>
      </c>
      <c r="C2" s="1228"/>
      <c r="D2" s="1228"/>
      <c r="E2" s="1228"/>
      <c r="F2" s="1228" t="s">
        <v>1382</v>
      </c>
      <c r="G2" s="1228"/>
      <c r="H2" s="1228"/>
      <c r="I2" s="1228"/>
      <c r="J2" s="1233">
        <v>45412</v>
      </c>
      <c r="K2" s="1234"/>
      <c r="L2" s="1234"/>
      <c r="M2" s="1235"/>
      <c r="N2" s="1233">
        <v>45443</v>
      </c>
      <c r="O2" s="1234"/>
      <c r="P2" s="1234"/>
      <c r="Q2" s="1235"/>
    </row>
    <row r="3" spans="1:17" x14ac:dyDescent="0.25">
      <c r="A3" s="1226"/>
      <c r="B3" s="1229" t="s">
        <v>132</v>
      </c>
      <c r="C3" s="1230"/>
      <c r="D3" s="1231" t="s">
        <v>133</v>
      </c>
      <c r="E3" s="1232"/>
      <c r="F3" s="1229" t="s">
        <v>132</v>
      </c>
      <c r="G3" s="1230"/>
      <c r="H3" s="1231" t="s">
        <v>133</v>
      </c>
      <c r="I3" s="1232"/>
      <c r="J3" s="1229" t="s">
        <v>132</v>
      </c>
      <c r="K3" s="1230"/>
      <c r="L3" s="1229" t="s">
        <v>133</v>
      </c>
      <c r="M3" s="1230"/>
      <c r="N3" s="1229" t="s">
        <v>132</v>
      </c>
      <c r="O3" s="1230"/>
      <c r="P3" s="1229" t="s">
        <v>133</v>
      </c>
      <c r="Q3" s="1230"/>
    </row>
    <row r="4" spans="1:17" ht="31.5" customHeight="1" x14ac:dyDescent="0.25">
      <c r="A4" s="1227"/>
      <c r="B4" s="217" t="s">
        <v>134</v>
      </c>
      <c r="C4" s="217" t="s">
        <v>135</v>
      </c>
      <c r="D4" s="217" t="s">
        <v>134</v>
      </c>
      <c r="E4" s="217" t="s">
        <v>135</v>
      </c>
      <c r="F4" s="217" t="s">
        <v>134</v>
      </c>
      <c r="G4" s="217" t="s">
        <v>135</v>
      </c>
      <c r="H4" s="217" t="s">
        <v>134</v>
      </c>
      <c r="I4" s="217" t="s">
        <v>135</v>
      </c>
      <c r="J4" s="217" t="s">
        <v>134</v>
      </c>
      <c r="K4" s="217" t="s">
        <v>135</v>
      </c>
      <c r="L4" s="217" t="s">
        <v>134</v>
      </c>
      <c r="M4" s="217" t="s">
        <v>135</v>
      </c>
      <c r="N4" s="217" t="s">
        <v>134</v>
      </c>
      <c r="O4" s="217" t="s">
        <v>135</v>
      </c>
      <c r="P4" s="217" t="s">
        <v>134</v>
      </c>
      <c r="Q4" s="217" t="s">
        <v>135</v>
      </c>
    </row>
    <row r="5" spans="1:17" x14ac:dyDescent="0.25">
      <c r="A5" s="512" t="s">
        <v>136</v>
      </c>
      <c r="B5" s="512"/>
      <c r="C5" s="512"/>
      <c r="D5" s="512"/>
      <c r="E5" s="512"/>
      <c r="F5" s="512"/>
      <c r="G5" s="512"/>
      <c r="H5" s="512"/>
      <c r="I5" s="512"/>
      <c r="J5" s="512"/>
      <c r="K5" s="512"/>
      <c r="L5" s="512"/>
      <c r="M5" s="512"/>
      <c r="N5" s="512"/>
      <c r="O5" s="512"/>
      <c r="P5" s="512"/>
      <c r="Q5" s="512"/>
    </row>
    <row r="6" spans="1:17" s="38" customFormat="1" x14ac:dyDescent="0.25">
      <c r="A6" s="516" t="s">
        <v>1098</v>
      </c>
      <c r="B6" s="295">
        <v>9</v>
      </c>
      <c r="C6" s="295">
        <v>7506.2741069999993</v>
      </c>
      <c r="D6" s="295">
        <v>67</v>
      </c>
      <c r="E6" s="295">
        <v>54353.573211499992</v>
      </c>
      <c r="F6" s="295">
        <v>2</v>
      </c>
      <c r="G6" s="295">
        <v>5614.6458591999999</v>
      </c>
      <c r="H6" s="295">
        <v>6</v>
      </c>
      <c r="I6" s="295">
        <v>9046.1545838000002</v>
      </c>
      <c r="J6" s="295">
        <v>0</v>
      </c>
      <c r="K6" s="325">
        <v>0</v>
      </c>
      <c r="L6" s="329">
        <v>3</v>
      </c>
      <c r="M6" s="326">
        <v>5054.67</v>
      </c>
      <c r="N6" s="295">
        <v>2</v>
      </c>
      <c r="O6" s="325">
        <v>5614.6458591999999</v>
      </c>
      <c r="P6" s="329">
        <v>3</v>
      </c>
      <c r="Q6" s="326">
        <v>3991.4845838000001</v>
      </c>
    </row>
    <row r="7" spans="1:17" s="38" customFormat="1" x14ac:dyDescent="0.25">
      <c r="A7" s="517" t="s">
        <v>1099</v>
      </c>
      <c r="B7" s="295" t="s">
        <v>238</v>
      </c>
      <c r="C7" s="295">
        <v>2942.2087618999999</v>
      </c>
      <c r="D7" s="295" t="s">
        <v>238</v>
      </c>
      <c r="E7" s="295">
        <v>30160.0312982</v>
      </c>
      <c r="F7" s="529" t="s">
        <v>238</v>
      </c>
      <c r="G7" s="295">
        <v>3489.6458468999999</v>
      </c>
      <c r="H7" s="529" t="s">
        <v>238</v>
      </c>
      <c r="I7" s="295">
        <v>7327.9677400999999</v>
      </c>
      <c r="J7" s="529" t="s">
        <v>238</v>
      </c>
      <c r="K7" s="325">
        <v>0</v>
      </c>
      <c r="L7" s="296" t="s">
        <v>238</v>
      </c>
      <c r="M7" s="328">
        <v>4624.4736579999999</v>
      </c>
      <c r="N7" s="296" t="s">
        <v>238</v>
      </c>
      <c r="O7" s="327">
        <v>3489.6458468999999</v>
      </c>
      <c r="P7" s="296" t="s">
        <v>238</v>
      </c>
      <c r="Q7" s="328">
        <v>2703.4940821</v>
      </c>
    </row>
    <row r="8" spans="1:17" s="38" customFormat="1" x14ac:dyDescent="0.25">
      <c r="A8" s="517" t="s">
        <v>1100</v>
      </c>
      <c r="B8" s="295" t="s">
        <v>238</v>
      </c>
      <c r="C8" s="295">
        <v>4564.8984638000002</v>
      </c>
      <c r="D8" s="295" t="s">
        <v>238</v>
      </c>
      <c r="E8" s="295">
        <v>24200.778626200001</v>
      </c>
      <c r="F8" s="529" t="s">
        <v>238</v>
      </c>
      <c r="G8" s="295">
        <v>2125.5513492999999</v>
      </c>
      <c r="H8" s="529" t="s">
        <v>238</v>
      </c>
      <c r="I8" s="295">
        <v>1719.1614018</v>
      </c>
      <c r="J8" s="529" t="s">
        <v>238</v>
      </c>
      <c r="K8" s="325">
        <v>0</v>
      </c>
      <c r="L8" s="296" t="s">
        <v>238</v>
      </c>
      <c r="M8" s="328">
        <v>430.1999725</v>
      </c>
      <c r="N8" s="296" t="s">
        <v>238</v>
      </c>
      <c r="O8" s="297">
        <v>2125.5513492999999</v>
      </c>
      <c r="P8" s="296" t="s">
        <v>238</v>
      </c>
      <c r="Q8" s="328">
        <v>1288.9614293</v>
      </c>
    </row>
    <row r="9" spans="1:17" s="38" customFormat="1" x14ac:dyDescent="0.25">
      <c r="A9" s="516" t="s">
        <v>1101</v>
      </c>
      <c r="B9" s="295">
        <v>3</v>
      </c>
      <c r="C9" s="295">
        <v>121.60543999999999</v>
      </c>
      <c r="D9" s="295">
        <v>193</v>
      </c>
      <c r="E9" s="295">
        <v>5973.859480000001</v>
      </c>
      <c r="F9" s="295">
        <v>0</v>
      </c>
      <c r="G9" s="295">
        <v>0</v>
      </c>
      <c r="H9" s="295">
        <v>44</v>
      </c>
      <c r="I9" s="295">
        <v>1199.92704</v>
      </c>
      <c r="J9" s="295">
        <v>0</v>
      </c>
      <c r="K9" s="325">
        <v>0</v>
      </c>
      <c r="L9" s="219">
        <v>23</v>
      </c>
      <c r="M9" s="297">
        <v>672.70851999999991</v>
      </c>
      <c r="N9" s="296">
        <v>0</v>
      </c>
      <c r="O9" s="330">
        <v>0</v>
      </c>
      <c r="P9" s="219">
        <v>21</v>
      </c>
      <c r="Q9" s="297">
        <v>527.21852000000001</v>
      </c>
    </row>
    <row r="10" spans="1:17" s="38" customFormat="1" x14ac:dyDescent="0.25">
      <c r="A10" s="517" t="s">
        <v>1099</v>
      </c>
      <c r="B10" s="295" t="s">
        <v>238</v>
      </c>
      <c r="C10" s="295">
        <v>6.08</v>
      </c>
      <c r="D10" s="295" t="s">
        <v>238</v>
      </c>
      <c r="E10" s="295">
        <v>322.28524649999997</v>
      </c>
      <c r="F10" s="529" t="s">
        <v>238</v>
      </c>
      <c r="G10" s="295">
        <v>0</v>
      </c>
      <c r="H10" s="529" t="s">
        <v>238</v>
      </c>
      <c r="I10" s="295">
        <v>6.5987999999999998</v>
      </c>
      <c r="J10" s="529" t="s">
        <v>238</v>
      </c>
      <c r="K10" s="325">
        <v>0</v>
      </c>
      <c r="L10" s="296" t="s">
        <v>238</v>
      </c>
      <c r="M10" s="297">
        <v>0</v>
      </c>
      <c r="N10" s="296" t="s">
        <v>238</v>
      </c>
      <c r="O10" s="327">
        <v>0</v>
      </c>
      <c r="P10" s="296" t="s">
        <v>238</v>
      </c>
      <c r="Q10" s="297">
        <v>6.5987999999999998</v>
      </c>
    </row>
    <row r="11" spans="1:17" s="38" customFormat="1" x14ac:dyDescent="0.25">
      <c r="A11" s="517" t="s">
        <v>1100</v>
      </c>
      <c r="B11" s="295" t="s">
        <v>238</v>
      </c>
      <c r="C11" s="295">
        <v>115.52356</v>
      </c>
      <c r="D11" s="295" t="s">
        <v>238</v>
      </c>
      <c r="E11" s="295">
        <v>5651.7001455</v>
      </c>
      <c r="F11" s="529" t="s">
        <v>238</v>
      </c>
      <c r="G11" s="295">
        <v>0</v>
      </c>
      <c r="H11" s="529" t="s">
        <v>238</v>
      </c>
      <c r="I11" s="295">
        <v>1193.3513199999998</v>
      </c>
      <c r="J11" s="529" t="s">
        <v>238</v>
      </c>
      <c r="K11" s="325">
        <v>0</v>
      </c>
      <c r="L11" s="296" t="s">
        <v>238</v>
      </c>
      <c r="M11" s="297">
        <v>672.72667999999987</v>
      </c>
      <c r="N11" s="296" t="s">
        <v>238</v>
      </c>
      <c r="O11" s="327">
        <v>0</v>
      </c>
      <c r="P11" s="296" t="s">
        <v>238</v>
      </c>
      <c r="Q11" s="297">
        <v>520.62464</v>
      </c>
    </row>
    <row r="12" spans="1:17" s="38" customFormat="1" x14ac:dyDescent="0.25">
      <c r="A12" s="516" t="s">
        <v>1102</v>
      </c>
      <c r="B12" s="295">
        <v>12</v>
      </c>
      <c r="C12" s="295">
        <v>7627.8795469999995</v>
      </c>
      <c r="D12" s="295">
        <v>260</v>
      </c>
      <c r="E12" s="295">
        <v>60327.432691499991</v>
      </c>
      <c r="F12" s="219">
        <v>2</v>
      </c>
      <c r="G12" s="330">
        <v>5614.6458591999999</v>
      </c>
      <c r="H12" s="219">
        <v>50</v>
      </c>
      <c r="I12" s="328">
        <v>10246.081623800001</v>
      </c>
      <c r="J12" s="219">
        <v>0</v>
      </c>
      <c r="K12" s="330">
        <v>0</v>
      </c>
      <c r="L12" s="219">
        <v>26</v>
      </c>
      <c r="M12" s="328">
        <v>5727.3785200000002</v>
      </c>
      <c r="N12" s="328">
        <v>2</v>
      </c>
      <c r="O12" s="328">
        <v>5614.6458591999999</v>
      </c>
      <c r="P12" s="328">
        <v>24</v>
      </c>
      <c r="Q12" s="328">
        <v>4518.7031038000005</v>
      </c>
    </row>
    <row r="13" spans="1:17" s="38" customFormat="1" x14ac:dyDescent="0.25">
      <c r="A13" s="518" t="s">
        <v>1103</v>
      </c>
      <c r="B13" s="295" t="s">
        <v>238</v>
      </c>
      <c r="C13" s="295">
        <v>2948.2887618999998</v>
      </c>
      <c r="D13" s="295" t="s">
        <v>238</v>
      </c>
      <c r="E13" s="295">
        <v>30482.316544699999</v>
      </c>
      <c r="F13" s="296" t="s">
        <v>238</v>
      </c>
      <c r="G13" s="330">
        <v>3489.6458468999999</v>
      </c>
      <c r="H13" s="296" t="s">
        <v>238</v>
      </c>
      <c r="I13" s="328">
        <v>7334.5665400999997</v>
      </c>
      <c r="J13" s="296" t="s">
        <v>238</v>
      </c>
      <c r="K13" s="330">
        <v>0</v>
      </c>
      <c r="L13" s="296" t="s">
        <v>238</v>
      </c>
      <c r="M13" s="328">
        <v>4624.4736579999999</v>
      </c>
      <c r="N13" s="296" t="s">
        <v>238</v>
      </c>
      <c r="O13" s="328">
        <v>3489.6458468999999</v>
      </c>
      <c r="P13" s="296" t="s">
        <v>238</v>
      </c>
      <c r="Q13" s="328">
        <v>2710.0928821000002</v>
      </c>
    </row>
    <row r="14" spans="1:17" s="38" customFormat="1" x14ac:dyDescent="0.25">
      <c r="A14" s="518" t="s">
        <v>1104</v>
      </c>
      <c r="B14" s="295" t="s">
        <v>238</v>
      </c>
      <c r="C14" s="295">
        <v>4680.4220237999998</v>
      </c>
      <c r="D14" s="295" t="s">
        <v>238</v>
      </c>
      <c r="E14" s="295">
        <v>29852.4787717</v>
      </c>
      <c r="F14" s="296" t="s">
        <v>238</v>
      </c>
      <c r="G14" s="330">
        <v>2125.5513492999999</v>
      </c>
      <c r="H14" s="296" t="s">
        <v>238</v>
      </c>
      <c r="I14" s="328">
        <v>2912.5127217999998</v>
      </c>
      <c r="J14" s="296" t="s">
        <v>238</v>
      </c>
      <c r="K14" s="330">
        <v>0</v>
      </c>
      <c r="L14" s="296" t="s">
        <v>238</v>
      </c>
      <c r="M14" s="328">
        <v>1102.9266524999998</v>
      </c>
      <c r="N14" s="296" t="s">
        <v>238</v>
      </c>
      <c r="O14" s="328">
        <v>2125.5513492999999</v>
      </c>
      <c r="P14" s="296" t="s">
        <v>238</v>
      </c>
      <c r="Q14" s="328">
        <v>1809.5860693</v>
      </c>
    </row>
    <row r="15" spans="1:17" s="38" customFormat="1" x14ac:dyDescent="0.25">
      <c r="A15" s="516" t="s">
        <v>1105</v>
      </c>
      <c r="B15" s="295">
        <v>0</v>
      </c>
      <c r="C15" s="295">
        <v>0</v>
      </c>
      <c r="D15" s="295">
        <v>0</v>
      </c>
      <c r="E15" s="295">
        <v>0</v>
      </c>
      <c r="F15" s="295">
        <v>0</v>
      </c>
      <c r="G15" s="295">
        <v>0</v>
      </c>
      <c r="H15" s="295">
        <v>1</v>
      </c>
      <c r="I15" s="295">
        <v>17999.999999299998</v>
      </c>
      <c r="J15" s="327">
        <v>0</v>
      </c>
      <c r="K15" s="327">
        <v>0</v>
      </c>
      <c r="L15" s="327">
        <v>1</v>
      </c>
      <c r="M15" s="643">
        <v>17999.999999299998</v>
      </c>
      <c r="N15" s="327">
        <v>0</v>
      </c>
      <c r="O15" s="327">
        <v>0</v>
      </c>
      <c r="P15" s="327">
        <v>0</v>
      </c>
      <c r="Q15" s="327">
        <v>0</v>
      </c>
    </row>
    <row r="16" spans="1:17" s="38" customFormat="1" x14ac:dyDescent="0.25">
      <c r="A16" s="517" t="s">
        <v>1099</v>
      </c>
      <c r="B16" s="295">
        <v>0</v>
      </c>
      <c r="C16" s="295">
        <v>0</v>
      </c>
      <c r="D16" s="295">
        <v>0</v>
      </c>
      <c r="E16" s="295">
        <v>0</v>
      </c>
      <c r="F16" s="295">
        <v>0</v>
      </c>
      <c r="G16" s="295">
        <v>0</v>
      </c>
      <c r="H16" s="295">
        <v>0</v>
      </c>
      <c r="I16" s="295">
        <v>0</v>
      </c>
      <c r="J16" s="296">
        <v>0</v>
      </c>
      <c r="K16" s="296">
        <v>0</v>
      </c>
      <c r="L16" s="296">
        <v>0</v>
      </c>
      <c r="M16" s="296">
        <v>0</v>
      </c>
      <c r="N16" s="296">
        <v>0</v>
      </c>
      <c r="O16" s="327">
        <v>0</v>
      </c>
      <c r="P16" s="296">
        <v>0</v>
      </c>
      <c r="Q16" s="331">
        <v>0</v>
      </c>
    </row>
    <row r="17" spans="1:17" s="38" customFormat="1" x14ac:dyDescent="0.25">
      <c r="A17" s="517" t="s">
        <v>1100</v>
      </c>
      <c r="B17" s="295">
        <v>0</v>
      </c>
      <c r="C17" s="295">
        <v>0</v>
      </c>
      <c r="D17" s="295">
        <v>0</v>
      </c>
      <c r="E17" s="295">
        <v>0</v>
      </c>
      <c r="F17" s="295">
        <v>0</v>
      </c>
      <c r="G17" s="295">
        <v>0</v>
      </c>
      <c r="H17" s="295">
        <v>1</v>
      </c>
      <c r="I17" s="295">
        <v>17999.999999299998</v>
      </c>
      <c r="J17" s="296">
        <v>0</v>
      </c>
      <c r="K17" s="327">
        <v>0</v>
      </c>
      <c r="L17" s="296">
        <v>1</v>
      </c>
      <c r="M17" s="643">
        <v>17999.999999299998</v>
      </c>
      <c r="N17" s="296">
        <v>0</v>
      </c>
      <c r="O17" s="327">
        <v>0</v>
      </c>
      <c r="P17" s="296">
        <v>0</v>
      </c>
      <c r="Q17" s="331">
        <v>0</v>
      </c>
    </row>
    <row r="18" spans="1:17" s="38" customFormat="1" x14ac:dyDescent="0.25">
      <c r="A18" s="516" t="s">
        <v>1106</v>
      </c>
      <c r="B18" s="295">
        <v>0</v>
      </c>
      <c r="C18" s="295">
        <v>0</v>
      </c>
      <c r="D18" s="295">
        <v>1</v>
      </c>
      <c r="E18" s="295">
        <v>27</v>
      </c>
      <c r="F18" s="295">
        <v>0</v>
      </c>
      <c r="G18" s="295">
        <v>0</v>
      </c>
      <c r="H18" s="295">
        <v>0</v>
      </c>
      <c r="I18" s="295">
        <v>0</v>
      </c>
      <c r="J18" s="327">
        <v>0</v>
      </c>
      <c r="K18" s="327">
        <v>0</v>
      </c>
      <c r="L18" s="327">
        <v>0</v>
      </c>
      <c r="M18" s="327">
        <v>0</v>
      </c>
      <c r="N18" s="327">
        <v>0</v>
      </c>
      <c r="O18" s="327">
        <v>0</v>
      </c>
      <c r="P18" s="327">
        <v>0</v>
      </c>
      <c r="Q18" s="327">
        <v>0</v>
      </c>
    </row>
    <row r="19" spans="1:17" s="38" customFormat="1" x14ac:dyDescent="0.25">
      <c r="A19" s="517" t="s">
        <v>1099</v>
      </c>
      <c r="B19" s="295">
        <v>0</v>
      </c>
      <c r="C19" s="295">
        <v>0</v>
      </c>
      <c r="D19" s="295">
        <v>0</v>
      </c>
      <c r="E19" s="295">
        <v>0</v>
      </c>
      <c r="F19" s="295">
        <v>0</v>
      </c>
      <c r="G19" s="295">
        <v>0</v>
      </c>
      <c r="H19" s="295">
        <v>0</v>
      </c>
      <c r="I19" s="295">
        <v>0</v>
      </c>
      <c r="J19" s="296">
        <v>0</v>
      </c>
      <c r="K19" s="296">
        <v>0</v>
      </c>
      <c r="L19" s="296">
        <v>0</v>
      </c>
      <c r="M19" s="296">
        <v>0</v>
      </c>
      <c r="N19" s="296">
        <v>0</v>
      </c>
      <c r="O19" s="296">
        <v>0</v>
      </c>
      <c r="P19" s="296">
        <v>0</v>
      </c>
      <c r="Q19" s="296">
        <v>0</v>
      </c>
    </row>
    <row r="20" spans="1:17" s="38" customFormat="1" x14ac:dyDescent="0.25">
      <c r="A20" s="517" t="s">
        <v>1100</v>
      </c>
      <c r="B20" s="295">
        <v>0</v>
      </c>
      <c r="C20" s="295">
        <v>0</v>
      </c>
      <c r="D20" s="295">
        <v>1</v>
      </c>
      <c r="E20" s="295">
        <v>27</v>
      </c>
      <c r="F20" s="295">
        <v>0</v>
      </c>
      <c r="G20" s="295">
        <v>0</v>
      </c>
      <c r="H20" s="295">
        <v>0</v>
      </c>
      <c r="I20" s="295">
        <v>0</v>
      </c>
      <c r="J20" s="296">
        <v>0</v>
      </c>
      <c r="K20" s="296">
        <v>0</v>
      </c>
      <c r="L20" s="296">
        <v>0</v>
      </c>
      <c r="M20" s="296">
        <v>0</v>
      </c>
      <c r="N20" s="296">
        <v>0</v>
      </c>
      <c r="O20" s="296">
        <v>0</v>
      </c>
      <c r="P20" s="296">
        <v>0</v>
      </c>
      <c r="Q20" s="296">
        <v>0</v>
      </c>
    </row>
    <row r="21" spans="1:17" s="38" customFormat="1" x14ac:dyDescent="0.25">
      <c r="A21" s="516" t="s">
        <v>1107</v>
      </c>
      <c r="B21" s="295">
        <v>0</v>
      </c>
      <c r="C21" s="295">
        <v>0</v>
      </c>
      <c r="D21" s="295">
        <v>1</v>
      </c>
      <c r="E21" s="295">
        <v>27</v>
      </c>
      <c r="F21" s="296">
        <v>0</v>
      </c>
      <c r="G21" s="296">
        <v>0</v>
      </c>
      <c r="H21" s="296">
        <v>1</v>
      </c>
      <c r="I21" s="296">
        <v>17999.999999299998</v>
      </c>
      <c r="J21" s="296">
        <v>0</v>
      </c>
      <c r="K21" s="296">
        <v>0</v>
      </c>
      <c r="L21" s="296">
        <v>1</v>
      </c>
      <c r="M21" s="296">
        <v>17999.999999299998</v>
      </c>
      <c r="N21" s="296">
        <v>0</v>
      </c>
      <c r="O21" s="296">
        <v>0</v>
      </c>
      <c r="P21" s="296">
        <v>0</v>
      </c>
      <c r="Q21" s="296">
        <v>0</v>
      </c>
    </row>
    <row r="22" spans="1:17" s="38" customFormat="1" x14ac:dyDescent="0.25">
      <c r="A22" s="518" t="s">
        <v>1099</v>
      </c>
      <c r="B22" s="295">
        <v>0</v>
      </c>
      <c r="C22" s="295">
        <v>0</v>
      </c>
      <c r="D22" s="295">
        <v>0</v>
      </c>
      <c r="E22" s="295">
        <v>0</v>
      </c>
      <c r="F22" s="296">
        <v>0</v>
      </c>
      <c r="G22" s="296">
        <v>0</v>
      </c>
      <c r="H22" s="296">
        <v>0</v>
      </c>
      <c r="I22" s="296">
        <v>0</v>
      </c>
      <c r="J22" s="296">
        <v>0</v>
      </c>
      <c r="K22" s="296">
        <v>0</v>
      </c>
      <c r="L22" s="296">
        <v>0</v>
      </c>
      <c r="M22" s="296">
        <v>0</v>
      </c>
      <c r="N22" s="296">
        <v>0</v>
      </c>
      <c r="O22" s="296">
        <v>0</v>
      </c>
      <c r="P22" s="296">
        <v>0</v>
      </c>
      <c r="Q22" s="296">
        <v>0</v>
      </c>
    </row>
    <row r="23" spans="1:17" s="38" customFormat="1" x14ac:dyDescent="0.25">
      <c r="A23" s="518" t="s">
        <v>1100</v>
      </c>
      <c r="B23" s="295">
        <v>0</v>
      </c>
      <c r="C23" s="295">
        <v>0</v>
      </c>
      <c r="D23" s="295">
        <v>1</v>
      </c>
      <c r="E23" s="295">
        <v>27</v>
      </c>
      <c r="F23" s="296">
        <v>0</v>
      </c>
      <c r="G23" s="296">
        <v>0</v>
      </c>
      <c r="H23" s="296">
        <v>1</v>
      </c>
      <c r="I23" s="296">
        <v>17999.999999299998</v>
      </c>
      <c r="J23" s="296">
        <v>0</v>
      </c>
      <c r="K23" s="296">
        <v>0</v>
      </c>
      <c r="L23" s="296">
        <v>1</v>
      </c>
      <c r="M23" s="296">
        <v>17999.999999299998</v>
      </c>
      <c r="N23" s="296">
        <v>0</v>
      </c>
      <c r="O23" s="296">
        <v>0</v>
      </c>
      <c r="P23" s="296">
        <v>0</v>
      </c>
      <c r="Q23" s="296">
        <v>0</v>
      </c>
    </row>
    <row r="24" spans="1:17" s="38" customFormat="1" x14ac:dyDescent="0.25">
      <c r="A24" s="531" t="s">
        <v>1108</v>
      </c>
      <c r="B24" s="534">
        <v>12</v>
      </c>
      <c r="C24" s="538">
        <v>7627.8795469999995</v>
      </c>
      <c r="D24" s="534">
        <v>261</v>
      </c>
      <c r="E24" s="539">
        <v>60354.432691499991</v>
      </c>
      <c r="F24" s="534">
        <v>2</v>
      </c>
      <c r="G24" s="538">
        <v>5614.6458591999999</v>
      </c>
      <c r="H24" s="534">
        <v>51</v>
      </c>
      <c r="I24" s="539">
        <v>28246.081623099999</v>
      </c>
      <c r="J24" s="534">
        <v>0</v>
      </c>
      <c r="K24" s="538">
        <v>0</v>
      </c>
      <c r="L24" s="534">
        <v>27</v>
      </c>
      <c r="M24" s="539">
        <v>23727.3785193</v>
      </c>
      <c r="N24" s="534">
        <v>2</v>
      </c>
      <c r="O24" s="534">
        <v>5614.6458591999999</v>
      </c>
      <c r="P24" s="534">
        <v>24</v>
      </c>
      <c r="Q24" s="534">
        <v>4518.7031038000005</v>
      </c>
    </row>
    <row r="25" spans="1:17" s="38" customFormat="1" x14ac:dyDescent="0.25">
      <c r="A25" s="533" t="s">
        <v>1103</v>
      </c>
      <c r="B25" s="534" t="s">
        <v>238</v>
      </c>
      <c r="C25" s="536">
        <v>2948.2887618999998</v>
      </c>
      <c r="D25" s="534" t="s">
        <v>238</v>
      </c>
      <c r="E25" s="540">
        <v>30482.316544699999</v>
      </c>
      <c r="F25" s="534" t="s">
        <v>238</v>
      </c>
      <c r="G25" s="536">
        <v>3489.6458468999999</v>
      </c>
      <c r="H25" s="534" t="s">
        <v>238</v>
      </c>
      <c r="I25" s="540">
        <v>7334.5665400999997</v>
      </c>
      <c r="J25" s="534" t="s">
        <v>238</v>
      </c>
      <c r="K25" s="536">
        <v>0</v>
      </c>
      <c r="L25" s="534" t="s">
        <v>238</v>
      </c>
      <c r="M25" s="540">
        <v>4624.4736579999999</v>
      </c>
      <c r="N25" s="534" t="s">
        <v>238</v>
      </c>
      <c r="O25" s="540">
        <v>3496.2446469000001</v>
      </c>
      <c r="P25" s="534" t="s">
        <v>238</v>
      </c>
      <c r="Q25" s="540">
        <v>2710.0928821000002</v>
      </c>
    </row>
    <row r="26" spans="1:17" s="38" customFormat="1" x14ac:dyDescent="0.25">
      <c r="A26" s="541" t="s">
        <v>1104</v>
      </c>
      <c r="B26" s="534" t="s">
        <v>238</v>
      </c>
      <c r="C26" s="536">
        <v>4680.4220237999998</v>
      </c>
      <c r="D26" s="534" t="s">
        <v>238</v>
      </c>
      <c r="E26" s="540">
        <v>29879.4787717</v>
      </c>
      <c r="F26" s="534" t="s">
        <v>238</v>
      </c>
      <c r="G26" s="536">
        <v>2125.5513492999999</v>
      </c>
      <c r="H26" s="534" t="s">
        <v>238</v>
      </c>
      <c r="I26" s="540">
        <v>20912.5127211</v>
      </c>
      <c r="J26" s="534" t="s">
        <v>238</v>
      </c>
      <c r="K26" s="536">
        <v>0</v>
      </c>
      <c r="L26" s="534" t="s">
        <v>238</v>
      </c>
      <c r="M26" s="540">
        <v>19102.926651799997</v>
      </c>
      <c r="N26" s="534" t="s">
        <v>238</v>
      </c>
      <c r="O26" s="540">
        <v>2126</v>
      </c>
      <c r="P26" s="534" t="s">
        <v>238</v>
      </c>
      <c r="Q26" s="540">
        <v>1809.5860693</v>
      </c>
    </row>
    <row r="27" spans="1:17" s="38" customFormat="1" x14ac:dyDescent="0.25">
      <c r="A27" s="519" t="s">
        <v>1109</v>
      </c>
      <c r="B27" s="1079">
        <v>9</v>
      </c>
      <c r="C27" s="1079">
        <v>7241.9912989999993</v>
      </c>
      <c r="D27" s="1079">
        <v>58</v>
      </c>
      <c r="E27" s="1079">
        <v>7868.2127025000009</v>
      </c>
      <c r="F27" s="1079">
        <v>3</v>
      </c>
      <c r="G27" s="1079">
        <v>2455.9580999999998</v>
      </c>
      <c r="H27" s="1079">
        <v>17</v>
      </c>
      <c r="I27" s="1079">
        <v>1342.4647224</v>
      </c>
      <c r="J27" s="1080">
        <v>2</v>
      </c>
      <c r="K27" s="1080">
        <v>1184.1300000000001</v>
      </c>
      <c r="L27" s="1080">
        <v>6</v>
      </c>
      <c r="M27" s="1080">
        <v>459.05831260000002</v>
      </c>
      <c r="N27" s="1080">
        <v>1</v>
      </c>
      <c r="O27" s="1080">
        <v>1271.8280999999999</v>
      </c>
      <c r="P27" s="1080">
        <v>11</v>
      </c>
      <c r="Q27" s="1080">
        <v>883.40640979999989</v>
      </c>
    </row>
    <row r="28" spans="1:17" s="38" customFormat="1" x14ac:dyDescent="0.25">
      <c r="A28" s="215" t="s">
        <v>1110</v>
      </c>
      <c r="B28" s="1079">
        <v>8</v>
      </c>
      <c r="C28" s="1079">
        <v>7215.1312989999997</v>
      </c>
      <c r="D28" s="1079">
        <v>50</v>
      </c>
      <c r="E28" s="1079">
        <v>7661.5575825000005</v>
      </c>
      <c r="F28" s="1079">
        <v>3</v>
      </c>
      <c r="G28" s="1079">
        <v>2455.9580999999998</v>
      </c>
      <c r="H28" s="1079">
        <v>15</v>
      </c>
      <c r="I28" s="1079">
        <v>1308.6147223999999</v>
      </c>
      <c r="J28" s="1081">
        <v>2</v>
      </c>
      <c r="K28" s="1081">
        <v>1184.1300000000001</v>
      </c>
      <c r="L28" s="1080">
        <v>4</v>
      </c>
      <c r="M28" s="1082">
        <v>425.2083126</v>
      </c>
      <c r="N28" s="1081">
        <v>1</v>
      </c>
      <c r="O28" s="1081">
        <v>1271.8280999999999</v>
      </c>
      <c r="P28" s="1596">
        <v>9</v>
      </c>
      <c r="Q28" s="1597">
        <v>454.31840980000004</v>
      </c>
    </row>
    <row r="29" spans="1:17" s="38" customFormat="1" x14ac:dyDescent="0.25">
      <c r="A29" s="215" t="s">
        <v>1111</v>
      </c>
      <c r="B29" s="1079">
        <v>1</v>
      </c>
      <c r="C29" s="1079">
        <v>26.86</v>
      </c>
      <c r="D29" s="1079">
        <v>8</v>
      </c>
      <c r="E29" s="1079">
        <v>206.65512000000001</v>
      </c>
      <c r="F29" s="1079">
        <v>0</v>
      </c>
      <c r="G29" s="1079">
        <v>0</v>
      </c>
      <c r="H29" s="1079">
        <v>2</v>
      </c>
      <c r="I29" s="1079">
        <v>33.85</v>
      </c>
      <c r="J29" s="1081">
        <v>0</v>
      </c>
      <c r="K29" s="1081">
        <v>0</v>
      </c>
      <c r="L29" s="1080">
        <v>2</v>
      </c>
      <c r="M29" s="1082">
        <v>33.85</v>
      </c>
      <c r="N29" s="1081">
        <v>0</v>
      </c>
      <c r="O29" s="1081">
        <v>0</v>
      </c>
      <c r="P29" s="1596">
        <v>2</v>
      </c>
      <c r="Q29" s="1597">
        <v>429.08800000000002</v>
      </c>
    </row>
    <row r="30" spans="1:17" s="38" customFormat="1" x14ac:dyDescent="0.25">
      <c r="A30" s="519" t="s">
        <v>1112</v>
      </c>
      <c r="B30" s="295">
        <v>69</v>
      </c>
      <c r="C30" s="295">
        <v>7021.1732980100014</v>
      </c>
      <c r="D30" s="295">
        <v>620</v>
      </c>
      <c r="E30" s="295">
        <v>38134.003589003994</v>
      </c>
      <c r="F30" s="295">
        <v>23</v>
      </c>
      <c r="G30" s="295">
        <v>2734.7375000000002</v>
      </c>
      <c r="H30" s="295">
        <v>198</v>
      </c>
      <c r="I30" s="295">
        <v>29960.645531742004</v>
      </c>
      <c r="J30" s="330">
        <v>8</v>
      </c>
      <c r="K30" s="330">
        <v>120.31</v>
      </c>
      <c r="L30" s="330">
        <v>99</v>
      </c>
      <c r="M30" s="330">
        <v>7581.8799313500012</v>
      </c>
      <c r="N30" s="330">
        <v>15</v>
      </c>
      <c r="O30" s="330">
        <v>2614.4275000000002</v>
      </c>
      <c r="P30" s="330">
        <v>99</v>
      </c>
      <c r="Q30" s="330">
        <v>22378.765600392002</v>
      </c>
    </row>
    <row r="31" spans="1:17" s="38" customFormat="1" x14ac:dyDescent="0.25">
      <c r="A31" s="215" t="s">
        <v>1110</v>
      </c>
      <c r="B31" s="295">
        <v>69</v>
      </c>
      <c r="C31" s="295">
        <v>7021.1732980100014</v>
      </c>
      <c r="D31" s="295">
        <v>564</v>
      </c>
      <c r="E31" s="295">
        <v>37516.551904204003</v>
      </c>
      <c r="F31" s="295">
        <v>23</v>
      </c>
      <c r="G31" s="295">
        <v>2734.7375000000002</v>
      </c>
      <c r="H31" s="295">
        <v>177</v>
      </c>
      <c r="I31" s="295">
        <v>29606.174711342002</v>
      </c>
      <c r="J31" s="330">
        <v>8</v>
      </c>
      <c r="K31" s="330">
        <v>120.31</v>
      </c>
      <c r="L31" s="330">
        <v>85</v>
      </c>
      <c r="M31" s="330">
        <v>7298.8208013500016</v>
      </c>
      <c r="N31" s="528">
        <v>15</v>
      </c>
      <c r="O31" s="330">
        <v>2614.4275000000002</v>
      </c>
      <c r="P31" s="528">
        <v>92</v>
      </c>
      <c r="Q31" s="330">
        <v>22307.353909992002</v>
      </c>
    </row>
    <row r="32" spans="1:17" s="38" customFormat="1" x14ac:dyDescent="0.25">
      <c r="A32" s="215" t="s">
        <v>1111</v>
      </c>
      <c r="B32" s="295">
        <v>0</v>
      </c>
      <c r="C32" s="295">
        <v>0</v>
      </c>
      <c r="D32" s="295">
        <v>56</v>
      </c>
      <c r="E32" s="295">
        <v>617.45168479999995</v>
      </c>
      <c r="F32" s="295">
        <v>0</v>
      </c>
      <c r="G32" s="295">
        <v>0</v>
      </c>
      <c r="H32" s="295">
        <v>21</v>
      </c>
      <c r="I32" s="295">
        <v>354.47082039999998</v>
      </c>
      <c r="J32" s="330">
        <v>0</v>
      </c>
      <c r="K32" s="330">
        <v>0</v>
      </c>
      <c r="L32" s="330">
        <v>14</v>
      </c>
      <c r="M32" s="330">
        <v>283.05912999999998</v>
      </c>
      <c r="N32" s="528"/>
      <c r="O32" s="330"/>
      <c r="P32" s="528">
        <v>7</v>
      </c>
      <c r="Q32" s="330">
        <v>71.411690399999998</v>
      </c>
    </row>
    <row r="33" spans="1:17" s="38" customFormat="1" x14ac:dyDescent="0.25">
      <c r="A33" s="519" t="s">
        <v>1113</v>
      </c>
      <c r="B33" s="295">
        <v>15</v>
      </c>
      <c r="C33" s="295">
        <v>40320.469933204993</v>
      </c>
      <c r="D33" s="295">
        <v>46</v>
      </c>
      <c r="E33" s="295">
        <v>28651.001407938005</v>
      </c>
      <c r="F33" s="295">
        <v>2</v>
      </c>
      <c r="G33" s="295">
        <v>2099.999868418</v>
      </c>
      <c r="H33" s="295">
        <v>11</v>
      </c>
      <c r="I33" s="295">
        <v>12411.732804792</v>
      </c>
      <c r="J33" s="403">
        <v>2</v>
      </c>
      <c r="K33" s="520">
        <v>2099.999868418</v>
      </c>
      <c r="L33" s="403">
        <v>9</v>
      </c>
      <c r="M33" s="521">
        <v>9371.7329127920002</v>
      </c>
      <c r="N33" s="403">
        <v>0</v>
      </c>
      <c r="O33" s="521">
        <v>0</v>
      </c>
      <c r="P33" s="403">
        <v>2</v>
      </c>
      <c r="Q33" s="521">
        <v>3039.9998919999998</v>
      </c>
    </row>
    <row r="34" spans="1:17" s="38" customFormat="1" x14ac:dyDescent="0.25">
      <c r="A34" s="215" t="s">
        <v>1110</v>
      </c>
      <c r="B34" s="295">
        <v>15</v>
      </c>
      <c r="C34" s="295">
        <v>40320.469933204993</v>
      </c>
      <c r="D34" s="295">
        <v>44</v>
      </c>
      <c r="E34" s="295">
        <v>28534.463557938001</v>
      </c>
      <c r="F34" s="295">
        <v>2</v>
      </c>
      <c r="G34" s="295">
        <v>2099.999868418</v>
      </c>
      <c r="H34" s="295">
        <v>11</v>
      </c>
      <c r="I34" s="295">
        <v>12411.732804792</v>
      </c>
      <c r="J34" s="520">
        <v>2</v>
      </c>
      <c r="K34" s="520">
        <v>2099.999868418</v>
      </c>
      <c r="L34" s="522">
        <v>9</v>
      </c>
      <c r="M34" s="522">
        <v>9371.7329127920002</v>
      </c>
      <c r="N34" s="522"/>
      <c r="O34" s="522"/>
      <c r="P34" s="521">
        <v>2</v>
      </c>
      <c r="Q34" s="521">
        <v>3039.9998919999998</v>
      </c>
    </row>
    <row r="35" spans="1:17" s="38" customFormat="1" x14ac:dyDescent="0.25">
      <c r="A35" s="215" t="s">
        <v>1111</v>
      </c>
      <c r="B35" s="295">
        <v>0</v>
      </c>
      <c r="C35" s="295">
        <v>0</v>
      </c>
      <c r="D35" s="295">
        <v>2</v>
      </c>
      <c r="E35" s="295">
        <v>116.53785000000001</v>
      </c>
      <c r="F35" s="295">
        <v>0</v>
      </c>
      <c r="G35" s="295">
        <v>0</v>
      </c>
      <c r="H35" s="295">
        <v>0</v>
      </c>
      <c r="I35" s="295">
        <v>0</v>
      </c>
      <c r="J35" s="522">
        <v>0</v>
      </c>
      <c r="K35" s="522">
        <v>0</v>
      </c>
      <c r="L35" s="522">
        <v>0</v>
      </c>
      <c r="M35" s="522">
        <v>0</v>
      </c>
      <c r="N35" s="522"/>
      <c r="O35" s="522"/>
      <c r="P35" s="522"/>
      <c r="Q35" s="522"/>
    </row>
    <row r="36" spans="1:17" s="38" customFormat="1" x14ac:dyDescent="0.25">
      <c r="A36" s="519" t="s">
        <v>1114</v>
      </c>
      <c r="B36" s="295">
        <v>4</v>
      </c>
      <c r="C36" s="295">
        <v>1652.7280414000002</v>
      </c>
      <c r="D36" s="295">
        <v>47</v>
      </c>
      <c r="E36" s="295">
        <v>22881.828268093999</v>
      </c>
      <c r="F36" s="295">
        <v>0</v>
      </c>
      <c r="G36" s="295">
        <v>0</v>
      </c>
      <c r="H36" s="295">
        <v>6</v>
      </c>
      <c r="I36" s="295">
        <v>248.58200160000001</v>
      </c>
      <c r="J36" s="296">
        <v>0</v>
      </c>
      <c r="K36" s="296">
        <v>0</v>
      </c>
      <c r="L36" s="296">
        <v>2</v>
      </c>
      <c r="M36" s="296">
        <v>14.3120016</v>
      </c>
      <c r="N36" s="296">
        <v>0</v>
      </c>
      <c r="O36" s="296">
        <v>0</v>
      </c>
      <c r="P36" s="296">
        <v>2</v>
      </c>
      <c r="Q36" s="296">
        <v>220</v>
      </c>
    </row>
    <row r="37" spans="1:17" s="38" customFormat="1" x14ac:dyDescent="0.25">
      <c r="A37" s="215" t="s">
        <v>1115</v>
      </c>
      <c r="B37" s="295">
        <v>4</v>
      </c>
      <c r="C37" s="295">
        <v>1652.7280414000002</v>
      </c>
      <c r="D37" s="295">
        <v>47</v>
      </c>
      <c r="E37" s="295">
        <v>22881.828268093999</v>
      </c>
      <c r="F37" s="295">
        <v>0</v>
      </c>
      <c r="G37" s="295">
        <v>0</v>
      </c>
      <c r="H37" s="295">
        <v>6</v>
      </c>
      <c r="I37" s="295">
        <v>248.58200160000001</v>
      </c>
      <c r="J37" s="296">
        <v>0</v>
      </c>
      <c r="K37" s="296">
        <v>0</v>
      </c>
      <c r="L37" s="530">
        <v>2</v>
      </c>
      <c r="M37" s="296">
        <v>14.3120016</v>
      </c>
      <c r="N37" s="530">
        <v>0</v>
      </c>
      <c r="O37" s="296">
        <v>0</v>
      </c>
      <c r="P37" s="296">
        <v>2</v>
      </c>
      <c r="Q37" s="296">
        <v>220</v>
      </c>
    </row>
    <row r="38" spans="1:17" s="38" customFormat="1" x14ac:dyDescent="0.25">
      <c r="A38" s="215" t="s">
        <v>1116</v>
      </c>
      <c r="B38" s="295">
        <v>0</v>
      </c>
      <c r="C38" s="295">
        <v>0</v>
      </c>
      <c r="D38" s="295">
        <v>0</v>
      </c>
      <c r="E38" s="295">
        <v>0</v>
      </c>
      <c r="F38" s="295">
        <v>0</v>
      </c>
      <c r="G38" s="295">
        <v>0</v>
      </c>
      <c r="H38" s="295">
        <v>0</v>
      </c>
      <c r="I38" s="295">
        <v>0</v>
      </c>
      <c r="J38" s="296">
        <v>0</v>
      </c>
      <c r="K38" s="296">
        <v>0</v>
      </c>
      <c r="L38" s="296">
        <v>0</v>
      </c>
      <c r="M38" s="296">
        <v>0</v>
      </c>
      <c r="N38" s="296"/>
      <c r="O38" s="296">
        <v>0</v>
      </c>
      <c r="P38" s="296">
        <v>0</v>
      </c>
      <c r="Q38" s="296">
        <v>0</v>
      </c>
    </row>
    <row r="39" spans="1:17" s="38" customFormat="1" x14ac:dyDescent="0.25">
      <c r="A39" s="531" t="s">
        <v>1201</v>
      </c>
      <c r="B39" s="532">
        <v>109</v>
      </c>
      <c r="C39" s="532">
        <v>63864.242118614988</v>
      </c>
      <c r="D39" s="532">
        <v>1032</v>
      </c>
      <c r="E39" s="532">
        <v>157889.47865903599</v>
      </c>
      <c r="F39" s="532">
        <v>30</v>
      </c>
      <c r="G39" s="532">
        <v>12905.341327618</v>
      </c>
      <c r="H39" s="532">
        <v>283</v>
      </c>
      <c r="I39" s="532">
        <v>72209.506683634012</v>
      </c>
      <c r="J39" s="532">
        <v>12</v>
      </c>
      <c r="K39" s="532">
        <v>3404.4398684180001</v>
      </c>
      <c r="L39" s="532">
        <v>143</v>
      </c>
      <c r="M39" s="532">
        <v>41154.361677642002</v>
      </c>
      <c r="N39" s="532">
        <v>18</v>
      </c>
      <c r="O39" s="532">
        <v>9500.9014592000003</v>
      </c>
      <c r="P39" s="532">
        <v>138</v>
      </c>
      <c r="Q39" s="532">
        <f t="shared" ref="Q39" si="0">Q24+Q27+Q30+Q33+Q36</f>
        <v>31040.875005992002</v>
      </c>
    </row>
    <row r="40" spans="1:17" s="38" customFormat="1" x14ac:dyDescent="0.25">
      <c r="A40" s="533" t="s">
        <v>1210</v>
      </c>
      <c r="B40" s="534" t="s">
        <v>238</v>
      </c>
      <c r="C40" s="535">
        <v>4601.0168033</v>
      </c>
      <c r="D40" s="534" t="s">
        <v>238</v>
      </c>
      <c r="E40" s="535">
        <v>53364.144812793995</v>
      </c>
      <c r="F40" s="534" t="s">
        <v>238</v>
      </c>
      <c r="G40" s="535">
        <v>3489.6458468999999</v>
      </c>
      <c r="H40" s="534" t="s">
        <v>238</v>
      </c>
      <c r="I40" s="535">
        <v>7583.1485416999994</v>
      </c>
      <c r="J40" s="534" t="s">
        <v>238</v>
      </c>
      <c r="K40" s="535">
        <v>0</v>
      </c>
      <c r="L40" s="534" t="s">
        <v>238</v>
      </c>
      <c r="M40" s="535">
        <v>4638.7856596000001</v>
      </c>
      <c r="N40" s="534" t="s">
        <v>238</v>
      </c>
      <c r="O40" s="535">
        <v>3496.2446469000001</v>
      </c>
      <c r="P40" s="534" t="s">
        <v>238</v>
      </c>
      <c r="Q40" s="535">
        <f>Q25+Q36</f>
        <v>2930.0928821000002</v>
      </c>
    </row>
    <row r="41" spans="1:17" s="38" customFormat="1" x14ac:dyDescent="0.25">
      <c r="A41" s="533" t="s">
        <v>1211</v>
      </c>
      <c r="B41" s="534" t="s">
        <v>238</v>
      </c>
      <c r="C41" s="536">
        <v>59264.056554014991</v>
      </c>
      <c r="D41" s="534" t="s">
        <v>238</v>
      </c>
      <c r="E41" s="536">
        <v>104532.696471142</v>
      </c>
      <c r="F41" s="534" t="s">
        <v>238</v>
      </c>
      <c r="G41" s="536">
        <v>9416.2468177179999</v>
      </c>
      <c r="H41" s="534" t="s">
        <v>238</v>
      </c>
      <c r="I41" s="536">
        <v>64627.355780034006</v>
      </c>
      <c r="J41" s="534" t="s">
        <v>238</v>
      </c>
      <c r="K41" s="536">
        <v>3404.4398684180001</v>
      </c>
      <c r="L41" s="534" t="s">
        <v>238</v>
      </c>
      <c r="M41" s="536">
        <v>36515.597808541992</v>
      </c>
      <c r="N41" s="534" t="s">
        <v>238</v>
      </c>
      <c r="O41" s="536">
        <f>O33+O30+O27+O26</f>
        <v>6012.2556000000004</v>
      </c>
      <c r="P41" s="534" t="s">
        <v>238</v>
      </c>
      <c r="Q41" s="536">
        <f>Q33+Q30+Q27+Q26</f>
        <v>28111.757971491999</v>
      </c>
    </row>
    <row r="42" spans="1:17" s="38" customFormat="1" x14ac:dyDescent="0.25">
      <c r="A42" s="513" t="s">
        <v>1117</v>
      </c>
      <c r="B42" s="1037"/>
      <c r="C42" s="1037"/>
      <c r="D42" s="1037"/>
      <c r="E42" s="1037"/>
      <c r="F42" s="514"/>
      <c r="G42" s="514"/>
      <c r="H42" s="514"/>
      <c r="I42" s="514"/>
      <c r="J42" s="514"/>
      <c r="K42" s="514"/>
      <c r="L42" s="514"/>
      <c r="M42" s="515"/>
      <c r="N42" s="514"/>
      <c r="O42" s="514"/>
      <c r="P42" s="514"/>
      <c r="Q42" s="515"/>
    </row>
    <row r="43" spans="1:17" s="38" customFormat="1" ht="30" x14ac:dyDescent="0.25">
      <c r="A43" s="1077" t="s">
        <v>1202</v>
      </c>
      <c r="B43" s="295">
        <v>1120</v>
      </c>
      <c r="C43" s="295">
        <v>664316.12712287006</v>
      </c>
      <c r="D43" s="295">
        <v>227</v>
      </c>
      <c r="E43" s="295">
        <v>173440.80634450002</v>
      </c>
      <c r="F43" s="615">
        <v>198</v>
      </c>
      <c r="G43" s="615">
        <v>83815.72862098398</v>
      </c>
      <c r="H43" s="615">
        <v>26</v>
      </c>
      <c r="I43" s="615">
        <v>7919.4745971240009</v>
      </c>
      <c r="J43" s="615">
        <v>86</v>
      </c>
      <c r="K43" s="615">
        <v>25739.755809819999</v>
      </c>
      <c r="L43" s="615">
        <v>15</v>
      </c>
      <c r="M43" s="615">
        <v>4768.2442944240001</v>
      </c>
      <c r="N43" s="330">
        <v>112</v>
      </c>
      <c r="O43" s="330">
        <v>58075.972811163985</v>
      </c>
      <c r="P43" s="330">
        <v>11</v>
      </c>
      <c r="Q43" s="330">
        <v>3151.2303027000003</v>
      </c>
    </row>
    <row r="44" spans="1:17" s="38" customFormat="1" x14ac:dyDescent="0.25">
      <c r="A44" s="1076" t="s">
        <v>1118</v>
      </c>
      <c r="B44" s="295">
        <v>972</v>
      </c>
      <c r="C44" s="295">
        <v>654318.76645667013</v>
      </c>
      <c r="D44" s="295">
        <v>201</v>
      </c>
      <c r="E44" s="295">
        <v>170547.04700000002</v>
      </c>
      <c r="F44" s="295">
        <v>145</v>
      </c>
      <c r="G44" s="295">
        <v>81060.837821283989</v>
      </c>
      <c r="H44" s="295">
        <v>20</v>
      </c>
      <c r="I44" s="295">
        <v>7436.2933850240006</v>
      </c>
      <c r="J44" s="615">
        <v>60</v>
      </c>
      <c r="K44" s="615">
        <v>24143.647020619999</v>
      </c>
      <c r="L44" s="615">
        <v>14</v>
      </c>
      <c r="M44" s="615">
        <v>4664.9433850240002</v>
      </c>
      <c r="N44" s="330">
        <v>85</v>
      </c>
      <c r="O44" s="330">
        <v>56917.190800663986</v>
      </c>
      <c r="P44" s="330">
        <v>6</v>
      </c>
      <c r="Q44" s="330">
        <v>2771.35</v>
      </c>
    </row>
    <row r="45" spans="1:17" s="38" customFormat="1" x14ac:dyDescent="0.25">
      <c r="A45" s="1075" t="s">
        <v>1203</v>
      </c>
      <c r="B45" s="295">
        <v>45</v>
      </c>
      <c r="C45" s="295">
        <v>19166.309999999998</v>
      </c>
      <c r="D45" s="295">
        <v>0</v>
      </c>
      <c r="E45" s="295">
        <v>0</v>
      </c>
      <c r="F45" s="295">
        <v>7</v>
      </c>
      <c r="G45" s="295">
        <v>1893.71</v>
      </c>
      <c r="H45" s="295">
        <v>0</v>
      </c>
      <c r="I45" s="295">
        <v>0</v>
      </c>
      <c r="J45" s="330">
        <v>4</v>
      </c>
      <c r="K45" s="330">
        <v>686.75</v>
      </c>
      <c r="L45" s="330">
        <v>0</v>
      </c>
      <c r="M45" s="330">
        <v>0</v>
      </c>
      <c r="N45" s="330">
        <v>3</v>
      </c>
      <c r="O45" s="330">
        <v>1206.96</v>
      </c>
      <c r="P45" s="330">
        <v>0</v>
      </c>
      <c r="Q45" s="330">
        <v>0</v>
      </c>
    </row>
    <row r="46" spans="1:17" s="38" customFormat="1" x14ac:dyDescent="0.25">
      <c r="A46" s="531" t="s">
        <v>1209</v>
      </c>
      <c r="B46" s="536">
        <v>1165</v>
      </c>
      <c r="C46" s="536">
        <v>683482.43712287</v>
      </c>
      <c r="D46" s="536">
        <v>227</v>
      </c>
      <c r="E46" s="536">
        <v>173440.80634450002</v>
      </c>
      <c r="F46" s="536">
        <v>205</v>
      </c>
      <c r="G46" s="536">
        <v>85709.438620983987</v>
      </c>
      <c r="H46" s="536">
        <v>26</v>
      </c>
      <c r="I46" s="536">
        <v>7919.4745971240009</v>
      </c>
      <c r="J46" s="536">
        <v>90</v>
      </c>
      <c r="K46" s="536">
        <v>26426.505809819999</v>
      </c>
      <c r="L46" s="536">
        <v>15</v>
      </c>
      <c r="M46" s="536">
        <v>4768.2442944240001</v>
      </c>
      <c r="N46" s="536">
        <v>115</v>
      </c>
      <c r="O46" s="536">
        <v>59282.932811163984</v>
      </c>
      <c r="P46" s="536">
        <v>11</v>
      </c>
      <c r="Q46" s="536">
        <v>3151.2303027000003</v>
      </c>
    </row>
    <row r="47" spans="1:17" s="38" customFormat="1" x14ac:dyDescent="0.25">
      <c r="A47" s="513" t="s">
        <v>1119</v>
      </c>
      <c r="B47" s="1037"/>
      <c r="C47" s="1037"/>
      <c r="D47" s="1037"/>
      <c r="E47" s="1037"/>
      <c r="F47" s="514"/>
      <c r="G47" s="514"/>
      <c r="H47" s="514"/>
      <c r="I47" s="514"/>
      <c r="J47" s="514"/>
      <c r="K47" s="514"/>
      <c r="L47" s="514"/>
      <c r="M47" s="515"/>
      <c r="N47" s="514"/>
      <c r="O47" s="514"/>
      <c r="P47" s="514"/>
      <c r="Q47" s="515"/>
    </row>
    <row r="48" spans="1:17" s="38" customFormat="1" x14ac:dyDescent="0.25">
      <c r="A48" s="519" t="s">
        <v>1204</v>
      </c>
      <c r="B48" s="295">
        <v>0</v>
      </c>
      <c r="C48" s="295">
        <v>0</v>
      </c>
      <c r="D48" s="295">
        <v>3</v>
      </c>
      <c r="E48" s="295">
        <v>5905</v>
      </c>
      <c r="F48" s="295">
        <v>0</v>
      </c>
      <c r="G48" s="295">
        <v>0</v>
      </c>
      <c r="H48" s="295">
        <v>0</v>
      </c>
      <c r="I48" s="295">
        <v>0</v>
      </c>
      <c r="J48" s="330">
        <v>0</v>
      </c>
      <c r="K48" s="330">
        <v>0</v>
      </c>
      <c r="L48" s="330">
        <v>0</v>
      </c>
      <c r="M48" s="330">
        <v>0</v>
      </c>
      <c r="N48" s="330">
        <v>0</v>
      </c>
      <c r="O48" s="330">
        <v>0</v>
      </c>
      <c r="P48" s="330">
        <v>0</v>
      </c>
      <c r="Q48" s="330">
        <v>0</v>
      </c>
    </row>
    <row r="49" spans="1:17" s="38" customFormat="1" x14ac:dyDescent="0.25">
      <c r="A49" s="519" t="s">
        <v>1205</v>
      </c>
      <c r="B49" s="295">
        <v>0</v>
      </c>
      <c r="C49" s="295">
        <v>0</v>
      </c>
      <c r="D49" s="295">
        <v>14</v>
      </c>
      <c r="E49" s="295">
        <v>33118.6</v>
      </c>
      <c r="F49" s="295">
        <v>0</v>
      </c>
      <c r="G49" s="295">
        <v>0</v>
      </c>
      <c r="H49" s="295">
        <v>0</v>
      </c>
      <c r="I49" s="295">
        <v>0</v>
      </c>
      <c r="J49" s="330">
        <v>0</v>
      </c>
      <c r="K49" s="330">
        <v>0</v>
      </c>
      <c r="L49" s="330">
        <v>0</v>
      </c>
      <c r="M49" s="330">
        <v>0</v>
      </c>
      <c r="N49" s="330">
        <v>0</v>
      </c>
      <c r="O49" s="330">
        <v>0</v>
      </c>
      <c r="P49" s="330">
        <v>0</v>
      </c>
      <c r="Q49" s="330">
        <v>0</v>
      </c>
    </row>
    <row r="50" spans="1:17" s="38" customFormat="1" x14ac:dyDescent="0.25">
      <c r="A50" s="531" t="s">
        <v>1208</v>
      </c>
      <c r="B50" s="537">
        <v>0</v>
      </c>
      <c r="C50" s="537">
        <v>0</v>
      </c>
      <c r="D50" s="537">
        <v>17</v>
      </c>
      <c r="E50" s="537">
        <v>39023.599999999999</v>
      </c>
      <c r="F50" s="537">
        <v>0</v>
      </c>
      <c r="G50" s="537">
        <v>0</v>
      </c>
      <c r="H50" s="537">
        <v>0</v>
      </c>
      <c r="I50" s="537">
        <v>0</v>
      </c>
      <c r="J50" s="536">
        <v>0</v>
      </c>
      <c r="K50" s="536">
        <v>0</v>
      </c>
      <c r="L50" s="536">
        <v>0</v>
      </c>
      <c r="M50" s="536">
        <v>0</v>
      </c>
      <c r="N50" s="536">
        <v>0</v>
      </c>
      <c r="O50" s="536">
        <v>0</v>
      </c>
      <c r="P50" s="536">
        <v>0</v>
      </c>
      <c r="Q50" s="536">
        <v>0</v>
      </c>
    </row>
    <row r="51" spans="1:17" x14ac:dyDescent="0.25">
      <c r="A51" s="1224" t="s">
        <v>81</v>
      </c>
      <c r="B51" s="1224"/>
      <c r="C51" s="1224"/>
      <c r="D51" s="1224"/>
      <c r="E51" s="1224"/>
      <c r="F51" s="1224"/>
      <c r="G51" s="1224"/>
      <c r="H51" s="1224"/>
      <c r="I51" s="1224"/>
      <c r="J51" s="1224"/>
      <c r="K51" s="1224"/>
      <c r="L51" s="1224"/>
      <c r="M51" s="1224"/>
      <c r="N51" s="69"/>
      <c r="O51" s="69"/>
    </row>
    <row r="52" spans="1:17" x14ac:dyDescent="0.25">
      <c r="A52" s="611" t="s">
        <v>1216</v>
      </c>
      <c r="B52" s="1035"/>
      <c r="C52" s="1035"/>
      <c r="D52" s="1035"/>
      <c r="E52" s="1035"/>
      <c r="F52" s="611"/>
      <c r="G52" s="611"/>
      <c r="H52" s="611"/>
      <c r="I52" s="611"/>
      <c r="J52" s="611"/>
      <c r="K52" s="611"/>
      <c r="L52" s="611"/>
      <c r="M52" s="611"/>
      <c r="N52" s="69"/>
      <c r="O52" s="69"/>
    </row>
    <row r="53" spans="1:17" x14ac:dyDescent="0.25">
      <c r="A53" s="611" t="s">
        <v>1217</v>
      </c>
      <c r="B53" s="1035"/>
      <c r="C53" s="1035"/>
      <c r="D53" s="1035"/>
      <c r="E53" s="1035"/>
      <c r="F53" s="611"/>
      <c r="G53" s="611"/>
      <c r="H53" s="611"/>
      <c r="I53" s="611"/>
      <c r="J53" s="611"/>
      <c r="K53" s="611"/>
      <c r="L53" s="611"/>
      <c r="M53" s="611"/>
      <c r="N53" s="69"/>
      <c r="O53" s="69"/>
    </row>
    <row r="54" spans="1:17" x14ac:dyDescent="0.25">
      <c r="A54" s="610" t="s">
        <v>1206</v>
      </c>
      <c r="B54" s="610"/>
      <c r="C54" s="610"/>
      <c r="D54" s="610"/>
      <c r="E54" s="610"/>
      <c r="F54" s="610"/>
      <c r="G54" s="610"/>
      <c r="H54" s="610"/>
      <c r="I54" s="610"/>
      <c r="J54" s="610"/>
      <c r="K54" s="610"/>
      <c r="L54" s="610"/>
      <c r="M54" s="610"/>
      <c r="N54" s="69"/>
      <c r="O54" s="69"/>
    </row>
    <row r="55" spans="1:17" x14ac:dyDescent="0.25">
      <c r="A55" s="303" t="s">
        <v>1207</v>
      </c>
      <c r="B55" s="610"/>
      <c r="C55" s="610"/>
      <c r="D55" s="610"/>
      <c r="E55" s="610"/>
      <c r="F55" s="303"/>
      <c r="G55" s="303"/>
      <c r="H55" s="303"/>
      <c r="I55" s="303"/>
      <c r="J55" s="303"/>
      <c r="K55" s="303"/>
      <c r="L55" s="303"/>
      <c r="M55" s="303"/>
      <c r="N55" s="303"/>
      <c r="O55" s="303"/>
    </row>
    <row r="56" spans="1:17" x14ac:dyDescent="0.25">
      <c r="A56" s="339" t="s">
        <v>1136</v>
      </c>
      <c r="B56" s="610"/>
      <c r="C56" s="610"/>
      <c r="D56" s="610"/>
      <c r="E56" s="610"/>
      <c r="F56" s="339"/>
      <c r="G56" s="339"/>
      <c r="H56" s="339"/>
      <c r="I56" s="339"/>
      <c r="J56" s="339"/>
      <c r="K56" s="339"/>
      <c r="L56" s="339"/>
      <c r="M56" s="339"/>
      <c r="N56" s="339"/>
      <c r="O56" s="339"/>
    </row>
    <row r="57" spans="1:17" x14ac:dyDescent="0.25">
      <c r="A57" s="339"/>
      <c r="B57" s="610"/>
      <c r="C57" s="610"/>
      <c r="D57" s="610"/>
      <c r="E57" s="610"/>
      <c r="F57" s="339"/>
      <c r="G57" s="339"/>
      <c r="H57" s="339"/>
      <c r="I57" s="339"/>
      <c r="J57" s="339"/>
      <c r="K57" s="339"/>
      <c r="L57" s="339"/>
      <c r="M57" s="339"/>
      <c r="N57" s="339"/>
      <c r="O57" s="339"/>
    </row>
    <row r="58" spans="1:17" x14ac:dyDescent="0.25">
      <c r="A58" s="69"/>
      <c r="B58" s="610"/>
      <c r="C58" s="610"/>
      <c r="D58" s="610"/>
      <c r="E58" s="610"/>
      <c r="F58" s="69"/>
      <c r="G58" s="69"/>
      <c r="H58" s="69"/>
      <c r="I58" s="69"/>
      <c r="J58" s="69"/>
      <c r="K58" s="69"/>
      <c r="L58" s="69"/>
      <c r="M58" s="69"/>
      <c r="N58" s="69"/>
      <c r="O58" s="69"/>
    </row>
    <row r="64" spans="1:17" x14ac:dyDescent="0.25">
      <c r="Q64" s="71"/>
    </row>
    <row r="65" spans="16:17" x14ac:dyDescent="0.25">
      <c r="P65" s="71"/>
      <c r="Q65" s="71"/>
    </row>
    <row r="66" spans="16:17" x14ac:dyDescent="0.25">
      <c r="Q66" s="71"/>
    </row>
    <row r="67" spans="16:17" x14ac:dyDescent="0.25">
      <c r="Q67" s="71"/>
    </row>
    <row r="68" spans="16:17" x14ac:dyDescent="0.25">
      <c r="Q68" s="71"/>
    </row>
    <row r="69" spans="16:17" x14ac:dyDescent="0.25">
      <c r="Q69" s="71"/>
    </row>
    <row r="70" spans="16:17" x14ac:dyDescent="0.25">
      <c r="Q70" s="71"/>
    </row>
    <row r="71" spans="16:17" x14ac:dyDescent="0.25">
      <c r="Q71" s="71"/>
    </row>
    <row r="72" spans="16:17" x14ac:dyDescent="0.25">
      <c r="Q72" s="71"/>
    </row>
    <row r="73" spans="16:17" x14ac:dyDescent="0.25">
      <c r="Q73" s="71"/>
    </row>
    <row r="74" spans="16:17" x14ac:dyDescent="0.25">
      <c r="Q74" s="71"/>
    </row>
    <row r="75" spans="16:17" x14ac:dyDescent="0.25">
      <c r="Q75" s="71"/>
    </row>
    <row r="76" spans="16:17" x14ac:dyDescent="0.25">
      <c r="Q76" s="71"/>
    </row>
    <row r="77" spans="16:17" x14ac:dyDescent="0.25">
      <c r="Q77" s="71"/>
    </row>
    <row r="78" spans="16:17" x14ac:dyDescent="0.25">
      <c r="Q78" s="71"/>
    </row>
    <row r="79" spans="16:17" x14ac:dyDescent="0.25">
      <c r="Q79" s="71"/>
    </row>
    <row r="84" spans="1:17" ht="15.75" x14ac:dyDescent="0.25">
      <c r="A84" s="75"/>
      <c r="B84" s="75"/>
      <c r="C84" s="75"/>
      <c r="D84" s="75"/>
      <c r="E84" s="75"/>
      <c r="F84" s="76"/>
      <c r="G84" s="76"/>
      <c r="H84" s="77"/>
      <c r="I84" s="78"/>
      <c r="K84" s="78"/>
      <c r="L84" s="78"/>
      <c r="M84" s="78"/>
    </row>
    <row r="85" spans="1:17" x14ac:dyDescent="0.25">
      <c r="A85" s="79"/>
      <c r="B85" s="79"/>
      <c r="C85" s="79"/>
      <c r="D85" s="79"/>
      <c r="E85" s="79"/>
      <c r="F85" s="80"/>
      <c r="G85" s="80"/>
      <c r="H85" s="207"/>
      <c r="I85" s="207"/>
      <c r="K85" s="81"/>
      <c r="L85" s="81"/>
      <c r="M85" s="81"/>
    </row>
    <row r="86" spans="1:17" x14ac:dyDescent="0.25">
      <c r="A86" s="79"/>
      <c r="B86" s="79"/>
      <c r="C86" s="79"/>
      <c r="D86" s="79"/>
      <c r="E86" s="79"/>
      <c r="F86" s="80"/>
      <c r="G86" s="80"/>
      <c r="H86" s="80"/>
      <c r="I86" s="80"/>
      <c r="K86" s="80"/>
      <c r="L86" s="80"/>
      <c r="M86" s="80"/>
    </row>
    <row r="87" spans="1:17" x14ac:dyDescent="0.25">
      <c r="A87" s="79"/>
      <c r="B87" s="79"/>
      <c r="C87" s="79"/>
      <c r="D87" s="79"/>
      <c r="E87" s="79"/>
      <c r="F87" s="80"/>
      <c r="G87" s="80"/>
      <c r="H87" s="80"/>
      <c r="I87" s="80"/>
      <c r="K87" s="80"/>
      <c r="L87" s="80"/>
      <c r="M87" s="80"/>
      <c r="N87" s="82"/>
      <c r="O87" s="83"/>
    </row>
    <row r="91" spans="1:17" x14ac:dyDescent="0.25">
      <c r="P91" s="71"/>
      <c r="Q91" s="71"/>
    </row>
    <row r="94" spans="1:17" x14ac:dyDescent="0.25">
      <c r="F94" s="71"/>
      <c r="G94" s="71"/>
      <c r="H94" s="71"/>
      <c r="I94" s="71"/>
      <c r="J94" s="71"/>
      <c r="K94" s="71"/>
      <c r="L94" s="71"/>
      <c r="M94" s="71"/>
      <c r="N94" s="71"/>
      <c r="O94" s="71"/>
    </row>
    <row r="95" spans="1:17" x14ac:dyDescent="0.25">
      <c r="F95" s="71"/>
      <c r="G95" s="71"/>
      <c r="H95" s="71"/>
      <c r="I95" s="71"/>
      <c r="J95" s="71"/>
      <c r="K95" s="71"/>
      <c r="L95" s="71"/>
      <c r="M95" s="71"/>
      <c r="N95" s="71"/>
      <c r="O95" s="71"/>
    </row>
    <row r="101" spans="14:14" x14ac:dyDescent="0.25">
      <c r="N101" s="84"/>
    </row>
  </sheetData>
  <mergeCells count="15">
    <mergeCell ref="N2:Q2"/>
    <mergeCell ref="N3:O3"/>
    <mergeCell ref="P3:Q3"/>
    <mergeCell ref="J3:K3"/>
    <mergeCell ref="L3:M3"/>
    <mergeCell ref="A1:I1"/>
    <mergeCell ref="A51:M51"/>
    <mergeCell ref="A2:A4"/>
    <mergeCell ref="F2:I2"/>
    <mergeCell ref="F3:G3"/>
    <mergeCell ref="H3:I3"/>
    <mergeCell ref="B2:E2"/>
    <mergeCell ref="B3:C3"/>
    <mergeCell ref="D3:E3"/>
    <mergeCell ref="J2:M2"/>
  </mergeCells>
  <printOptions horizontalCentered="1"/>
  <pageMargins left="0.7" right="0.7" top="0.75" bottom="0.75" header="0.3" footer="0.3"/>
  <pageSetup paperSize="9" scale="57" fitToWidth="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3"/>
  <sheetViews>
    <sheetView zoomScaleNormal="100" workbookViewId="0">
      <selection activeCell="G13" sqref="A1:XFD1048576"/>
    </sheetView>
  </sheetViews>
  <sheetFormatPr defaultRowHeight="15" x14ac:dyDescent="0.25"/>
  <sheetData>
    <row r="1" spans="1:17" x14ac:dyDescent="0.25">
      <c r="A1" s="1238" t="s">
        <v>1198</v>
      </c>
      <c r="B1" s="1238"/>
      <c r="C1" s="1238"/>
      <c r="D1" s="1238"/>
      <c r="E1" s="1238"/>
      <c r="F1" s="1238"/>
      <c r="G1" s="1238"/>
      <c r="H1" s="1238"/>
      <c r="I1" s="1238"/>
      <c r="J1" s="1238"/>
      <c r="K1" s="1238"/>
      <c r="L1" s="1238"/>
      <c r="M1" s="1238"/>
      <c r="N1" s="1238"/>
      <c r="O1" s="1238"/>
    </row>
    <row r="2" spans="1:17" ht="15" customHeight="1" x14ac:dyDescent="0.25">
      <c r="A2" s="1247" t="s">
        <v>116</v>
      </c>
      <c r="B2" s="1243" t="s">
        <v>137</v>
      </c>
      <c r="C2" s="1244"/>
      <c r="D2" s="1249" t="s">
        <v>645</v>
      </c>
      <c r="E2" s="1250"/>
      <c r="F2" s="1250"/>
      <c r="G2" s="1250"/>
      <c r="H2" s="1250"/>
      <c r="I2" s="1250"/>
      <c r="J2" s="1250"/>
      <c r="K2" s="1250"/>
      <c r="L2" s="1250"/>
      <c r="M2" s="1251"/>
      <c r="N2" s="1252" t="s">
        <v>140</v>
      </c>
      <c r="O2" s="1253"/>
    </row>
    <row r="3" spans="1:17" x14ac:dyDescent="0.25">
      <c r="A3" s="1248"/>
      <c r="B3" s="1245"/>
      <c r="C3" s="1246"/>
      <c r="D3" s="1241" t="s">
        <v>1196</v>
      </c>
      <c r="E3" s="1242"/>
      <c r="F3" s="1236" t="s">
        <v>1195</v>
      </c>
      <c r="G3" s="1237"/>
      <c r="H3" s="1236" t="s">
        <v>1197</v>
      </c>
      <c r="I3" s="1237"/>
      <c r="J3" s="1241" t="s">
        <v>102</v>
      </c>
      <c r="K3" s="1242"/>
      <c r="L3" s="1241" t="s">
        <v>1194</v>
      </c>
      <c r="M3" s="1242"/>
      <c r="N3" s="1241" t="s">
        <v>1192</v>
      </c>
      <c r="O3" s="1242"/>
    </row>
    <row r="4" spans="1:17" ht="45" x14ac:dyDescent="0.25">
      <c r="A4" s="1245"/>
      <c r="B4" s="85" t="s">
        <v>141</v>
      </c>
      <c r="C4" s="85" t="s">
        <v>142</v>
      </c>
      <c r="D4" s="85" t="s">
        <v>141</v>
      </c>
      <c r="E4" s="85" t="s">
        <v>142</v>
      </c>
      <c r="F4" s="85" t="s">
        <v>141</v>
      </c>
      <c r="G4" s="85" t="s">
        <v>142</v>
      </c>
      <c r="H4" s="85" t="s">
        <v>141</v>
      </c>
      <c r="I4" s="85" t="s">
        <v>142</v>
      </c>
      <c r="J4" s="85" t="s">
        <v>141</v>
      </c>
      <c r="K4" s="85" t="s">
        <v>142</v>
      </c>
      <c r="L4" s="85" t="s">
        <v>141</v>
      </c>
      <c r="M4" s="85" t="s">
        <v>142</v>
      </c>
      <c r="N4" s="85" t="s">
        <v>141</v>
      </c>
      <c r="O4" s="85" t="s">
        <v>142</v>
      </c>
    </row>
    <row r="5" spans="1:17" x14ac:dyDescent="0.25">
      <c r="A5" s="1157" t="s">
        <v>532</v>
      </c>
      <c r="B5" s="634">
        <v>385</v>
      </c>
      <c r="C5" s="634">
        <v>102259.41623999999</v>
      </c>
      <c r="D5" s="634">
        <v>76</v>
      </c>
      <c r="E5" s="634">
        <v>61859.847318499997</v>
      </c>
      <c r="F5" s="634">
        <v>196</v>
      </c>
      <c r="G5" s="634">
        <v>6095.4649200000003</v>
      </c>
      <c r="H5" s="635">
        <v>272</v>
      </c>
      <c r="I5" s="635">
        <v>67955.312238500002</v>
      </c>
      <c r="J5" s="70">
        <v>67</v>
      </c>
      <c r="K5" s="70">
        <v>15110.204001500002</v>
      </c>
      <c r="L5" s="70">
        <v>1</v>
      </c>
      <c r="M5" s="70">
        <v>27</v>
      </c>
      <c r="N5" s="70">
        <v>45</v>
      </c>
      <c r="O5" s="70">
        <v>19166.899999999998</v>
      </c>
    </row>
    <row r="6" spans="1:17" x14ac:dyDescent="0.25">
      <c r="A6" s="1158" t="s">
        <v>1413</v>
      </c>
      <c r="B6" s="408">
        <f t="shared" ref="B6:G6" si="0">SUM(B7:B18)</f>
        <v>80</v>
      </c>
      <c r="C6" s="408">
        <f t="shared" si="0"/>
        <v>39552.8603047</v>
      </c>
      <c r="D6" s="408">
        <f t="shared" si="0"/>
        <v>8</v>
      </c>
      <c r="E6" s="408">
        <f t="shared" si="0"/>
        <v>14660.800443</v>
      </c>
      <c r="F6" s="408">
        <f t="shared" si="0"/>
        <v>44</v>
      </c>
      <c r="G6" s="408">
        <f t="shared" si="0"/>
        <v>1199.92704</v>
      </c>
      <c r="H6" s="408">
        <f t="shared" ref="H6:I8" si="1">D6+F6</f>
        <v>52</v>
      </c>
      <c r="I6" s="408">
        <f t="shared" si="1"/>
        <v>15860.727483000001</v>
      </c>
      <c r="J6" s="407">
        <f t="shared" ref="J6:O6" si="2">SUM(J7:J18)</f>
        <v>20</v>
      </c>
      <c r="K6" s="407">
        <f t="shared" si="2"/>
        <v>3798.4228223999999</v>
      </c>
      <c r="L6" s="407">
        <f t="shared" si="2"/>
        <v>1</v>
      </c>
      <c r="M6" s="407">
        <f t="shared" si="2"/>
        <v>17999.999999299998</v>
      </c>
      <c r="N6" s="407">
        <f t="shared" si="2"/>
        <v>7</v>
      </c>
      <c r="O6" s="407">
        <f t="shared" si="2"/>
        <v>1893.71</v>
      </c>
    </row>
    <row r="7" spans="1:17" x14ac:dyDescent="0.25">
      <c r="A7" s="86">
        <v>45383</v>
      </c>
      <c r="B7" s="72">
        <f>H7+J7+L7+N7</f>
        <v>39</v>
      </c>
      <c r="C7" s="72">
        <f>I7+K7+M7+O7</f>
        <v>26057.3168319</v>
      </c>
      <c r="D7" s="523">
        <v>3</v>
      </c>
      <c r="E7" s="524">
        <v>5054.67</v>
      </c>
      <c r="F7" s="525">
        <v>23</v>
      </c>
      <c r="G7" s="526">
        <v>672.70851999999991</v>
      </c>
      <c r="H7" s="72">
        <f t="shared" si="1"/>
        <v>26</v>
      </c>
      <c r="I7" s="72">
        <f t="shared" si="1"/>
        <v>5727.3785200000002</v>
      </c>
      <c r="J7" s="523">
        <v>8</v>
      </c>
      <c r="K7" s="524">
        <v>1643.1883126</v>
      </c>
      <c r="L7" s="524">
        <v>1</v>
      </c>
      <c r="M7" s="524">
        <v>17999.999999299998</v>
      </c>
      <c r="N7" s="304">
        <v>4</v>
      </c>
      <c r="O7" s="304">
        <v>686.75</v>
      </c>
    </row>
    <row r="8" spans="1:17" x14ac:dyDescent="0.25">
      <c r="A8" s="86">
        <f>EOMONTH(A7,1)</f>
        <v>45443</v>
      </c>
      <c r="B8" s="72">
        <f>H8+J8+L8+N8</f>
        <v>41</v>
      </c>
      <c r="C8" s="72">
        <f>I8+K8+M8+O8</f>
        <v>13495.5434728</v>
      </c>
      <c r="D8" s="523">
        <v>5</v>
      </c>
      <c r="E8" s="524">
        <v>9606.130443</v>
      </c>
      <c r="F8" s="525">
        <v>21</v>
      </c>
      <c r="G8" s="526">
        <v>527.21852000000001</v>
      </c>
      <c r="H8" s="72">
        <f t="shared" si="1"/>
        <v>26</v>
      </c>
      <c r="I8" s="72">
        <f t="shared" si="1"/>
        <v>10133.348963</v>
      </c>
      <c r="J8" s="523">
        <v>12</v>
      </c>
      <c r="K8" s="524">
        <v>2155.2345098000001</v>
      </c>
      <c r="L8" s="524">
        <v>0</v>
      </c>
      <c r="M8" s="524">
        <v>0</v>
      </c>
      <c r="N8" s="304">
        <v>3</v>
      </c>
      <c r="O8" s="304">
        <v>1206.96</v>
      </c>
    </row>
    <row r="9" spans="1:17" x14ac:dyDescent="0.25">
      <c r="A9" s="86">
        <f t="shared" ref="A9:A18" si="3">EOMONTH(A8,1)</f>
        <v>45473</v>
      </c>
      <c r="B9" s="72">
        <f t="shared" ref="B9:B16" si="4">H9+J9+L9+N9</f>
        <v>0</v>
      </c>
      <c r="C9" s="72">
        <f>I9+K9+M9+O9</f>
        <v>0</v>
      </c>
      <c r="D9" s="523"/>
      <c r="E9" s="524"/>
      <c r="F9" s="525"/>
      <c r="G9" s="526"/>
      <c r="H9" s="72"/>
      <c r="I9" s="72"/>
      <c r="J9" s="524"/>
      <c r="K9" s="524"/>
      <c r="L9" s="72"/>
      <c r="M9" s="72"/>
      <c r="N9" s="304"/>
      <c r="O9" s="304"/>
    </row>
    <row r="10" spans="1:17" x14ac:dyDescent="0.25">
      <c r="A10" s="86">
        <f t="shared" si="3"/>
        <v>45504</v>
      </c>
      <c r="B10" s="72">
        <f>H10+J10+L10+N10</f>
        <v>0</v>
      </c>
      <c r="C10" s="72">
        <f t="shared" ref="C10:C16" si="5">I10+K10+M10+O10</f>
        <v>0</v>
      </c>
      <c r="D10" s="523"/>
      <c r="E10" s="524"/>
      <c r="F10" s="525"/>
      <c r="G10" s="526"/>
      <c r="H10" s="72"/>
      <c r="I10" s="72"/>
      <c r="J10" s="524"/>
      <c r="K10" s="524"/>
      <c r="L10" s="72"/>
      <c r="M10" s="72"/>
      <c r="N10" s="304"/>
      <c r="O10" s="304"/>
    </row>
    <row r="11" spans="1:17" x14ac:dyDescent="0.25">
      <c r="A11" s="86">
        <f t="shared" si="3"/>
        <v>45535</v>
      </c>
      <c r="B11" s="72">
        <f t="shared" si="4"/>
        <v>0</v>
      </c>
      <c r="C11" s="72">
        <f t="shared" si="5"/>
        <v>0</v>
      </c>
      <c r="D11" s="524"/>
      <c r="E11" s="524"/>
      <c r="F11" s="525"/>
      <c r="G11" s="526"/>
      <c r="H11" s="72"/>
      <c r="I11" s="72"/>
      <c r="J11" s="524"/>
      <c r="K11" s="524"/>
      <c r="L11" s="72"/>
      <c r="M11" s="72"/>
      <c r="N11" s="72"/>
      <c r="O11" s="304"/>
    </row>
    <row r="12" spans="1:17" x14ac:dyDescent="0.25">
      <c r="A12" s="86">
        <f t="shared" si="3"/>
        <v>45565</v>
      </c>
      <c r="B12" s="72">
        <f t="shared" si="4"/>
        <v>0</v>
      </c>
      <c r="C12" s="72">
        <f t="shared" si="5"/>
        <v>0</v>
      </c>
      <c r="D12" s="524"/>
      <c r="E12" s="524"/>
      <c r="F12" s="526"/>
      <c r="G12" s="526"/>
      <c r="H12" s="72"/>
      <c r="I12" s="72"/>
      <c r="J12" s="524"/>
      <c r="K12" s="524"/>
      <c r="L12" s="72"/>
      <c r="M12" s="72"/>
      <c r="N12" s="72"/>
      <c r="O12" s="72"/>
    </row>
    <row r="13" spans="1:17" x14ac:dyDescent="0.25">
      <c r="A13" s="86">
        <f t="shared" si="3"/>
        <v>45596</v>
      </c>
      <c r="B13" s="72">
        <f t="shared" si="4"/>
        <v>0</v>
      </c>
      <c r="C13" s="72">
        <f t="shared" si="5"/>
        <v>0</v>
      </c>
      <c r="D13" s="524"/>
      <c r="E13" s="524"/>
      <c r="F13" s="526"/>
      <c r="G13" s="526"/>
      <c r="H13" s="72"/>
      <c r="I13" s="72"/>
      <c r="J13" s="524"/>
      <c r="K13" s="524"/>
      <c r="L13" s="72"/>
      <c r="M13" s="72"/>
      <c r="N13" s="72"/>
      <c r="O13" s="72"/>
    </row>
    <row r="14" spans="1:17" x14ac:dyDescent="0.25">
      <c r="A14" s="86">
        <f t="shared" si="3"/>
        <v>45626</v>
      </c>
      <c r="B14" s="72">
        <f t="shared" si="4"/>
        <v>0</v>
      </c>
      <c r="C14" s="72">
        <f t="shared" si="5"/>
        <v>0</v>
      </c>
      <c r="D14" s="524"/>
      <c r="E14" s="524"/>
      <c r="F14" s="526"/>
      <c r="G14" s="526"/>
      <c r="H14" s="72"/>
      <c r="I14" s="72"/>
      <c r="J14" s="524"/>
      <c r="K14" s="524"/>
      <c r="L14" s="72"/>
      <c r="M14" s="72"/>
      <c r="N14" s="72"/>
      <c r="O14" s="72"/>
    </row>
    <row r="15" spans="1:17" x14ac:dyDescent="0.25">
      <c r="A15" s="86">
        <f t="shared" si="3"/>
        <v>45657</v>
      </c>
      <c r="B15" s="72">
        <f t="shared" si="4"/>
        <v>0</v>
      </c>
      <c r="C15" s="72">
        <f t="shared" si="5"/>
        <v>0</v>
      </c>
      <c r="D15" s="218"/>
      <c r="E15" s="524"/>
      <c r="F15" s="527"/>
      <c r="G15" s="527"/>
      <c r="H15" s="72"/>
      <c r="I15" s="72"/>
      <c r="J15" s="524"/>
      <c r="K15" s="524"/>
      <c r="L15" s="72"/>
      <c r="M15" s="72"/>
      <c r="N15" s="419"/>
      <c r="O15" s="620"/>
      <c r="P15" s="49"/>
      <c r="Q15" s="49"/>
    </row>
    <row r="16" spans="1:17" x14ac:dyDescent="0.25">
      <c r="A16" s="86">
        <f t="shared" si="3"/>
        <v>45688</v>
      </c>
      <c r="B16" s="72">
        <f t="shared" si="4"/>
        <v>0</v>
      </c>
      <c r="C16" s="72">
        <f t="shared" si="5"/>
        <v>0</v>
      </c>
      <c r="D16" s="524"/>
      <c r="E16" s="524"/>
      <c r="F16" s="527"/>
      <c r="G16" s="527"/>
      <c r="H16" s="72"/>
      <c r="I16" s="72"/>
      <c r="J16" s="524"/>
      <c r="K16" s="524"/>
      <c r="L16" s="72"/>
      <c r="M16" s="72"/>
      <c r="N16" s="420"/>
      <c r="O16" s="72"/>
    </row>
    <row r="17" spans="1:15" x14ac:dyDescent="0.25">
      <c r="A17" s="86">
        <f t="shared" si="3"/>
        <v>45716</v>
      </c>
      <c r="B17" s="72">
        <f>H17+J17+L17+N17</f>
        <v>0</v>
      </c>
      <c r="C17" s="72">
        <f>I17+K17+M17+O17</f>
        <v>0</v>
      </c>
      <c r="D17" s="218"/>
      <c r="E17" s="218"/>
      <c r="F17" s="218"/>
      <c r="G17" s="218"/>
      <c r="H17" s="72"/>
      <c r="I17" s="72"/>
      <c r="J17" s="218"/>
      <c r="K17" s="218"/>
      <c r="L17" s="72"/>
      <c r="M17" s="72"/>
      <c r="N17" s="72"/>
      <c r="O17" s="72"/>
    </row>
    <row r="18" spans="1:15" x14ac:dyDescent="0.25">
      <c r="A18" s="86">
        <f t="shared" si="3"/>
        <v>45747</v>
      </c>
      <c r="B18" s="72">
        <f>H18+J18+L18+N18</f>
        <v>0</v>
      </c>
      <c r="C18" s="72">
        <f>I18+K18+M18+O18</f>
        <v>0</v>
      </c>
      <c r="D18" s="524"/>
      <c r="E18" s="524"/>
      <c r="F18" s="218"/>
      <c r="G18" s="218"/>
      <c r="H18" s="72"/>
      <c r="I18" s="72"/>
      <c r="J18" s="524"/>
      <c r="K18" s="524"/>
      <c r="L18" s="524"/>
      <c r="M18" s="524"/>
      <c r="N18" s="72"/>
      <c r="O18" s="620"/>
    </row>
    <row r="19" spans="1:15" x14ac:dyDescent="0.25">
      <c r="A19" s="1239" t="s">
        <v>1379</v>
      </c>
      <c r="B19" s="1240"/>
      <c r="C19" s="1240"/>
      <c r="D19" s="1240"/>
      <c r="E19" s="1240"/>
      <c r="F19" s="1240"/>
      <c r="G19" s="1240"/>
      <c r="H19" s="1240"/>
      <c r="I19" s="1240"/>
      <c r="J19" s="1240"/>
      <c r="K19" s="1240"/>
      <c r="L19" s="1240"/>
      <c r="M19" s="1240"/>
      <c r="N19" s="1240"/>
      <c r="O19" s="1240"/>
    </row>
    <row r="20" spans="1:15" x14ac:dyDescent="0.25">
      <c r="A20" s="509" t="s">
        <v>1380</v>
      </c>
      <c r="B20" s="509"/>
      <c r="C20" s="509"/>
      <c r="D20" s="509"/>
      <c r="E20" s="509"/>
      <c r="F20" s="509"/>
      <c r="G20" s="509"/>
      <c r="H20" s="509"/>
      <c r="I20" s="509"/>
      <c r="J20" s="509"/>
      <c r="K20" s="332"/>
      <c r="L20" s="73"/>
      <c r="M20" s="298"/>
    </row>
    <row r="21" spans="1:15" x14ac:dyDescent="0.25">
      <c r="A21" s="510" t="s">
        <v>1381</v>
      </c>
      <c r="B21" s="510"/>
      <c r="C21" s="510"/>
      <c r="D21" s="510"/>
      <c r="E21" s="74"/>
      <c r="F21" s="74"/>
      <c r="G21" s="74"/>
      <c r="H21" s="74"/>
      <c r="I21" s="74"/>
      <c r="J21" s="71"/>
      <c r="K21" s="74"/>
      <c r="L21" s="74"/>
      <c r="M21" s="74"/>
    </row>
    <row r="22" spans="1:15" x14ac:dyDescent="0.25">
      <c r="A22" s="508" t="s">
        <v>130</v>
      </c>
      <c r="B22" s="508"/>
      <c r="C22" s="508"/>
      <c r="D22" s="508"/>
      <c r="E22" s="508"/>
      <c r="F22" s="508"/>
      <c r="G22" s="508"/>
      <c r="H22" s="508"/>
      <c r="I22" s="508"/>
      <c r="K22" s="508"/>
      <c r="L22" s="508"/>
      <c r="M22" s="508"/>
    </row>
    <row r="23" spans="1:15" x14ac:dyDescent="0.25">
      <c r="A23" s="1126" t="s">
        <v>1401</v>
      </c>
    </row>
  </sheetData>
  <mergeCells count="12">
    <mergeCell ref="H3:I3"/>
    <mergeCell ref="A1:O1"/>
    <mergeCell ref="A19:O19"/>
    <mergeCell ref="D3:E3"/>
    <mergeCell ref="J3:K3"/>
    <mergeCell ref="L3:M3"/>
    <mergeCell ref="N3:O3"/>
    <mergeCell ref="B2:C3"/>
    <mergeCell ref="F3:G3"/>
    <mergeCell ref="A2:A4"/>
    <mergeCell ref="D2:M2"/>
    <mergeCell ref="N2:O2"/>
  </mergeCells>
  <printOptions horizontalCentered="1"/>
  <pageMargins left="0.7" right="0.7" top="0.75" bottom="0.75" header="0.3" footer="0.3"/>
  <pageSetup paperSize="9" scale="9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6"/>
  <sheetViews>
    <sheetView zoomScaleNormal="100" workbookViewId="0">
      <selection activeCell="N49" sqref="N49"/>
    </sheetView>
  </sheetViews>
  <sheetFormatPr defaultRowHeight="15" x14ac:dyDescent="0.25"/>
  <cols>
    <col min="1" max="1" width="17.5703125" customWidth="1"/>
    <col min="2" max="2" width="19.42578125" customWidth="1"/>
    <col min="3" max="3" width="25.5703125" customWidth="1"/>
    <col min="4" max="4" width="10.5703125" customWidth="1"/>
    <col min="5" max="6" width="10.28515625" customWidth="1"/>
    <col min="7" max="7" width="12.85546875" customWidth="1"/>
    <col min="10" max="10" width="10.140625" bestFit="1" customWidth="1"/>
  </cols>
  <sheetData>
    <row r="1" spans="1:17" ht="15.75" x14ac:dyDescent="0.3">
      <c r="A1" s="1034" t="s">
        <v>146</v>
      </c>
      <c r="B1" s="1034"/>
      <c r="C1" s="1034"/>
      <c r="D1" s="1034"/>
      <c r="E1" s="1034"/>
      <c r="F1" s="1034"/>
      <c r="G1" s="1034"/>
    </row>
    <row r="2" spans="1:17" ht="15" customHeight="1" x14ac:dyDescent="0.25">
      <c r="A2" s="1260" t="s">
        <v>1247</v>
      </c>
      <c r="B2" s="1262" t="s">
        <v>1248</v>
      </c>
      <c r="C2" s="1262" t="s">
        <v>147</v>
      </c>
      <c r="D2" s="1261" t="s">
        <v>532</v>
      </c>
      <c r="E2" s="1261"/>
      <c r="F2" s="1261" t="s">
        <v>1373</v>
      </c>
      <c r="G2" s="1261"/>
      <c r="H2" s="1259">
        <v>45383</v>
      </c>
      <c r="I2" s="1259"/>
      <c r="J2" s="1254">
        <f>EOMONTH(H2,1)</f>
        <v>45443</v>
      </c>
      <c r="K2" s="1255"/>
    </row>
    <row r="3" spans="1:17" ht="25.5" x14ac:dyDescent="0.25">
      <c r="A3" s="1260"/>
      <c r="B3" s="1262"/>
      <c r="C3" s="1262"/>
      <c r="D3" s="1030" t="s">
        <v>141</v>
      </c>
      <c r="E3" s="1030" t="s">
        <v>142</v>
      </c>
      <c r="F3" s="1030" t="s">
        <v>141</v>
      </c>
      <c r="G3" s="1030" t="s">
        <v>142</v>
      </c>
      <c r="H3" s="1030" t="s">
        <v>141</v>
      </c>
      <c r="I3" s="1030" t="s">
        <v>142</v>
      </c>
      <c r="J3" s="1042" t="s">
        <v>141</v>
      </c>
      <c r="K3" s="1042" t="s">
        <v>142</v>
      </c>
    </row>
    <row r="4" spans="1:17" x14ac:dyDescent="0.25">
      <c r="A4" s="1256" t="s">
        <v>1308</v>
      </c>
      <c r="B4" s="1256" t="s">
        <v>1309</v>
      </c>
      <c r="C4" s="896" t="s">
        <v>1249</v>
      </c>
      <c r="D4" s="1031">
        <v>7</v>
      </c>
      <c r="E4" s="297">
        <v>615.83574079999994</v>
      </c>
      <c r="F4" s="297">
        <f>SUM(H4+J4)</f>
        <v>2</v>
      </c>
      <c r="G4" s="297">
        <f>SUM(I4+K4)</f>
        <v>60.491599999999998</v>
      </c>
      <c r="H4" s="297">
        <v>0</v>
      </c>
      <c r="I4" s="297">
        <v>0</v>
      </c>
      <c r="J4" s="297">
        <v>2</v>
      </c>
      <c r="K4" s="297">
        <v>60.491599999999998</v>
      </c>
      <c r="P4" s="89"/>
      <c r="Q4" s="89"/>
    </row>
    <row r="5" spans="1:17" x14ac:dyDescent="0.25">
      <c r="A5" s="1257"/>
      <c r="B5" s="1258"/>
      <c r="C5" s="896" t="s">
        <v>1250</v>
      </c>
      <c r="D5" s="1031">
        <v>2</v>
      </c>
      <c r="E5" s="297">
        <v>170.5403</v>
      </c>
      <c r="F5" s="297">
        <f t="shared" ref="F5:F63" si="0">SUM(H5+J5)</f>
        <v>0</v>
      </c>
      <c r="G5" s="297">
        <f t="shared" ref="G5:G63" si="1">SUM(I5+K5)</f>
        <v>0</v>
      </c>
      <c r="H5" s="297">
        <v>0</v>
      </c>
      <c r="I5" s="297">
        <v>0</v>
      </c>
      <c r="J5" s="297">
        <v>0</v>
      </c>
      <c r="K5" s="297">
        <v>0</v>
      </c>
      <c r="P5" s="89"/>
      <c r="Q5" s="89"/>
    </row>
    <row r="6" spans="1:17" x14ac:dyDescent="0.25">
      <c r="A6" s="1257"/>
      <c r="B6" s="1256" t="s">
        <v>1310</v>
      </c>
      <c r="C6" s="896" t="s">
        <v>1251</v>
      </c>
      <c r="D6" s="1031">
        <v>2</v>
      </c>
      <c r="E6" s="297">
        <v>4447.0123926000006</v>
      </c>
      <c r="F6" s="297">
        <f t="shared" si="0"/>
        <v>1</v>
      </c>
      <c r="G6" s="297">
        <f t="shared" si="1"/>
        <v>400</v>
      </c>
      <c r="H6" s="297">
        <v>0</v>
      </c>
      <c r="I6" s="297">
        <v>0</v>
      </c>
      <c r="J6" s="297">
        <v>1</v>
      </c>
      <c r="K6" s="297">
        <v>400</v>
      </c>
      <c r="P6" s="89"/>
      <c r="Q6" s="89"/>
    </row>
    <row r="7" spans="1:17" x14ac:dyDescent="0.25">
      <c r="A7" s="1257"/>
      <c r="B7" s="1258"/>
      <c r="C7" s="896" t="s">
        <v>1252</v>
      </c>
      <c r="D7" s="1031">
        <v>1</v>
      </c>
      <c r="E7" s="297">
        <v>49.98</v>
      </c>
      <c r="F7" s="297">
        <f t="shared" si="0"/>
        <v>0</v>
      </c>
      <c r="G7" s="297">
        <f t="shared" si="1"/>
        <v>0</v>
      </c>
      <c r="H7" s="297">
        <v>0</v>
      </c>
      <c r="I7" s="297">
        <v>0</v>
      </c>
      <c r="J7" s="297">
        <v>0</v>
      </c>
      <c r="K7" s="297">
        <v>0</v>
      </c>
      <c r="P7" s="89"/>
      <c r="Q7" s="89"/>
    </row>
    <row r="8" spans="1:17" x14ac:dyDescent="0.25">
      <c r="A8" s="1257"/>
      <c r="B8" s="1256" t="s">
        <v>1311</v>
      </c>
      <c r="C8" s="896" t="s">
        <v>1253</v>
      </c>
      <c r="D8" s="1031">
        <v>1</v>
      </c>
      <c r="E8" s="297">
        <v>42.692639999999997</v>
      </c>
      <c r="F8" s="297">
        <f t="shared" si="0"/>
        <v>0</v>
      </c>
      <c r="G8" s="297">
        <f t="shared" si="1"/>
        <v>0</v>
      </c>
      <c r="H8" s="297">
        <v>0</v>
      </c>
      <c r="I8" s="297">
        <v>0</v>
      </c>
      <c r="J8" s="297">
        <v>0</v>
      </c>
      <c r="K8" s="297">
        <v>0</v>
      </c>
      <c r="P8" s="89"/>
      <c r="Q8" s="89"/>
    </row>
    <row r="9" spans="1:17" x14ac:dyDescent="0.25">
      <c r="A9" s="1257"/>
      <c r="B9" s="1257"/>
      <c r="C9" s="896" t="s">
        <v>1254</v>
      </c>
      <c r="D9" s="1031">
        <v>0</v>
      </c>
      <c r="E9" s="297">
        <v>0</v>
      </c>
      <c r="F9" s="297">
        <f t="shared" si="0"/>
        <v>0</v>
      </c>
      <c r="G9" s="297">
        <f t="shared" si="1"/>
        <v>0</v>
      </c>
      <c r="H9" s="297">
        <v>0</v>
      </c>
      <c r="I9" s="297">
        <v>0</v>
      </c>
      <c r="J9" s="297">
        <v>0</v>
      </c>
      <c r="K9" s="297">
        <v>0</v>
      </c>
      <c r="P9" s="89"/>
      <c r="Q9" s="89"/>
    </row>
    <row r="10" spans="1:17" x14ac:dyDescent="0.25">
      <c r="A10" s="1257"/>
      <c r="B10" s="1257"/>
      <c r="C10" s="896" t="s">
        <v>1255</v>
      </c>
      <c r="D10" s="1031">
        <v>0</v>
      </c>
      <c r="E10" s="297">
        <v>0</v>
      </c>
      <c r="F10" s="297">
        <f t="shared" si="0"/>
        <v>0</v>
      </c>
      <c r="G10" s="297">
        <f t="shared" si="1"/>
        <v>0</v>
      </c>
      <c r="H10" s="297">
        <v>0</v>
      </c>
      <c r="I10" s="297">
        <v>0</v>
      </c>
      <c r="J10" s="297">
        <v>0</v>
      </c>
      <c r="K10" s="297">
        <v>0</v>
      </c>
      <c r="P10" s="89"/>
      <c r="Q10" s="89"/>
    </row>
    <row r="11" spans="1:17" x14ac:dyDescent="0.25">
      <c r="A11" s="1257"/>
      <c r="B11" s="1257"/>
      <c r="C11" s="896" t="s">
        <v>1256</v>
      </c>
      <c r="D11" s="1031">
        <v>0</v>
      </c>
      <c r="E11" s="297">
        <v>0</v>
      </c>
      <c r="F11" s="297">
        <f t="shared" si="0"/>
        <v>0</v>
      </c>
      <c r="G11" s="297">
        <f t="shared" si="1"/>
        <v>0</v>
      </c>
      <c r="H11" s="297">
        <v>0</v>
      </c>
      <c r="I11" s="297">
        <v>0</v>
      </c>
      <c r="J11" s="297">
        <v>0</v>
      </c>
      <c r="K11" s="297">
        <v>0</v>
      </c>
      <c r="P11" s="89"/>
      <c r="Q11" s="89"/>
    </row>
    <row r="12" spans="1:17" x14ac:dyDescent="0.25">
      <c r="A12" s="1257"/>
      <c r="B12" s="1258"/>
      <c r="C12" s="896" t="s">
        <v>1257</v>
      </c>
      <c r="D12" s="1031">
        <v>1</v>
      </c>
      <c r="E12" s="297">
        <v>37.5335775</v>
      </c>
      <c r="F12" s="297">
        <f t="shared" si="0"/>
        <v>0</v>
      </c>
      <c r="G12" s="297">
        <f t="shared" si="1"/>
        <v>0</v>
      </c>
      <c r="H12" s="297">
        <v>0</v>
      </c>
      <c r="I12" s="297">
        <v>0</v>
      </c>
      <c r="J12" s="297">
        <v>0</v>
      </c>
      <c r="K12" s="297">
        <v>0</v>
      </c>
      <c r="P12" s="89"/>
      <c r="Q12" s="89"/>
    </row>
    <row r="13" spans="1:17" x14ac:dyDescent="0.25">
      <c r="A13" s="1258"/>
      <c r="B13" s="1038" t="s">
        <v>1312</v>
      </c>
      <c r="C13" s="896" t="s">
        <v>1258</v>
      </c>
      <c r="D13" s="1031">
        <v>2</v>
      </c>
      <c r="E13" s="297">
        <v>77.48</v>
      </c>
      <c r="F13" s="297">
        <f t="shared" si="0"/>
        <v>1</v>
      </c>
      <c r="G13" s="297">
        <f t="shared" si="1"/>
        <v>45.1073448</v>
      </c>
      <c r="H13" s="297">
        <v>0</v>
      </c>
      <c r="I13" s="297">
        <v>0</v>
      </c>
      <c r="J13" s="297">
        <v>1</v>
      </c>
      <c r="K13" s="297">
        <v>45.1073448</v>
      </c>
      <c r="P13" s="89"/>
      <c r="Q13" s="89"/>
    </row>
    <row r="14" spans="1:17" x14ac:dyDescent="0.25">
      <c r="A14" s="1256" t="s">
        <v>1313</v>
      </c>
      <c r="B14" s="1256" t="s">
        <v>1314</v>
      </c>
      <c r="C14" s="896" t="s">
        <v>1259</v>
      </c>
      <c r="D14" s="1031">
        <v>1</v>
      </c>
      <c r="E14" s="297">
        <v>601.54999999999995</v>
      </c>
      <c r="F14" s="297">
        <f t="shared" si="0"/>
        <v>0</v>
      </c>
      <c r="G14" s="297">
        <f t="shared" si="1"/>
        <v>0</v>
      </c>
      <c r="H14" s="297">
        <v>0</v>
      </c>
      <c r="I14" s="297">
        <v>0</v>
      </c>
      <c r="J14" s="297">
        <v>0</v>
      </c>
      <c r="K14" s="297">
        <v>0</v>
      </c>
      <c r="P14" s="89"/>
      <c r="Q14" s="89"/>
    </row>
    <row r="15" spans="1:17" x14ac:dyDescent="0.25">
      <c r="A15" s="1257"/>
      <c r="B15" s="1258"/>
      <c r="C15" s="896" t="s">
        <v>1260</v>
      </c>
      <c r="D15" s="1031">
        <v>3</v>
      </c>
      <c r="E15" s="297">
        <v>914.20791999999994</v>
      </c>
      <c r="F15" s="297">
        <f t="shared" si="0"/>
        <v>2</v>
      </c>
      <c r="G15" s="297">
        <f t="shared" si="1"/>
        <v>79.135599999999997</v>
      </c>
      <c r="H15" s="297">
        <v>1</v>
      </c>
      <c r="I15" s="297">
        <v>53.89</v>
      </c>
      <c r="J15" s="297">
        <v>1</v>
      </c>
      <c r="K15" s="297">
        <v>25.2456</v>
      </c>
      <c r="P15" s="89"/>
      <c r="Q15" s="89"/>
    </row>
    <row r="16" spans="1:17" x14ac:dyDescent="0.25">
      <c r="A16" s="1257"/>
      <c r="B16" s="1038" t="s">
        <v>1315</v>
      </c>
      <c r="C16" s="896" t="s">
        <v>1261</v>
      </c>
      <c r="D16" s="1031">
        <v>22</v>
      </c>
      <c r="E16" s="297">
        <v>4644.4648800999994</v>
      </c>
      <c r="F16" s="297">
        <f t="shared" si="0"/>
        <v>6</v>
      </c>
      <c r="G16" s="297">
        <f t="shared" si="1"/>
        <v>156.13036499999998</v>
      </c>
      <c r="H16" s="297">
        <v>5</v>
      </c>
      <c r="I16" s="297">
        <v>141.13036499999998</v>
      </c>
      <c r="J16" s="297">
        <v>1</v>
      </c>
      <c r="K16" s="297">
        <v>15</v>
      </c>
      <c r="P16" s="89"/>
      <c r="Q16" s="89"/>
    </row>
    <row r="17" spans="1:17" x14ac:dyDescent="0.25">
      <c r="A17" s="1257"/>
      <c r="B17" s="1038" t="s">
        <v>1316</v>
      </c>
      <c r="C17" s="896" t="s">
        <v>1262</v>
      </c>
      <c r="D17" s="1031">
        <v>14</v>
      </c>
      <c r="E17" s="297">
        <v>279.06739999999996</v>
      </c>
      <c r="F17" s="297">
        <f t="shared" si="0"/>
        <v>3</v>
      </c>
      <c r="G17" s="297">
        <f t="shared" si="1"/>
        <v>73.611307600000004</v>
      </c>
      <c r="H17" s="297">
        <v>1</v>
      </c>
      <c r="I17" s="297">
        <v>44.741307599999999</v>
      </c>
      <c r="J17" s="297">
        <v>2</v>
      </c>
      <c r="K17" s="297">
        <v>28.87</v>
      </c>
      <c r="P17" s="89"/>
      <c r="Q17" s="89"/>
    </row>
    <row r="18" spans="1:17" x14ac:dyDescent="0.25">
      <c r="A18" s="1257"/>
      <c r="B18" s="1256" t="s">
        <v>1317</v>
      </c>
      <c r="C18" s="896" t="s">
        <v>1263</v>
      </c>
      <c r="D18" s="1031">
        <v>5</v>
      </c>
      <c r="E18" s="297">
        <v>555.20499999999993</v>
      </c>
      <c r="F18" s="297">
        <f t="shared" si="0"/>
        <v>1</v>
      </c>
      <c r="G18" s="297">
        <f t="shared" si="1"/>
        <v>8.4816000000000003</v>
      </c>
      <c r="H18" s="297">
        <v>0</v>
      </c>
      <c r="I18" s="297">
        <v>0</v>
      </c>
      <c r="J18" s="297">
        <v>1</v>
      </c>
      <c r="K18" s="297">
        <v>8.4816000000000003</v>
      </c>
      <c r="P18" s="89"/>
      <c r="Q18" s="89"/>
    </row>
    <row r="19" spans="1:17" x14ac:dyDescent="0.25">
      <c r="A19" s="1257"/>
      <c r="B19" s="1257"/>
      <c r="C19" s="896" t="s">
        <v>1264</v>
      </c>
      <c r="D19" s="1031">
        <v>6</v>
      </c>
      <c r="E19" s="297">
        <v>240.97613100000001</v>
      </c>
      <c r="F19" s="297">
        <f t="shared" si="0"/>
        <v>1</v>
      </c>
      <c r="G19" s="297">
        <f t="shared" si="1"/>
        <v>14.251519999999999</v>
      </c>
      <c r="H19" s="297">
        <v>1</v>
      </c>
      <c r="I19" s="297">
        <v>14.251519999999999</v>
      </c>
      <c r="J19" s="297">
        <v>0</v>
      </c>
      <c r="K19" s="297">
        <v>0</v>
      </c>
      <c r="P19" s="89"/>
      <c r="Q19" s="89"/>
    </row>
    <row r="20" spans="1:17" x14ac:dyDescent="0.25">
      <c r="A20" s="1257"/>
      <c r="B20" s="1258"/>
      <c r="C20" s="896" t="s">
        <v>1265</v>
      </c>
      <c r="D20" s="1031">
        <v>0</v>
      </c>
      <c r="E20" s="297">
        <v>0</v>
      </c>
      <c r="F20" s="297">
        <f t="shared" si="0"/>
        <v>0</v>
      </c>
      <c r="G20" s="297">
        <f t="shared" si="1"/>
        <v>0</v>
      </c>
      <c r="H20" s="297">
        <v>0</v>
      </c>
      <c r="I20" s="297">
        <v>0</v>
      </c>
      <c r="J20" s="297">
        <v>0</v>
      </c>
      <c r="K20" s="297">
        <v>0</v>
      </c>
      <c r="P20" s="89"/>
      <c r="Q20" s="89"/>
    </row>
    <row r="21" spans="1:17" x14ac:dyDescent="0.25">
      <c r="A21" s="1257"/>
      <c r="B21" s="1038" t="s">
        <v>1318</v>
      </c>
      <c r="C21" s="896" t="s">
        <v>1266</v>
      </c>
      <c r="D21" s="1031">
        <v>6</v>
      </c>
      <c r="E21" s="297">
        <v>1256.2571</v>
      </c>
      <c r="F21" s="297">
        <f t="shared" si="0"/>
        <v>0</v>
      </c>
      <c r="G21" s="297">
        <f t="shared" si="1"/>
        <v>0</v>
      </c>
      <c r="H21" s="297">
        <v>0</v>
      </c>
      <c r="I21" s="297">
        <v>0</v>
      </c>
      <c r="J21" s="297">
        <v>0</v>
      </c>
      <c r="K21" s="297">
        <v>0</v>
      </c>
      <c r="P21" s="89"/>
      <c r="Q21" s="89"/>
    </row>
    <row r="22" spans="1:17" x14ac:dyDescent="0.25">
      <c r="A22" s="1257"/>
      <c r="B22" s="1256" t="s">
        <v>148</v>
      </c>
      <c r="C22" s="896" t="s">
        <v>1267</v>
      </c>
      <c r="D22" s="1031">
        <v>5</v>
      </c>
      <c r="E22" s="297">
        <v>4895.93</v>
      </c>
      <c r="F22" s="297">
        <f t="shared" si="0"/>
        <v>2</v>
      </c>
      <c r="G22" s="297">
        <f t="shared" si="1"/>
        <v>1567.2829160000001</v>
      </c>
      <c r="H22" s="297">
        <v>1</v>
      </c>
      <c r="I22" s="297">
        <v>16.473600000000001</v>
      </c>
      <c r="J22" s="297">
        <v>1</v>
      </c>
      <c r="K22" s="297">
        <v>1550.8093160000001</v>
      </c>
      <c r="P22" s="89"/>
      <c r="Q22" s="89"/>
    </row>
    <row r="23" spans="1:17" x14ac:dyDescent="0.25">
      <c r="A23" s="1257"/>
      <c r="B23" s="1257"/>
      <c r="C23" s="896" t="s">
        <v>1268</v>
      </c>
      <c r="D23" s="1031">
        <v>7</v>
      </c>
      <c r="E23" s="297">
        <v>215.69183999999998</v>
      </c>
      <c r="F23" s="297">
        <f t="shared" si="0"/>
        <v>0</v>
      </c>
      <c r="G23" s="297">
        <f t="shared" si="1"/>
        <v>0</v>
      </c>
      <c r="H23" s="297">
        <v>0</v>
      </c>
      <c r="I23" s="297">
        <v>0</v>
      </c>
      <c r="J23" s="297">
        <v>0</v>
      </c>
      <c r="K23" s="297">
        <v>0</v>
      </c>
      <c r="P23" s="89"/>
      <c r="Q23" s="89"/>
    </row>
    <row r="24" spans="1:17" x14ac:dyDescent="0.25">
      <c r="A24" s="1258"/>
      <c r="B24" s="1258"/>
      <c r="C24" s="896" t="s">
        <v>1269</v>
      </c>
      <c r="D24" s="1031">
        <v>12</v>
      </c>
      <c r="E24" s="297">
        <v>3584.8555719999995</v>
      </c>
      <c r="F24" s="297">
        <f t="shared" si="0"/>
        <v>1</v>
      </c>
      <c r="G24" s="297">
        <f t="shared" si="1"/>
        <v>13.53</v>
      </c>
      <c r="H24" s="297">
        <v>0</v>
      </c>
      <c r="I24" s="297">
        <v>0</v>
      </c>
      <c r="J24" s="297">
        <v>1</v>
      </c>
      <c r="K24" s="297">
        <v>13.53</v>
      </c>
      <c r="P24" s="89"/>
      <c r="Q24" s="89"/>
    </row>
    <row r="25" spans="1:17" x14ac:dyDescent="0.25">
      <c r="A25" s="1256" t="s">
        <v>726</v>
      </c>
      <c r="B25" s="1256" t="s">
        <v>1319</v>
      </c>
      <c r="C25" s="896" t="s">
        <v>1270</v>
      </c>
      <c r="D25" s="1031">
        <v>2</v>
      </c>
      <c r="E25" s="297">
        <v>558.4</v>
      </c>
      <c r="F25" s="297">
        <f t="shared" si="0"/>
        <v>0</v>
      </c>
      <c r="G25" s="297">
        <f t="shared" si="1"/>
        <v>0</v>
      </c>
      <c r="H25" s="297">
        <v>0</v>
      </c>
      <c r="I25" s="297">
        <v>0</v>
      </c>
      <c r="J25" s="297">
        <v>0</v>
      </c>
      <c r="K25" s="297">
        <v>0</v>
      </c>
      <c r="P25" s="89"/>
      <c r="Q25" s="89"/>
    </row>
    <row r="26" spans="1:17" x14ac:dyDescent="0.25">
      <c r="A26" s="1257"/>
      <c r="B26" s="1257"/>
      <c r="C26" s="896" t="s">
        <v>1271</v>
      </c>
      <c r="D26" s="1031">
        <v>0</v>
      </c>
      <c r="E26" s="297">
        <v>0</v>
      </c>
      <c r="F26" s="297">
        <f t="shared" si="0"/>
        <v>0</v>
      </c>
      <c r="G26" s="297">
        <f t="shared" si="1"/>
        <v>0</v>
      </c>
      <c r="H26" s="297">
        <v>0</v>
      </c>
      <c r="I26" s="297">
        <v>0</v>
      </c>
      <c r="J26" s="297">
        <v>0</v>
      </c>
      <c r="K26" s="297">
        <v>0</v>
      </c>
      <c r="P26" s="89"/>
      <c r="Q26" s="89"/>
    </row>
    <row r="27" spans="1:17" x14ac:dyDescent="0.25">
      <c r="A27" s="1257"/>
      <c r="B27" s="1257"/>
      <c r="C27" s="896" t="s">
        <v>1272</v>
      </c>
      <c r="D27" s="1031">
        <v>2</v>
      </c>
      <c r="E27" s="297">
        <v>520.92999999999995</v>
      </c>
      <c r="F27" s="297">
        <f t="shared" si="0"/>
        <v>1</v>
      </c>
      <c r="G27" s="297">
        <f t="shared" si="1"/>
        <v>6.3</v>
      </c>
      <c r="H27" s="297">
        <v>1</v>
      </c>
      <c r="I27" s="297">
        <v>6.3</v>
      </c>
      <c r="J27" s="297">
        <v>0</v>
      </c>
      <c r="K27" s="297">
        <v>0</v>
      </c>
      <c r="P27" s="89"/>
      <c r="Q27" s="89"/>
    </row>
    <row r="28" spans="1:17" x14ac:dyDescent="0.25">
      <c r="A28" s="1258"/>
      <c r="B28" s="1258"/>
      <c r="C28" s="896" t="s">
        <v>1273</v>
      </c>
      <c r="D28" s="1031">
        <v>0</v>
      </c>
      <c r="E28" s="297">
        <v>0</v>
      </c>
      <c r="F28" s="297">
        <f t="shared" si="0"/>
        <v>0</v>
      </c>
      <c r="G28" s="297">
        <f t="shared" si="1"/>
        <v>0</v>
      </c>
      <c r="H28" s="297">
        <v>0</v>
      </c>
      <c r="I28" s="297">
        <v>0</v>
      </c>
      <c r="J28" s="297">
        <v>0</v>
      </c>
      <c r="K28" s="297">
        <v>0</v>
      </c>
      <c r="P28" s="33"/>
      <c r="Q28" s="33"/>
    </row>
    <row r="29" spans="1:17" x14ac:dyDescent="0.25">
      <c r="A29" s="1263" t="s">
        <v>1320</v>
      </c>
      <c r="B29" s="1263" t="s">
        <v>1320</v>
      </c>
      <c r="C29" s="896" t="s">
        <v>1274</v>
      </c>
      <c r="D29" s="1031">
        <v>8</v>
      </c>
      <c r="E29" s="297">
        <v>324.42033169999996</v>
      </c>
      <c r="F29" s="297">
        <f t="shared" si="0"/>
        <v>4</v>
      </c>
      <c r="G29" s="297">
        <f t="shared" si="1"/>
        <v>130.76560000000001</v>
      </c>
      <c r="H29" s="297">
        <v>2</v>
      </c>
      <c r="I29" s="297">
        <v>76.065600000000003</v>
      </c>
      <c r="J29" s="297">
        <v>2</v>
      </c>
      <c r="K29" s="297">
        <v>54.699999999999996</v>
      </c>
    </row>
    <row r="30" spans="1:17" x14ac:dyDescent="0.25">
      <c r="A30" s="1264"/>
      <c r="B30" s="1264"/>
      <c r="C30" s="896" t="s">
        <v>1275</v>
      </c>
      <c r="D30" s="1031">
        <v>1</v>
      </c>
      <c r="E30" s="297">
        <v>48.943300000000001</v>
      </c>
      <c r="F30" s="297">
        <f t="shared" si="0"/>
        <v>1</v>
      </c>
      <c r="G30" s="297">
        <f t="shared" si="1"/>
        <v>21.78</v>
      </c>
      <c r="H30" s="297">
        <v>1</v>
      </c>
      <c r="I30" s="297">
        <v>21.78</v>
      </c>
      <c r="J30" s="297">
        <v>0</v>
      </c>
      <c r="K30" s="297">
        <v>0</v>
      </c>
    </row>
    <row r="31" spans="1:17" x14ac:dyDescent="0.25">
      <c r="A31" s="1264"/>
      <c r="B31" s="1264"/>
      <c r="C31" s="896" t="s">
        <v>1276</v>
      </c>
      <c r="D31" s="1031">
        <v>1</v>
      </c>
      <c r="E31" s="297">
        <v>16.07</v>
      </c>
      <c r="F31" s="297">
        <f t="shared" si="0"/>
        <v>0</v>
      </c>
      <c r="G31" s="297">
        <f t="shared" si="1"/>
        <v>0</v>
      </c>
      <c r="H31" s="297">
        <v>0</v>
      </c>
      <c r="I31" s="297">
        <v>0</v>
      </c>
      <c r="J31" s="297">
        <v>0</v>
      </c>
      <c r="K31" s="297">
        <v>0</v>
      </c>
    </row>
    <row r="32" spans="1:17" x14ac:dyDescent="0.25">
      <c r="A32" s="1264"/>
      <c r="B32" s="1264"/>
      <c r="C32" s="896" t="s">
        <v>1277</v>
      </c>
      <c r="D32" s="1031">
        <v>13</v>
      </c>
      <c r="E32" s="297">
        <v>1596.7931286</v>
      </c>
      <c r="F32" s="297">
        <f t="shared" si="0"/>
        <v>4</v>
      </c>
      <c r="G32" s="297">
        <f t="shared" si="1"/>
        <v>76.424000000000007</v>
      </c>
      <c r="H32" s="297">
        <v>2</v>
      </c>
      <c r="I32" s="297">
        <v>32.1</v>
      </c>
      <c r="J32" s="297">
        <v>2</v>
      </c>
      <c r="K32" s="297">
        <v>44.323999999999998</v>
      </c>
    </row>
    <row r="33" spans="1:11" x14ac:dyDescent="0.25">
      <c r="A33" s="1264"/>
      <c r="B33" s="1264"/>
      <c r="C33" s="896" t="s">
        <v>1278</v>
      </c>
      <c r="D33" s="1031">
        <v>1</v>
      </c>
      <c r="E33" s="297">
        <v>1701.44</v>
      </c>
      <c r="F33" s="297">
        <f t="shared" si="0"/>
        <v>0</v>
      </c>
      <c r="G33" s="297">
        <f t="shared" si="1"/>
        <v>0</v>
      </c>
      <c r="H33" s="297">
        <v>0</v>
      </c>
      <c r="I33" s="297">
        <v>0</v>
      </c>
      <c r="J33" s="297">
        <v>0</v>
      </c>
      <c r="K33" s="297">
        <v>0</v>
      </c>
    </row>
    <row r="34" spans="1:11" x14ac:dyDescent="0.25">
      <c r="A34" s="1264"/>
      <c r="B34" s="1264"/>
      <c r="C34" s="896" t="s">
        <v>1279</v>
      </c>
      <c r="D34" s="1031">
        <v>2</v>
      </c>
      <c r="E34" s="297">
        <v>1793</v>
      </c>
      <c r="F34" s="297">
        <f t="shared" si="0"/>
        <v>0</v>
      </c>
      <c r="G34" s="297">
        <f t="shared" si="1"/>
        <v>0</v>
      </c>
      <c r="H34" s="297">
        <v>0</v>
      </c>
      <c r="I34" s="297">
        <v>0</v>
      </c>
      <c r="J34" s="297">
        <v>0</v>
      </c>
      <c r="K34" s="297">
        <v>0</v>
      </c>
    </row>
    <row r="35" spans="1:11" x14ac:dyDescent="0.25">
      <c r="A35" s="1265"/>
      <c r="B35" s="1265"/>
      <c r="C35" s="896" t="s">
        <v>1280</v>
      </c>
      <c r="D35" s="1031">
        <v>0</v>
      </c>
      <c r="E35" s="297">
        <v>0</v>
      </c>
      <c r="F35" s="297">
        <f t="shared" si="0"/>
        <v>0</v>
      </c>
      <c r="G35" s="297">
        <f t="shared" si="1"/>
        <v>0</v>
      </c>
      <c r="H35" s="297">
        <v>0</v>
      </c>
      <c r="I35" s="297">
        <v>0</v>
      </c>
      <c r="J35" s="297">
        <v>0</v>
      </c>
      <c r="K35" s="297">
        <v>0</v>
      </c>
    </row>
    <row r="36" spans="1:11" x14ac:dyDescent="0.25">
      <c r="A36" s="1256" t="s">
        <v>1321</v>
      </c>
      <c r="B36" s="1256" t="s">
        <v>1321</v>
      </c>
      <c r="C36" s="896" t="s">
        <v>1281</v>
      </c>
      <c r="D36" s="1031">
        <v>12</v>
      </c>
      <c r="E36" s="297">
        <v>12826.930345999999</v>
      </c>
      <c r="F36" s="297">
        <f t="shared" si="0"/>
        <v>3</v>
      </c>
      <c r="G36" s="297">
        <f t="shared" si="1"/>
        <v>4304.9580999999998</v>
      </c>
      <c r="H36" s="297">
        <v>1</v>
      </c>
      <c r="I36" s="297">
        <v>33.130000000000003</v>
      </c>
      <c r="J36" s="297">
        <v>2</v>
      </c>
      <c r="K36" s="297">
        <v>4271.8280999999997</v>
      </c>
    </row>
    <row r="37" spans="1:11" x14ac:dyDescent="0.25">
      <c r="A37" s="1257"/>
      <c r="B37" s="1257"/>
      <c r="C37" s="896" t="s">
        <v>1282</v>
      </c>
      <c r="D37" s="1031">
        <v>4</v>
      </c>
      <c r="E37" s="297">
        <v>2057.21</v>
      </c>
      <c r="F37" s="297">
        <f t="shared" si="0"/>
        <v>1</v>
      </c>
      <c r="G37" s="297">
        <f t="shared" si="1"/>
        <v>1151</v>
      </c>
      <c r="H37" s="297">
        <v>1</v>
      </c>
      <c r="I37" s="297">
        <v>1151</v>
      </c>
      <c r="J37" s="297">
        <v>0</v>
      </c>
      <c r="K37" s="297">
        <v>0</v>
      </c>
    </row>
    <row r="38" spans="1:11" x14ac:dyDescent="0.25">
      <c r="A38" s="1257"/>
      <c r="B38" s="1257"/>
      <c r="C38" s="896" t="s">
        <v>1283</v>
      </c>
      <c r="D38" s="1031">
        <v>4</v>
      </c>
      <c r="E38" s="297">
        <v>914.39506000000006</v>
      </c>
      <c r="F38" s="297">
        <f t="shared" si="0"/>
        <v>0</v>
      </c>
      <c r="G38" s="297">
        <f t="shared" si="1"/>
        <v>0</v>
      </c>
      <c r="H38" s="297">
        <v>0</v>
      </c>
      <c r="I38" s="297">
        <v>0</v>
      </c>
      <c r="J38" s="297">
        <v>0</v>
      </c>
      <c r="K38" s="297">
        <v>0</v>
      </c>
    </row>
    <row r="39" spans="1:11" x14ac:dyDescent="0.25">
      <c r="A39" s="1257"/>
      <c r="B39" s="1257"/>
      <c r="C39" s="896" t="s">
        <v>1284</v>
      </c>
      <c r="D39" s="1031">
        <v>1</v>
      </c>
      <c r="E39" s="297">
        <v>1171.58</v>
      </c>
      <c r="F39" s="297">
        <f t="shared" si="0"/>
        <v>1</v>
      </c>
      <c r="G39" s="297">
        <f t="shared" si="1"/>
        <v>2614.6458591999999</v>
      </c>
      <c r="H39" s="297">
        <v>0</v>
      </c>
      <c r="I39" s="297">
        <v>0</v>
      </c>
      <c r="J39" s="297">
        <v>1</v>
      </c>
      <c r="K39" s="297">
        <v>2614.6458591999999</v>
      </c>
    </row>
    <row r="40" spans="1:11" x14ac:dyDescent="0.25">
      <c r="A40" s="1258"/>
      <c r="B40" s="1258"/>
      <c r="C40" s="896" t="s">
        <v>1285</v>
      </c>
      <c r="D40" s="1031">
        <v>1</v>
      </c>
      <c r="E40" s="297">
        <v>49.965440000000001</v>
      </c>
      <c r="F40" s="297">
        <f t="shared" si="0"/>
        <v>0</v>
      </c>
      <c r="G40" s="297">
        <f t="shared" si="1"/>
        <v>0</v>
      </c>
      <c r="H40" s="297">
        <v>0</v>
      </c>
      <c r="I40" s="297">
        <v>0</v>
      </c>
      <c r="J40" s="297">
        <v>0</v>
      </c>
      <c r="K40" s="297">
        <v>0</v>
      </c>
    </row>
    <row r="41" spans="1:11" x14ac:dyDescent="0.25">
      <c r="A41" s="1256" t="s">
        <v>149</v>
      </c>
      <c r="B41" s="1256" t="s">
        <v>149</v>
      </c>
      <c r="C41" s="896" t="s">
        <v>1286</v>
      </c>
      <c r="D41" s="1031">
        <v>18</v>
      </c>
      <c r="E41" s="297">
        <v>8849.0514124000001</v>
      </c>
      <c r="F41" s="297">
        <f t="shared" si="0"/>
        <v>2</v>
      </c>
      <c r="G41" s="297">
        <f t="shared" si="1"/>
        <v>55.231119999999997</v>
      </c>
      <c r="H41" s="297">
        <v>1</v>
      </c>
      <c r="I41" s="297">
        <v>12.07</v>
      </c>
      <c r="J41" s="297">
        <v>1</v>
      </c>
      <c r="K41" s="297">
        <v>43.161119999999997</v>
      </c>
    </row>
    <row r="42" spans="1:11" x14ac:dyDescent="0.25">
      <c r="A42" s="1257"/>
      <c r="B42" s="1257"/>
      <c r="C42" s="896" t="s">
        <v>1287</v>
      </c>
      <c r="D42" s="1031">
        <v>3</v>
      </c>
      <c r="E42" s="297">
        <v>88.767200000000003</v>
      </c>
      <c r="F42" s="297">
        <f t="shared" si="0"/>
        <v>1</v>
      </c>
      <c r="G42" s="297">
        <f t="shared" si="1"/>
        <v>12.6</v>
      </c>
      <c r="H42" s="297">
        <v>0</v>
      </c>
      <c r="I42" s="297">
        <v>0</v>
      </c>
      <c r="J42" s="297">
        <v>1</v>
      </c>
      <c r="K42" s="297">
        <v>12.6</v>
      </c>
    </row>
    <row r="43" spans="1:11" x14ac:dyDescent="0.25">
      <c r="A43" s="1258"/>
      <c r="B43" s="1258"/>
      <c r="C43" s="896" t="s">
        <v>1288</v>
      </c>
      <c r="D43" s="1031">
        <v>10</v>
      </c>
      <c r="E43" s="297">
        <v>2250.5</v>
      </c>
      <c r="F43" s="297">
        <f t="shared" si="0"/>
        <v>1</v>
      </c>
      <c r="G43" s="297">
        <f t="shared" si="1"/>
        <v>1841.75</v>
      </c>
      <c r="H43" s="297">
        <v>0</v>
      </c>
      <c r="I43" s="297">
        <v>0</v>
      </c>
      <c r="J43" s="297">
        <v>1</v>
      </c>
      <c r="K43" s="297">
        <v>1841.75</v>
      </c>
    </row>
    <row r="44" spans="1:11" x14ac:dyDescent="0.25">
      <c r="A44" s="1256" t="s">
        <v>1322</v>
      </c>
      <c r="B44" s="1038" t="s">
        <v>1323</v>
      </c>
      <c r="C44" s="896" t="s">
        <v>1289</v>
      </c>
      <c r="D44" s="1031">
        <v>12</v>
      </c>
      <c r="E44" s="297">
        <v>770.89711699999998</v>
      </c>
      <c r="F44" s="297">
        <f t="shared" si="0"/>
        <v>5</v>
      </c>
      <c r="G44" s="297">
        <f t="shared" si="1"/>
        <v>588.50048000000004</v>
      </c>
      <c r="H44" s="297">
        <v>4</v>
      </c>
      <c r="I44" s="297">
        <v>565.13648000000001</v>
      </c>
      <c r="J44" s="297">
        <v>1</v>
      </c>
      <c r="K44" s="297">
        <v>23.364000000000001</v>
      </c>
    </row>
    <row r="45" spans="1:11" x14ac:dyDescent="0.25">
      <c r="A45" s="1257"/>
      <c r="B45" s="1256" t="s">
        <v>1324</v>
      </c>
      <c r="C45" s="896" t="s">
        <v>1290</v>
      </c>
      <c r="D45" s="1031">
        <v>2</v>
      </c>
      <c r="E45" s="297">
        <v>653.04</v>
      </c>
      <c r="F45" s="297">
        <f t="shared" si="0"/>
        <v>0</v>
      </c>
      <c r="G45" s="297">
        <f t="shared" si="1"/>
        <v>0</v>
      </c>
      <c r="H45" s="297">
        <v>0</v>
      </c>
      <c r="I45" s="297">
        <v>0</v>
      </c>
      <c r="J45" s="297">
        <v>0</v>
      </c>
      <c r="K45" s="297">
        <v>0</v>
      </c>
    </row>
    <row r="46" spans="1:11" ht="23.25" x14ac:dyDescent="0.25">
      <c r="A46" s="1257"/>
      <c r="B46" s="1257"/>
      <c r="C46" s="1033" t="s">
        <v>1291</v>
      </c>
      <c r="D46" s="1031">
        <v>0</v>
      </c>
      <c r="E46" s="297">
        <v>0</v>
      </c>
      <c r="F46" s="297">
        <f t="shared" si="0"/>
        <v>0</v>
      </c>
      <c r="G46" s="297">
        <f t="shared" si="1"/>
        <v>0</v>
      </c>
      <c r="H46" s="297">
        <v>0</v>
      </c>
      <c r="I46" s="297">
        <v>0</v>
      </c>
      <c r="J46" s="297">
        <v>0</v>
      </c>
      <c r="K46" s="297">
        <v>0</v>
      </c>
    </row>
    <row r="47" spans="1:11" x14ac:dyDescent="0.25">
      <c r="A47" s="1257"/>
      <c r="B47" s="1257"/>
      <c r="C47" s="896" t="s">
        <v>1292</v>
      </c>
      <c r="D47" s="1031">
        <v>16</v>
      </c>
      <c r="E47" s="297">
        <v>3342.4780930000002</v>
      </c>
      <c r="F47" s="297">
        <f t="shared" si="0"/>
        <v>1</v>
      </c>
      <c r="G47" s="297">
        <f t="shared" si="1"/>
        <v>174.63106500000001</v>
      </c>
      <c r="H47" s="297">
        <v>0</v>
      </c>
      <c r="I47" s="297">
        <v>0</v>
      </c>
      <c r="J47" s="297">
        <v>1</v>
      </c>
      <c r="K47" s="297">
        <v>174.63106500000001</v>
      </c>
    </row>
    <row r="48" spans="1:11" x14ac:dyDescent="0.25">
      <c r="A48" s="1257"/>
      <c r="B48" s="1257"/>
      <c r="C48" s="896" t="s">
        <v>1293</v>
      </c>
      <c r="D48" s="1031">
        <v>13</v>
      </c>
      <c r="E48" s="297">
        <v>2010.2531999999999</v>
      </c>
      <c r="F48" s="297">
        <f t="shared" si="0"/>
        <v>5</v>
      </c>
      <c r="G48" s="297">
        <f t="shared" si="1"/>
        <v>717.41160000000002</v>
      </c>
      <c r="H48" s="297">
        <v>3</v>
      </c>
      <c r="I48" s="297">
        <v>666.32</v>
      </c>
      <c r="J48" s="297">
        <v>2</v>
      </c>
      <c r="K48" s="297">
        <v>51.0916</v>
      </c>
    </row>
    <row r="49" spans="1:11" x14ac:dyDescent="0.25">
      <c r="A49" s="1258"/>
      <c r="B49" s="1258"/>
      <c r="C49" s="896" t="s">
        <v>1294</v>
      </c>
      <c r="D49" s="1031">
        <v>43</v>
      </c>
      <c r="E49" s="297">
        <v>6129.4286200000006</v>
      </c>
      <c r="F49" s="297">
        <f t="shared" si="0"/>
        <v>6</v>
      </c>
      <c r="G49" s="297">
        <f t="shared" si="1"/>
        <v>193.64999999999998</v>
      </c>
      <c r="H49" s="297">
        <v>3</v>
      </c>
      <c r="I49" s="297">
        <v>134.09199999999998</v>
      </c>
      <c r="J49" s="297">
        <v>3</v>
      </c>
      <c r="K49" s="297">
        <v>59.558</v>
      </c>
    </row>
    <row r="50" spans="1:11" x14ac:dyDescent="0.25">
      <c r="A50" s="1256" t="s">
        <v>1325</v>
      </c>
      <c r="B50" s="1256" t="s">
        <v>1325</v>
      </c>
      <c r="C50" s="896" t="s">
        <v>1295</v>
      </c>
      <c r="D50" s="1031">
        <v>10</v>
      </c>
      <c r="E50" s="297">
        <v>302.71300000000002</v>
      </c>
      <c r="F50" s="297">
        <f t="shared" si="0"/>
        <v>2</v>
      </c>
      <c r="G50" s="297">
        <f t="shared" si="1"/>
        <v>93.441959999999995</v>
      </c>
      <c r="H50" s="297">
        <v>2</v>
      </c>
      <c r="I50" s="297">
        <v>93.441959999999995</v>
      </c>
      <c r="J50" s="297">
        <v>0</v>
      </c>
      <c r="K50" s="297">
        <v>0</v>
      </c>
    </row>
    <row r="51" spans="1:11" x14ac:dyDescent="0.25">
      <c r="A51" s="1257"/>
      <c r="B51" s="1257"/>
      <c r="C51" s="896" t="s">
        <v>1296</v>
      </c>
      <c r="D51" s="1031">
        <v>15</v>
      </c>
      <c r="E51" s="297">
        <v>4756.0068719999999</v>
      </c>
      <c r="F51" s="297">
        <f t="shared" si="0"/>
        <v>1</v>
      </c>
      <c r="G51" s="297">
        <f t="shared" si="1"/>
        <v>49.4</v>
      </c>
      <c r="H51" s="297">
        <v>0</v>
      </c>
      <c r="I51" s="297">
        <v>0</v>
      </c>
      <c r="J51" s="297">
        <v>1</v>
      </c>
      <c r="K51" s="297">
        <v>49.4</v>
      </c>
    </row>
    <row r="52" spans="1:11" x14ac:dyDescent="0.25">
      <c r="A52" s="1258"/>
      <c r="B52" s="1258"/>
      <c r="C52" s="896" t="s">
        <v>1297</v>
      </c>
      <c r="D52" s="1031">
        <v>5</v>
      </c>
      <c r="E52" s="297">
        <v>1311.6339999999998</v>
      </c>
      <c r="F52" s="297">
        <f t="shared" si="0"/>
        <v>2</v>
      </c>
      <c r="G52" s="297">
        <f t="shared" si="1"/>
        <v>35.18</v>
      </c>
      <c r="H52" s="297">
        <v>0</v>
      </c>
      <c r="I52" s="297">
        <v>0</v>
      </c>
      <c r="J52" s="297">
        <v>2</v>
      </c>
      <c r="K52" s="297">
        <v>35.18</v>
      </c>
    </row>
    <row r="53" spans="1:11" x14ac:dyDescent="0.25">
      <c r="A53" s="1256" t="s">
        <v>1326</v>
      </c>
      <c r="B53" s="1256" t="s">
        <v>1326</v>
      </c>
      <c r="C53" s="896" t="s">
        <v>1298</v>
      </c>
      <c r="D53" s="1031">
        <v>0</v>
      </c>
      <c r="E53" s="297">
        <v>0</v>
      </c>
      <c r="F53" s="297">
        <f t="shared" si="0"/>
        <v>0</v>
      </c>
      <c r="G53" s="297">
        <f t="shared" si="1"/>
        <v>0</v>
      </c>
      <c r="H53" s="297">
        <v>0</v>
      </c>
      <c r="I53" s="297">
        <v>0</v>
      </c>
      <c r="J53" s="297">
        <v>0</v>
      </c>
      <c r="K53" s="297">
        <v>0</v>
      </c>
    </row>
    <row r="54" spans="1:11" x14ac:dyDescent="0.25">
      <c r="A54" s="1257"/>
      <c r="B54" s="1257"/>
      <c r="C54" s="896" t="s">
        <v>1299</v>
      </c>
      <c r="D54" s="1031">
        <v>13</v>
      </c>
      <c r="E54" s="297">
        <v>1336.1109836000001</v>
      </c>
      <c r="F54" s="297">
        <f t="shared" si="0"/>
        <v>3</v>
      </c>
      <c r="G54" s="297">
        <f t="shared" si="1"/>
        <v>142.2458</v>
      </c>
      <c r="H54" s="297">
        <v>1</v>
      </c>
      <c r="I54" s="297">
        <v>5.6</v>
      </c>
      <c r="J54" s="297">
        <v>2</v>
      </c>
      <c r="K54" s="297">
        <v>136.64580000000001</v>
      </c>
    </row>
    <row r="55" spans="1:11" x14ac:dyDescent="0.25">
      <c r="A55" s="1257"/>
      <c r="B55" s="1257"/>
      <c r="C55" s="896" t="s">
        <v>1300</v>
      </c>
      <c r="D55" s="1031">
        <v>1</v>
      </c>
      <c r="E55" s="297">
        <v>2800</v>
      </c>
      <c r="F55" s="297">
        <f t="shared" si="0"/>
        <v>1</v>
      </c>
      <c r="G55" s="297">
        <f t="shared" si="1"/>
        <v>28</v>
      </c>
      <c r="H55" s="297">
        <v>0</v>
      </c>
      <c r="I55" s="297">
        <v>0</v>
      </c>
      <c r="J55" s="297">
        <v>1</v>
      </c>
      <c r="K55" s="297">
        <v>28</v>
      </c>
    </row>
    <row r="56" spans="1:11" x14ac:dyDescent="0.25">
      <c r="A56" s="1257"/>
      <c r="B56" s="1257"/>
      <c r="C56" s="896" t="s">
        <v>1301</v>
      </c>
      <c r="D56" s="1031">
        <v>19</v>
      </c>
      <c r="E56" s="297">
        <v>1437.8788473000002</v>
      </c>
      <c r="F56" s="297">
        <f t="shared" si="0"/>
        <v>6</v>
      </c>
      <c r="G56" s="297">
        <f t="shared" si="1"/>
        <v>728.21246780000001</v>
      </c>
      <c r="H56" s="297">
        <v>2</v>
      </c>
      <c r="I56" s="297">
        <v>28.043999999999997</v>
      </c>
      <c r="J56" s="297">
        <v>4</v>
      </c>
      <c r="K56" s="297">
        <v>700.16846780000003</v>
      </c>
    </row>
    <row r="57" spans="1:11" x14ac:dyDescent="0.25">
      <c r="A57" s="1258"/>
      <c r="B57" s="1258"/>
      <c r="C57" s="896" t="s">
        <v>1302</v>
      </c>
      <c r="D57" s="1031">
        <v>0</v>
      </c>
      <c r="E57" s="297">
        <v>0</v>
      </c>
      <c r="F57" s="297">
        <f t="shared" si="0"/>
        <v>0</v>
      </c>
      <c r="G57" s="297">
        <f t="shared" si="1"/>
        <v>0</v>
      </c>
      <c r="H57" s="297">
        <v>0</v>
      </c>
      <c r="I57" s="297">
        <v>0</v>
      </c>
      <c r="J57" s="297">
        <v>0</v>
      </c>
      <c r="K57" s="297">
        <v>0</v>
      </c>
    </row>
    <row r="58" spans="1:11" x14ac:dyDescent="0.25">
      <c r="A58" s="1256" t="s">
        <v>1327</v>
      </c>
      <c r="B58" s="1256" t="s">
        <v>1327</v>
      </c>
      <c r="C58" s="896" t="s">
        <v>1303</v>
      </c>
      <c r="D58" s="1031">
        <v>4</v>
      </c>
      <c r="E58" s="297">
        <v>134.93</v>
      </c>
      <c r="F58" s="297">
        <f t="shared" si="0"/>
        <v>2</v>
      </c>
      <c r="G58" s="297">
        <f t="shared" si="1"/>
        <v>22274.999999299998</v>
      </c>
      <c r="H58" s="297">
        <v>2</v>
      </c>
      <c r="I58" s="297">
        <v>22274.999999299998</v>
      </c>
      <c r="J58" s="297">
        <v>0</v>
      </c>
      <c r="K58" s="297">
        <v>0</v>
      </c>
    </row>
    <row r="59" spans="1:11" x14ac:dyDescent="0.25">
      <c r="A59" s="1258"/>
      <c r="B59" s="1258"/>
      <c r="C59" s="896" t="s">
        <v>1304</v>
      </c>
      <c r="D59" s="1031">
        <v>0</v>
      </c>
      <c r="E59" s="297">
        <v>0</v>
      </c>
      <c r="F59" s="297">
        <f t="shared" si="0"/>
        <v>0</v>
      </c>
      <c r="G59" s="297">
        <f t="shared" si="1"/>
        <v>0</v>
      </c>
      <c r="H59" s="297">
        <v>0</v>
      </c>
      <c r="I59" s="297">
        <v>0</v>
      </c>
      <c r="J59" s="297">
        <v>0</v>
      </c>
      <c r="K59" s="297">
        <v>0</v>
      </c>
    </row>
    <row r="60" spans="1:11" x14ac:dyDescent="0.25">
      <c r="A60" s="1256" t="s">
        <v>1328</v>
      </c>
      <c r="B60" s="1038" t="s">
        <v>150</v>
      </c>
      <c r="C60" s="896" t="s">
        <v>1305</v>
      </c>
      <c r="D60" s="1031">
        <v>3</v>
      </c>
      <c r="E60" s="297">
        <v>273.99879440000001</v>
      </c>
      <c r="F60" s="297">
        <f t="shared" si="0"/>
        <v>0</v>
      </c>
      <c r="G60" s="297">
        <f t="shared" si="1"/>
        <v>0</v>
      </c>
      <c r="H60" s="297">
        <v>0</v>
      </c>
      <c r="I60" s="297">
        <v>0</v>
      </c>
      <c r="J60" s="297">
        <v>0</v>
      </c>
      <c r="K60" s="297">
        <v>0</v>
      </c>
    </row>
    <row r="61" spans="1:11" x14ac:dyDescent="0.25">
      <c r="A61" s="1258"/>
      <c r="B61" s="1038" t="s">
        <v>1328</v>
      </c>
      <c r="C61" s="896" t="s">
        <v>1306</v>
      </c>
      <c r="D61" s="1031">
        <v>4</v>
      </c>
      <c r="E61" s="297">
        <v>435.47</v>
      </c>
      <c r="F61" s="297">
        <f t="shared" si="0"/>
        <v>0</v>
      </c>
      <c r="G61" s="297">
        <f t="shared" si="1"/>
        <v>0</v>
      </c>
      <c r="H61" s="297">
        <v>0</v>
      </c>
      <c r="I61" s="297">
        <v>0</v>
      </c>
      <c r="J61" s="297">
        <v>0</v>
      </c>
      <c r="K61" s="297">
        <v>0</v>
      </c>
    </row>
    <row r="62" spans="1:11" x14ac:dyDescent="0.25">
      <c r="A62" s="1038" t="s">
        <v>1329</v>
      </c>
      <c r="B62" s="1038" t="s">
        <v>1329</v>
      </c>
      <c r="C62" s="896" t="s">
        <v>1307</v>
      </c>
      <c r="D62" s="1031">
        <v>0</v>
      </c>
      <c r="E62" s="297">
        <v>0</v>
      </c>
      <c r="F62" s="297">
        <f t="shared" si="0"/>
        <v>0</v>
      </c>
      <c r="G62" s="297">
        <f t="shared" si="1"/>
        <v>0</v>
      </c>
      <c r="H62" s="297">
        <v>0</v>
      </c>
      <c r="I62" s="297">
        <v>0</v>
      </c>
      <c r="J62" s="297">
        <v>0</v>
      </c>
      <c r="K62" s="297">
        <v>0</v>
      </c>
    </row>
    <row r="63" spans="1:11" x14ac:dyDescent="0.25">
      <c r="A63" s="356"/>
      <c r="B63" s="356"/>
      <c r="C63" s="1032" t="s">
        <v>96</v>
      </c>
      <c r="D63" s="1031">
        <f t="shared" ref="D63" si="2">SUM(D4:D62)</f>
        <v>340</v>
      </c>
      <c r="E63" s="297">
        <f t="shared" ref="E63" si="3">SUM(E4:E62)</f>
        <v>83092.516240000012</v>
      </c>
      <c r="F63" s="297">
        <f t="shared" si="0"/>
        <v>73</v>
      </c>
      <c r="G63" s="297">
        <f t="shared" si="1"/>
        <v>37659.150304700001</v>
      </c>
      <c r="H63" s="297">
        <f t="shared" ref="H63" si="4">SUM(H4:H62)</f>
        <v>35</v>
      </c>
      <c r="I63" s="297">
        <f t="shared" ref="I63:K63" si="5">SUM(I4:I62)</f>
        <v>25370.5668319</v>
      </c>
      <c r="J63" s="297">
        <f t="shared" si="5"/>
        <v>38</v>
      </c>
      <c r="K63" s="297">
        <f t="shared" si="5"/>
        <v>12288.583472800001</v>
      </c>
    </row>
    <row r="64" spans="1:11" s="604" customFormat="1" x14ac:dyDescent="0.25">
      <c r="A64" s="4"/>
      <c r="B64" s="4"/>
      <c r="C64" s="1039"/>
      <c r="D64" s="1040"/>
      <c r="E64" s="1041"/>
      <c r="F64" s="1041"/>
      <c r="G64" s="1041"/>
      <c r="H64" s="1041"/>
      <c r="I64" s="1041"/>
    </row>
    <row r="65" spans="1:15" ht="15" customHeight="1" x14ac:dyDescent="0.25">
      <c r="A65" s="883" t="s">
        <v>1330</v>
      </c>
      <c r="B65" s="883"/>
      <c r="C65" s="883"/>
      <c r="D65" s="883"/>
      <c r="E65" s="883"/>
      <c r="F65" s="883"/>
      <c r="G65" s="883"/>
      <c r="H65" s="883"/>
      <c r="I65" s="883"/>
      <c r="J65" s="883"/>
      <c r="K65" s="883"/>
      <c r="L65" s="883"/>
      <c r="M65" s="883"/>
      <c r="N65" s="883"/>
      <c r="O65" s="883"/>
    </row>
    <row r="66" spans="1:15" x14ac:dyDescent="0.25">
      <c r="A66" s="508" t="s">
        <v>145</v>
      </c>
    </row>
  </sheetData>
  <sortState ref="A4:G26">
    <sortCondition ref="A4:A26"/>
  </sortState>
  <mergeCells count="32">
    <mergeCell ref="A58:A59"/>
    <mergeCell ref="B58:B59"/>
    <mergeCell ref="A60:A61"/>
    <mergeCell ref="A44:A49"/>
    <mergeCell ref="B45:B49"/>
    <mergeCell ref="A50:A52"/>
    <mergeCell ref="B50:B52"/>
    <mergeCell ref="A53:A57"/>
    <mergeCell ref="B53:B57"/>
    <mergeCell ref="A29:A35"/>
    <mergeCell ref="B29:B35"/>
    <mergeCell ref="A36:A40"/>
    <mergeCell ref="B36:B40"/>
    <mergeCell ref="A41:A43"/>
    <mergeCell ref="B41:B43"/>
    <mergeCell ref="A25:A28"/>
    <mergeCell ref="B25:B28"/>
    <mergeCell ref="H2:I2"/>
    <mergeCell ref="A4:A13"/>
    <mergeCell ref="B4:B5"/>
    <mergeCell ref="B6:B7"/>
    <mergeCell ref="B8:B12"/>
    <mergeCell ref="A2:A3"/>
    <mergeCell ref="D2:E2"/>
    <mergeCell ref="F2:G2"/>
    <mergeCell ref="B2:B3"/>
    <mergeCell ref="C2:C3"/>
    <mergeCell ref="J2:K2"/>
    <mergeCell ref="A14:A24"/>
    <mergeCell ref="B14:B15"/>
    <mergeCell ref="B18:B20"/>
    <mergeCell ref="B22:B24"/>
  </mergeCells>
  <printOptions horizontalCentered="1"/>
  <pageMargins left="0.7" right="0.7" top="0.75" bottom="0.75" header="0.3" footer="0.3"/>
  <pageSetup paperSize="9" scale="90" fitToHeight="0" orientation="landscape" r:id="rId1"/>
  <rowBreaks count="1" manualBreakCount="1">
    <brk id="35" max="1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zoomScaleNormal="100" workbookViewId="0">
      <selection activeCell="H14" sqref="H14"/>
    </sheetView>
  </sheetViews>
  <sheetFormatPr defaultRowHeight="15" x14ac:dyDescent="0.25"/>
  <sheetData>
    <row r="1" spans="1:21" x14ac:dyDescent="0.25">
      <c r="A1" s="1268" t="s">
        <v>5</v>
      </c>
      <c r="B1" s="1269"/>
      <c r="C1" s="1269"/>
      <c r="D1" s="1269"/>
      <c r="E1" s="1269"/>
      <c r="F1" s="1269"/>
      <c r="G1" s="1269"/>
      <c r="H1" s="1269"/>
      <c r="I1" s="1269"/>
      <c r="J1" s="1269"/>
      <c r="K1" s="1269"/>
      <c r="L1" s="1269"/>
      <c r="M1" s="1269"/>
      <c r="N1" s="1269"/>
      <c r="O1" s="1269"/>
      <c r="P1" s="1269"/>
      <c r="Q1" s="1270"/>
      <c r="R1" s="90"/>
      <c r="S1" s="90"/>
    </row>
    <row r="2" spans="1:21" x14ac:dyDescent="0.25">
      <c r="A2" s="1271" t="s">
        <v>116</v>
      </c>
      <c r="B2" s="1273" t="s">
        <v>96</v>
      </c>
      <c r="C2" s="1273"/>
      <c r="D2" s="1273" t="s">
        <v>152</v>
      </c>
      <c r="E2" s="1273"/>
      <c r="F2" s="1273"/>
      <c r="G2" s="1273"/>
      <c r="H2" s="1273" t="s">
        <v>153</v>
      </c>
      <c r="I2" s="1273"/>
      <c r="J2" s="1273"/>
      <c r="K2" s="1273"/>
      <c r="L2" s="1273"/>
      <c r="M2" s="1273"/>
      <c r="N2" s="1273"/>
      <c r="O2" s="1273"/>
      <c r="P2" s="1273"/>
      <c r="Q2" s="1273"/>
      <c r="R2" s="91"/>
      <c r="S2" s="91"/>
    </row>
    <row r="3" spans="1:21" x14ac:dyDescent="0.25">
      <c r="A3" s="1272"/>
      <c r="B3" s="1274"/>
      <c r="C3" s="1274"/>
      <c r="D3" s="1274" t="s">
        <v>154</v>
      </c>
      <c r="E3" s="1274"/>
      <c r="F3" s="1274" t="s">
        <v>138</v>
      </c>
      <c r="G3" s="1274"/>
      <c r="H3" s="1274" t="s">
        <v>155</v>
      </c>
      <c r="I3" s="1274"/>
      <c r="J3" s="1274" t="s">
        <v>156</v>
      </c>
      <c r="K3" s="1274"/>
      <c r="L3" s="1274" t="s">
        <v>157</v>
      </c>
      <c r="M3" s="1274"/>
      <c r="N3" s="1274" t="s">
        <v>158</v>
      </c>
      <c r="O3" s="1274"/>
      <c r="P3" s="1274" t="s">
        <v>159</v>
      </c>
      <c r="Q3" s="1274"/>
      <c r="R3" s="91"/>
      <c r="S3" s="91"/>
    </row>
    <row r="4" spans="1:21" ht="45" x14ac:dyDescent="0.25">
      <c r="A4" s="1272"/>
      <c r="B4" s="85" t="s">
        <v>141</v>
      </c>
      <c r="C4" s="85" t="s">
        <v>142</v>
      </c>
      <c r="D4" s="85" t="s">
        <v>141</v>
      </c>
      <c r="E4" s="85" t="s">
        <v>142</v>
      </c>
      <c r="F4" s="85" t="s">
        <v>141</v>
      </c>
      <c r="G4" s="85" t="s">
        <v>142</v>
      </c>
      <c r="H4" s="85" t="s">
        <v>141</v>
      </c>
      <c r="I4" s="85" t="s">
        <v>142</v>
      </c>
      <c r="J4" s="85" t="s">
        <v>141</v>
      </c>
      <c r="K4" s="85" t="s">
        <v>142</v>
      </c>
      <c r="L4" s="85" t="s">
        <v>141</v>
      </c>
      <c r="M4" s="85" t="s">
        <v>142</v>
      </c>
      <c r="N4" s="85" t="s">
        <v>141</v>
      </c>
      <c r="O4" s="85" t="s">
        <v>142</v>
      </c>
      <c r="P4" s="85" t="s">
        <v>141</v>
      </c>
      <c r="Q4" s="85" t="s">
        <v>142</v>
      </c>
      <c r="R4" s="92"/>
      <c r="S4" s="92"/>
    </row>
    <row r="5" spans="1:21" x14ac:dyDescent="0.25">
      <c r="A5" s="1157" t="s">
        <v>532</v>
      </c>
      <c r="B5" s="636">
        <v>340</v>
      </c>
      <c r="C5" s="636">
        <v>83091.975847599984</v>
      </c>
      <c r="D5" s="636">
        <v>337</v>
      </c>
      <c r="E5" s="636">
        <v>80426.091544199997</v>
      </c>
      <c r="F5" s="636">
        <v>2</v>
      </c>
      <c r="G5" s="636">
        <v>2639.41</v>
      </c>
      <c r="H5" s="636">
        <v>72</v>
      </c>
      <c r="I5" s="636">
        <v>32405.593709199999</v>
      </c>
      <c r="J5" s="636">
        <v>16</v>
      </c>
      <c r="K5" s="636">
        <v>2306.4180996999999</v>
      </c>
      <c r="L5" s="636">
        <v>195</v>
      </c>
      <c r="M5" s="636">
        <v>37193.107738699997</v>
      </c>
      <c r="N5" s="636">
        <v>50</v>
      </c>
      <c r="O5" s="636">
        <v>10340.569020000001</v>
      </c>
      <c r="P5" s="636">
        <v>7</v>
      </c>
      <c r="Q5" s="636">
        <v>846.28728000000001</v>
      </c>
      <c r="R5" s="93"/>
      <c r="S5" s="93"/>
    </row>
    <row r="6" spans="1:21" x14ac:dyDescent="0.25">
      <c r="A6" s="1158" t="s">
        <v>1413</v>
      </c>
      <c r="B6" s="409">
        <f t="shared" ref="B6:C13" si="0">SUM(H6,J6,L6,N6,P6)</f>
        <v>73</v>
      </c>
      <c r="C6" s="409">
        <f t="shared" si="0"/>
        <v>37659.150304699993</v>
      </c>
      <c r="D6" s="410">
        <f t="shared" ref="D6:Q6" si="1">SUM(D7:D18)</f>
        <v>73</v>
      </c>
      <c r="E6" s="410">
        <f t="shared" si="1"/>
        <v>37659.150304700001</v>
      </c>
      <c r="F6" s="410">
        <f t="shared" si="1"/>
        <v>0</v>
      </c>
      <c r="G6" s="410">
        <f t="shared" si="1"/>
        <v>0</v>
      </c>
      <c r="H6" s="410">
        <f t="shared" si="1"/>
        <v>16</v>
      </c>
      <c r="I6" s="410">
        <f t="shared" si="1"/>
        <v>6879.363868800001</v>
      </c>
      <c r="J6" s="410">
        <f t="shared" si="1"/>
        <v>3</v>
      </c>
      <c r="K6" s="410">
        <f t="shared" si="1"/>
        <v>426.58800000000002</v>
      </c>
      <c r="L6" s="410">
        <f t="shared" si="1"/>
        <v>44</v>
      </c>
      <c r="M6" s="410">
        <f t="shared" si="1"/>
        <v>24085.430795899996</v>
      </c>
      <c r="N6" s="410">
        <f t="shared" si="1"/>
        <v>9</v>
      </c>
      <c r="O6" s="410">
        <f t="shared" si="1"/>
        <v>6224.6065200000003</v>
      </c>
      <c r="P6" s="410">
        <f t="shared" si="1"/>
        <v>1</v>
      </c>
      <c r="Q6" s="410">
        <f t="shared" si="1"/>
        <v>43.161119999999997</v>
      </c>
      <c r="R6" s="94"/>
      <c r="S6" s="94"/>
    </row>
    <row r="7" spans="1:21" x14ac:dyDescent="0.25">
      <c r="A7" s="86">
        <v>45383</v>
      </c>
      <c r="B7" s="218">
        <f t="shared" si="0"/>
        <v>35</v>
      </c>
      <c r="C7" s="218">
        <f t="shared" si="0"/>
        <v>25370.566831899996</v>
      </c>
      <c r="D7" s="218">
        <v>35</v>
      </c>
      <c r="E7" s="218">
        <v>25370.566831899996</v>
      </c>
      <c r="F7" s="218">
        <v>0</v>
      </c>
      <c r="G7" s="218">
        <v>0</v>
      </c>
      <c r="H7" s="218">
        <v>10</v>
      </c>
      <c r="I7" s="218">
        <v>4644.9488850000007</v>
      </c>
      <c r="J7" s="218">
        <v>0</v>
      </c>
      <c r="K7" s="218">
        <v>0</v>
      </c>
      <c r="L7" s="218">
        <v>22</v>
      </c>
      <c r="M7" s="218">
        <v>19527.236426899995</v>
      </c>
      <c r="N7" s="218">
        <v>3</v>
      </c>
      <c r="O7" s="218">
        <v>1198.3815199999999</v>
      </c>
      <c r="P7" s="218">
        <v>0</v>
      </c>
      <c r="Q7" s="218">
        <v>0</v>
      </c>
      <c r="R7" s="95"/>
      <c r="S7" s="95"/>
      <c r="T7" s="95"/>
      <c r="U7" s="95"/>
    </row>
    <row r="8" spans="1:21" x14ac:dyDescent="0.25">
      <c r="A8" s="86">
        <f>EOMONTH(A7,1)</f>
        <v>45443</v>
      </c>
      <c r="B8" s="218">
        <f t="shared" si="0"/>
        <v>38</v>
      </c>
      <c r="C8" s="218">
        <f t="shared" si="0"/>
        <v>12288.583472800001</v>
      </c>
      <c r="D8" s="218">
        <v>38</v>
      </c>
      <c r="E8" s="218">
        <v>12288.583472800001</v>
      </c>
      <c r="F8" s="218">
        <v>0</v>
      </c>
      <c r="G8" s="218">
        <v>0</v>
      </c>
      <c r="H8" s="218">
        <v>6</v>
      </c>
      <c r="I8" s="218">
        <v>2234.4149838000003</v>
      </c>
      <c r="J8" s="218">
        <v>3</v>
      </c>
      <c r="K8" s="218">
        <v>426.58800000000002</v>
      </c>
      <c r="L8" s="218">
        <v>22</v>
      </c>
      <c r="M8" s="218">
        <v>4558.1943689999998</v>
      </c>
      <c r="N8" s="218">
        <v>6</v>
      </c>
      <c r="O8" s="218">
        <v>5026.2250000000004</v>
      </c>
      <c r="P8" s="218">
        <v>1</v>
      </c>
      <c r="Q8" s="218">
        <v>43.161119999999997</v>
      </c>
      <c r="R8" s="95"/>
      <c r="S8" s="95"/>
      <c r="T8" s="208"/>
      <c r="U8" s="208"/>
    </row>
    <row r="9" spans="1:21" x14ac:dyDescent="0.25">
      <c r="A9" s="86">
        <f t="shared" ref="A9:A18" si="2">EOMONTH(A8,1)</f>
        <v>45473</v>
      </c>
      <c r="B9" s="218">
        <f t="shared" si="0"/>
        <v>0</v>
      </c>
      <c r="C9" s="218">
        <f t="shared" si="0"/>
        <v>0</v>
      </c>
      <c r="D9" s="218"/>
      <c r="E9" s="218"/>
      <c r="F9" s="218"/>
      <c r="G9" s="218"/>
      <c r="H9" s="218"/>
      <c r="I9" s="218"/>
      <c r="J9" s="218"/>
      <c r="K9" s="218"/>
      <c r="L9" s="218"/>
      <c r="M9" s="218"/>
      <c r="N9" s="218"/>
      <c r="O9" s="218"/>
      <c r="P9" s="218"/>
      <c r="Q9" s="218"/>
      <c r="R9" s="95"/>
      <c r="S9" s="95"/>
    </row>
    <row r="10" spans="1:21" x14ac:dyDescent="0.25">
      <c r="A10" s="86">
        <f t="shared" si="2"/>
        <v>45504</v>
      </c>
      <c r="B10" s="218">
        <f t="shared" si="0"/>
        <v>0</v>
      </c>
      <c r="C10" s="218">
        <f t="shared" si="0"/>
        <v>0</v>
      </c>
      <c r="D10" s="218"/>
      <c r="E10" s="218"/>
      <c r="F10" s="218"/>
      <c r="G10" s="218"/>
      <c r="H10" s="218"/>
      <c r="I10" s="218"/>
      <c r="J10" s="218"/>
      <c r="K10" s="218"/>
      <c r="L10" s="218"/>
      <c r="M10" s="218"/>
      <c r="N10" s="218"/>
      <c r="O10" s="218"/>
      <c r="P10" s="218"/>
      <c r="Q10" s="218"/>
      <c r="R10" s="95"/>
      <c r="S10" s="95"/>
    </row>
    <row r="11" spans="1:21" x14ac:dyDescent="0.25">
      <c r="A11" s="86">
        <f t="shared" si="2"/>
        <v>45535</v>
      </c>
      <c r="B11" s="218">
        <f t="shared" si="0"/>
        <v>0</v>
      </c>
      <c r="C11" s="218">
        <f t="shared" si="0"/>
        <v>0</v>
      </c>
      <c r="D11" s="218"/>
      <c r="E11" s="218"/>
      <c r="F11" s="218"/>
      <c r="G11" s="218"/>
      <c r="H11" s="218"/>
      <c r="I11" s="218"/>
      <c r="J11" s="218"/>
      <c r="K11" s="218"/>
      <c r="L11" s="218"/>
      <c r="M11" s="218"/>
      <c r="N11" s="218"/>
      <c r="O11" s="218"/>
      <c r="P11" s="218"/>
      <c r="Q11" s="218"/>
      <c r="R11" s="95"/>
      <c r="S11" s="95"/>
    </row>
    <row r="12" spans="1:21" x14ac:dyDescent="0.25">
      <c r="A12" s="86">
        <f t="shared" si="2"/>
        <v>45565</v>
      </c>
      <c r="B12" s="218">
        <f t="shared" si="0"/>
        <v>0</v>
      </c>
      <c r="C12" s="218">
        <f t="shared" si="0"/>
        <v>0</v>
      </c>
      <c r="D12" s="218"/>
      <c r="E12" s="218"/>
      <c r="F12" s="218"/>
      <c r="G12" s="218"/>
      <c r="H12" s="218"/>
      <c r="I12" s="218"/>
      <c r="J12" s="218"/>
      <c r="K12" s="218"/>
      <c r="L12" s="218"/>
      <c r="M12" s="218"/>
      <c r="N12" s="218"/>
      <c r="O12" s="218"/>
      <c r="P12" s="218"/>
      <c r="Q12" s="218"/>
      <c r="R12" s="95"/>
      <c r="S12" s="95"/>
    </row>
    <row r="13" spans="1:21" x14ac:dyDescent="0.25">
      <c r="A13" s="86">
        <f t="shared" si="2"/>
        <v>45596</v>
      </c>
      <c r="B13" s="218">
        <f t="shared" si="0"/>
        <v>0</v>
      </c>
      <c r="C13" s="218">
        <f t="shared" si="0"/>
        <v>0</v>
      </c>
      <c r="D13" s="218"/>
      <c r="E13" s="218"/>
      <c r="F13" s="218"/>
      <c r="G13" s="218"/>
      <c r="H13" s="218"/>
      <c r="I13" s="218"/>
      <c r="J13" s="218"/>
      <c r="K13" s="218"/>
      <c r="L13" s="218"/>
      <c r="M13" s="218"/>
      <c r="N13" s="218"/>
      <c r="O13" s="218"/>
      <c r="P13" s="218"/>
      <c r="Q13" s="218"/>
      <c r="R13" s="95"/>
      <c r="S13" s="95"/>
    </row>
    <row r="14" spans="1:21" x14ac:dyDescent="0.25">
      <c r="A14" s="86">
        <f t="shared" si="2"/>
        <v>45626</v>
      </c>
      <c r="B14" s="218">
        <f t="shared" ref="B14:C16" si="3">SUM(H14,J14,L14,N14,P14)</f>
        <v>0</v>
      </c>
      <c r="C14" s="218">
        <f t="shared" si="3"/>
        <v>0</v>
      </c>
      <c r="D14" s="218"/>
      <c r="E14" s="218"/>
      <c r="F14" s="218"/>
      <c r="G14" s="218"/>
      <c r="H14" s="218"/>
      <c r="I14" s="218"/>
      <c r="J14" s="218"/>
      <c r="K14" s="218"/>
      <c r="L14" s="218"/>
      <c r="M14" s="218"/>
      <c r="N14" s="218"/>
      <c r="O14" s="218"/>
      <c r="P14" s="218"/>
      <c r="Q14" s="218"/>
      <c r="R14" s="95"/>
      <c r="S14" s="95"/>
    </row>
    <row r="15" spans="1:21" x14ac:dyDescent="0.25">
      <c r="A15" s="86">
        <f t="shared" si="2"/>
        <v>45657</v>
      </c>
      <c r="B15" s="218">
        <f t="shared" si="3"/>
        <v>0</v>
      </c>
      <c r="C15" s="218">
        <f t="shared" si="3"/>
        <v>0</v>
      </c>
      <c r="D15" s="218"/>
      <c r="E15" s="218"/>
      <c r="F15" s="218"/>
      <c r="G15" s="218"/>
      <c r="H15" s="218"/>
      <c r="I15" s="218"/>
      <c r="J15" s="218"/>
      <c r="K15" s="218"/>
      <c r="L15" s="218"/>
      <c r="M15" s="218"/>
      <c r="N15" s="218"/>
      <c r="O15" s="218"/>
      <c r="P15" s="218"/>
      <c r="Q15" s="218"/>
      <c r="R15" s="95"/>
      <c r="S15" s="95"/>
    </row>
    <row r="16" spans="1:21" x14ac:dyDescent="0.25">
      <c r="A16" s="86">
        <f t="shared" si="2"/>
        <v>45688</v>
      </c>
      <c r="B16" s="218">
        <f t="shared" si="3"/>
        <v>0</v>
      </c>
      <c r="C16" s="218">
        <f>SUM(I16,K16,M16,O16,Q16)</f>
        <v>0</v>
      </c>
      <c r="D16" s="404"/>
      <c r="E16" s="218"/>
      <c r="F16" s="218"/>
      <c r="G16" s="218"/>
      <c r="H16" s="218"/>
      <c r="I16" s="218"/>
      <c r="J16" s="218"/>
      <c r="K16" s="218"/>
      <c r="L16" s="218"/>
      <c r="M16" s="218"/>
      <c r="N16" s="218"/>
      <c r="O16" s="218"/>
      <c r="P16" s="218"/>
      <c r="Q16" s="218"/>
      <c r="R16" s="95"/>
      <c r="S16" s="95"/>
    </row>
    <row r="17" spans="1:19" x14ac:dyDescent="0.25">
      <c r="A17" s="86">
        <f t="shared" si="2"/>
        <v>45716</v>
      </c>
      <c r="B17" s="218">
        <f>SUM(H17,J17,L17,N17,P17)</f>
        <v>0</v>
      </c>
      <c r="C17" s="218">
        <f>SUM(I17,K17,M17,O17,Q17)</f>
        <v>0</v>
      </c>
      <c r="D17" s="218"/>
      <c r="E17" s="218"/>
      <c r="F17" s="218"/>
      <c r="G17" s="218"/>
      <c r="H17" s="218"/>
      <c r="I17" s="218"/>
      <c r="J17" s="218"/>
      <c r="K17" s="218"/>
      <c r="L17" s="218"/>
      <c r="M17" s="218"/>
      <c r="N17" s="218"/>
      <c r="O17" s="218"/>
      <c r="P17" s="218"/>
      <c r="Q17" s="218"/>
      <c r="R17" s="542"/>
      <c r="S17" s="542"/>
    </row>
    <row r="18" spans="1:19" x14ac:dyDescent="0.25">
      <c r="A18" s="86">
        <f t="shared" si="2"/>
        <v>45747</v>
      </c>
      <c r="B18" s="218">
        <f>SUM(H18,J18,L18,N18,P18)</f>
        <v>0</v>
      </c>
      <c r="C18" s="218">
        <f>SUM(I18,K18,M18,O18,Q18)</f>
        <v>0</v>
      </c>
      <c r="D18" s="218"/>
      <c r="E18" s="218"/>
      <c r="F18" s="218"/>
      <c r="G18" s="218"/>
      <c r="H18" s="218"/>
      <c r="I18" s="218"/>
      <c r="J18" s="218"/>
      <c r="K18" s="218"/>
      <c r="L18" s="218"/>
      <c r="M18" s="218"/>
      <c r="N18" s="218"/>
      <c r="O18" s="218"/>
      <c r="P18" s="218"/>
      <c r="Q18" s="218"/>
      <c r="R18" s="95"/>
      <c r="S18" s="95"/>
    </row>
    <row r="19" spans="1:19" x14ac:dyDescent="0.25">
      <c r="A19" s="1267" t="s">
        <v>151</v>
      </c>
      <c r="B19" s="1267"/>
      <c r="C19" s="1267"/>
      <c r="D19" s="1267"/>
      <c r="E19" s="1267"/>
      <c r="F19" s="1267"/>
      <c r="G19" s="1267"/>
      <c r="H19" s="1267"/>
      <c r="I19" s="1267"/>
      <c r="J19" s="96"/>
      <c r="K19" s="97"/>
      <c r="L19" s="96"/>
      <c r="M19" s="97"/>
      <c r="N19" s="96"/>
      <c r="O19" s="97"/>
      <c r="P19" s="96"/>
      <c r="Q19" s="97"/>
      <c r="R19" s="53"/>
      <c r="S19" s="53"/>
    </row>
    <row r="20" spans="1:19" x14ac:dyDescent="0.25">
      <c r="A20" s="1266" t="s">
        <v>130</v>
      </c>
      <c r="B20" s="1266"/>
      <c r="C20" s="57"/>
      <c r="D20" s="98"/>
      <c r="E20" s="98"/>
      <c r="F20" s="98"/>
      <c r="G20" s="98"/>
      <c r="H20" s="98"/>
      <c r="I20" s="98"/>
      <c r="J20" s="96"/>
      <c r="N20" s="96"/>
      <c r="O20" s="97"/>
      <c r="P20" s="96"/>
      <c r="Q20" s="96"/>
      <c r="R20" s="96"/>
      <c r="S20" s="96"/>
    </row>
    <row r="21" spans="1:19" x14ac:dyDescent="0.25">
      <c r="A21" s="1126" t="s">
        <v>1401</v>
      </c>
      <c r="B21" s="96"/>
      <c r="C21" s="97"/>
      <c r="D21" s="96"/>
      <c r="E21" s="97"/>
      <c r="F21" s="96"/>
      <c r="G21" s="96"/>
      <c r="H21" s="96"/>
      <c r="I21" s="96"/>
      <c r="J21" s="96"/>
      <c r="N21" s="96"/>
      <c r="O21" s="97"/>
      <c r="P21" s="96"/>
      <c r="Q21" s="96"/>
      <c r="R21" s="96"/>
      <c r="S21" s="96"/>
    </row>
    <row r="22" spans="1:19" x14ac:dyDescent="0.25">
      <c r="A22" s="1266"/>
      <c r="B22" s="1266"/>
      <c r="C22" s="1266"/>
      <c r="D22" s="1266"/>
      <c r="E22" s="100"/>
      <c r="F22" s="96"/>
      <c r="G22" s="96"/>
      <c r="H22" s="96"/>
      <c r="I22" s="96"/>
      <c r="J22" s="96"/>
      <c r="N22" s="101"/>
      <c r="O22" s="101"/>
      <c r="P22" s="101"/>
      <c r="Q22" s="101"/>
      <c r="R22" s="102"/>
      <c r="S22" s="102"/>
    </row>
    <row r="23" spans="1:19" x14ac:dyDescent="0.25">
      <c r="A23" s="99"/>
      <c r="B23" s="100"/>
      <c r="C23" s="100"/>
      <c r="D23" s="100"/>
      <c r="E23" s="100"/>
      <c r="F23" s="33"/>
      <c r="G23" s="33"/>
      <c r="H23" s="103"/>
      <c r="I23" s="100"/>
      <c r="J23" s="100"/>
      <c r="N23" s="100"/>
      <c r="O23" s="100"/>
      <c r="P23" s="33"/>
      <c r="Q23" s="33"/>
      <c r="R23" s="33"/>
      <c r="S23" s="33"/>
    </row>
    <row r="24" spans="1:19" x14ac:dyDescent="0.25">
      <c r="A24" s="99"/>
      <c r="B24" s="100"/>
      <c r="C24" s="104"/>
      <c r="D24" s="100"/>
      <c r="E24" s="104"/>
      <c r="F24" s="104"/>
      <c r="G24" s="104"/>
      <c r="H24" s="100"/>
      <c r="I24" s="104"/>
      <c r="J24" s="100"/>
      <c r="N24" s="100"/>
      <c r="O24" s="104"/>
      <c r="P24" s="100"/>
      <c r="Q24" s="104"/>
      <c r="R24" s="104"/>
      <c r="S24" s="104"/>
    </row>
    <row r="25" spans="1:19" x14ac:dyDescent="0.25">
      <c r="A25" s="99"/>
      <c r="B25" s="100"/>
      <c r="C25" s="104"/>
      <c r="D25" s="100"/>
      <c r="E25" s="104"/>
      <c r="F25" s="104"/>
      <c r="G25" s="104"/>
      <c r="H25" s="100"/>
      <c r="I25" s="104"/>
      <c r="J25" s="100"/>
      <c r="K25" s="104"/>
      <c r="L25" s="100"/>
      <c r="M25" s="104"/>
      <c r="N25" s="100"/>
      <c r="O25" s="104"/>
      <c r="P25" s="100"/>
      <c r="Q25" s="104"/>
      <c r="R25" s="104"/>
      <c r="S25" s="104"/>
    </row>
    <row r="26" spans="1:19" x14ac:dyDescent="0.25">
      <c r="A26" s="87"/>
      <c r="B26" s="105"/>
      <c r="C26" s="95"/>
      <c r="D26" s="105"/>
      <c r="E26" s="95"/>
      <c r="F26" s="95"/>
      <c r="G26" s="95"/>
      <c r="H26" s="105"/>
      <c r="I26" s="95"/>
      <c r="J26" s="105"/>
      <c r="K26" s="95"/>
      <c r="L26" s="105"/>
      <c r="M26" s="95"/>
      <c r="N26" s="105"/>
      <c r="O26" s="95"/>
      <c r="P26" s="105"/>
      <c r="Q26" s="95"/>
      <c r="R26" s="95"/>
      <c r="S26" s="95"/>
    </row>
    <row r="27" spans="1:19" x14ac:dyDescent="0.25">
      <c r="A27" s="87"/>
      <c r="B27" s="105"/>
      <c r="C27" s="95"/>
      <c r="D27" s="105"/>
      <c r="E27" s="95"/>
      <c r="F27" s="95"/>
      <c r="G27" s="95"/>
      <c r="H27" s="105"/>
      <c r="I27" s="95"/>
      <c r="J27" s="105"/>
      <c r="K27" s="95"/>
      <c r="L27" s="105"/>
      <c r="M27" s="95"/>
      <c r="N27" s="105"/>
      <c r="O27" s="95"/>
      <c r="P27" s="105"/>
      <c r="Q27" s="95"/>
      <c r="R27" s="95"/>
      <c r="S27" s="95"/>
    </row>
    <row r="28" spans="1:19" x14ac:dyDescent="0.25">
      <c r="A28" s="87"/>
      <c r="B28" s="105"/>
      <c r="C28" s="95"/>
      <c r="D28" s="105"/>
      <c r="E28" s="95"/>
      <c r="F28" s="95"/>
      <c r="G28" s="95"/>
      <c r="H28" s="105"/>
      <c r="I28" s="95"/>
      <c r="J28" s="105"/>
      <c r="K28" s="95"/>
      <c r="L28" s="105"/>
      <c r="M28" s="95"/>
      <c r="N28" s="105"/>
      <c r="O28" s="95"/>
      <c r="P28" s="105"/>
      <c r="Q28" s="95"/>
      <c r="R28" s="95"/>
      <c r="S28" s="95"/>
    </row>
    <row r="30" spans="1:19" x14ac:dyDescent="0.25">
      <c r="J30" s="106"/>
      <c r="K30" s="106"/>
      <c r="L30" s="106"/>
      <c r="M30" s="106"/>
      <c r="N30" s="106"/>
      <c r="O30" s="106"/>
      <c r="P30" s="106"/>
      <c r="Q30" s="106"/>
      <c r="R30" s="90"/>
      <c r="S30" s="90"/>
    </row>
    <row r="31" spans="1:19" x14ac:dyDescent="0.25">
      <c r="J31" s="57"/>
      <c r="K31" s="57"/>
      <c r="L31" s="57"/>
      <c r="M31" s="106"/>
      <c r="N31" s="106"/>
      <c r="O31" s="106"/>
      <c r="P31" s="106"/>
      <c r="Q31" s="106"/>
      <c r="R31" s="90"/>
      <c r="S31" s="90"/>
    </row>
    <row r="32" spans="1:19" x14ac:dyDescent="0.25">
      <c r="J32" s="106"/>
      <c r="K32" s="106"/>
      <c r="L32" s="106"/>
      <c r="M32" s="106"/>
      <c r="N32" s="106"/>
      <c r="O32" s="106"/>
      <c r="P32" s="106"/>
      <c r="Q32" s="106"/>
      <c r="R32" s="38"/>
    </row>
  </sheetData>
  <mergeCells count="15">
    <mergeCell ref="A22:D22"/>
    <mergeCell ref="A19:I19"/>
    <mergeCell ref="A20:B20"/>
    <mergeCell ref="A1:Q1"/>
    <mergeCell ref="A2:A4"/>
    <mergeCell ref="B2:C3"/>
    <mergeCell ref="D2:G2"/>
    <mergeCell ref="H2:Q2"/>
    <mergeCell ref="D3:E3"/>
    <mergeCell ref="F3:G3"/>
    <mergeCell ref="H3:I3"/>
    <mergeCell ref="J3:K3"/>
    <mergeCell ref="L3:M3"/>
    <mergeCell ref="N3:O3"/>
    <mergeCell ref="P3:Q3"/>
  </mergeCells>
  <printOptions horizontalCentered="1"/>
  <pageMargins left="0.7" right="0.7" top="0.75" bottom="0.75" header="0.3" footer="0.3"/>
  <pageSetup paperSize="9" scale="8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zoomScaleNormal="100" workbookViewId="0">
      <selection activeCell="M16" sqref="M16"/>
    </sheetView>
  </sheetViews>
  <sheetFormatPr defaultRowHeight="15" x14ac:dyDescent="0.25"/>
  <sheetData>
    <row r="1" spans="1:18" x14ac:dyDescent="0.25">
      <c r="A1" s="1276" t="s">
        <v>6</v>
      </c>
      <c r="B1" s="1276"/>
      <c r="C1" s="1276"/>
      <c r="D1" s="1276"/>
      <c r="E1" s="1276"/>
      <c r="F1" s="1276"/>
      <c r="G1" s="1276"/>
      <c r="H1" s="1276"/>
      <c r="I1" s="1276"/>
      <c r="J1" s="1276"/>
      <c r="K1" s="1276"/>
      <c r="L1" s="1276"/>
      <c r="M1" s="1276"/>
      <c r="N1" s="1276"/>
      <c r="O1" s="90"/>
    </row>
    <row r="2" spans="1:18" x14ac:dyDescent="0.25">
      <c r="A2" s="1221" t="s">
        <v>116</v>
      </c>
      <c r="B2" s="1278" t="s">
        <v>96</v>
      </c>
      <c r="C2" s="1279"/>
      <c r="D2" s="1278" t="s">
        <v>160</v>
      </c>
      <c r="E2" s="1279"/>
      <c r="F2" s="1280" t="s">
        <v>161</v>
      </c>
      <c r="G2" s="1281"/>
      <c r="H2" s="1278" t="s">
        <v>162</v>
      </c>
      <c r="I2" s="1279"/>
      <c r="J2" s="1278" t="s">
        <v>163</v>
      </c>
      <c r="K2" s="1279"/>
      <c r="L2" s="1278" t="s">
        <v>164</v>
      </c>
      <c r="M2" s="1279"/>
      <c r="N2" s="1278" t="s">
        <v>165</v>
      </c>
      <c r="O2" s="1279"/>
    </row>
    <row r="3" spans="1:18" ht="45" x14ac:dyDescent="0.25">
      <c r="A3" s="1277"/>
      <c r="B3" s="107" t="s">
        <v>141</v>
      </c>
      <c r="C3" s="107" t="s">
        <v>142</v>
      </c>
      <c r="D3" s="107" t="s">
        <v>141</v>
      </c>
      <c r="E3" s="107" t="s">
        <v>142</v>
      </c>
      <c r="F3" s="107" t="s">
        <v>141</v>
      </c>
      <c r="G3" s="107" t="s">
        <v>142</v>
      </c>
      <c r="H3" s="107" t="s">
        <v>141</v>
      </c>
      <c r="I3" s="107" t="s">
        <v>142</v>
      </c>
      <c r="J3" s="107" t="s">
        <v>141</v>
      </c>
      <c r="K3" s="107" t="s">
        <v>142</v>
      </c>
      <c r="L3" s="107" t="s">
        <v>141</v>
      </c>
      <c r="M3" s="107" t="s">
        <v>142</v>
      </c>
      <c r="N3" s="107" t="s">
        <v>141</v>
      </c>
      <c r="O3" s="107" t="s">
        <v>142</v>
      </c>
    </row>
    <row r="4" spans="1:18" x14ac:dyDescent="0.25">
      <c r="A4" s="1157" t="s">
        <v>532</v>
      </c>
      <c r="B4" s="108">
        <v>340</v>
      </c>
      <c r="C4" s="108">
        <v>83091.976240000004</v>
      </c>
      <c r="D4" s="108">
        <v>3</v>
      </c>
      <c r="E4" s="108">
        <v>9.4619999999999997</v>
      </c>
      <c r="F4" s="108">
        <v>28</v>
      </c>
      <c r="G4" s="108">
        <v>218.70821859999998</v>
      </c>
      <c r="H4" s="108">
        <v>187</v>
      </c>
      <c r="I4" s="108">
        <v>5420.5137005000006</v>
      </c>
      <c r="J4" s="108">
        <v>38</v>
      </c>
      <c r="K4" s="108">
        <v>2473.5783006000001</v>
      </c>
      <c r="L4" s="108">
        <v>29</v>
      </c>
      <c r="M4" s="108">
        <v>8297.8353831000004</v>
      </c>
      <c r="N4" s="108">
        <v>55</v>
      </c>
      <c r="O4" s="108">
        <v>66671.878637200003</v>
      </c>
    </row>
    <row r="5" spans="1:18" x14ac:dyDescent="0.25">
      <c r="A5" s="1158" t="s">
        <v>1413</v>
      </c>
      <c r="B5" s="411">
        <f>SUM(B6:B17)</f>
        <v>73</v>
      </c>
      <c r="C5" s="411">
        <f t="shared" ref="C5:O5" si="0">SUM(C6:C17)</f>
        <v>37659.150304700001</v>
      </c>
      <c r="D5" s="411">
        <f t="shared" si="0"/>
        <v>1</v>
      </c>
      <c r="E5" s="411">
        <f t="shared" si="0"/>
        <v>4.76</v>
      </c>
      <c r="F5" s="411">
        <f t="shared" si="0"/>
        <v>7</v>
      </c>
      <c r="G5" s="411">
        <f t="shared" si="0"/>
        <v>52.165599999999998</v>
      </c>
      <c r="H5" s="411">
        <f t="shared" si="0"/>
        <v>45</v>
      </c>
      <c r="I5" s="411">
        <f t="shared" si="0"/>
        <v>1222.5273373999999</v>
      </c>
      <c r="J5" s="411">
        <f t="shared" si="0"/>
        <v>6</v>
      </c>
      <c r="K5" s="411">
        <f t="shared" si="0"/>
        <v>371.43776000000003</v>
      </c>
      <c r="L5" s="411">
        <f t="shared" si="0"/>
        <v>4</v>
      </c>
      <c r="M5" s="411">
        <f t="shared" si="0"/>
        <v>1054.8310650000001</v>
      </c>
      <c r="N5" s="411">
        <f t="shared" si="0"/>
        <v>10</v>
      </c>
      <c r="O5" s="411">
        <f t="shared" si="0"/>
        <v>34953.428542299996</v>
      </c>
      <c r="Q5" s="49"/>
      <c r="R5" s="49"/>
    </row>
    <row r="6" spans="1:18" x14ac:dyDescent="0.25">
      <c r="A6" s="86">
        <v>45383</v>
      </c>
      <c r="B6" s="109">
        <f t="shared" ref="B6:C11" si="1">D6+F6+H6+J6+L6+N6</f>
        <v>35</v>
      </c>
      <c r="C6" s="109">
        <f t="shared" si="1"/>
        <v>25370.5668319</v>
      </c>
      <c r="D6" s="109">
        <v>1</v>
      </c>
      <c r="E6" s="109">
        <v>4.76</v>
      </c>
      <c r="F6" s="109">
        <v>3</v>
      </c>
      <c r="G6" s="109">
        <v>21.799999999999997</v>
      </c>
      <c r="H6" s="109">
        <v>20</v>
      </c>
      <c r="I6" s="109">
        <v>513.18407259999992</v>
      </c>
      <c r="J6" s="109">
        <v>5</v>
      </c>
      <c r="K6" s="109">
        <v>275.15276</v>
      </c>
      <c r="L6" s="109">
        <v>2</v>
      </c>
      <c r="M6" s="109">
        <v>480.2</v>
      </c>
      <c r="N6" s="109">
        <v>4</v>
      </c>
      <c r="O6" s="109">
        <v>24075.469999299999</v>
      </c>
    </row>
    <row r="7" spans="1:18" x14ac:dyDescent="0.25">
      <c r="A7" s="86">
        <f>EOMONTH(A6,1)</f>
        <v>45443</v>
      </c>
      <c r="B7" s="109">
        <f t="shared" si="1"/>
        <v>38</v>
      </c>
      <c r="C7" s="109">
        <f t="shared" si="1"/>
        <v>12288.583472800001</v>
      </c>
      <c r="D7" s="109">
        <v>0</v>
      </c>
      <c r="E7" s="109">
        <v>0</v>
      </c>
      <c r="F7" s="109">
        <v>4</v>
      </c>
      <c r="G7" s="109">
        <v>30.365600000000001</v>
      </c>
      <c r="H7" s="109">
        <v>25</v>
      </c>
      <c r="I7" s="109">
        <v>709.34326479999982</v>
      </c>
      <c r="J7" s="109">
        <v>1</v>
      </c>
      <c r="K7" s="109">
        <v>96.284999999999997</v>
      </c>
      <c r="L7" s="109">
        <v>2</v>
      </c>
      <c r="M7" s="109">
        <v>574.63106500000004</v>
      </c>
      <c r="N7" s="109">
        <v>6</v>
      </c>
      <c r="O7" s="109">
        <v>10877.958543000001</v>
      </c>
    </row>
    <row r="8" spans="1:18" x14ac:dyDescent="0.25">
      <c r="A8" s="86">
        <f t="shared" ref="A8:A17" si="2">EOMONTH(A7,1)</f>
        <v>45473</v>
      </c>
      <c r="B8" s="109">
        <f t="shared" si="1"/>
        <v>0</v>
      </c>
      <c r="C8" s="109">
        <f t="shared" si="1"/>
        <v>0</v>
      </c>
      <c r="D8" s="109"/>
      <c r="E8" s="109"/>
      <c r="F8" s="109"/>
      <c r="G8" s="109"/>
      <c r="H8" s="109"/>
      <c r="I8" s="109"/>
      <c r="J8" s="109"/>
      <c r="K8" s="109"/>
      <c r="L8" s="109"/>
      <c r="M8" s="109"/>
      <c r="N8" s="109"/>
      <c r="O8" s="109"/>
    </row>
    <row r="9" spans="1:18" x14ac:dyDescent="0.25">
      <c r="A9" s="86">
        <f t="shared" si="2"/>
        <v>45504</v>
      </c>
      <c r="B9" s="109">
        <f t="shared" si="1"/>
        <v>0</v>
      </c>
      <c r="C9" s="109">
        <f t="shared" si="1"/>
        <v>0</v>
      </c>
      <c r="D9" s="109"/>
      <c r="E9" s="109"/>
      <c r="F9" s="109"/>
      <c r="G9" s="109"/>
      <c r="H9" s="109"/>
      <c r="I9" s="109"/>
      <c r="J9" s="109"/>
      <c r="K9" s="109"/>
      <c r="L9" s="109"/>
      <c r="M9" s="109"/>
      <c r="N9" s="109"/>
      <c r="O9" s="109"/>
    </row>
    <row r="10" spans="1:18" x14ac:dyDescent="0.25">
      <c r="A10" s="86">
        <f t="shared" si="2"/>
        <v>45535</v>
      </c>
      <c r="B10" s="109">
        <f t="shared" si="1"/>
        <v>0</v>
      </c>
      <c r="C10" s="109">
        <f t="shared" si="1"/>
        <v>0</v>
      </c>
      <c r="D10" s="109"/>
      <c r="E10" s="109"/>
      <c r="F10" s="109"/>
      <c r="G10" s="109"/>
      <c r="H10" s="109"/>
      <c r="I10" s="109"/>
      <c r="J10" s="109"/>
      <c r="K10" s="109"/>
      <c r="L10" s="109"/>
      <c r="M10" s="109"/>
      <c r="N10" s="109"/>
      <c r="O10" s="109"/>
    </row>
    <row r="11" spans="1:18" x14ac:dyDescent="0.25">
      <c r="A11" s="86">
        <f t="shared" si="2"/>
        <v>45565</v>
      </c>
      <c r="B11" s="109">
        <f t="shared" si="1"/>
        <v>0</v>
      </c>
      <c r="C11" s="109">
        <f t="shared" si="1"/>
        <v>0</v>
      </c>
      <c r="D11" s="109"/>
      <c r="E11" s="109"/>
      <c r="F11" s="109"/>
      <c r="G11" s="109"/>
      <c r="H11" s="109"/>
      <c r="I11" s="109"/>
      <c r="J11" s="109"/>
      <c r="K11" s="109"/>
      <c r="L11" s="109"/>
      <c r="M11" s="109"/>
      <c r="N11" s="109"/>
      <c r="O11" s="109"/>
    </row>
    <row r="12" spans="1:18" x14ac:dyDescent="0.25">
      <c r="A12" s="86">
        <f t="shared" si="2"/>
        <v>45596</v>
      </c>
      <c r="B12" s="109">
        <f>D12+F12+H12+J12+L12+N12</f>
        <v>0</v>
      </c>
      <c r="C12" s="109">
        <f>E12+G12+I12+K12+M12+O12</f>
        <v>0</v>
      </c>
      <c r="D12" s="109"/>
      <c r="E12" s="109"/>
      <c r="F12" s="109"/>
      <c r="G12" s="109"/>
      <c r="H12" s="109"/>
      <c r="I12" s="109"/>
      <c r="J12" s="109"/>
      <c r="K12" s="109"/>
      <c r="L12" s="109"/>
      <c r="M12" s="109"/>
      <c r="N12" s="109"/>
      <c r="O12" s="109"/>
    </row>
    <row r="13" spans="1:18" x14ac:dyDescent="0.25">
      <c r="A13" s="86">
        <f t="shared" si="2"/>
        <v>45626</v>
      </c>
      <c r="B13" s="109">
        <f t="shared" ref="B13:C15" si="3">D13+F13+H13+J13+L13+N13</f>
        <v>0</v>
      </c>
      <c r="C13" s="109">
        <f t="shared" si="3"/>
        <v>0</v>
      </c>
      <c r="D13" s="109"/>
      <c r="E13" s="109"/>
      <c r="F13" s="109"/>
      <c r="G13" s="109"/>
      <c r="H13" s="109"/>
      <c r="I13" s="109"/>
      <c r="J13" s="109"/>
      <c r="K13" s="109"/>
      <c r="L13" s="109"/>
      <c r="M13" s="109"/>
      <c r="N13" s="109"/>
      <c r="O13" s="109"/>
    </row>
    <row r="14" spans="1:18" x14ac:dyDescent="0.25">
      <c r="A14" s="86">
        <f t="shared" si="2"/>
        <v>45657</v>
      </c>
      <c r="B14" s="109">
        <f t="shared" si="3"/>
        <v>0</v>
      </c>
      <c r="C14" s="109">
        <f t="shared" si="3"/>
        <v>0</v>
      </c>
      <c r="D14" s="109"/>
      <c r="E14" s="109"/>
      <c r="F14" s="109"/>
      <c r="G14" s="109"/>
      <c r="H14" s="109"/>
      <c r="I14" s="109"/>
      <c r="J14" s="109"/>
      <c r="K14" s="109"/>
      <c r="L14" s="109"/>
      <c r="M14" s="109"/>
      <c r="N14" s="109"/>
      <c r="O14" s="109"/>
    </row>
    <row r="15" spans="1:18" x14ac:dyDescent="0.25">
      <c r="A15" s="86">
        <f t="shared" si="2"/>
        <v>45688</v>
      </c>
      <c r="B15" s="109">
        <f t="shared" si="3"/>
        <v>0</v>
      </c>
      <c r="C15" s="109">
        <f t="shared" si="3"/>
        <v>0</v>
      </c>
      <c r="D15" s="109"/>
      <c r="E15" s="109"/>
      <c r="F15" s="109"/>
      <c r="G15" s="109"/>
      <c r="H15" s="109"/>
      <c r="I15" s="109"/>
      <c r="J15" s="109"/>
      <c r="K15" s="109"/>
      <c r="L15" s="109"/>
      <c r="M15" s="109"/>
      <c r="N15" s="109"/>
      <c r="O15" s="109"/>
    </row>
    <row r="16" spans="1:18" x14ac:dyDescent="0.25">
      <c r="A16" s="86">
        <f t="shared" si="2"/>
        <v>45716</v>
      </c>
      <c r="B16" s="109">
        <f>D16+F16+H16+J16+L16+N16</f>
        <v>0</v>
      </c>
      <c r="C16" s="109">
        <f>E16+G16+I16+K16+M16+O16</f>
        <v>0</v>
      </c>
      <c r="D16" s="109"/>
      <c r="E16" s="109"/>
      <c r="F16" s="400"/>
      <c r="G16" s="400"/>
      <c r="H16" s="400"/>
      <c r="I16" s="400"/>
      <c r="J16" s="400"/>
      <c r="K16" s="400"/>
      <c r="L16" s="400"/>
      <c r="M16" s="400"/>
      <c r="N16" s="400"/>
      <c r="O16" s="400"/>
      <c r="P16" s="49"/>
      <c r="Q16" s="49"/>
    </row>
    <row r="17" spans="1:15" x14ac:dyDescent="0.25">
      <c r="A17" s="86">
        <f t="shared" si="2"/>
        <v>45747</v>
      </c>
      <c r="B17" s="109">
        <f>D17+F17+H17+J17+L17+N17</f>
        <v>0</v>
      </c>
      <c r="C17" s="109">
        <f>E17+G17+I17+K17+M17+O17</f>
        <v>0</v>
      </c>
      <c r="D17" s="109"/>
      <c r="E17" s="109"/>
      <c r="F17" s="109"/>
      <c r="G17" s="109"/>
      <c r="H17" s="109"/>
      <c r="I17" s="109"/>
      <c r="J17" s="109"/>
      <c r="K17" s="109"/>
      <c r="L17" s="109"/>
      <c r="M17" s="109"/>
      <c r="N17" s="109"/>
      <c r="O17" s="109"/>
    </row>
    <row r="18" spans="1:15" ht="15.75" x14ac:dyDescent="0.25">
      <c r="A18" s="1275" t="s">
        <v>151</v>
      </c>
      <c r="B18" s="1275"/>
      <c r="C18" s="1275"/>
      <c r="D18" s="1275"/>
      <c r="E18" s="1275"/>
      <c r="F18" s="1275"/>
      <c r="G18" s="1275"/>
      <c r="H18" s="1275"/>
      <c r="I18" s="1275"/>
      <c r="J18" s="110"/>
      <c r="K18" s="110"/>
      <c r="L18" s="110"/>
      <c r="M18" s="110"/>
      <c r="N18" s="110"/>
      <c r="O18" s="110"/>
    </row>
    <row r="19" spans="1:15" x14ac:dyDescent="0.25">
      <c r="A19" s="1266" t="s">
        <v>130</v>
      </c>
      <c r="B19" s="1266"/>
      <c r="C19" s="98"/>
      <c r="D19" s="106"/>
      <c r="E19" s="106"/>
      <c r="F19" s="106"/>
      <c r="G19" s="106"/>
      <c r="H19" s="106"/>
      <c r="I19" s="106"/>
      <c r="J19" s="111"/>
      <c r="K19" s="111"/>
      <c r="L19" s="111"/>
      <c r="M19" s="111"/>
      <c r="N19" s="111"/>
      <c r="O19" s="111"/>
    </row>
    <row r="20" spans="1:15" x14ac:dyDescent="0.25">
      <c r="A20" s="1126" t="s">
        <v>1401</v>
      </c>
      <c r="B20" s="111"/>
      <c r="C20" s="111"/>
      <c r="D20" s="111"/>
      <c r="E20" s="111"/>
      <c r="F20" s="111"/>
      <c r="J20" s="111"/>
      <c r="K20" s="111"/>
      <c r="L20" s="111"/>
      <c r="M20" s="111"/>
      <c r="N20" s="111"/>
      <c r="O20" s="111"/>
    </row>
    <row r="21" spans="1:15" ht="15" customHeight="1" x14ac:dyDescent="0.25">
      <c r="A21" s="112"/>
      <c r="B21" s="100"/>
      <c r="C21" s="100"/>
    </row>
    <row r="22" spans="1:15" x14ac:dyDescent="0.25">
      <c r="A22" s="112"/>
      <c r="B22" s="100"/>
      <c r="C22" s="100"/>
      <c r="D22" s="100"/>
      <c r="E22" s="100"/>
      <c r="F22" s="100"/>
      <c r="J22" s="100"/>
      <c r="K22" s="100"/>
      <c r="L22" s="100"/>
      <c r="M22" s="100"/>
      <c r="N22" s="100"/>
      <c r="O22" s="100"/>
    </row>
    <row r="23" spans="1:15" x14ac:dyDescent="0.25">
      <c r="A23" s="112"/>
      <c r="B23" s="100"/>
      <c r="C23" s="100"/>
      <c r="D23" s="100"/>
      <c r="E23" s="100"/>
      <c r="F23" s="100"/>
      <c r="J23" s="100"/>
      <c r="K23" s="100"/>
      <c r="L23" s="100"/>
      <c r="M23" s="100"/>
      <c r="N23" s="100"/>
      <c r="O23" s="100"/>
    </row>
    <row r="24" spans="1:15" x14ac:dyDescent="0.25">
      <c r="A24" s="112"/>
      <c r="B24" s="100"/>
      <c r="C24" s="100"/>
      <c r="D24" s="100"/>
      <c r="E24" s="100"/>
      <c r="F24" s="100"/>
      <c r="J24" s="100"/>
      <c r="K24" s="100"/>
      <c r="L24" s="100"/>
      <c r="M24" s="100"/>
      <c r="N24" s="100"/>
      <c r="O24" s="100"/>
    </row>
    <row r="25" spans="1:15" x14ac:dyDescent="0.25">
      <c r="A25" s="113"/>
      <c r="B25" s="105"/>
      <c r="C25" s="105"/>
      <c r="D25" s="105"/>
      <c r="E25" s="105"/>
      <c r="F25" s="105"/>
      <c r="J25" s="105"/>
      <c r="K25" s="105"/>
      <c r="L25" s="105"/>
      <c r="M25" s="105"/>
      <c r="N25" s="105"/>
      <c r="O25" s="105"/>
    </row>
    <row r="26" spans="1:15" x14ac:dyDescent="0.25">
      <c r="A26" s="113"/>
      <c r="B26" s="105"/>
      <c r="C26" s="105"/>
      <c r="D26" s="105"/>
      <c r="E26" s="105"/>
      <c r="F26" s="105"/>
      <c r="J26" s="105"/>
      <c r="K26" s="105"/>
      <c r="L26" s="105"/>
      <c r="M26" s="105"/>
      <c r="N26" s="105"/>
      <c r="O26" s="105"/>
    </row>
    <row r="27" spans="1:15" ht="15.75" x14ac:dyDescent="0.25">
      <c r="A27" s="114"/>
      <c r="B27" s="110"/>
      <c r="C27" s="110"/>
      <c r="D27" s="110"/>
      <c r="E27" s="110"/>
      <c r="F27" s="110"/>
      <c r="G27" s="110"/>
      <c r="H27" s="110"/>
      <c r="I27" s="110"/>
      <c r="J27" s="110"/>
      <c r="K27" s="110"/>
      <c r="L27" s="110"/>
      <c r="M27" s="110"/>
      <c r="N27" s="110"/>
      <c r="O27" s="110"/>
    </row>
    <row r="29" spans="1:15" x14ac:dyDescent="0.25">
      <c r="J29" s="106"/>
      <c r="K29" s="106"/>
      <c r="L29" s="106"/>
      <c r="M29" s="106"/>
      <c r="N29" s="106"/>
      <c r="O29" s="106"/>
    </row>
    <row r="30" spans="1:15" x14ac:dyDescent="0.25">
      <c r="J30" s="106"/>
      <c r="K30" s="106"/>
      <c r="L30" s="106"/>
      <c r="M30" s="106"/>
      <c r="N30" s="106"/>
      <c r="O30" s="106"/>
    </row>
    <row r="31" spans="1:15" x14ac:dyDescent="0.25">
      <c r="J31" s="38"/>
      <c r="K31" s="38"/>
      <c r="L31" s="38"/>
      <c r="M31" s="38"/>
      <c r="N31" s="38"/>
      <c r="O31" s="38"/>
    </row>
  </sheetData>
  <mergeCells count="11">
    <mergeCell ref="A18:I18"/>
    <mergeCell ref="A19:B19"/>
    <mergeCell ref="A1:N1"/>
    <mergeCell ref="A2:A3"/>
    <mergeCell ref="B2:C2"/>
    <mergeCell ref="D2:E2"/>
    <mergeCell ref="F2:G2"/>
    <mergeCell ref="H2:I2"/>
    <mergeCell ref="J2:K2"/>
    <mergeCell ref="L2:M2"/>
    <mergeCell ref="N2:O2"/>
  </mergeCells>
  <printOptions horizontalCentered="1"/>
  <pageMargins left="0.7" right="0.7" top="0.75" bottom="0.75" header="0.3" footer="0.3"/>
  <pageSetup paperSize="9" scale="95"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zoomScaleNormal="100" workbookViewId="0">
      <selection activeCell="G6" sqref="G6"/>
    </sheetView>
  </sheetViews>
  <sheetFormatPr defaultRowHeight="15" x14ac:dyDescent="0.25"/>
  <sheetData>
    <row r="1" spans="1:11" x14ac:dyDescent="0.25">
      <c r="A1" s="1276" t="s">
        <v>7</v>
      </c>
      <c r="B1" s="1276"/>
      <c r="C1" s="1276"/>
      <c r="D1" s="1276"/>
      <c r="E1" s="1276"/>
      <c r="F1" s="1276"/>
      <c r="G1" s="1276"/>
      <c r="H1" s="1276"/>
      <c r="I1" s="1276"/>
      <c r="J1" s="90"/>
      <c r="K1" s="90"/>
    </row>
    <row r="2" spans="1:11" x14ac:dyDescent="0.25">
      <c r="A2" s="1221" t="s">
        <v>116</v>
      </c>
      <c r="B2" s="1280" t="s">
        <v>166</v>
      </c>
      <c r="C2" s="1281"/>
      <c r="D2" s="1280" t="s">
        <v>167</v>
      </c>
      <c r="E2" s="1281"/>
      <c r="F2" s="1280" t="s">
        <v>168</v>
      </c>
      <c r="G2" s="1281"/>
      <c r="H2" s="1280" t="s">
        <v>169</v>
      </c>
      <c r="I2" s="1281"/>
      <c r="J2" s="1280" t="s">
        <v>96</v>
      </c>
      <c r="K2" s="1281"/>
    </row>
    <row r="3" spans="1:11" ht="30" x14ac:dyDescent="0.25">
      <c r="A3" s="1277"/>
      <c r="B3" s="88" t="s">
        <v>141</v>
      </c>
      <c r="C3" s="88" t="s">
        <v>142</v>
      </c>
      <c r="D3" s="88" t="s">
        <v>141</v>
      </c>
      <c r="E3" s="88" t="s">
        <v>142</v>
      </c>
      <c r="F3" s="88" t="s">
        <v>141</v>
      </c>
      <c r="G3" s="88" t="s">
        <v>142</v>
      </c>
      <c r="H3" s="88" t="s">
        <v>141</v>
      </c>
      <c r="I3" s="88" t="s">
        <v>142</v>
      </c>
      <c r="J3" s="115" t="s">
        <v>141</v>
      </c>
      <c r="K3" s="88" t="s">
        <v>142</v>
      </c>
    </row>
    <row r="4" spans="1:11" x14ac:dyDescent="0.25">
      <c r="A4" s="1157" t="s">
        <v>532</v>
      </c>
      <c r="B4" s="116">
        <v>0</v>
      </c>
      <c r="C4" s="116">
        <v>0</v>
      </c>
      <c r="D4" s="116">
        <v>3</v>
      </c>
      <c r="E4" s="116">
        <v>266.53775969999998</v>
      </c>
      <c r="F4" s="116">
        <v>0</v>
      </c>
      <c r="G4" s="116">
        <v>0</v>
      </c>
      <c r="H4" s="116">
        <v>58</v>
      </c>
      <c r="I4" s="116">
        <v>68704.953550000006</v>
      </c>
      <c r="J4" s="116">
        <v>61</v>
      </c>
      <c r="K4" s="116">
        <v>68971.49130970001</v>
      </c>
    </row>
    <row r="5" spans="1:11" x14ac:dyDescent="0.25">
      <c r="A5" s="1158" t="s">
        <v>1413</v>
      </c>
      <c r="B5" s="412">
        <f>SUM(B6:B17)</f>
        <v>0</v>
      </c>
      <c r="C5" s="412">
        <f t="shared" ref="C5:K5" si="0">SUM(C6:C17)</f>
        <v>0</v>
      </c>
      <c r="D5" s="412">
        <f t="shared" si="0"/>
        <v>0</v>
      </c>
      <c r="E5" s="412">
        <f t="shared" si="0"/>
        <v>0</v>
      </c>
      <c r="F5" s="412">
        <f t="shared" si="0"/>
        <v>0</v>
      </c>
      <c r="G5" s="412">
        <f t="shared" si="0"/>
        <v>0</v>
      </c>
      <c r="H5" s="412">
        <f>SUM(H6:H17)</f>
        <v>13</v>
      </c>
      <c r="I5" s="412">
        <f>SUM(I6:I17)</f>
        <v>14511.722781210001</v>
      </c>
      <c r="J5" s="412">
        <f t="shared" si="0"/>
        <v>13</v>
      </c>
      <c r="K5" s="412">
        <f t="shared" si="0"/>
        <v>14511.722781210001</v>
      </c>
    </row>
    <row r="6" spans="1:11" x14ac:dyDescent="0.25">
      <c r="A6" s="86">
        <v>45383</v>
      </c>
      <c r="B6" s="7">
        <v>0</v>
      </c>
      <c r="C6" s="7">
        <v>0</v>
      </c>
      <c r="D6" s="7">
        <v>0</v>
      </c>
      <c r="E6" s="7">
        <v>0</v>
      </c>
      <c r="F6" s="7">
        <v>0</v>
      </c>
      <c r="G6" s="7">
        <v>0</v>
      </c>
      <c r="H6" s="7">
        <v>11</v>
      </c>
      <c r="I6" s="639">
        <v>11471.732781210001</v>
      </c>
      <c r="J6" s="165">
        <f>SUM(B6,D6,F6,H6)</f>
        <v>11</v>
      </c>
      <c r="K6" s="165">
        <f>SUM(C6,E6,G6,I6)</f>
        <v>11471.732781210001</v>
      </c>
    </row>
    <row r="7" spans="1:11" x14ac:dyDescent="0.25">
      <c r="A7" s="86">
        <f>EOMONTH(A6,1)</f>
        <v>45443</v>
      </c>
      <c r="B7" s="7">
        <v>0</v>
      </c>
      <c r="C7" s="7">
        <v>0</v>
      </c>
      <c r="D7" s="7">
        <v>0</v>
      </c>
      <c r="E7" s="7">
        <v>0</v>
      </c>
      <c r="F7" s="7">
        <v>0</v>
      </c>
      <c r="G7" s="7">
        <v>0</v>
      </c>
      <c r="H7" s="639">
        <v>2</v>
      </c>
      <c r="I7" s="639">
        <v>3039.99</v>
      </c>
      <c r="J7" s="165">
        <f t="shared" ref="J7:K12" si="1">SUM(B7,D7,F7,H7)</f>
        <v>2</v>
      </c>
      <c r="K7" s="165">
        <f t="shared" si="1"/>
        <v>3039.99</v>
      </c>
    </row>
    <row r="8" spans="1:11" x14ac:dyDescent="0.25">
      <c r="A8" s="86">
        <f t="shared" ref="A8:A17" si="2">EOMONTH(A7,1)</f>
        <v>45473</v>
      </c>
      <c r="B8" s="7"/>
      <c r="C8" s="7"/>
      <c r="D8" s="7"/>
      <c r="E8" s="7"/>
      <c r="F8" s="7"/>
      <c r="G8" s="7"/>
      <c r="H8" s="7"/>
      <c r="I8" s="164"/>
      <c r="J8" s="165">
        <f t="shared" si="1"/>
        <v>0</v>
      </c>
      <c r="K8" s="165">
        <f t="shared" si="1"/>
        <v>0</v>
      </c>
    </row>
    <row r="9" spans="1:11" x14ac:dyDescent="0.25">
      <c r="A9" s="86">
        <f t="shared" si="2"/>
        <v>45504</v>
      </c>
      <c r="B9" s="7"/>
      <c r="C9" s="7"/>
      <c r="D9" s="7"/>
      <c r="E9" s="7"/>
      <c r="F9" s="7"/>
      <c r="G9" s="7"/>
      <c r="H9" s="7"/>
      <c r="I9" s="164"/>
      <c r="J9" s="165">
        <f t="shared" si="1"/>
        <v>0</v>
      </c>
      <c r="K9" s="165">
        <f t="shared" si="1"/>
        <v>0</v>
      </c>
    </row>
    <row r="10" spans="1:11" x14ac:dyDescent="0.25">
      <c r="A10" s="86">
        <f t="shared" si="2"/>
        <v>45535</v>
      </c>
      <c r="B10" s="7"/>
      <c r="C10" s="7"/>
      <c r="D10" s="7"/>
      <c r="E10" s="7"/>
      <c r="F10" s="7"/>
      <c r="G10" s="7"/>
      <c r="H10" s="164"/>
      <c r="I10" s="164"/>
      <c r="J10" s="165">
        <f t="shared" si="1"/>
        <v>0</v>
      </c>
      <c r="K10" s="165">
        <f t="shared" si="1"/>
        <v>0</v>
      </c>
    </row>
    <row r="11" spans="1:11" x14ac:dyDescent="0.25">
      <c r="A11" s="86">
        <f t="shared" si="2"/>
        <v>45565</v>
      </c>
      <c r="B11" s="7"/>
      <c r="C11" s="7"/>
      <c r="D11" s="7"/>
      <c r="E11" s="7"/>
      <c r="F11" s="7"/>
      <c r="G11" s="7"/>
      <c r="H11" s="164"/>
      <c r="I11" s="164"/>
      <c r="J11" s="165">
        <f t="shared" si="1"/>
        <v>0</v>
      </c>
      <c r="K11" s="165">
        <f t="shared" si="1"/>
        <v>0</v>
      </c>
    </row>
    <row r="12" spans="1:11" x14ac:dyDescent="0.25">
      <c r="A12" s="86">
        <f t="shared" si="2"/>
        <v>45596</v>
      </c>
      <c r="B12" s="7"/>
      <c r="C12" s="7"/>
      <c r="D12" s="7"/>
      <c r="E12" s="7"/>
      <c r="F12" s="7"/>
      <c r="G12" s="7"/>
      <c r="H12" s="164"/>
      <c r="I12" s="164"/>
      <c r="J12" s="165">
        <f t="shared" ref="J12:J17" si="3">SUM(B12,D12,F12,H12)</f>
        <v>0</v>
      </c>
      <c r="K12" s="165">
        <f t="shared" si="1"/>
        <v>0</v>
      </c>
    </row>
    <row r="13" spans="1:11" x14ac:dyDescent="0.25">
      <c r="A13" s="86">
        <f t="shared" si="2"/>
        <v>45626</v>
      </c>
      <c r="B13" s="7"/>
      <c r="C13" s="7"/>
      <c r="D13" s="7"/>
      <c r="E13" s="7"/>
      <c r="F13" s="7"/>
      <c r="G13" s="7"/>
      <c r="H13" s="209"/>
      <c r="I13" s="209"/>
      <c r="J13" s="165">
        <f t="shared" si="3"/>
        <v>0</v>
      </c>
      <c r="K13" s="165">
        <f>SUM(C13,E13,G13,I13)</f>
        <v>0</v>
      </c>
    </row>
    <row r="14" spans="1:11" x14ac:dyDescent="0.25">
      <c r="A14" s="86">
        <f t="shared" si="2"/>
        <v>45657</v>
      </c>
      <c r="B14" s="7"/>
      <c r="C14" s="7"/>
      <c r="D14" s="401"/>
      <c r="E14" s="405"/>
      <c r="F14" s="7"/>
      <c r="G14" s="7"/>
      <c r="H14" s="209"/>
      <c r="I14" s="209"/>
      <c r="J14" s="165">
        <f t="shared" si="3"/>
        <v>0</v>
      </c>
      <c r="K14" s="165">
        <f>SUM(C14,E14,G14,I14)</f>
        <v>0</v>
      </c>
    </row>
    <row r="15" spans="1:11" x14ac:dyDescent="0.25">
      <c r="A15" s="86">
        <f t="shared" si="2"/>
        <v>45688</v>
      </c>
      <c r="B15" s="7"/>
      <c r="C15" s="7"/>
      <c r="D15" s="7"/>
      <c r="E15" s="7"/>
      <c r="F15" s="7"/>
      <c r="G15" s="7"/>
      <c r="H15" s="401"/>
      <c r="I15" s="209"/>
      <c r="J15" s="165">
        <f t="shared" si="3"/>
        <v>0</v>
      </c>
      <c r="K15" s="165">
        <f>SUM(C15,E15,G15,I15)</f>
        <v>0</v>
      </c>
    </row>
    <row r="16" spans="1:11" x14ac:dyDescent="0.25">
      <c r="A16" s="86">
        <f t="shared" si="2"/>
        <v>45716</v>
      </c>
      <c r="B16" s="7"/>
      <c r="C16" s="7"/>
      <c r="D16" s="7"/>
      <c r="E16" s="7"/>
      <c r="F16" s="7"/>
      <c r="G16" s="7"/>
      <c r="H16" s="401"/>
      <c r="I16" s="402"/>
      <c r="J16" s="165">
        <f t="shared" si="3"/>
        <v>0</v>
      </c>
      <c r="K16" s="165">
        <f>SUM(C16,E16,G16,I16)</f>
        <v>0</v>
      </c>
    </row>
    <row r="17" spans="1:11" x14ac:dyDescent="0.25">
      <c r="A17" s="86">
        <f t="shared" si="2"/>
        <v>45747</v>
      </c>
      <c r="B17" s="7"/>
      <c r="C17" s="7"/>
      <c r="D17" s="401"/>
      <c r="E17" s="405"/>
      <c r="F17" s="7"/>
      <c r="G17" s="7"/>
      <c r="H17" s="401"/>
      <c r="I17" s="402"/>
      <c r="J17" s="165">
        <f t="shared" si="3"/>
        <v>0</v>
      </c>
      <c r="K17" s="165">
        <f>SUM(C17,E17,G17,I17)</f>
        <v>0</v>
      </c>
    </row>
    <row r="18" spans="1:11" ht="15" customHeight="1" x14ac:dyDescent="0.25">
      <c r="A18" s="1282" t="s">
        <v>170</v>
      </c>
      <c r="B18" s="1282"/>
      <c r="C18" s="1282"/>
      <c r="D18" s="1282"/>
      <c r="E18" s="1282"/>
      <c r="F18" s="1282"/>
      <c r="G18" s="1282"/>
      <c r="H18" s="1282"/>
      <c r="I18" s="1282"/>
      <c r="J18" s="1282"/>
      <c r="K18" s="1282"/>
    </row>
    <row r="19" spans="1:11" ht="15" customHeight="1" x14ac:dyDescent="0.25">
      <c r="A19" s="1283" t="s">
        <v>171</v>
      </c>
      <c r="B19" s="1283"/>
      <c r="C19" s="1283"/>
      <c r="D19" s="1283"/>
      <c r="E19" s="117"/>
      <c r="F19" s="117"/>
      <c r="G19" s="117"/>
      <c r="H19" s="117"/>
      <c r="I19" s="117"/>
      <c r="J19" s="106"/>
      <c r="K19" s="106"/>
    </row>
    <row r="20" spans="1:11" x14ac:dyDescent="0.25">
      <c r="A20" s="1126" t="s">
        <v>1401</v>
      </c>
      <c r="B20" s="118"/>
      <c r="C20" s="56"/>
      <c r="D20" s="118"/>
      <c r="E20" s="56"/>
      <c r="F20" s="53"/>
      <c r="G20" s="53"/>
      <c r="H20" s="53"/>
      <c r="I20" s="53"/>
      <c r="J20" s="53"/>
      <c r="K20" s="53"/>
    </row>
    <row r="21" spans="1:11" x14ac:dyDescent="0.25">
      <c r="A21" s="55"/>
      <c r="B21" s="118"/>
      <c r="C21" s="56"/>
      <c r="D21" s="118"/>
      <c r="E21" s="56"/>
      <c r="F21" s="53"/>
      <c r="G21" s="53"/>
      <c r="H21" s="118"/>
      <c r="I21" s="56"/>
      <c r="J21" s="53"/>
      <c r="K21" s="56"/>
    </row>
    <row r="22" spans="1:11" x14ac:dyDescent="0.25">
      <c r="A22" s="55"/>
      <c r="B22" s="33"/>
      <c r="C22" s="33"/>
      <c r="D22" s="33"/>
      <c r="E22" s="33"/>
      <c r="F22" s="33"/>
      <c r="G22" s="33"/>
      <c r="H22" s="118"/>
      <c r="I22" s="56"/>
      <c r="J22" s="53"/>
      <c r="K22" s="56"/>
    </row>
    <row r="23" spans="1:11" x14ac:dyDescent="0.25">
      <c r="A23" s="55"/>
      <c r="B23" s="33"/>
      <c r="C23" s="33"/>
      <c r="D23" s="33"/>
      <c r="E23" s="33"/>
      <c r="F23" s="33"/>
      <c r="G23" s="33"/>
      <c r="H23" s="33"/>
      <c r="I23" s="33"/>
      <c r="J23" s="33"/>
      <c r="K23" s="33"/>
    </row>
    <row r="24" spans="1:11" x14ac:dyDescent="0.25">
      <c r="A24" s="55"/>
      <c r="B24" s="33"/>
      <c r="C24" s="33"/>
      <c r="D24" s="33"/>
      <c r="E24" s="33"/>
      <c r="F24" s="33"/>
      <c r="G24" s="33"/>
      <c r="H24" s="33"/>
      <c r="I24" s="33"/>
      <c r="J24" s="33"/>
      <c r="K24" s="33"/>
    </row>
    <row r="25" spans="1:11" x14ac:dyDescent="0.25">
      <c r="A25" s="113"/>
      <c r="B25" s="119"/>
      <c r="C25" s="119"/>
      <c r="D25" s="119"/>
      <c r="E25" s="119"/>
      <c r="F25" s="119"/>
      <c r="G25" s="119"/>
      <c r="H25" s="119"/>
      <c r="I25" s="119"/>
      <c r="J25" s="119"/>
      <c r="K25" s="119"/>
    </row>
    <row r="26" spans="1:11" x14ac:dyDescent="0.25">
      <c r="A26" s="113"/>
      <c r="B26" s="119"/>
      <c r="C26" s="119"/>
      <c r="D26" s="119"/>
      <c r="E26" s="119"/>
      <c r="F26" s="119"/>
      <c r="G26" s="119"/>
      <c r="H26" s="119"/>
      <c r="I26" s="119"/>
      <c r="J26" s="119"/>
      <c r="K26" s="119"/>
    </row>
    <row r="27" spans="1:11" x14ac:dyDescent="0.25">
      <c r="A27" s="87"/>
      <c r="B27" s="119"/>
      <c r="C27" s="119"/>
      <c r="D27" s="119"/>
      <c r="E27" s="119"/>
      <c r="F27" s="119"/>
      <c r="G27" s="119"/>
      <c r="H27" s="119"/>
      <c r="I27" s="119"/>
      <c r="J27" s="119"/>
      <c r="K27" s="119"/>
    </row>
  </sheetData>
  <mergeCells count="9">
    <mergeCell ref="J2:K2"/>
    <mergeCell ref="A18:K18"/>
    <mergeCell ref="A19:D19"/>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2"/>
  <sheetViews>
    <sheetView zoomScaleNormal="100" workbookViewId="0">
      <selection activeCell="F10" sqref="F10"/>
    </sheetView>
  </sheetViews>
  <sheetFormatPr defaultRowHeight="15" x14ac:dyDescent="0.25"/>
  <cols>
    <col min="1" max="1" width="17.140625" customWidth="1"/>
  </cols>
  <sheetData>
    <row r="1" spans="1:22" x14ac:dyDescent="0.25">
      <c r="A1" s="1276" t="s">
        <v>8</v>
      </c>
      <c r="B1" s="1276"/>
      <c r="C1" s="1276"/>
      <c r="D1" s="1276"/>
      <c r="E1" s="1276"/>
      <c r="F1" s="1276"/>
      <c r="G1" s="1276"/>
      <c r="H1" s="1276"/>
      <c r="I1" s="1276"/>
      <c r="J1" s="90"/>
      <c r="K1" s="90"/>
    </row>
    <row r="2" spans="1:22" x14ac:dyDescent="0.25">
      <c r="A2" s="1211" t="s">
        <v>172</v>
      </c>
      <c r="B2" s="1280" t="s">
        <v>166</v>
      </c>
      <c r="C2" s="1281"/>
      <c r="D2" s="1280" t="s">
        <v>167</v>
      </c>
      <c r="E2" s="1281"/>
      <c r="F2" s="1280" t="s">
        <v>168</v>
      </c>
      <c r="G2" s="1281"/>
      <c r="H2" s="1280" t="s">
        <v>173</v>
      </c>
      <c r="I2" s="1281"/>
      <c r="J2" s="1280" t="s">
        <v>96</v>
      </c>
      <c r="K2" s="1281"/>
    </row>
    <row r="3" spans="1:22" ht="30" x14ac:dyDescent="0.25">
      <c r="A3" s="1212"/>
      <c r="B3" s="120" t="s">
        <v>141</v>
      </c>
      <c r="C3" s="120" t="s">
        <v>142</v>
      </c>
      <c r="D3" s="120" t="s">
        <v>141</v>
      </c>
      <c r="E3" s="120" t="s">
        <v>142</v>
      </c>
      <c r="F3" s="120" t="s">
        <v>141</v>
      </c>
      <c r="G3" s="120" t="s">
        <v>142</v>
      </c>
      <c r="H3" s="120" t="s">
        <v>141</v>
      </c>
      <c r="I3" s="120" t="s">
        <v>142</v>
      </c>
      <c r="J3" s="120" t="s">
        <v>141</v>
      </c>
      <c r="K3" s="120" t="s">
        <v>142</v>
      </c>
    </row>
    <row r="4" spans="1:22" x14ac:dyDescent="0.25">
      <c r="A4" s="1157" t="s">
        <v>532</v>
      </c>
      <c r="B4" s="210">
        <v>354</v>
      </c>
      <c r="C4" s="210">
        <v>10393.319999999998</v>
      </c>
      <c r="D4" s="210">
        <v>73</v>
      </c>
      <c r="E4" s="210">
        <v>1010.7463999999998</v>
      </c>
      <c r="F4" s="210">
        <v>5</v>
      </c>
      <c r="G4" s="210">
        <v>41.44</v>
      </c>
      <c r="H4" s="210">
        <v>257</v>
      </c>
      <c r="I4" s="210">
        <v>33709.596000000005</v>
      </c>
      <c r="J4" s="210">
        <v>689</v>
      </c>
      <c r="K4" s="210">
        <v>45155.102399999996</v>
      </c>
    </row>
    <row r="5" spans="1:22" x14ac:dyDescent="0.25">
      <c r="A5" s="1158" t="s">
        <v>1413</v>
      </c>
      <c r="B5" s="413">
        <f>SUM(B6:B17)</f>
        <v>107</v>
      </c>
      <c r="C5" s="413">
        <f t="shared" ref="C5:K5" si="0">SUM(C6:C17)</f>
        <v>2226.81</v>
      </c>
      <c r="D5" s="413">
        <f t="shared" si="0"/>
        <v>33</v>
      </c>
      <c r="E5" s="413">
        <f t="shared" si="0"/>
        <v>391.2534</v>
      </c>
      <c r="F5" s="413">
        <f t="shared" si="0"/>
        <v>1</v>
      </c>
      <c r="G5" s="413">
        <f t="shared" si="0"/>
        <v>5.0199999999999996</v>
      </c>
      <c r="H5" s="413">
        <f t="shared" si="0"/>
        <v>80</v>
      </c>
      <c r="I5" s="413">
        <f t="shared" si="0"/>
        <v>30072.293600000001</v>
      </c>
      <c r="J5" s="413">
        <f>SUM(J6:J17)</f>
        <v>221</v>
      </c>
      <c r="K5" s="413">
        <f t="shared" si="0"/>
        <v>32695.377</v>
      </c>
      <c r="M5" s="49"/>
      <c r="N5" s="49"/>
      <c r="O5" s="49"/>
      <c r="P5" s="49"/>
      <c r="Q5" s="49"/>
      <c r="R5" s="49"/>
      <c r="S5" s="49"/>
      <c r="T5" s="49"/>
      <c r="U5" s="49"/>
      <c r="V5" s="49"/>
    </row>
    <row r="6" spans="1:22" x14ac:dyDescent="0.25">
      <c r="A6" s="86">
        <v>45383</v>
      </c>
      <c r="B6" s="424">
        <v>51</v>
      </c>
      <c r="C6" s="424">
        <v>1387.31</v>
      </c>
      <c r="D6" s="424">
        <v>13</v>
      </c>
      <c r="E6" s="424">
        <v>206.13</v>
      </c>
      <c r="F6" s="424">
        <v>1</v>
      </c>
      <c r="G6" s="424">
        <v>5.0199999999999996</v>
      </c>
      <c r="H6" s="424">
        <v>42</v>
      </c>
      <c r="I6" s="424">
        <v>6103.72</v>
      </c>
      <c r="J6" s="211">
        <f t="shared" ref="J6:K13" si="1">B6+D6+F6+H6</f>
        <v>107</v>
      </c>
      <c r="K6" s="211">
        <f t="shared" si="1"/>
        <v>7702.18</v>
      </c>
    </row>
    <row r="7" spans="1:22" x14ac:dyDescent="0.25">
      <c r="A7" s="86">
        <f>EOMONTH(A6,1)</f>
        <v>45443</v>
      </c>
      <c r="B7" s="211">
        <v>56</v>
      </c>
      <c r="C7" s="211">
        <v>839.5</v>
      </c>
      <c r="D7" s="211">
        <v>20</v>
      </c>
      <c r="E7" s="211">
        <v>185.1234</v>
      </c>
      <c r="F7" s="211">
        <v>0</v>
      </c>
      <c r="G7" s="211">
        <v>0</v>
      </c>
      <c r="H7" s="211">
        <v>38</v>
      </c>
      <c r="I7" s="211">
        <v>23968.5736</v>
      </c>
      <c r="J7" s="211">
        <f t="shared" si="1"/>
        <v>114</v>
      </c>
      <c r="K7" s="211">
        <f t="shared" si="1"/>
        <v>24993.197</v>
      </c>
    </row>
    <row r="8" spans="1:22" x14ac:dyDescent="0.25">
      <c r="A8" s="86">
        <f t="shared" ref="A8:A17" si="2">EOMONTH(A7,1)</f>
        <v>45473</v>
      </c>
      <c r="B8" s="211"/>
      <c r="C8" s="211"/>
      <c r="D8" s="211"/>
      <c r="E8" s="211"/>
      <c r="F8" s="211"/>
      <c r="G8" s="211"/>
      <c r="H8" s="211"/>
      <c r="I8" s="211"/>
      <c r="J8" s="211">
        <f t="shared" si="1"/>
        <v>0</v>
      </c>
      <c r="K8" s="211">
        <f t="shared" si="1"/>
        <v>0</v>
      </c>
    </row>
    <row r="9" spans="1:22" x14ac:dyDescent="0.25">
      <c r="A9" s="86">
        <f t="shared" si="2"/>
        <v>45504</v>
      </c>
      <c r="B9" s="211"/>
      <c r="C9" s="211"/>
      <c r="D9" s="211"/>
      <c r="E9" s="211"/>
      <c r="F9" s="211"/>
      <c r="G9" s="211"/>
      <c r="H9" s="211"/>
      <c r="I9" s="211"/>
      <c r="J9" s="211">
        <f t="shared" si="1"/>
        <v>0</v>
      </c>
      <c r="K9" s="211">
        <f t="shared" si="1"/>
        <v>0</v>
      </c>
    </row>
    <row r="10" spans="1:22" x14ac:dyDescent="0.25">
      <c r="A10" s="86">
        <f t="shared" si="2"/>
        <v>45535</v>
      </c>
      <c r="B10" s="211"/>
      <c r="C10" s="211"/>
      <c r="D10" s="211"/>
      <c r="E10" s="211"/>
      <c r="F10" s="211"/>
      <c r="G10" s="211"/>
      <c r="H10" s="211"/>
      <c r="I10" s="211"/>
      <c r="J10" s="211">
        <f t="shared" si="1"/>
        <v>0</v>
      </c>
      <c r="K10" s="211">
        <f t="shared" si="1"/>
        <v>0</v>
      </c>
    </row>
    <row r="11" spans="1:22" x14ac:dyDescent="0.25">
      <c r="A11" s="86">
        <f t="shared" si="2"/>
        <v>45565</v>
      </c>
      <c r="B11" s="211"/>
      <c r="C11" s="211"/>
      <c r="D11" s="211"/>
      <c r="E11" s="211"/>
      <c r="F11" s="211"/>
      <c r="G11" s="211"/>
      <c r="H11" s="211"/>
      <c r="I11" s="211"/>
      <c r="J11" s="211">
        <f t="shared" si="1"/>
        <v>0</v>
      </c>
      <c r="K11" s="211">
        <f t="shared" si="1"/>
        <v>0</v>
      </c>
    </row>
    <row r="12" spans="1:22" x14ac:dyDescent="0.25">
      <c r="A12" s="86">
        <f t="shared" si="2"/>
        <v>45596</v>
      </c>
      <c r="B12" s="211"/>
      <c r="C12" s="211"/>
      <c r="D12" s="423"/>
      <c r="E12" s="424"/>
      <c r="F12" s="211"/>
      <c r="G12" s="211"/>
      <c r="H12" s="211"/>
      <c r="I12" s="211"/>
      <c r="J12" s="211">
        <f t="shared" si="1"/>
        <v>0</v>
      </c>
      <c r="K12" s="211">
        <f t="shared" si="1"/>
        <v>0</v>
      </c>
    </row>
    <row r="13" spans="1:22" x14ac:dyDescent="0.25">
      <c r="A13" s="86">
        <f t="shared" si="2"/>
        <v>45626</v>
      </c>
      <c r="B13" s="211"/>
      <c r="C13" s="211"/>
      <c r="D13" s="211"/>
      <c r="E13" s="211"/>
      <c r="F13" s="211"/>
      <c r="G13" s="211"/>
      <c r="H13" s="211"/>
      <c r="I13" s="211"/>
      <c r="J13" s="211">
        <f t="shared" si="1"/>
        <v>0</v>
      </c>
      <c r="K13" s="211">
        <f t="shared" si="1"/>
        <v>0</v>
      </c>
    </row>
    <row r="14" spans="1:22" x14ac:dyDescent="0.25">
      <c r="A14" s="86">
        <f t="shared" si="2"/>
        <v>45657</v>
      </c>
      <c r="B14" s="211"/>
      <c r="C14" s="211"/>
      <c r="D14" s="211"/>
      <c r="E14" s="211"/>
      <c r="F14" s="211"/>
      <c r="G14" s="211"/>
      <c r="H14" s="211"/>
      <c r="I14" s="211"/>
      <c r="J14" s="211">
        <f>H14+F14+D14+B14</f>
        <v>0</v>
      </c>
      <c r="K14" s="211">
        <f>C14+E14+G14+I14</f>
        <v>0</v>
      </c>
    </row>
    <row r="15" spans="1:22" x14ac:dyDescent="0.25">
      <c r="A15" s="86">
        <f t="shared" si="2"/>
        <v>45688</v>
      </c>
      <c r="B15" s="211"/>
      <c r="C15" s="211"/>
      <c r="D15" s="211"/>
      <c r="E15" s="211"/>
      <c r="F15" s="211"/>
      <c r="G15" s="211"/>
      <c r="H15" s="211"/>
      <c r="I15" s="211"/>
      <c r="J15" s="211">
        <f>H15+F15+D15+B15</f>
        <v>0</v>
      </c>
      <c r="K15" s="211">
        <f>C15+E15+G15+I15</f>
        <v>0</v>
      </c>
    </row>
    <row r="16" spans="1:22" x14ac:dyDescent="0.25">
      <c r="A16" s="86">
        <f t="shared" si="2"/>
        <v>45716</v>
      </c>
      <c r="B16" s="547"/>
      <c r="C16" s="211"/>
      <c r="D16" s="211"/>
      <c r="E16" s="211"/>
      <c r="F16" s="211"/>
      <c r="G16" s="211"/>
      <c r="H16" s="211"/>
      <c r="I16" s="211"/>
      <c r="J16" s="211">
        <f>H16+F16+D16+B16</f>
        <v>0</v>
      </c>
      <c r="K16" s="211">
        <f>C16+E16+G16+I16</f>
        <v>0</v>
      </c>
    </row>
    <row r="17" spans="1:11" x14ac:dyDescent="0.25">
      <c r="A17" s="86">
        <f t="shared" si="2"/>
        <v>45747</v>
      </c>
      <c r="B17" s="423"/>
      <c r="C17" s="211"/>
      <c r="D17" s="211"/>
      <c r="E17" s="211"/>
      <c r="F17" s="211"/>
      <c r="G17" s="211"/>
      <c r="H17" s="211"/>
      <c r="I17" s="211"/>
      <c r="J17" s="211">
        <f>H17+F17+D17+B17</f>
        <v>0</v>
      </c>
      <c r="K17" s="211">
        <f>C17+E17+G17+I17</f>
        <v>0</v>
      </c>
    </row>
    <row r="18" spans="1:11" x14ac:dyDescent="0.25">
      <c r="A18" s="5" t="s">
        <v>174</v>
      </c>
      <c r="B18" s="5"/>
      <c r="C18" s="5"/>
      <c r="D18" s="54"/>
      <c r="E18" s="54"/>
      <c r="F18" s="54"/>
      <c r="G18" s="54"/>
      <c r="H18" s="54"/>
      <c r="I18" s="54"/>
      <c r="J18" s="54"/>
      <c r="K18" s="54"/>
    </row>
    <row r="19" spans="1:11" x14ac:dyDescent="0.25">
      <c r="A19" s="98" t="s">
        <v>171</v>
      </c>
      <c r="B19" s="98"/>
      <c r="C19" s="57"/>
      <c r="D19" s="54"/>
      <c r="E19" s="54"/>
      <c r="F19" s="54"/>
      <c r="G19" s="54"/>
      <c r="H19" s="54"/>
      <c r="I19" s="54"/>
      <c r="J19" s="54"/>
      <c r="K19" s="54"/>
    </row>
    <row r="20" spans="1:11" x14ac:dyDescent="0.25">
      <c r="A20" s="1126" t="s">
        <v>1401</v>
      </c>
      <c r="B20" s="54"/>
      <c r="C20" s="54"/>
      <c r="D20" s="54"/>
      <c r="E20" s="54"/>
      <c r="F20" s="54"/>
      <c r="G20" s="54"/>
      <c r="H20" s="54"/>
      <c r="I20" s="54"/>
      <c r="J20" s="54"/>
      <c r="K20" s="54"/>
    </row>
    <row r="21" spans="1:11" x14ac:dyDescent="0.25">
      <c r="A21" s="55"/>
      <c r="B21" s="121"/>
      <c r="C21" s="121"/>
      <c r="D21" s="121"/>
      <c r="E21" s="121"/>
      <c r="F21" s="121"/>
      <c r="G21" s="121"/>
      <c r="H21" s="121"/>
      <c r="I21" s="121"/>
      <c r="J21" s="121"/>
      <c r="K21" s="121"/>
    </row>
    <row r="22" spans="1:11" x14ac:dyDescent="0.25">
      <c r="A22" s="55"/>
      <c r="B22" s="121"/>
      <c r="C22" s="121"/>
      <c r="D22" s="121"/>
      <c r="E22" s="121"/>
      <c r="F22" s="121"/>
      <c r="G22" s="121"/>
      <c r="H22" s="121"/>
      <c r="I22" s="122"/>
      <c r="J22" s="121"/>
      <c r="K22" s="121"/>
    </row>
    <row r="23" spans="1:11" x14ac:dyDescent="0.25">
      <c r="A23" s="55"/>
      <c r="B23" s="121"/>
      <c r="C23" s="121"/>
      <c r="D23" s="121"/>
      <c r="E23" s="121"/>
      <c r="F23" s="121"/>
      <c r="G23" s="121"/>
      <c r="H23" s="121"/>
      <c r="I23" s="121"/>
      <c r="J23" s="121"/>
      <c r="K23" s="121"/>
    </row>
    <row r="24" spans="1:11" x14ac:dyDescent="0.25">
      <c r="A24" s="55"/>
      <c r="B24" s="121"/>
      <c r="C24" s="121"/>
      <c r="D24" s="121"/>
      <c r="E24" s="121"/>
      <c r="F24" s="121"/>
      <c r="G24" s="121"/>
      <c r="H24" s="121"/>
      <c r="I24" s="121"/>
      <c r="J24" s="121"/>
      <c r="K24" s="121"/>
    </row>
    <row r="25" spans="1:11" x14ac:dyDescent="0.25">
      <c r="A25" s="113"/>
      <c r="B25" s="123"/>
      <c r="C25" s="123"/>
      <c r="D25" s="123"/>
      <c r="E25" s="123"/>
      <c r="F25" s="123"/>
      <c r="G25" s="123"/>
      <c r="H25" s="123"/>
      <c r="I25" s="124"/>
      <c r="J25" s="123"/>
      <c r="K25" s="124"/>
    </row>
    <row r="26" spans="1:11" x14ac:dyDescent="0.25">
      <c r="A26" s="113"/>
      <c r="B26" s="123"/>
      <c r="C26" s="123"/>
      <c r="D26" s="123"/>
      <c r="E26" s="123"/>
      <c r="F26" s="123"/>
      <c r="G26" s="123"/>
      <c r="H26" s="123"/>
      <c r="I26" s="123"/>
      <c r="J26" s="123"/>
      <c r="K26" s="123"/>
    </row>
    <row r="27" spans="1:11" x14ac:dyDescent="0.25">
      <c r="A27" s="87"/>
      <c r="B27" s="123"/>
      <c r="C27" s="123"/>
      <c r="D27" s="123"/>
      <c r="E27" s="123"/>
      <c r="F27" s="123"/>
      <c r="G27" s="123"/>
      <c r="H27" s="123"/>
      <c r="I27" s="123"/>
      <c r="J27" s="123"/>
      <c r="K27" s="123"/>
    </row>
    <row r="28" spans="1:11" x14ac:dyDescent="0.25">
      <c r="A28" s="87"/>
      <c r="B28" s="123"/>
      <c r="C28" s="123"/>
      <c r="D28" s="123"/>
      <c r="E28" s="123"/>
      <c r="F28" s="123"/>
      <c r="G28" s="123"/>
      <c r="H28" s="123"/>
      <c r="I28" s="123"/>
      <c r="J28" s="123"/>
      <c r="K28" s="123"/>
    </row>
    <row r="30" spans="1:11" x14ac:dyDescent="0.25">
      <c r="D30" s="125"/>
      <c r="E30" s="106"/>
      <c r="F30" s="106"/>
      <c r="G30" s="106"/>
      <c r="H30" s="106"/>
      <c r="I30" s="106"/>
      <c r="J30" s="106"/>
      <c r="K30" s="106"/>
    </row>
    <row r="31" spans="1:11" x14ac:dyDescent="0.25">
      <c r="D31" s="57"/>
      <c r="E31" s="106"/>
      <c r="F31" s="106"/>
      <c r="G31" s="106"/>
      <c r="H31" s="106"/>
      <c r="I31" s="106"/>
      <c r="J31" s="106"/>
      <c r="K31" s="106"/>
    </row>
    <row r="32" spans="1:11" x14ac:dyDescent="0.25">
      <c r="D32" s="126"/>
      <c r="E32" s="126"/>
      <c r="F32" s="126"/>
      <c r="G32" s="126"/>
      <c r="H32" s="126"/>
      <c r="I32" s="126"/>
      <c r="J32" s="126"/>
      <c r="K32" s="126"/>
    </row>
  </sheetData>
  <mergeCells count="7">
    <mergeCell ref="J2:K2"/>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2"/>
  <sheetViews>
    <sheetView zoomScaleNormal="100" workbookViewId="0">
      <selection activeCell="F12" sqref="F12"/>
    </sheetView>
  </sheetViews>
  <sheetFormatPr defaultColWidth="9.140625" defaultRowHeight="15" x14ac:dyDescent="0.25"/>
  <cols>
    <col min="1" max="2" width="14.5703125" style="127" bestFit="1" customWidth="1"/>
    <col min="3" max="3" width="15.85546875" style="127" bestFit="1" customWidth="1"/>
    <col min="4" max="4" width="14.5703125" style="127" bestFit="1" customWidth="1"/>
    <col min="5" max="5" width="15.85546875" style="127" bestFit="1" customWidth="1"/>
    <col min="6" max="6" width="14.5703125" style="127" bestFit="1" customWidth="1"/>
    <col min="7" max="7" width="15.85546875" style="127" bestFit="1" customWidth="1"/>
    <col min="8" max="8" width="9.5703125" style="127" customWidth="1"/>
    <col min="9" max="9" width="15.85546875" style="127" bestFit="1" customWidth="1"/>
    <col min="10" max="10" width="8.5703125" style="127" customWidth="1"/>
    <col min="11" max="16384" width="9.140625" style="127"/>
  </cols>
  <sheetData>
    <row r="1" spans="1:21" ht="15.75" customHeight="1" x14ac:dyDescent="0.25">
      <c r="A1" s="1285" t="s">
        <v>1236</v>
      </c>
      <c r="B1" s="1285"/>
      <c r="C1" s="1285"/>
      <c r="D1" s="1285"/>
      <c r="E1" s="1285"/>
      <c r="F1" s="1285"/>
      <c r="G1" s="1285"/>
      <c r="H1" s="1285"/>
      <c r="I1" s="1285"/>
    </row>
    <row r="2" spans="1:21" s="128" customFormat="1" ht="18" customHeight="1" x14ac:dyDescent="0.25">
      <c r="A2" s="1286" t="s">
        <v>172</v>
      </c>
      <c r="B2" s="1288" t="s">
        <v>167</v>
      </c>
      <c r="C2" s="1289"/>
      <c r="D2" s="1288" t="s">
        <v>166</v>
      </c>
      <c r="E2" s="1289"/>
      <c r="F2" s="1288" t="s">
        <v>169</v>
      </c>
      <c r="G2" s="1289"/>
      <c r="H2" s="1288" t="s">
        <v>96</v>
      </c>
      <c r="I2" s="1289"/>
    </row>
    <row r="3" spans="1:21" s="128" customFormat="1" ht="27" customHeight="1" x14ac:dyDescent="0.25">
      <c r="A3" s="1287"/>
      <c r="B3" s="129" t="s">
        <v>141</v>
      </c>
      <c r="C3" s="129" t="s">
        <v>144</v>
      </c>
      <c r="D3" s="129" t="s">
        <v>141</v>
      </c>
      <c r="E3" s="129" t="s">
        <v>144</v>
      </c>
      <c r="F3" s="129" t="s">
        <v>141</v>
      </c>
      <c r="G3" s="129" t="s">
        <v>144</v>
      </c>
      <c r="H3" s="129" t="s">
        <v>141</v>
      </c>
      <c r="I3" s="129" t="s">
        <v>144</v>
      </c>
    </row>
    <row r="4" spans="1:21" s="132" customFormat="1" ht="18" customHeight="1" x14ac:dyDescent="0.25">
      <c r="A4" s="1157" t="s">
        <v>532</v>
      </c>
      <c r="B4" s="640">
        <v>288</v>
      </c>
      <c r="C4" s="640">
        <v>255227.82389999996</v>
      </c>
      <c r="D4" s="640">
        <v>945</v>
      </c>
      <c r="E4" s="640">
        <v>297407.27326509001</v>
      </c>
      <c r="F4" s="640">
        <v>114</v>
      </c>
      <c r="G4" s="640">
        <v>285120.4498</v>
      </c>
      <c r="H4" s="640">
        <v>1347</v>
      </c>
      <c r="I4" s="641">
        <v>837755.54696509009</v>
      </c>
    </row>
    <row r="5" spans="1:21" s="132" customFormat="1" ht="18" customHeight="1" x14ac:dyDescent="0.25">
      <c r="A5" s="1158" t="s">
        <v>1413</v>
      </c>
      <c r="B5" s="414">
        <f>SUM(B6:B17)</f>
        <v>36</v>
      </c>
      <c r="C5" s="414">
        <f t="shared" ref="C5:H5" si="0">SUM(C6:C17)</f>
        <v>29335.599999999999</v>
      </c>
      <c r="D5" s="414">
        <f t="shared" si="0"/>
        <v>172</v>
      </c>
      <c r="E5" s="414">
        <f t="shared" si="0"/>
        <v>44819</v>
      </c>
      <c r="F5" s="414">
        <f t="shared" si="0"/>
        <v>16</v>
      </c>
      <c r="G5" s="414">
        <f t="shared" si="0"/>
        <v>17580</v>
      </c>
      <c r="H5" s="414">
        <f t="shared" si="0"/>
        <v>224</v>
      </c>
      <c r="I5" s="414">
        <f>SUM(I6:I17)</f>
        <v>91734.6</v>
      </c>
      <c r="J5" s="133"/>
      <c r="K5" s="133"/>
      <c r="L5" s="133"/>
      <c r="M5" s="133"/>
      <c r="N5" s="133"/>
      <c r="O5" s="133"/>
      <c r="P5" s="133"/>
      <c r="Q5" s="133"/>
      <c r="R5" s="133"/>
      <c r="S5" s="133"/>
      <c r="T5" s="133"/>
      <c r="U5" s="133"/>
    </row>
    <row r="6" spans="1:21" s="128" customFormat="1" ht="18" customHeight="1" x14ac:dyDescent="0.25">
      <c r="A6" s="86">
        <v>45383</v>
      </c>
      <c r="B6" s="642">
        <v>11</v>
      </c>
      <c r="C6" s="642">
        <v>9221.5999999999985</v>
      </c>
      <c r="D6" s="642">
        <v>83</v>
      </c>
      <c r="E6" s="642">
        <v>14558.000000000002</v>
      </c>
      <c r="F6" s="642">
        <v>7</v>
      </c>
      <c r="G6" s="613">
        <v>6728</v>
      </c>
      <c r="H6" s="138">
        <f t="shared" ref="H6:H17" si="1">SUM(B6,D6,F6)</f>
        <v>101</v>
      </c>
      <c r="I6" s="137">
        <f t="shared" ref="I6:I17" si="2">SUM(C6,E6,G6)</f>
        <v>30507.599999999999</v>
      </c>
    </row>
    <row r="7" spans="1:21" s="128" customFormat="1" ht="18" customHeight="1" x14ac:dyDescent="0.25">
      <c r="A7" s="86">
        <f>EOMONTH(A6,1)</f>
        <v>45443</v>
      </c>
      <c r="B7" s="135">
        <v>25</v>
      </c>
      <c r="C7" s="136">
        <v>20114</v>
      </c>
      <c r="D7" s="135">
        <v>89</v>
      </c>
      <c r="E7" s="136">
        <v>30261</v>
      </c>
      <c r="F7" s="135">
        <v>9</v>
      </c>
      <c r="G7" s="137">
        <v>10852</v>
      </c>
      <c r="H7" s="138">
        <v>123</v>
      </c>
      <c r="I7" s="137">
        <v>61227</v>
      </c>
    </row>
    <row r="8" spans="1:21" s="128" customFormat="1" ht="18" customHeight="1" x14ac:dyDescent="0.25">
      <c r="A8" s="86">
        <f t="shared" ref="A8:A17" si="3">EOMONTH(A7,1)</f>
        <v>45473</v>
      </c>
      <c r="B8" s="138"/>
      <c r="C8" s="137"/>
      <c r="D8" s="138"/>
      <c r="E8" s="137"/>
      <c r="F8" s="138"/>
      <c r="G8" s="137"/>
      <c r="H8" s="138">
        <f t="shared" si="1"/>
        <v>0</v>
      </c>
      <c r="I8" s="137">
        <f t="shared" si="2"/>
        <v>0</v>
      </c>
    </row>
    <row r="9" spans="1:21" s="128" customFormat="1" ht="18" customHeight="1" x14ac:dyDescent="0.25">
      <c r="A9" s="86">
        <f t="shared" si="3"/>
        <v>45504</v>
      </c>
      <c r="B9" s="138"/>
      <c r="C9" s="137"/>
      <c r="D9" s="138"/>
      <c r="E9" s="137"/>
      <c r="F9" s="138"/>
      <c r="G9" s="137"/>
      <c r="H9" s="138">
        <f t="shared" si="1"/>
        <v>0</v>
      </c>
      <c r="I9" s="137">
        <f t="shared" si="2"/>
        <v>0</v>
      </c>
    </row>
    <row r="10" spans="1:21" s="128" customFormat="1" ht="18" customHeight="1" x14ac:dyDescent="0.25">
      <c r="A10" s="86">
        <f t="shared" si="3"/>
        <v>45535</v>
      </c>
      <c r="B10" s="138"/>
      <c r="C10" s="197"/>
      <c r="D10" s="197"/>
      <c r="E10" s="197"/>
      <c r="F10" s="197"/>
      <c r="G10" s="197"/>
      <c r="H10" s="138">
        <f t="shared" si="1"/>
        <v>0</v>
      </c>
      <c r="I10" s="137">
        <f t="shared" si="2"/>
        <v>0</v>
      </c>
    </row>
    <row r="11" spans="1:21" s="128" customFormat="1" ht="18" customHeight="1" x14ac:dyDescent="0.25">
      <c r="A11" s="86">
        <f t="shared" si="3"/>
        <v>45565</v>
      </c>
      <c r="B11" s="197"/>
      <c r="C11" s="197"/>
      <c r="D11" s="197"/>
      <c r="E11" s="197"/>
      <c r="F11" s="197"/>
      <c r="G11" s="197"/>
      <c r="H11" s="138">
        <f t="shared" si="1"/>
        <v>0</v>
      </c>
      <c r="I11" s="137">
        <f t="shared" si="2"/>
        <v>0</v>
      </c>
    </row>
    <row r="12" spans="1:21" s="128" customFormat="1" ht="18" customHeight="1" x14ac:dyDescent="0.25">
      <c r="A12" s="86">
        <f t="shared" si="3"/>
        <v>45596</v>
      </c>
      <c r="B12" s="197"/>
      <c r="C12" s="197"/>
      <c r="D12" s="197"/>
      <c r="E12" s="197"/>
      <c r="F12" s="197"/>
      <c r="G12" s="197"/>
      <c r="H12" s="138">
        <f t="shared" si="1"/>
        <v>0</v>
      </c>
      <c r="I12" s="137">
        <f t="shared" si="2"/>
        <v>0</v>
      </c>
    </row>
    <row r="13" spans="1:21" s="128" customFormat="1" ht="18" customHeight="1" x14ac:dyDescent="0.25">
      <c r="A13" s="86">
        <f t="shared" si="3"/>
        <v>45626</v>
      </c>
      <c r="B13" s="197"/>
      <c r="C13" s="197"/>
      <c r="D13" s="197"/>
      <c r="E13" s="197"/>
      <c r="F13" s="197"/>
      <c r="G13" s="197"/>
      <c r="H13" s="138">
        <f t="shared" si="1"/>
        <v>0</v>
      </c>
      <c r="I13" s="137">
        <f t="shared" si="2"/>
        <v>0</v>
      </c>
    </row>
    <row r="14" spans="1:21" s="128" customFormat="1" ht="18" customHeight="1" x14ac:dyDescent="0.25">
      <c r="A14" s="86">
        <f t="shared" si="3"/>
        <v>45657</v>
      </c>
      <c r="B14" s="197"/>
      <c r="C14" s="197"/>
      <c r="D14" s="197"/>
      <c r="E14" s="197"/>
      <c r="F14" s="197"/>
      <c r="G14" s="197"/>
      <c r="H14" s="138">
        <f t="shared" si="1"/>
        <v>0</v>
      </c>
      <c r="I14" s="137">
        <f t="shared" si="2"/>
        <v>0</v>
      </c>
    </row>
    <row r="15" spans="1:21" s="128" customFormat="1" ht="18" customHeight="1" x14ac:dyDescent="0.25">
      <c r="A15" s="86">
        <f t="shared" si="3"/>
        <v>45688</v>
      </c>
      <c r="B15" s="197"/>
      <c r="C15" s="197"/>
      <c r="D15" s="197"/>
      <c r="E15" s="197"/>
      <c r="F15" s="197"/>
      <c r="G15" s="197"/>
      <c r="H15" s="138">
        <f t="shared" si="1"/>
        <v>0</v>
      </c>
      <c r="I15" s="137">
        <f t="shared" si="2"/>
        <v>0</v>
      </c>
    </row>
    <row r="16" spans="1:21" s="128" customFormat="1" ht="18" customHeight="1" x14ac:dyDescent="0.25">
      <c r="A16" s="86">
        <f t="shared" si="3"/>
        <v>45716</v>
      </c>
      <c r="B16" s="271"/>
      <c r="C16" s="197"/>
      <c r="D16" s="197"/>
      <c r="E16" s="197"/>
      <c r="F16" s="197"/>
      <c r="G16" s="197"/>
      <c r="H16" s="138">
        <f t="shared" si="1"/>
        <v>0</v>
      </c>
      <c r="I16" s="137">
        <f t="shared" si="2"/>
        <v>0</v>
      </c>
    </row>
    <row r="17" spans="1:9" s="128" customFormat="1" ht="18" customHeight="1" x14ac:dyDescent="0.25">
      <c r="A17" s="86">
        <f t="shared" si="3"/>
        <v>45747</v>
      </c>
      <c r="B17" s="612"/>
      <c r="C17" s="613"/>
      <c r="D17" s="612"/>
      <c r="E17" s="613"/>
      <c r="F17" s="612"/>
      <c r="G17" s="613"/>
      <c r="H17" s="138">
        <f t="shared" si="1"/>
        <v>0</v>
      </c>
      <c r="I17" s="137">
        <f t="shared" si="2"/>
        <v>0</v>
      </c>
    </row>
    <row r="18" spans="1:9" s="128" customFormat="1" ht="13.5" customHeight="1" x14ac:dyDescent="0.25">
      <c r="A18" s="1284" t="s">
        <v>175</v>
      </c>
      <c r="B18" s="1284"/>
    </row>
    <row r="19" spans="1:9" x14ac:dyDescent="0.25">
      <c r="A19" s="1126" t="s">
        <v>1401</v>
      </c>
      <c r="C19" s="140"/>
      <c r="H19" s="141"/>
      <c r="I19" s="142"/>
    </row>
    <row r="20" spans="1:9" x14ac:dyDescent="0.25">
      <c r="I20" s="140"/>
    </row>
    <row r="21" spans="1:9" ht="0.75" customHeight="1" x14ac:dyDescent="0.25"/>
    <row r="22" spans="1:9" x14ac:dyDescent="0.25">
      <c r="B22" s="141"/>
      <c r="C22" s="141"/>
      <c r="D22" s="141"/>
      <c r="E22" s="141"/>
      <c r="F22" s="141"/>
      <c r="G22" s="141"/>
      <c r="H22" s="141"/>
      <c r="I22" s="141"/>
    </row>
  </sheetData>
  <mergeCells count="7">
    <mergeCell ref="A18:B18"/>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
  <sheetViews>
    <sheetView zoomScaleNormal="100" workbookViewId="0">
      <selection activeCell="H10" sqref="H10"/>
    </sheetView>
  </sheetViews>
  <sheetFormatPr defaultColWidth="9.140625" defaultRowHeight="15" x14ac:dyDescent="0.25"/>
  <cols>
    <col min="1" max="1" width="14.5703125" style="127" bestFit="1" customWidth="1"/>
    <col min="2" max="2" width="14.85546875" style="127" bestFit="1" customWidth="1"/>
    <col min="3" max="3" width="12.42578125" style="127" customWidth="1"/>
    <col min="4" max="4" width="9.42578125" style="127" customWidth="1"/>
    <col min="5" max="5" width="10.42578125" style="127" customWidth="1"/>
    <col min="6" max="6" width="8.85546875" style="127" bestFit="1" customWidth="1"/>
    <col min="7" max="7" width="8.5703125" style="127" customWidth="1"/>
    <col min="8" max="8" width="9.85546875" style="127" bestFit="1" customWidth="1"/>
    <col min="9" max="9" width="10.140625" style="127" customWidth="1"/>
    <col min="10" max="10" width="9.140625" style="127" customWidth="1"/>
    <col min="11" max="11" width="12.5703125" style="127" customWidth="1"/>
    <col min="12" max="16" width="9.140625" style="127"/>
    <col min="17" max="17" width="6" style="127" bestFit="1" customWidth="1"/>
    <col min="18" max="18" width="9.5703125" style="127" bestFit="1" customWidth="1"/>
    <col min="19" max="16384" width="9.140625" style="127"/>
  </cols>
  <sheetData>
    <row r="1" spans="1:21" ht="15" customHeight="1" x14ac:dyDescent="0.25">
      <c r="A1" s="293" t="s">
        <v>9</v>
      </c>
      <c r="B1" s="293"/>
      <c r="C1" s="293"/>
      <c r="D1" s="293"/>
      <c r="E1" s="293"/>
      <c r="F1" s="293"/>
      <c r="G1" s="293"/>
      <c r="H1" s="293"/>
      <c r="I1" s="293"/>
    </row>
    <row r="2" spans="1:21" s="603" customFormat="1" ht="18" customHeight="1" x14ac:dyDescent="0.25">
      <c r="A2" s="1294" t="s">
        <v>116</v>
      </c>
      <c r="B2" s="1290" t="s">
        <v>73</v>
      </c>
      <c r="C2" s="1296"/>
      <c r="D2" s="1290" t="s">
        <v>74</v>
      </c>
      <c r="E2" s="1296"/>
      <c r="F2" s="1290" t="s">
        <v>75</v>
      </c>
      <c r="G2" s="1291"/>
      <c r="H2" s="1292" t="s">
        <v>96</v>
      </c>
      <c r="I2" s="1293"/>
    </row>
    <row r="3" spans="1:21" s="603" customFormat="1" ht="54.75" customHeight="1" x14ac:dyDescent="0.25">
      <c r="A3" s="1295"/>
      <c r="B3" s="694" t="s">
        <v>236</v>
      </c>
      <c r="C3" s="694" t="s">
        <v>237</v>
      </c>
      <c r="D3" s="694" t="s">
        <v>236</v>
      </c>
      <c r="E3" s="694" t="s">
        <v>237</v>
      </c>
      <c r="F3" s="694" t="s">
        <v>236</v>
      </c>
      <c r="G3" s="694" t="s">
        <v>237</v>
      </c>
      <c r="H3" s="695" t="s">
        <v>236</v>
      </c>
      <c r="I3" s="694" t="s">
        <v>237</v>
      </c>
    </row>
    <row r="4" spans="1:21" s="132" customFormat="1" ht="18" customHeight="1" x14ac:dyDescent="0.25">
      <c r="A4" s="1157" t="s">
        <v>532</v>
      </c>
      <c r="B4" s="306">
        <v>129879</v>
      </c>
      <c r="C4" s="306">
        <v>204122.93797243602</v>
      </c>
      <c r="D4" s="306">
        <v>83338</v>
      </c>
      <c r="E4" s="306">
        <v>1113679.3234570823</v>
      </c>
      <c r="F4" s="307">
        <v>0</v>
      </c>
      <c r="G4" s="307">
        <v>0</v>
      </c>
      <c r="H4" s="306">
        <v>213217</v>
      </c>
      <c r="I4" s="306">
        <v>1317802.2614295182</v>
      </c>
      <c r="K4" s="603"/>
      <c r="L4" s="603"/>
      <c r="M4" s="603"/>
      <c r="N4" s="603"/>
      <c r="O4" s="603"/>
      <c r="P4" s="603"/>
      <c r="Q4" s="603"/>
      <c r="R4" s="603"/>
      <c r="S4" s="603"/>
      <c r="T4" s="603"/>
      <c r="U4" s="603"/>
    </row>
    <row r="5" spans="1:21" s="132" customFormat="1" ht="18" customHeight="1" x14ac:dyDescent="0.25">
      <c r="A5" s="1158" t="s">
        <v>1413</v>
      </c>
      <c r="B5" s="415">
        <f>SUM(B6:B17)</f>
        <v>23842</v>
      </c>
      <c r="C5" s="415">
        <f t="shared" ref="C5:I5" si="0">SUM(C6:C17)</f>
        <v>98007.919417775018</v>
      </c>
      <c r="D5" s="415">
        <f t="shared" si="0"/>
        <v>22811</v>
      </c>
      <c r="E5" s="415">
        <f t="shared" si="0"/>
        <v>120007.450063635</v>
      </c>
      <c r="F5" s="415">
        <f t="shared" si="0"/>
        <v>0</v>
      </c>
      <c r="G5" s="415">
        <f t="shared" si="0"/>
        <v>0</v>
      </c>
      <c r="H5" s="415">
        <f>SUM(H6:H17)</f>
        <v>46653</v>
      </c>
      <c r="I5" s="415">
        <f t="shared" si="0"/>
        <v>218015.36948141002</v>
      </c>
      <c r="J5" s="195"/>
      <c r="K5" s="195"/>
      <c r="L5" s="195"/>
      <c r="M5" s="195"/>
      <c r="N5" s="195"/>
      <c r="O5" s="195"/>
      <c r="P5" s="195"/>
      <c r="Q5" s="603"/>
      <c r="R5" s="603"/>
      <c r="S5" s="603"/>
      <c r="T5" s="603"/>
      <c r="U5" s="603"/>
    </row>
    <row r="6" spans="1:21" s="603" customFormat="1" ht="18" customHeight="1" x14ac:dyDescent="0.25">
      <c r="A6" s="221">
        <v>45383</v>
      </c>
      <c r="B6" s="600">
        <v>12695</v>
      </c>
      <c r="C6" s="600">
        <v>81929.179417775013</v>
      </c>
      <c r="D6" s="600">
        <v>10338</v>
      </c>
      <c r="E6" s="600">
        <v>12366.450063635002</v>
      </c>
      <c r="F6" s="594">
        <v>0</v>
      </c>
      <c r="G6" s="594">
        <v>0</v>
      </c>
      <c r="H6" s="590">
        <f>SUM(B6+D6+F6)</f>
        <v>23033</v>
      </c>
      <c r="I6" s="590">
        <f>SUM(C6+E6+G6)</f>
        <v>94295.629481410011</v>
      </c>
      <c r="J6" s="196"/>
      <c r="K6" s="196"/>
    </row>
    <row r="7" spans="1:21" s="603" customFormat="1" ht="18" customHeight="1" x14ac:dyDescent="0.25">
      <c r="A7" s="221">
        <v>45413</v>
      </c>
      <c r="B7" s="600">
        <v>11147</v>
      </c>
      <c r="C7" s="600">
        <v>16078.74</v>
      </c>
      <c r="D7" s="600">
        <v>12473</v>
      </c>
      <c r="E7" s="600">
        <v>107641</v>
      </c>
      <c r="F7" s="594">
        <v>0</v>
      </c>
      <c r="G7" s="594">
        <v>0</v>
      </c>
      <c r="H7" s="590">
        <f>SUM(B7+D7+F7)</f>
        <v>23620</v>
      </c>
      <c r="I7" s="590">
        <f>SUM(C7+E7+G7)</f>
        <v>123719.74</v>
      </c>
    </row>
    <row r="8" spans="1:21" s="603" customFormat="1" ht="18" customHeight="1" x14ac:dyDescent="0.25">
      <c r="A8" s="221">
        <v>45444</v>
      </c>
      <c r="B8" s="600"/>
      <c r="C8" s="600"/>
      <c r="D8" s="600"/>
      <c r="E8" s="600"/>
      <c r="F8" s="594"/>
      <c r="G8" s="594"/>
      <c r="H8" s="590"/>
      <c r="I8" s="590"/>
    </row>
    <row r="9" spans="1:21" s="603" customFormat="1" ht="18" customHeight="1" x14ac:dyDescent="0.25">
      <c r="A9" s="221">
        <v>45474</v>
      </c>
      <c r="B9" s="600"/>
      <c r="C9" s="600"/>
      <c r="D9" s="600"/>
      <c r="E9" s="600"/>
      <c r="F9" s="594"/>
      <c r="G9" s="594"/>
      <c r="H9" s="590"/>
      <c r="I9" s="590"/>
    </row>
    <row r="10" spans="1:21" s="603" customFormat="1" ht="18" customHeight="1" x14ac:dyDescent="0.25">
      <c r="A10" s="221">
        <v>45505</v>
      </c>
      <c r="B10" s="600"/>
      <c r="C10" s="600"/>
      <c r="D10" s="600"/>
      <c r="E10" s="600"/>
      <c r="F10" s="594"/>
      <c r="G10" s="594"/>
      <c r="H10" s="590"/>
      <c r="I10" s="590"/>
    </row>
    <row r="11" spans="1:21" s="603" customFormat="1" x14ac:dyDescent="0.25">
      <c r="A11" s="221">
        <v>45536</v>
      </c>
      <c r="B11" s="600"/>
      <c r="C11" s="600"/>
      <c r="D11" s="600"/>
      <c r="E11" s="600"/>
      <c r="F11" s="594"/>
      <c r="G11" s="594"/>
      <c r="H11" s="590"/>
      <c r="I11" s="590"/>
    </row>
    <row r="12" spans="1:21" s="603" customFormat="1" x14ac:dyDescent="0.25">
      <c r="A12" s="221">
        <v>45566</v>
      </c>
      <c r="B12" s="600"/>
      <c r="C12" s="600"/>
      <c r="D12" s="600"/>
      <c r="E12" s="600"/>
      <c r="F12" s="594"/>
      <c r="G12" s="594"/>
      <c r="H12" s="590"/>
      <c r="I12" s="590"/>
    </row>
    <row r="13" spans="1:21" s="603" customFormat="1" x14ac:dyDescent="0.25">
      <c r="A13" s="221">
        <v>45597</v>
      </c>
      <c r="B13" s="600"/>
      <c r="C13" s="600"/>
      <c r="D13" s="600"/>
      <c r="E13" s="600"/>
      <c r="F13" s="594"/>
      <c r="G13" s="594"/>
      <c r="H13" s="590"/>
      <c r="I13" s="590"/>
    </row>
    <row r="14" spans="1:21" s="603" customFormat="1" x14ac:dyDescent="0.25">
      <c r="A14" s="221">
        <v>45627</v>
      </c>
      <c r="B14" s="600"/>
      <c r="C14" s="600"/>
      <c r="D14" s="600"/>
      <c r="E14" s="600"/>
      <c r="F14" s="594"/>
      <c r="G14" s="594"/>
      <c r="H14" s="590"/>
      <c r="I14" s="590"/>
    </row>
    <row r="15" spans="1:21" s="603" customFormat="1" x14ac:dyDescent="0.25">
      <c r="A15" s="221">
        <v>45658</v>
      </c>
      <c r="B15" s="600"/>
      <c r="C15" s="600"/>
      <c r="D15" s="600"/>
      <c r="E15" s="600"/>
      <c r="F15" s="594"/>
      <c r="G15" s="594"/>
      <c r="H15" s="590"/>
      <c r="I15" s="590"/>
    </row>
    <row r="16" spans="1:21" s="603" customFormat="1" x14ac:dyDescent="0.25">
      <c r="A16" s="221">
        <v>45689</v>
      </c>
      <c r="B16" s="600"/>
      <c r="C16" s="600"/>
      <c r="D16" s="600"/>
      <c r="E16" s="600"/>
      <c r="F16" s="594"/>
      <c r="G16" s="594"/>
      <c r="H16" s="590"/>
      <c r="I16" s="590"/>
    </row>
    <row r="17" spans="1:9" s="603" customFormat="1" x14ac:dyDescent="0.25">
      <c r="A17" s="221">
        <v>45717</v>
      </c>
      <c r="B17" s="600"/>
      <c r="C17" s="600"/>
      <c r="D17" s="600"/>
      <c r="E17" s="600"/>
      <c r="F17" s="594"/>
      <c r="G17" s="594"/>
      <c r="H17" s="590"/>
      <c r="I17" s="590"/>
    </row>
    <row r="18" spans="1:9" s="603" customFormat="1" x14ac:dyDescent="0.25">
      <c r="A18" s="696"/>
      <c r="B18" s="697"/>
      <c r="C18" s="697"/>
      <c r="D18" s="697"/>
      <c r="E18" s="697"/>
      <c r="F18" s="166"/>
      <c r="G18" s="166"/>
      <c r="H18" s="167"/>
      <c r="I18" s="167"/>
    </row>
    <row r="19" spans="1:9" s="603" customFormat="1" x14ac:dyDescent="0.25">
      <c r="A19" s="168" t="s">
        <v>239</v>
      </c>
      <c r="B19" s="605"/>
      <c r="C19" s="605"/>
      <c r="D19" s="605"/>
      <c r="E19" s="605"/>
      <c r="F19" s="606"/>
      <c r="G19" s="606"/>
      <c r="H19" s="605"/>
      <c r="I19" s="169"/>
    </row>
    <row r="20" spans="1:9" s="603" customFormat="1" x14ac:dyDescent="0.25">
      <c r="A20" s="1284" t="s">
        <v>171</v>
      </c>
      <c r="B20" s="1284"/>
    </row>
    <row r="21" spans="1:9" s="603" customFormat="1" x14ac:dyDescent="0.25">
      <c r="A21" s="1126" t="s">
        <v>1401</v>
      </c>
      <c r="B21" s="141"/>
      <c r="C21" s="141"/>
    </row>
    <row r="22" spans="1:9" x14ac:dyDescent="0.25">
      <c r="B22" s="140"/>
      <c r="C22" s="140"/>
      <c r="D22" s="141"/>
      <c r="E22" s="141"/>
      <c r="F22" s="141"/>
      <c r="G22" s="141"/>
      <c r="H22" s="141"/>
      <c r="I22" s="141"/>
    </row>
    <row r="23" spans="1:9" x14ac:dyDescent="0.25">
      <c r="D23" s="140"/>
      <c r="E23" s="170"/>
      <c r="F23" s="140"/>
      <c r="G23" s="140"/>
      <c r="H23" s="140"/>
      <c r="I23" s="140"/>
    </row>
  </sheetData>
  <mergeCells count="6">
    <mergeCell ref="A20:B20"/>
    <mergeCell ref="F2:G2"/>
    <mergeCell ref="H2:I2"/>
    <mergeCell ref="A2:A3"/>
    <mergeCell ref="B2:C2"/>
    <mergeCell ref="D2:E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3"/>
  <sheetViews>
    <sheetView zoomScaleNormal="100" workbookViewId="0">
      <selection activeCell="K12" sqref="K12"/>
    </sheetView>
  </sheetViews>
  <sheetFormatPr defaultColWidth="9.140625" defaultRowHeight="15" x14ac:dyDescent="0.25"/>
  <cols>
    <col min="1" max="1" width="10.5703125" style="127" bestFit="1" customWidth="1"/>
    <col min="2" max="13" width="14.5703125" style="127" bestFit="1" customWidth="1"/>
    <col min="14" max="14" width="5.42578125" style="127" bestFit="1" customWidth="1"/>
    <col min="15" max="16384" width="9.140625" style="127"/>
  </cols>
  <sheetData>
    <row r="1" spans="1:26" ht="16.5" customHeight="1" x14ac:dyDescent="0.25">
      <c r="A1" s="1297" t="s">
        <v>176</v>
      </c>
      <c r="B1" s="1297"/>
      <c r="C1" s="1297"/>
      <c r="D1" s="1297"/>
      <c r="E1" s="1297"/>
      <c r="F1" s="1297"/>
      <c r="G1" s="1297"/>
      <c r="H1" s="1297"/>
      <c r="I1" s="1297"/>
      <c r="J1" s="1297"/>
      <c r="K1" s="1297"/>
      <c r="L1" s="1297"/>
      <c r="M1" s="1297"/>
    </row>
    <row r="2" spans="1:26" s="128" customFormat="1" ht="18" customHeight="1" x14ac:dyDescent="0.25">
      <c r="A2" s="1298" t="s">
        <v>177</v>
      </c>
      <c r="B2" s="1288" t="s">
        <v>178</v>
      </c>
      <c r="C2" s="1300"/>
      <c r="D2" s="1300"/>
      <c r="E2" s="1300"/>
      <c r="F2" s="1300"/>
      <c r="G2" s="1300"/>
      <c r="H2" s="1300"/>
      <c r="I2" s="1289"/>
      <c r="J2" s="1301" t="s">
        <v>179</v>
      </c>
      <c r="K2" s="1302"/>
      <c r="L2" s="1301" t="s">
        <v>96</v>
      </c>
      <c r="M2" s="1302"/>
    </row>
    <row r="3" spans="1:26" s="128" customFormat="1" ht="18" customHeight="1" x14ac:dyDescent="0.25">
      <c r="A3" s="1299"/>
      <c r="B3" s="1288" t="s">
        <v>180</v>
      </c>
      <c r="C3" s="1289"/>
      <c r="D3" s="1288" t="s">
        <v>181</v>
      </c>
      <c r="E3" s="1289"/>
      <c r="F3" s="1288" t="s">
        <v>182</v>
      </c>
      <c r="G3" s="1289"/>
      <c r="H3" s="1288" t="s">
        <v>183</v>
      </c>
      <c r="I3" s="1289"/>
      <c r="J3" s="1303"/>
      <c r="K3" s="1304"/>
      <c r="L3" s="1303"/>
      <c r="M3" s="1304"/>
    </row>
    <row r="4" spans="1:26" s="128" customFormat="1" ht="27" customHeight="1" x14ac:dyDescent="0.25">
      <c r="A4" s="130" t="s">
        <v>184</v>
      </c>
      <c r="B4" s="129" t="s">
        <v>141</v>
      </c>
      <c r="C4" s="129" t="s">
        <v>142</v>
      </c>
      <c r="D4" s="129" t="s">
        <v>141</v>
      </c>
      <c r="E4" s="129" t="s">
        <v>142</v>
      </c>
      <c r="F4" s="129" t="s">
        <v>141</v>
      </c>
      <c r="G4" s="129" t="s">
        <v>142</v>
      </c>
      <c r="H4" s="129" t="s">
        <v>141</v>
      </c>
      <c r="I4" s="129" t="s">
        <v>142</v>
      </c>
      <c r="J4" s="129" t="s">
        <v>141</v>
      </c>
      <c r="K4" s="129" t="s">
        <v>142</v>
      </c>
      <c r="L4" s="129" t="s">
        <v>141</v>
      </c>
      <c r="M4" s="129" t="s">
        <v>142</v>
      </c>
    </row>
    <row r="5" spans="1:26" s="132" customFormat="1" ht="18" customHeight="1" x14ac:dyDescent="0.25">
      <c r="A5" s="130" t="s">
        <v>71</v>
      </c>
      <c r="B5" s="131">
        <v>266</v>
      </c>
      <c r="C5" s="143">
        <v>2019875.8160000001</v>
      </c>
      <c r="D5" s="131">
        <v>409</v>
      </c>
      <c r="E5" s="143">
        <v>372534.52</v>
      </c>
      <c r="F5" s="131">
        <v>372</v>
      </c>
      <c r="G5" s="131">
        <v>61654.900000000009</v>
      </c>
      <c r="H5" s="131">
        <v>200</v>
      </c>
      <c r="I5" s="131">
        <v>18194.870000000003</v>
      </c>
      <c r="J5" s="131">
        <v>72</v>
      </c>
      <c r="K5" s="131">
        <v>17535.12</v>
      </c>
      <c r="L5" s="144">
        <v>1319</v>
      </c>
      <c r="M5" s="143">
        <v>2489794.716</v>
      </c>
    </row>
    <row r="6" spans="1:26" s="148" customFormat="1" ht="18" customHeight="1" x14ac:dyDescent="0.25">
      <c r="A6" s="145" t="s">
        <v>72</v>
      </c>
      <c r="B6" s="146">
        <f>SUM(B7:B10)</f>
        <v>127</v>
      </c>
      <c r="C6" s="146">
        <f t="shared" ref="C6:M6" si="0">SUM(C7:C10)</f>
        <v>1269289.92</v>
      </c>
      <c r="D6" s="146">
        <f t="shared" si="0"/>
        <v>165</v>
      </c>
      <c r="E6" s="146">
        <f t="shared" si="0"/>
        <v>153963.38</v>
      </c>
      <c r="F6" s="146">
        <f t="shared" si="0"/>
        <v>129</v>
      </c>
      <c r="G6" s="146">
        <f t="shared" si="0"/>
        <v>20557.36</v>
      </c>
      <c r="H6" s="146">
        <f t="shared" si="0"/>
        <v>62</v>
      </c>
      <c r="I6" s="146">
        <f t="shared" si="0"/>
        <v>20601.649999999998</v>
      </c>
      <c r="J6" s="146">
        <f t="shared" si="0"/>
        <v>19</v>
      </c>
      <c r="K6" s="146">
        <f t="shared" si="0"/>
        <v>5873</v>
      </c>
      <c r="L6" s="146">
        <f t="shared" si="0"/>
        <v>502</v>
      </c>
      <c r="M6" s="146">
        <f t="shared" si="0"/>
        <v>1470285.31</v>
      </c>
      <c r="N6" s="147"/>
      <c r="O6" s="147"/>
      <c r="P6" s="147"/>
      <c r="Q6" s="147"/>
      <c r="R6" s="147"/>
      <c r="S6" s="147"/>
      <c r="T6" s="147"/>
      <c r="U6" s="147"/>
      <c r="V6" s="147"/>
      <c r="W6" s="147"/>
      <c r="X6" s="147"/>
      <c r="Y6" s="147"/>
      <c r="Z6" s="147"/>
    </row>
    <row r="7" spans="1:26" s="128" customFormat="1" ht="18" customHeight="1" x14ac:dyDescent="0.25">
      <c r="A7" s="134" t="s">
        <v>125</v>
      </c>
      <c r="B7" s="136">
        <v>16</v>
      </c>
      <c r="C7" s="137">
        <v>96343.84</v>
      </c>
      <c r="D7" s="136">
        <v>21</v>
      </c>
      <c r="E7" s="136">
        <v>8364.25</v>
      </c>
      <c r="F7" s="136">
        <v>25</v>
      </c>
      <c r="G7" s="136">
        <v>920.49</v>
      </c>
      <c r="H7" s="136">
        <v>10</v>
      </c>
      <c r="I7" s="136">
        <v>1702.58</v>
      </c>
      <c r="J7" s="136">
        <v>3</v>
      </c>
      <c r="K7" s="136">
        <v>554</v>
      </c>
      <c r="L7" s="136">
        <v>75</v>
      </c>
      <c r="M7" s="137">
        <v>107885.16</v>
      </c>
      <c r="N7" s="139"/>
      <c r="O7" s="139"/>
    </row>
    <row r="8" spans="1:26" s="128" customFormat="1" ht="18" customHeight="1" x14ac:dyDescent="0.25">
      <c r="A8" s="134" t="s">
        <v>126</v>
      </c>
      <c r="B8" s="136">
        <v>29</v>
      </c>
      <c r="C8" s="137">
        <v>188112.1</v>
      </c>
      <c r="D8" s="136">
        <v>44</v>
      </c>
      <c r="E8" s="136">
        <v>27924.79</v>
      </c>
      <c r="F8" s="136">
        <v>20</v>
      </c>
      <c r="G8" s="136">
        <v>2802.42</v>
      </c>
      <c r="H8" s="136">
        <v>24</v>
      </c>
      <c r="I8" s="136">
        <v>1864.4499999999998</v>
      </c>
      <c r="J8" s="136">
        <v>10</v>
      </c>
      <c r="K8" s="136">
        <v>4900</v>
      </c>
      <c r="L8" s="136">
        <v>127</v>
      </c>
      <c r="M8" s="137">
        <v>225603.76</v>
      </c>
      <c r="N8" s="139"/>
      <c r="O8" s="139"/>
    </row>
    <row r="9" spans="1:26" s="128" customFormat="1" ht="18" customHeight="1" x14ac:dyDescent="0.25">
      <c r="A9" s="134" t="s">
        <v>185</v>
      </c>
      <c r="B9" s="137">
        <v>40</v>
      </c>
      <c r="C9" s="137">
        <v>292428.78000000003</v>
      </c>
      <c r="D9" s="137">
        <v>64</v>
      </c>
      <c r="E9" s="137">
        <v>71403.790000000008</v>
      </c>
      <c r="F9" s="137">
        <v>50</v>
      </c>
      <c r="G9" s="137">
        <v>9645.9500000000007</v>
      </c>
      <c r="H9" s="137">
        <v>19</v>
      </c>
      <c r="I9" s="137">
        <v>16207.8</v>
      </c>
      <c r="J9" s="137">
        <v>2</v>
      </c>
      <c r="K9" s="137">
        <v>275</v>
      </c>
      <c r="L9" s="137">
        <v>175</v>
      </c>
      <c r="M9" s="137">
        <v>389961.32</v>
      </c>
      <c r="N9" s="139"/>
      <c r="O9" s="139"/>
    </row>
    <row r="10" spans="1:26" s="128" customFormat="1" ht="18" customHeight="1" x14ac:dyDescent="0.25">
      <c r="A10" s="134" t="s">
        <v>186</v>
      </c>
      <c r="B10" s="137">
        <v>42</v>
      </c>
      <c r="C10" s="137">
        <v>692405.2</v>
      </c>
      <c r="D10" s="137">
        <v>36</v>
      </c>
      <c r="E10" s="137">
        <v>46270.55</v>
      </c>
      <c r="F10" s="137">
        <v>34</v>
      </c>
      <c r="G10" s="137">
        <v>7188.5</v>
      </c>
      <c r="H10" s="137">
        <v>9</v>
      </c>
      <c r="I10" s="137">
        <v>826.81999999999994</v>
      </c>
      <c r="J10" s="137">
        <v>4</v>
      </c>
      <c r="K10" s="137">
        <v>144</v>
      </c>
      <c r="L10" s="137">
        <v>125</v>
      </c>
      <c r="M10" s="137">
        <v>746835.07</v>
      </c>
      <c r="N10" s="139"/>
      <c r="O10" s="139"/>
    </row>
    <row r="11" spans="1:26" s="128" customFormat="1" ht="15" customHeight="1" x14ac:dyDescent="0.25">
      <c r="A11" s="1284" t="s">
        <v>129</v>
      </c>
      <c r="B11" s="1284"/>
      <c r="C11" s="1284"/>
      <c r="D11" s="1284"/>
      <c r="E11" s="1284"/>
      <c r="F11" s="1284"/>
      <c r="G11" s="1284"/>
      <c r="H11" s="1284"/>
      <c r="I11" s="1284"/>
      <c r="J11" s="1284"/>
      <c r="K11" s="1284"/>
    </row>
    <row r="12" spans="1:26" s="128" customFormat="1" ht="15" customHeight="1" x14ac:dyDescent="0.25">
      <c r="A12" s="149" t="s">
        <v>187</v>
      </c>
      <c r="B12" s="149"/>
      <c r="C12" s="149"/>
      <c r="D12" s="149"/>
      <c r="E12" s="149"/>
      <c r="F12" s="149"/>
      <c r="G12" s="149"/>
      <c r="H12" s="149"/>
      <c r="I12" s="149"/>
      <c r="J12" s="149"/>
      <c r="K12" s="149"/>
    </row>
    <row r="13" spans="1:26" s="128" customFormat="1" ht="15" customHeight="1" x14ac:dyDescent="0.25">
      <c r="A13" s="1159" t="s">
        <v>188</v>
      </c>
      <c r="B13" s="1159"/>
      <c r="C13" s="1159"/>
      <c r="D13" s="1159"/>
      <c r="E13" s="1159"/>
      <c r="F13" s="1159"/>
    </row>
    <row r="14" spans="1:26" ht="15" customHeight="1" x14ac:dyDescent="0.25">
      <c r="A14" s="1175" t="s">
        <v>1414</v>
      </c>
      <c r="B14" s="1159"/>
      <c r="C14" s="1159"/>
      <c r="D14" s="1159"/>
      <c r="E14" s="1159"/>
      <c r="F14" s="1159"/>
      <c r="G14" s="140"/>
      <c r="H14" s="140"/>
      <c r="I14" s="140"/>
      <c r="J14" s="140"/>
      <c r="K14" s="140"/>
      <c r="L14" s="140"/>
      <c r="M14" s="140"/>
    </row>
    <row r="15" spans="1:26" ht="15" customHeight="1" x14ac:dyDescent="0.25">
      <c r="L15" s="140"/>
      <c r="M15" s="140"/>
    </row>
    <row r="16" spans="1:26" ht="15" customHeight="1" x14ac:dyDescent="0.25"/>
    <row r="23" spans="3:13" x14ac:dyDescent="0.25">
      <c r="C23" s="150"/>
      <c r="D23" s="150"/>
      <c r="E23" s="150"/>
      <c r="F23" s="150"/>
      <c r="G23" s="150"/>
      <c r="H23" s="150"/>
      <c r="I23" s="150"/>
      <c r="J23" s="150"/>
      <c r="K23" s="150"/>
      <c r="L23" s="150"/>
      <c r="M23" s="150"/>
    </row>
  </sheetData>
  <mergeCells count="10">
    <mergeCell ref="A11:K11"/>
    <mergeCell ref="A1:M1"/>
    <mergeCell ref="A2:A3"/>
    <mergeCell ref="B2:I2"/>
    <mergeCell ref="J2:K3"/>
    <mergeCell ref="L2:M3"/>
    <mergeCell ref="B3:C3"/>
    <mergeCell ref="D3:E3"/>
    <mergeCell ref="F3:G3"/>
    <mergeCell ref="H3:I3"/>
  </mergeCells>
  <printOptions horizontalCentered="1"/>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4"/>
  <sheetViews>
    <sheetView zoomScaleNormal="100" workbookViewId="0">
      <selection activeCell="N8" sqref="N8"/>
    </sheetView>
  </sheetViews>
  <sheetFormatPr defaultColWidth="9.140625" defaultRowHeight="15" x14ac:dyDescent="0.25"/>
  <cols>
    <col min="1" max="11" width="14.5703125" style="127" bestFit="1" customWidth="1"/>
    <col min="12" max="12" width="5.42578125" style="127" bestFit="1" customWidth="1"/>
    <col min="13" max="16384" width="9.140625" style="127"/>
  </cols>
  <sheetData>
    <row r="1" spans="1:21" ht="19.5" customHeight="1" x14ac:dyDescent="0.25">
      <c r="A1" s="1297" t="s">
        <v>189</v>
      </c>
      <c r="B1" s="1297"/>
      <c r="C1" s="1297"/>
      <c r="D1" s="1297"/>
      <c r="E1" s="1297"/>
      <c r="F1" s="1297"/>
      <c r="G1" s="1297"/>
      <c r="H1" s="1297"/>
      <c r="I1" s="1297"/>
      <c r="J1" s="1297"/>
      <c r="K1" s="1297"/>
    </row>
    <row r="2" spans="1:21" s="128" customFormat="1" ht="18" customHeight="1" x14ac:dyDescent="0.25">
      <c r="A2" s="151" t="s">
        <v>177</v>
      </c>
      <c r="B2" s="1305" t="s">
        <v>190</v>
      </c>
      <c r="C2" s="1306"/>
      <c r="D2" s="1305" t="s">
        <v>191</v>
      </c>
      <c r="E2" s="1306"/>
      <c r="F2" s="1305" t="s">
        <v>192</v>
      </c>
      <c r="G2" s="1306"/>
      <c r="H2" s="1288" t="s">
        <v>193</v>
      </c>
      <c r="I2" s="1289"/>
      <c r="J2" s="1305" t="s">
        <v>194</v>
      </c>
      <c r="K2" s="1306"/>
    </row>
    <row r="3" spans="1:21" s="128" customFormat="1" ht="27" customHeight="1" x14ac:dyDescent="0.25">
      <c r="A3" s="130" t="s">
        <v>184</v>
      </c>
      <c r="B3" s="129" t="s">
        <v>141</v>
      </c>
      <c r="C3" s="129" t="s">
        <v>142</v>
      </c>
      <c r="D3" s="129" t="s">
        <v>141</v>
      </c>
      <c r="E3" s="129" t="s">
        <v>142</v>
      </c>
      <c r="F3" s="129" t="s">
        <v>141</v>
      </c>
      <c r="G3" s="129" t="s">
        <v>142</v>
      </c>
      <c r="H3" s="129" t="s">
        <v>141</v>
      </c>
      <c r="I3" s="129" t="s">
        <v>142</v>
      </c>
      <c r="J3" s="129" t="s">
        <v>141</v>
      </c>
      <c r="K3" s="129" t="s">
        <v>142</v>
      </c>
    </row>
    <row r="4" spans="1:21" s="132" customFormat="1" ht="18" customHeight="1" x14ac:dyDescent="0.25">
      <c r="A4" s="130" t="s">
        <v>71</v>
      </c>
      <c r="B4" s="131">
        <v>460</v>
      </c>
      <c r="C4" s="143">
        <v>269687.23</v>
      </c>
      <c r="D4" s="152">
        <v>251</v>
      </c>
      <c r="E4" s="144">
        <v>107880.65</v>
      </c>
      <c r="F4" s="131">
        <v>7153</v>
      </c>
      <c r="G4" s="153">
        <v>18110492.603</v>
      </c>
      <c r="H4" s="131">
        <v>135</v>
      </c>
      <c r="I4" s="144">
        <v>34838.31</v>
      </c>
      <c r="J4" s="131">
        <v>1041</v>
      </c>
      <c r="K4" s="143">
        <v>454662.93260000006</v>
      </c>
    </row>
    <row r="5" spans="1:21" s="132" customFormat="1" ht="18" customHeight="1" x14ac:dyDescent="0.25">
      <c r="A5" s="145" t="s">
        <v>72</v>
      </c>
      <c r="B5" s="146">
        <f>SUM(B6:B9)</f>
        <v>266</v>
      </c>
      <c r="C5" s="146">
        <f t="shared" ref="C5:J5" si="0">SUM(C6:C9)</f>
        <v>120177.50999999998</v>
      </c>
      <c r="D5" s="146">
        <f t="shared" si="0"/>
        <v>70</v>
      </c>
      <c r="E5" s="146">
        <f t="shared" si="0"/>
        <v>24472.11</v>
      </c>
      <c r="F5" s="146">
        <f t="shared" si="0"/>
        <v>2671</v>
      </c>
      <c r="G5" s="146">
        <f t="shared" si="0"/>
        <v>8792511.5950000007</v>
      </c>
      <c r="H5" s="146">
        <f t="shared" si="0"/>
        <v>58</v>
      </c>
      <c r="I5" s="146">
        <f t="shared" si="0"/>
        <v>18517.46</v>
      </c>
      <c r="J5" s="146">
        <f t="shared" si="0"/>
        <v>465</v>
      </c>
      <c r="K5" s="146">
        <v>846860.17500000005</v>
      </c>
      <c r="L5" s="133"/>
      <c r="M5" s="133"/>
      <c r="N5" s="133"/>
      <c r="O5" s="133"/>
      <c r="P5" s="133"/>
      <c r="Q5" s="133"/>
      <c r="R5" s="133"/>
      <c r="S5" s="133"/>
      <c r="T5" s="133"/>
      <c r="U5" s="133"/>
    </row>
    <row r="6" spans="1:21" s="128" customFormat="1" ht="18" customHeight="1" x14ac:dyDescent="0.25">
      <c r="A6" s="134" t="s">
        <v>125</v>
      </c>
      <c r="B6" s="154">
        <v>17</v>
      </c>
      <c r="C6" s="154">
        <v>6525.88</v>
      </c>
      <c r="D6" s="155">
        <v>16</v>
      </c>
      <c r="E6" s="154">
        <v>4839.68</v>
      </c>
      <c r="F6" s="154">
        <v>563</v>
      </c>
      <c r="G6" s="156">
        <v>1938191.2200000002</v>
      </c>
      <c r="H6" s="154">
        <v>36</v>
      </c>
      <c r="I6" s="154">
        <v>13100</v>
      </c>
      <c r="J6" s="154">
        <v>77</v>
      </c>
      <c r="K6" s="137">
        <v>48942.77</v>
      </c>
    </row>
    <row r="7" spans="1:21" s="128" customFormat="1" ht="18" customHeight="1" x14ac:dyDescent="0.25">
      <c r="A7" s="134" t="s">
        <v>126</v>
      </c>
      <c r="B7" s="154">
        <v>101</v>
      </c>
      <c r="C7" s="154">
        <v>67452.919999999984</v>
      </c>
      <c r="D7" s="155">
        <v>21</v>
      </c>
      <c r="E7" s="154">
        <v>8500.23</v>
      </c>
      <c r="F7" s="154">
        <v>584</v>
      </c>
      <c r="G7" s="156">
        <v>2215716.111</v>
      </c>
      <c r="H7" s="154">
        <v>12</v>
      </c>
      <c r="I7" s="154">
        <v>2298</v>
      </c>
      <c r="J7" s="154">
        <v>96</v>
      </c>
      <c r="K7" s="137">
        <v>41223.199999999997</v>
      </c>
    </row>
    <row r="8" spans="1:21" s="128" customFormat="1" ht="18" customHeight="1" x14ac:dyDescent="0.25">
      <c r="A8" s="134" t="s">
        <v>185</v>
      </c>
      <c r="B8" s="157">
        <v>113</v>
      </c>
      <c r="C8" s="157">
        <v>30889.09</v>
      </c>
      <c r="D8" s="158">
        <v>12</v>
      </c>
      <c r="E8" s="157">
        <v>3333</v>
      </c>
      <c r="F8" s="157">
        <v>878</v>
      </c>
      <c r="G8" s="159">
        <v>2381727.5290000001</v>
      </c>
      <c r="H8" s="157">
        <v>3</v>
      </c>
      <c r="I8" s="157">
        <v>850</v>
      </c>
      <c r="J8" s="157">
        <v>150</v>
      </c>
      <c r="K8" s="137">
        <v>65287.715000000004</v>
      </c>
    </row>
    <row r="9" spans="1:21" s="128" customFormat="1" ht="18" customHeight="1" x14ac:dyDescent="0.25">
      <c r="A9" s="134" t="s">
        <v>186</v>
      </c>
      <c r="B9" s="157">
        <v>35</v>
      </c>
      <c r="C9" s="157">
        <v>15309.619999999999</v>
      </c>
      <c r="D9" s="158">
        <v>21</v>
      </c>
      <c r="E9" s="157">
        <v>7799.2</v>
      </c>
      <c r="F9" s="157">
        <v>646</v>
      </c>
      <c r="G9" s="159">
        <v>2256876.7349999999</v>
      </c>
      <c r="H9" s="157">
        <v>7</v>
      </c>
      <c r="I9" s="157">
        <v>2269.46</v>
      </c>
      <c r="J9" s="157">
        <v>142</v>
      </c>
      <c r="K9" s="137" t="s">
        <v>1120</v>
      </c>
    </row>
    <row r="10" spans="1:21" s="128" customFormat="1" ht="18" customHeight="1" x14ac:dyDescent="0.25">
      <c r="A10" s="1284" t="s">
        <v>195</v>
      </c>
      <c r="B10" s="1284"/>
      <c r="C10" s="1284"/>
      <c r="D10" s="1284"/>
      <c r="E10" s="1284"/>
      <c r="F10" s="1284"/>
      <c r="G10" s="1284"/>
      <c r="H10" s="1284"/>
      <c r="I10" s="1284"/>
      <c r="J10" s="1284"/>
      <c r="K10" s="1284"/>
    </row>
    <row r="11" spans="1:21" s="128" customFormat="1" ht="18" customHeight="1" x14ac:dyDescent="0.25">
      <c r="A11" s="149" t="s">
        <v>187</v>
      </c>
      <c r="B11" s="149"/>
      <c r="C11" s="149"/>
      <c r="D11" s="149"/>
      <c r="E11" s="149"/>
      <c r="F11" s="149"/>
      <c r="G11" s="149"/>
      <c r="H11" s="149"/>
      <c r="I11" s="149"/>
      <c r="J11" s="149"/>
      <c r="K11" s="149"/>
    </row>
    <row r="12" spans="1:21" s="128" customFormat="1" ht="57" customHeight="1" x14ac:dyDescent="0.25">
      <c r="A12" s="1307" t="s">
        <v>1121</v>
      </c>
      <c r="B12" s="1307"/>
      <c r="C12" s="1307"/>
      <c r="D12" s="1307"/>
      <c r="E12" s="1307"/>
      <c r="F12" s="1307"/>
      <c r="G12" s="1307"/>
      <c r="H12" s="1307"/>
      <c r="I12" s="1307"/>
      <c r="J12" s="1307"/>
      <c r="K12" s="1307"/>
    </row>
    <row r="13" spans="1:21" s="128" customFormat="1" ht="19.5" customHeight="1" x14ac:dyDescent="0.25">
      <c r="A13" s="1284" t="s">
        <v>188</v>
      </c>
      <c r="B13" s="1284"/>
      <c r="C13" s="1284"/>
      <c r="D13" s="1284"/>
      <c r="E13" s="1284"/>
      <c r="F13" s="1284"/>
      <c r="G13" s="1284"/>
      <c r="H13" s="1284"/>
      <c r="I13" s="1284"/>
      <c r="J13" s="1284"/>
      <c r="K13" s="1284"/>
    </row>
    <row r="14" spans="1:21" x14ac:dyDescent="0.25">
      <c r="A14" s="1175" t="s">
        <v>1414</v>
      </c>
      <c r="B14" s="140"/>
      <c r="C14" s="140"/>
      <c r="D14" s="140"/>
      <c r="E14" s="140"/>
      <c r="F14" s="140"/>
      <c r="G14" s="140"/>
      <c r="H14" s="140"/>
      <c r="I14" s="140"/>
      <c r="J14" s="140"/>
      <c r="K14" s="140"/>
    </row>
  </sheetData>
  <mergeCells count="9">
    <mergeCell ref="A10:K10"/>
    <mergeCell ref="A13:K13"/>
    <mergeCell ref="A1:K1"/>
    <mergeCell ref="B2:C2"/>
    <mergeCell ref="D2:E2"/>
    <mergeCell ref="F2:G2"/>
    <mergeCell ref="H2:I2"/>
    <mergeCell ref="J2:K2"/>
    <mergeCell ref="A12:K12"/>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
  <sheetViews>
    <sheetView zoomScaleNormal="100" workbookViewId="0">
      <selection activeCell="D3" sqref="D3"/>
    </sheetView>
  </sheetViews>
  <sheetFormatPr defaultColWidth="9.140625" defaultRowHeight="15" x14ac:dyDescent="0.25"/>
  <cols>
    <col min="1" max="1" width="17.5703125" style="127" customWidth="1"/>
    <col min="2" max="3" width="14.5703125" style="127" bestFit="1" customWidth="1"/>
    <col min="4" max="4" width="14.5703125" style="127" customWidth="1"/>
    <col min="5" max="5" width="13.5703125" style="127" customWidth="1"/>
    <col min="6" max="6" width="6.85546875" style="127" customWidth="1"/>
    <col min="7" max="16384" width="9.140625" style="127"/>
  </cols>
  <sheetData>
    <row r="1" spans="1:5" ht="31.5" customHeight="1" x14ac:dyDescent="0.25">
      <c r="A1" s="1308" t="s">
        <v>240</v>
      </c>
      <c r="B1" s="1308"/>
      <c r="C1" s="1308"/>
      <c r="D1" s="1308"/>
      <c r="E1" s="645"/>
    </row>
    <row r="2" spans="1:5" s="603" customFormat="1" ht="18" customHeight="1" x14ac:dyDescent="0.25">
      <c r="A2" s="698" t="s">
        <v>241</v>
      </c>
      <c r="B2" s="1157" t="s">
        <v>532</v>
      </c>
      <c r="C2" s="1158" t="s">
        <v>1413</v>
      </c>
      <c r="D2" s="699" t="s">
        <v>1371</v>
      </c>
    </row>
    <row r="3" spans="1:5" s="603" customFormat="1" ht="18" customHeight="1" x14ac:dyDescent="0.25">
      <c r="A3" s="1048" t="s">
        <v>73</v>
      </c>
      <c r="B3" s="700">
        <v>1629038.3499999999</v>
      </c>
      <c r="C3" s="700">
        <v>322359.67000000004</v>
      </c>
      <c r="D3" s="700">
        <v>169592.24000000002</v>
      </c>
      <c r="E3" s="171"/>
    </row>
    <row r="4" spans="1:5" s="603" customFormat="1" ht="18" customHeight="1" x14ac:dyDescent="0.25">
      <c r="A4" s="1048" t="s">
        <v>75</v>
      </c>
      <c r="B4" s="700">
        <v>29.338079719999996</v>
      </c>
      <c r="C4" s="700">
        <v>0.56713574999999994</v>
      </c>
      <c r="D4" s="700">
        <v>0.56713574999999994</v>
      </c>
    </row>
    <row r="5" spans="1:5" s="603" customFormat="1" ht="18" customHeight="1" x14ac:dyDescent="0.25">
      <c r="A5" s="1048" t="s">
        <v>74</v>
      </c>
      <c r="B5" s="700">
        <v>20103439.399999999</v>
      </c>
      <c r="C5" s="700">
        <v>4588136.95</v>
      </c>
      <c r="D5" s="700">
        <v>2467941.4300000002</v>
      </c>
    </row>
    <row r="6" spans="1:5" s="603" customFormat="1" x14ac:dyDescent="0.25">
      <c r="A6" s="650"/>
      <c r="B6" s="605"/>
      <c r="C6" s="605"/>
      <c r="D6" s="605"/>
    </row>
    <row r="7" spans="1:5" s="603" customFormat="1" x14ac:dyDescent="0.25">
      <c r="A7" s="172" t="s">
        <v>242</v>
      </c>
      <c r="B7" s="644"/>
      <c r="C7" s="644"/>
      <c r="D7" s="644"/>
    </row>
    <row r="8" spans="1:5" s="603" customFormat="1" x14ac:dyDescent="0.25">
      <c r="A8" s="644" t="s">
        <v>171</v>
      </c>
      <c r="B8" s="644"/>
      <c r="C8" s="644"/>
      <c r="D8" s="644"/>
    </row>
    <row r="9" spans="1:5" s="603" customFormat="1" x14ac:dyDescent="0.25">
      <c r="A9" s="1126" t="s">
        <v>1401</v>
      </c>
      <c r="B9" s="127"/>
      <c r="C9" s="127"/>
      <c r="D9" s="127"/>
    </row>
    <row r="10" spans="1:5" ht="28.35" customHeight="1" x14ac:dyDescent="0.25"/>
  </sheetData>
  <mergeCells count="1">
    <mergeCell ref="A1:D1"/>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2"/>
  <sheetViews>
    <sheetView zoomScaleNormal="100" workbookViewId="0">
      <selection activeCell="O12" sqref="O12"/>
    </sheetView>
  </sheetViews>
  <sheetFormatPr defaultColWidth="9.140625" defaultRowHeight="15" x14ac:dyDescent="0.25"/>
  <cols>
    <col min="1" max="12" width="14.5703125" style="127" bestFit="1" customWidth="1"/>
    <col min="13" max="13" width="14" style="127" bestFit="1" customWidth="1"/>
    <col min="14" max="16" width="14.5703125" style="127" bestFit="1" customWidth="1"/>
    <col min="17" max="17" width="13" style="127" customWidth="1"/>
    <col min="18" max="16384" width="9.140625" style="127"/>
  </cols>
  <sheetData>
    <row r="1" spans="1:18" ht="18.75" customHeight="1" x14ac:dyDescent="0.25">
      <c r="A1" s="369" t="s">
        <v>243</v>
      </c>
      <c r="B1" s="369"/>
      <c r="C1" s="369"/>
      <c r="D1" s="369"/>
      <c r="E1" s="369"/>
      <c r="F1" s="369"/>
      <c r="G1" s="369"/>
      <c r="H1" s="369"/>
      <c r="I1" s="369"/>
      <c r="J1" s="369"/>
      <c r="K1" s="369"/>
      <c r="L1" s="369"/>
      <c r="M1" s="369"/>
      <c r="N1" s="369"/>
      <c r="O1" s="369"/>
      <c r="P1" s="369"/>
    </row>
    <row r="2" spans="1:18" s="603" customFormat="1" ht="18" customHeight="1" x14ac:dyDescent="0.25">
      <c r="A2" s="1309" t="s">
        <v>116</v>
      </c>
      <c r="B2" s="1314" t="s">
        <v>244</v>
      </c>
      <c r="C2" s="1314" t="s">
        <v>245</v>
      </c>
      <c r="D2" s="1314" t="s">
        <v>246</v>
      </c>
      <c r="E2" s="1309" t="s">
        <v>247</v>
      </c>
      <c r="F2" s="1309" t="s">
        <v>248</v>
      </c>
      <c r="G2" s="1309" t="s">
        <v>249</v>
      </c>
      <c r="H2" s="1309" t="s">
        <v>250</v>
      </c>
      <c r="I2" s="1309" t="s">
        <v>251</v>
      </c>
      <c r="J2" s="1309" t="s">
        <v>252</v>
      </c>
      <c r="K2" s="1309" t="s">
        <v>253</v>
      </c>
      <c r="L2" s="1309" t="s">
        <v>254</v>
      </c>
      <c r="M2" s="1309" t="s">
        <v>255</v>
      </c>
      <c r="N2" s="1311" t="s">
        <v>256</v>
      </c>
      <c r="O2" s="1312"/>
      <c r="P2" s="1313"/>
    </row>
    <row r="3" spans="1:18" s="603" customFormat="1" ht="21.75" customHeight="1" x14ac:dyDescent="0.25">
      <c r="A3" s="1310"/>
      <c r="B3" s="1315"/>
      <c r="C3" s="1315"/>
      <c r="D3" s="1315"/>
      <c r="E3" s="1310"/>
      <c r="F3" s="1310"/>
      <c r="G3" s="1310"/>
      <c r="H3" s="1310"/>
      <c r="I3" s="1310"/>
      <c r="J3" s="1310"/>
      <c r="K3" s="1310"/>
      <c r="L3" s="1310"/>
      <c r="M3" s="1310"/>
      <c r="N3" s="701" t="s">
        <v>257</v>
      </c>
      <c r="O3" s="701" t="s">
        <v>258</v>
      </c>
      <c r="P3" s="701" t="s">
        <v>259</v>
      </c>
    </row>
    <row r="4" spans="1:18" s="132" customFormat="1" ht="18" customHeight="1" x14ac:dyDescent="0.25">
      <c r="A4" s="1157" t="s">
        <v>532</v>
      </c>
      <c r="B4" s="702">
        <v>5252</v>
      </c>
      <c r="C4" s="702">
        <v>25</v>
      </c>
      <c r="D4" s="702">
        <v>4295</v>
      </c>
      <c r="E4" s="703">
        <v>246</v>
      </c>
      <c r="F4" s="702">
        <v>8263.4500000000007</v>
      </c>
      <c r="G4" s="704">
        <v>2120712.34</v>
      </c>
      <c r="H4" s="704">
        <v>1629038.3499999999</v>
      </c>
      <c r="I4" s="702">
        <v>6622.1071138211373</v>
      </c>
      <c r="J4" s="702">
        <v>19713.77995873394</v>
      </c>
      <c r="K4" s="704">
        <v>2120712.34</v>
      </c>
      <c r="L4" s="704">
        <v>1629038.25</v>
      </c>
      <c r="M4" s="705">
        <v>38697099.770000003</v>
      </c>
      <c r="N4" s="702">
        <v>74245.17</v>
      </c>
      <c r="O4" s="702">
        <v>58793.08</v>
      </c>
      <c r="P4" s="702">
        <v>73651.350000000006</v>
      </c>
    </row>
    <row r="5" spans="1:18" s="132" customFormat="1" ht="18" customHeight="1" x14ac:dyDescent="0.25">
      <c r="A5" s="1158" t="s">
        <v>1413</v>
      </c>
      <c r="B5" s="706">
        <f>INDEX(B6:B17,COUNT(B6:B17))</f>
        <v>5274</v>
      </c>
      <c r="C5" s="706">
        <f>INDEX(C6:C17,COUNT(C6:C17))</f>
        <v>26</v>
      </c>
      <c r="D5" s="273">
        <v>4153</v>
      </c>
      <c r="E5" s="706">
        <f>SUM(E6:E17)</f>
        <v>42</v>
      </c>
      <c r="F5" s="706">
        <f>SUM(F6:F17)</f>
        <v>1637.63</v>
      </c>
      <c r="G5" s="706">
        <f>SUM(G6:G17)</f>
        <v>364655.85000000003</v>
      </c>
      <c r="H5" s="706">
        <f>SUM(H6:H17)</f>
        <v>322359.67000000004</v>
      </c>
      <c r="I5" s="370">
        <f>H5/E5</f>
        <v>7675.2302380952387</v>
      </c>
      <c r="J5" s="706">
        <f>H5/F5*100</f>
        <v>19684.523976722459</v>
      </c>
      <c r="K5" s="706">
        <f>SUM(K6:K17)</f>
        <v>364655.85000000003</v>
      </c>
      <c r="L5" s="706">
        <f>SUM(L6:L17)</f>
        <v>322359.66000000003</v>
      </c>
      <c r="M5" s="706">
        <f>INDEX(M6:M17,COUNT(M6:M17))</f>
        <v>41212881.140000001</v>
      </c>
      <c r="N5" s="706">
        <f>MAX(N6:N17)</f>
        <v>76009.679999999993</v>
      </c>
      <c r="O5" s="706">
        <f>MIN(O6:O17)</f>
        <v>71866.009999999995</v>
      </c>
      <c r="P5" s="706">
        <f>INDEX(P6:P17,COUNT(P6:P17))</f>
        <v>73961.31</v>
      </c>
    </row>
    <row r="6" spans="1:18" s="603" customFormat="1" ht="18" customHeight="1" x14ac:dyDescent="0.25">
      <c r="A6" s="221">
        <v>45383</v>
      </c>
      <c r="B6" s="601">
        <v>5264</v>
      </c>
      <c r="C6" s="601">
        <v>26</v>
      </c>
      <c r="D6" s="601">
        <v>4153</v>
      </c>
      <c r="E6" s="587">
        <v>20</v>
      </c>
      <c r="F6" s="601">
        <v>766.49</v>
      </c>
      <c r="G6" s="601">
        <v>188397.56</v>
      </c>
      <c r="H6" s="601">
        <v>152767.43</v>
      </c>
      <c r="I6" s="601">
        <v>7638.3714999999993</v>
      </c>
      <c r="J6" s="601">
        <v>19930.779266526635</v>
      </c>
      <c r="K6" s="601">
        <v>188397.56</v>
      </c>
      <c r="L6" s="601">
        <v>152767.43</v>
      </c>
      <c r="M6" s="588">
        <v>40655851.939999998</v>
      </c>
      <c r="N6" s="601">
        <v>75111.39</v>
      </c>
      <c r="O6" s="601">
        <v>74346.399999999994</v>
      </c>
      <c r="P6" s="601">
        <v>74482.78</v>
      </c>
      <c r="Q6" s="139"/>
    </row>
    <row r="7" spans="1:18" s="603" customFormat="1" ht="18" customHeight="1" x14ac:dyDescent="0.25">
      <c r="A7" s="221">
        <v>45413</v>
      </c>
      <c r="B7" s="601">
        <v>5274</v>
      </c>
      <c r="C7" s="601">
        <v>26</v>
      </c>
      <c r="D7" s="601">
        <v>4170</v>
      </c>
      <c r="E7" s="587">
        <v>22</v>
      </c>
      <c r="F7" s="601">
        <v>871.14</v>
      </c>
      <c r="G7" s="601">
        <v>176258.29000000004</v>
      </c>
      <c r="H7" s="601">
        <v>169592.24000000002</v>
      </c>
      <c r="I7" s="601">
        <v>7708.738181818183</v>
      </c>
      <c r="J7" s="601">
        <v>19467.851321257207</v>
      </c>
      <c r="K7" s="601">
        <v>176258.29000000004</v>
      </c>
      <c r="L7" s="601">
        <v>169592.23</v>
      </c>
      <c r="M7" s="588">
        <v>41212881.140000001</v>
      </c>
      <c r="N7" s="601">
        <v>76009.679999999993</v>
      </c>
      <c r="O7" s="601">
        <v>71866.009999999995</v>
      </c>
      <c r="P7" s="601">
        <v>73961.31</v>
      </c>
      <c r="Q7" s="139"/>
    </row>
    <row r="8" spans="1:18" s="603" customFormat="1" ht="18" customHeight="1" x14ac:dyDescent="0.25">
      <c r="A8" s="221">
        <v>45444</v>
      </c>
      <c r="B8" s="601"/>
      <c r="C8" s="601"/>
      <c r="D8" s="601"/>
      <c r="E8" s="587"/>
      <c r="F8" s="601"/>
      <c r="G8" s="601"/>
      <c r="H8" s="601"/>
      <c r="I8" s="601"/>
      <c r="J8" s="601"/>
      <c r="K8" s="601"/>
      <c r="L8" s="601"/>
      <c r="M8" s="588"/>
      <c r="N8" s="601"/>
      <c r="O8" s="601"/>
      <c r="P8" s="601"/>
      <c r="R8" s="1155"/>
    </row>
    <row r="9" spans="1:18" s="603" customFormat="1" ht="18" customHeight="1" x14ac:dyDescent="0.25">
      <c r="A9" s="221">
        <v>45474</v>
      </c>
      <c r="B9" s="601"/>
      <c r="C9" s="601"/>
      <c r="D9" s="601"/>
      <c r="E9" s="587"/>
      <c r="F9" s="601"/>
      <c r="G9" s="601"/>
      <c r="H9" s="601"/>
      <c r="I9" s="601"/>
      <c r="J9" s="601"/>
      <c r="K9" s="601"/>
      <c r="L9" s="601"/>
      <c r="M9" s="588"/>
      <c r="N9" s="601"/>
      <c r="O9" s="601"/>
      <c r="P9" s="601"/>
    </row>
    <row r="10" spans="1:18" s="603" customFormat="1" ht="18" customHeight="1" x14ac:dyDescent="0.25">
      <c r="A10" s="221">
        <v>45505</v>
      </c>
      <c r="B10" s="601"/>
      <c r="C10" s="601"/>
      <c r="D10" s="601"/>
      <c r="E10" s="587"/>
      <c r="F10" s="601"/>
      <c r="G10" s="601"/>
      <c r="H10" s="601"/>
      <c r="I10" s="601"/>
      <c r="J10" s="601"/>
      <c r="K10" s="601"/>
      <c r="L10" s="601"/>
      <c r="M10" s="588"/>
      <c r="N10" s="601"/>
      <c r="O10" s="601"/>
      <c r="P10" s="601"/>
    </row>
    <row r="11" spans="1:18" s="603" customFormat="1" ht="19.5" customHeight="1" x14ac:dyDescent="0.25">
      <c r="A11" s="221">
        <v>45536</v>
      </c>
      <c r="B11" s="601"/>
      <c r="C11" s="601"/>
      <c r="D11" s="601"/>
      <c r="E11" s="587"/>
      <c r="F11" s="601"/>
      <c r="G11" s="601"/>
      <c r="H11" s="601"/>
      <c r="I11" s="601"/>
      <c r="J11" s="601"/>
      <c r="K11" s="601"/>
      <c r="L11" s="601"/>
      <c r="M11" s="588"/>
      <c r="N11" s="601"/>
      <c r="O11" s="601"/>
      <c r="P11" s="601"/>
    </row>
    <row r="12" spans="1:18" s="603" customFormat="1" ht="19.5" customHeight="1" x14ac:dyDescent="0.25">
      <c r="A12" s="221">
        <v>45566</v>
      </c>
      <c r="B12" s="601"/>
      <c r="C12" s="601"/>
      <c r="D12" s="601"/>
      <c r="E12" s="587"/>
      <c r="F12" s="601"/>
      <c r="G12" s="601"/>
      <c r="H12" s="601"/>
      <c r="I12" s="601"/>
      <c r="J12" s="601"/>
      <c r="K12" s="601"/>
      <c r="L12" s="601"/>
      <c r="M12" s="588"/>
      <c r="N12" s="601"/>
      <c r="O12" s="601"/>
      <c r="P12" s="601"/>
    </row>
    <row r="13" spans="1:18" s="603" customFormat="1" ht="19.5" customHeight="1" x14ac:dyDescent="0.25">
      <c r="A13" s="221">
        <v>45597</v>
      </c>
      <c r="B13" s="601"/>
      <c r="C13" s="601"/>
      <c r="D13" s="601"/>
      <c r="E13" s="587"/>
      <c r="F13" s="601"/>
      <c r="G13" s="601"/>
      <c r="H13" s="601"/>
      <c r="I13" s="601"/>
      <c r="J13" s="601"/>
      <c r="K13" s="601"/>
      <c r="L13" s="601"/>
      <c r="M13" s="588"/>
      <c r="N13" s="601"/>
      <c r="O13" s="601"/>
      <c r="P13" s="601"/>
    </row>
    <row r="14" spans="1:18" s="603" customFormat="1" ht="18" customHeight="1" x14ac:dyDescent="0.25">
      <c r="A14" s="221">
        <v>45627</v>
      </c>
      <c r="B14" s="601"/>
      <c r="C14" s="601"/>
      <c r="D14" s="601"/>
      <c r="E14" s="587"/>
      <c r="F14" s="601"/>
      <c r="G14" s="601"/>
      <c r="H14" s="601"/>
      <c r="I14" s="601"/>
      <c r="J14" s="601"/>
      <c r="K14" s="601"/>
      <c r="L14" s="601"/>
      <c r="M14" s="588"/>
      <c r="N14" s="601"/>
      <c r="O14" s="601"/>
      <c r="P14" s="601"/>
    </row>
    <row r="15" spans="1:18" s="603" customFormat="1" x14ac:dyDescent="0.25">
      <c r="A15" s="221">
        <v>45658</v>
      </c>
      <c r="B15" s="601"/>
      <c r="C15" s="601"/>
      <c r="D15" s="601"/>
      <c r="E15" s="587"/>
      <c r="F15" s="601"/>
      <c r="G15" s="601"/>
      <c r="H15" s="601"/>
      <c r="I15" s="601"/>
      <c r="J15" s="601"/>
      <c r="K15" s="601"/>
      <c r="L15" s="601"/>
      <c r="M15" s="588"/>
      <c r="N15" s="601"/>
      <c r="O15" s="601"/>
      <c r="P15" s="601"/>
    </row>
    <row r="16" spans="1:18" s="603" customFormat="1" x14ac:dyDescent="0.25">
      <c r="A16" s="221">
        <v>45689</v>
      </c>
      <c r="B16" s="601"/>
      <c r="C16" s="601"/>
      <c r="D16" s="601"/>
      <c r="E16" s="587"/>
      <c r="F16" s="601"/>
      <c r="G16" s="601"/>
      <c r="H16" s="601"/>
      <c r="I16" s="601"/>
      <c r="J16" s="601"/>
      <c r="K16" s="601"/>
      <c r="L16" s="601"/>
      <c r="M16" s="588"/>
      <c r="N16" s="601"/>
      <c r="O16" s="601"/>
      <c r="P16" s="601"/>
    </row>
    <row r="17" spans="1:16" s="603" customFormat="1" x14ac:dyDescent="0.25">
      <c r="A17" s="221">
        <v>45717</v>
      </c>
      <c r="B17" s="601"/>
      <c r="C17" s="601"/>
      <c r="D17" s="601"/>
      <c r="E17" s="587"/>
      <c r="F17" s="601"/>
      <c r="G17" s="601"/>
      <c r="H17" s="601"/>
      <c r="I17" s="601"/>
      <c r="J17" s="601"/>
      <c r="K17" s="601"/>
      <c r="L17" s="601"/>
      <c r="M17" s="588"/>
      <c r="N17" s="601"/>
      <c r="O17" s="601"/>
      <c r="P17" s="601"/>
    </row>
    <row r="18" spans="1:16" s="603" customFormat="1" x14ac:dyDescent="0.25">
      <c r="A18" s="168"/>
      <c r="B18" s="605"/>
      <c r="C18" s="605"/>
      <c r="D18" s="605"/>
      <c r="E18" s="605"/>
      <c r="F18" s="605"/>
      <c r="G18" s="605"/>
      <c r="H18" s="605"/>
      <c r="I18" s="605"/>
      <c r="J18" s="605"/>
      <c r="K18" s="605"/>
      <c r="L18" s="605"/>
      <c r="M18" s="605"/>
      <c r="N18" s="605"/>
      <c r="O18" s="605"/>
      <c r="P18" s="605"/>
    </row>
    <row r="19" spans="1:16" s="603" customFormat="1" x14ac:dyDescent="0.25">
      <c r="A19" s="173" t="s">
        <v>260</v>
      </c>
      <c r="B19" s="644"/>
      <c r="C19" s="644"/>
      <c r="D19" s="644"/>
      <c r="E19" s="644"/>
      <c r="F19" s="644"/>
      <c r="G19" s="644"/>
      <c r="H19" s="644"/>
      <c r="O19" s="139"/>
    </row>
    <row r="20" spans="1:16" s="603" customFormat="1" x14ac:dyDescent="0.25">
      <c r="A20" s="172" t="s">
        <v>261</v>
      </c>
      <c r="B20" s="644"/>
      <c r="C20" s="644"/>
      <c r="D20" s="644"/>
      <c r="E20" s="644"/>
      <c r="F20" s="644"/>
      <c r="G20" s="644"/>
      <c r="H20" s="644"/>
      <c r="O20" s="139"/>
    </row>
    <row r="21" spans="1:16" s="603" customFormat="1" x14ac:dyDescent="0.25">
      <c r="A21" s="1284" t="s">
        <v>262</v>
      </c>
      <c r="B21" s="1284"/>
      <c r="C21" s="1284"/>
      <c r="D21" s="1284"/>
      <c r="E21" s="1284"/>
      <c r="F21" s="1284"/>
      <c r="G21" s="1284"/>
      <c r="H21" s="1284"/>
    </row>
    <row r="22" spans="1:16" s="603" customFormat="1" x14ac:dyDescent="0.25">
      <c r="A22" s="1126" t="s">
        <v>1401</v>
      </c>
      <c r="B22" s="127"/>
      <c r="C22" s="127"/>
      <c r="D22" s="127"/>
      <c r="E22" s="127"/>
      <c r="F22" s="127"/>
      <c r="G22" s="127"/>
      <c r="H22" s="127"/>
    </row>
  </sheetData>
  <mergeCells count="15">
    <mergeCell ref="A21:H21"/>
    <mergeCell ref="M2:M3"/>
    <mergeCell ref="N2:P2"/>
    <mergeCell ref="A2:A3"/>
    <mergeCell ref="B2:B3"/>
    <mergeCell ref="C2:C3"/>
    <mergeCell ref="D2:D3"/>
    <mergeCell ref="E2:E3"/>
    <mergeCell ref="F2:F3"/>
    <mergeCell ref="G2:G3"/>
    <mergeCell ref="H2:H3"/>
    <mergeCell ref="I2:I3"/>
    <mergeCell ref="J2:J3"/>
    <mergeCell ref="K2:K3"/>
    <mergeCell ref="L2:L3"/>
  </mergeCells>
  <printOptions horizontalCentered="1"/>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zoomScaleNormal="100" workbookViewId="0">
      <selection activeCell="I17" sqref="I17"/>
    </sheetView>
  </sheetViews>
  <sheetFormatPr defaultColWidth="9.140625" defaultRowHeight="15" x14ac:dyDescent="0.25"/>
  <cols>
    <col min="1" max="16" width="14.5703125" style="127" bestFit="1" customWidth="1"/>
    <col min="17" max="17" width="4.5703125" style="127" bestFit="1" customWidth="1"/>
    <col min="18" max="16384" width="9.140625" style="127"/>
  </cols>
  <sheetData>
    <row r="1" spans="1:16" x14ac:dyDescent="0.25">
      <c r="A1" s="369" t="s">
        <v>263</v>
      </c>
      <c r="B1" s="369"/>
      <c r="C1" s="369"/>
      <c r="D1" s="369"/>
      <c r="E1" s="369"/>
      <c r="F1" s="369"/>
      <c r="G1" s="369"/>
      <c r="H1" s="369"/>
      <c r="I1" s="369"/>
      <c r="J1" s="369"/>
      <c r="K1" s="369"/>
      <c r="L1" s="369"/>
      <c r="M1" s="369"/>
      <c r="N1" s="369"/>
      <c r="O1" s="369"/>
      <c r="P1" s="369"/>
    </row>
    <row r="2" spans="1:16" s="603" customFormat="1" x14ac:dyDescent="0.25">
      <c r="A2" s="1309" t="s">
        <v>116</v>
      </c>
      <c r="B2" s="1314" t="s">
        <v>244</v>
      </c>
      <c r="C2" s="1314" t="s">
        <v>245</v>
      </c>
      <c r="D2" s="1314" t="s">
        <v>264</v>
      </c>
      <c r="E2" s="1309" t="s">
        <v>247</v>
      </c>
      <c r="F2" s="1309" t="s">
        <v>248</v>
      </c>
      <c r="G2" s="1309" t="s">
        <v>249</v>
      </c>
      <c r="H2" s="1309" t="s">
        <v>265</v>
      </c>
      <c r="I2" s="1309" t="s">
        <v>251</v>
      </c>
      <c r="J2" s="1309" t="s">
        <v>252</v>
      </c>
      <c r="K2" s="1309" t="s">
        <v>253</v>
      </c>
      <c r="L2" s="1309" t="s">
        <v>266</v>
      </c>
      <c r="M2" s="1309" t="s">
        <v>255</v>
      </c>
      <c r="N2" s="1311" t="s">
        <v>267</v>
      </c>
      <c r="O2" s="1312"/>
      <c r="P2" s="1313"/>
    </row>
    <row r="3" spans="1:16" s="603" customFormat="1" ht="30.75" customHeight="1" x14ac:dyDescent="0.25">
      <c r="A3" s="1310"/>
      <c r="B3" s="1315"/>
      <c r="C3" s="1315"/>
      <c r="D3" s="1315"/>
      <c r="E3" s="1310"/>
      <c r="F3" s="1310"/>
      <c r="G3" s="1310"/>
      <c r="H3" s="1310"/>
      <c r="I3" s="1310"/>
      <c r="J3" s="1310"/>
      <c r="K3" s="1310"/>
      <c r="L3" s="1310"/>
      <c r="M3" s="1310"/>
      <c r="N3" s="701" t="s">
        <v>257</v>
      </c>
      <c r="O3" s="701" t="s">
        <v>258</v>
      </c>
      <c r="P3" s="701" t="s">
        <v>259</v>
      </c>
    </row>
    <row r="4" spans="1:16" s="132" customFormat="1" x14ac:dyDescent="0.25">
      <c r="A4" s="1157" t="s">
        <v>532</v>
      </c>
      <c r="B4" s="702">
        <v>2439</v>
      </c>
      <c r="C4" s="702">
        <v>3</v>
      </c>
      <c r="D4" s="702">
        <v>2985</v>
      </c>
      <c r="E4" s="703">
        <v>246</v>
      </c>
      <c r="F4" s="702">
        <v>68124.680000000008</v>
      </c>
      <c r="G4" s="704">
        <v>10179860.869999999</v>
      </c>
      <c r="H4" s="707">
        <v>20103439.399999999</v>
      </c>
      <c r="I4" s="702">
        <v>81721.298373983736</v>
      </c>
      <c r="J4" s="702">
        <v>29509.774431234018</v>
      </c>
      <c r="K4" s="704">
        <v>10179860.869999999</v>
      </c>
      <c r="L4" s="704">
        <v>20103439.399999999</v>
      </c>
      <c r="M4" s="705">
        <v>38421667.5427958</v>
      </c>
      <c r="N4" s="702">
        <v>22526.6</v>
      </c>
      <c r="O4" s="702">
        <v>17312.75</v>
      </c>
      <c r="P4" s="702">
        <v>22326.9</v>
      </c>
    </row>
    <row r="5" spans="1:16" s="132" customFormat="1" x14ac:dyDescent="0.25">
      <c r="A5" s="1158" t="s">
        <v>1413</v>
      </c>
      <c r="B5" s="706">
        <f>INDEX(B6:B17,COUNT(B6:B17))</f>
        <v>2482</v>
      </c>
      <c r="C5" s="706">
        <f>INDEX(C6:C17,COUNT(C6:C17))</f>
        <v>3</v>
      </c>
      <c r="D5" s="601">
        <v>2625</v>
      </c>
      <c r="E5" s="706">
        <f>SUM(E6:E17)</f>
        <v>42</v>
      </c>
      <c r="F5" s="706">
        <f>SUM(F6:F17)</f>
        <v>14490.52</v>
      </c>
      <c r="G5" s="706">
        <f>SUM(G6:G17)</f>
        <v>1915472.52</v>
      </c>
      <c r="H5" s="706">
        <f>SUM(H6:H17)</f>
        <v>4588136.95</v>
      </c>
      <c r="I5" s="370">
        <f>H5/E5</f>
        <v>109241.35595238095</v>
      </c>
      <c r="J5" s="706">
        <f>H5/F5*100</f>
        <v>31663.024860391481</v>
      </c>
      <c r="K5" s="706">
        <f>SUM(K6:K17)</f>
        <v>1915472.52</v>
      </c>
      <c r="L5" s="706">
        <f>SUM(L6:L17)</f>
        <v>4588136.95</v>
      </c>
      <c r="M5" s="706">
        <f>INDEX(M6:M17,COUNT(M6:M17))</f>
        <v>40880529.739361502</v>
      </c>
      <c r="N5" s="706">
        <f>MAX(N6:N17)</f>
        <v>23110.799999999999</v>
      </c>
      <c r="O5" s="706">
        <f>MIN(O6:O17)</f>
        <v>21710.2</v>
      </c>
      <c r="P5" s="706">
        <f>INDEX(P6:P17,COUNT(P6:P17))</f>
        <v>22530.7</v>
      </c>
    </row>
    <row r="6" spans="1:16" s="603" customFormat="1" x14ac:dyDescent="0.25">
      <c r="A6" s="221">
        <v>45383</v>
      </c>
      <c r="B6" s="601">
        <v>2464</v>
      </c>
      <c r="C6" s="601">
        <v>3</v>
      </c>
      <c r="D6" s="601">
        <v>2625</v>
      </c>
      <c r="E6" s="587">
        <v>20</v>
      </c>
      <c r="F6" s="601">
        <v>6810.19</v>
      </c>
      <c r="G6" s="601">
        <v>990584.38</v>
      </c>
      <c r="H6" s="601">
        <v>2120195.52</v>
      </c>
      <c r="I6" s="601">
        <v>106009.78</v>
      </c>
      <c r="J6" s="601">
        <v>31132.69</v>
      </c>
      <c r="K6" s="601">
        <v>990584.38</v>
      </c>
      <c r="L6" s="601">
        <v>2120195.52</v>
      </c>
      <c r="M6" s="588">
        <v>40304405.9649911</v>
      </c>
      <c r="N6" s="601">
        <v>22526.6</v>
      </c>
      <c r="O6" s="601">
        <v>21710.2</v>
      </c>
      <c r="P6" s="601">
        <v>22604.85</v>
      </c>
    </row>
    <row r="7" spans="1:16" s="603" customFormat="1" x14ac:dyDescent="0.25">
      <c r="A7" s="221">
        <v>45413</v>
      </c>
      <c r="B7" s="601">
        <v>2482</v>
      </c>
      <c r="C7" s="601">
        <v>3</v>
      </c>
      <c r="D7" s="601">
        <v>2995</v>
      </c>
      <c r="E7" s="587">
        <v>22</v>
      </c>
      <c r="F7" s="601">
        <v>7680.33</v>
      </c>
      <c r="G7" s="601">
        <v>924888.14</v>
      </c>
      <c r="H7" s="601">
        <v>2467941.4300000002</v>
      </c>
      <c r="I7" s="601">
        <v>112179.16</v>
      </c>
      <c r="J7" s="601">
        <v>32133.27</v>
      </c>
      <c r="K7" s="601">
        <v>924888.14</v>
      </c>
      <c r="L7" s="601">
        <v>2467941.4300000002</v>
      </c>
      <c r="M7" s="588">
        <v>40880529.739361502</v>
      </c>
      <c r="N7" s="601">
        <v>23110.799999999999</v>
      </c>
      <c r="O7" s="601">
        <v>21821.05</v>
      </c>
      <c r="P7" s="601">
        <v>22530.7</v>
      </c>
    </row>
    <row r="8" spans="1:16" s="603" customFormat="1" x14ac:dyDescent="0.25">
      <c r="A8" s="221">
        <v>45444</v>
      </c>
      <c r="B8" s="601"/>
      <c r="C8" s="601"/>
      <c r="D8" s="601"/>
      <c r="E8" s="587"/>
      <c r="F8" s="601"/>
      <c r="G8" s="601"/>
      <c r="H8" s="601"/>
      <c r="I8" s="601"/>
      <c r="J8" s="601"/>
      <c r="K8" s="601"/>
      <c r="L8" s="601"/>
      <c r="M8" s="588"/>
      <c r="N8" s="601"/>
      <c r="O8" s="601"/>
      <c r="P8" s="601"/>
    </row>
    <row r="9" spans="1:16" s="603" customFormat="1" x14ac:dyDescent="0.25">
      <c r="A9" s="221">
        <v>45474</v>
      </c>
      <c r="B9" s="601"/>
      <c r="C9" s="601"/>
      <c r="D9" s="601"/>
      <c r="E9" s="587"/>
      <c r="F9" s="601"/>
      <c r="G9" s="601"/>
      <c r="H9" s="601"/>
      <c r="I9" s="601"/>
      <c r="J9" s="601"/>
      <c r="K9" s="601"/>
      <c r="L9" s="601"/>
      <c r="M9" s="588"/>
      <c r="N9" s="601"/>
      <c r="O9" s="601"/>
      <c r="P9" s="601"/>
    </row>
    <row r="10" spans="1:16" s="603" customFormat="1" x14ac:dyDescent="0.25">
      <c r="A10" s="221">
        <v>45505</v>
      </c>
      <c r="B10" s="601"/>
      <c r="C10" s="601"/>
      <c r="D10" s="601"/>
      <c r="E10" s="587"/>
      <c r="F10" s="601"/>
      <c r="G10" s="601"/>
      <c r="H10" s="601"/>
      <c r="I10" s="601"/>
      <c r="J10" s="601"/>
      <c r="K10" s="601"/>
      <c r="L10" s="601"/>
      <c r="M10" s="588"/>
      <c r="N10" s="601"/>
      <c r="O10" s="601"/>
      <c r="P10" s="601"/>
    </row>
    <row r="11" spans="1:16" s="603" customFormat="1" x14ac:dyDescent="0.25">
      <c r="A11" s="221">
        <v>45536</v>
      </c>
      <c r="B11" s="601"/>
      <c r="C11" s="601"/>
      <c r="D11" s="601"/>
      <c r="E11" s="587"/>
      <c r="F11" s="601"/>
      <c r="G11" s="601"/>
      <c r="H11" s="601"/>
      <c r="I11" s="601"/>
      <c r="J11" s="601"/>
      <c r="K11" s="601"/>
      <c r="L11" s="601"/>
      <c r="M11" s="588"/>
      <c r="N11" s="601"/>
      <c r="O11" s="601"/>
      <c r="P11" s="601"/>
    </row>
    <row r="12" spans="1:16" s="603" customFormat="1" x14ac:dyDescent="0.25">
      <c r="A12" s="221">
        <v>45566</v>
      </c>
      <c r="B12" s="601"/>
      <c r="C12" s="601"/>
      <c r="D12" s="601"/>
      <c r="E12" s="587"/>
      <c r="F12" s="601"/>
      <c r="G12" s="601"/>
      <c r="H12" s="601"/>
      <c r="I12" s="601"/>
      <c r="J12" s="601"/>
      <c r="K12" s="601"/>
      <c r="L12" s="601"/>
      <c r="M12" s="588"/>
      <c r="N12" s="601"/>
      <c r="O12" s="601"/>
      <c r="P12" s="601"/>
    </row>
    <row r="13" spans="1:16" s="603" customFormat="1" x14ac:dyDescent="0.25">
      <c r="A13" s="221">
        <v>45597</v>
      </c>
      <c r="B13" s="601"/>
      <c r="C13" s="601"/>
      <c r="D13" s="601"/>
      <c r="E13" s="587"/>
      <c r="F13" s="601"/>
      <c r="G13" s="601"/>
      <c r="H13" s="601"/>
      <c r="I13" s="601"/>
      <c r="J13" s="601"/>
      <c r="K13" s="601"/>
      <c r="L13" s="601"/>
      <c r="M13" s="588"/>
      <c r="N13" s="601"/>
      <c r="O13" s="601"/>
      <c r="P13" s="601"/>
    </row>
    <row r="14" spans="1:16" s="603" customFormat="1" x14ac:dyDescent="0.25">
      <c r="A14" s="221">
        <v>45627</v>
      </c>
      <c r="B14" s="601"/>
      <c r="C14" s="601"/>
      <c r="D14" s="601"/>
      <c r="E14" s="587"/>
      <c r="F14" s="601"/>
      <c r="G14" s="601"/>
      <c r="H14" s="601"/>
      <c r="I14" s="601"/>
      <c r="J14" s="601"/>
      <c r="K14" s="601"/>
      <c r="L14" s="601"/>
      <c r="M14" s="588"/>
      <c r="N14" s="601"/>
      <c r="O14" s="601"/>
      <c r="P14" s="601"/>
    </row>
    <row r="15" spans="1:16" s="603" customFormat="1" x14ac:dyDescent="0.25">
      <c r="A15" s="221">
        <v>45658</v>
      </c>
      <c r="B15" s="601"/>
      <c r="C15" s="601"/>
      <c r="D15" s="601"/>
      <c r="E15" s="587"/>
      <c r="F15" s="601"/>
      <c r="G15" s="601"/>
      <c r="H15" s="601"/>
      <c r="I15" s="601"/>
      <c r="J15" s="601"/>
      <c r="K15" s="601"/>
      <c r="L15" s="601"/>
      <c r="M15" s="588"/>
      <c r="N15" s="601"/>
      <c r="O15" s="601"/>
      <c r="P15" s="601"/>
    </row>
    <row r="16" spans="1:16" s="603" customFormat="1" x14ac:dyDescent="0.25">
      <c r="A16" s="221">
        <v>45689</v>
      </c>
      <c r="B16" s="601"/>
      <c r="C16" s="601"/>
      <c r="D16" s="601"/>
      <c r="E16" s="587"/>
      <c r="F16" s="601"/>
      <c r="G16" s="601"/>
      <c r="H16" s="601"/>
      <c r="I16" s="601"/>
      <c r="J16" s="601"/>
      <c r="K16" s="601"/>
      <c r="L16" s="601"/>
      <c r="M16" s="588"/>
      <c r="N16" s="601"/>
      <c r="O16" s="601"/>
      <c r="P16" s="601"/>
    </row>
    <row r="17" spans="1:16" s="603" customFormat="1" x14ac:dyDescent="0.25">
      <c r="A17" s="221">
        <v>45717</v>
      </c>
      <c r="B17" s="592"/>
      <c r="C17" s="601"/>
      <c r="D17" s="592"/>
      <c r="E17" s="587"/>
      <c r="F17" s="601"/>
      <c r="G17" s="601"/>
      <c r="H17" s="601"/>
      <c r="I17" s="601"/>
      <c r="J17" s="601"/>
      <c r="K17" s="601"/>
      <c r="L17" s="601"/>
      <c r="M17" s="588"/>
      <c r="N17" s="601"/>
      <c r="O17" s="601"/>
      <c r="P17" s="601"/>
    </row>
    <row r="18" spans="1:16" s="603" customFormat="1" x14ac:dyDescent="0.25">
      <c r="A18" s="168"/>
      <c r="B18" s="605"/>
      <c r="C18" s="605"/>
      <c r="D18" s="605"/>
      <c r="E18" s="708"/>
      <c r="F18" s="605"/>
      <c r="G18" s="605"/>
      <c r="H18" s="605"/>
      <c r="I18" s="605"/>
      <c r="J18" s="605"/>
      <c r="K18" s="605"/>
      <c r="L18" s="605"/>
      <c r="M18" s="709"/>
      <c r="N18" s="605"/>
      <c r="O18" s="605"/>
      <c r="P18" s="605"/>
    </row>
    <row r="19" spans="1:16" s="603" customFormat="1" ht="13.5" customHeight="1" x14ac:dyDescent="0.25">
      <c r="A19" s="1316" t="s">
        <v>268</v>
      </c>
      <c r="B19" s="1316"/>
      <c r="C19" s="1316"/>
      <c r="D19" s="1316"/>
      <c r="E19" s="1316"/>
      <c r="F19" s="1316"/>
      <c r="G19" s="1316"/>
      <c r="H19" s="1316"/>
      <c r="M19" s="174"/>
    </row>
    <row r="20" spans="1:16" s="603" customFormat="1" ht="13.5" customHeight="1" x14ac:dyDescent="0.25">
      <c r="A20" s="172" t="s">
        <v>261</v>
      </c>
      <c r="B20" s="647"/>
      <c r="C20" s="647"/>
      <c r="D20" s="647"/>
      <c r="E20" s="647"/>
      <c r="F20" s="647"/>
      <c r="G20" s="647"/>
      <c r="H20" s="647"/>
    </row>
    <row r="21" spans="1:16" s="603" customFormat="1" x14ac:dyDescent="0.25">
      <c r="A21" s="1317" t="s">
        <v>269</v>
      </c>
      <c r="B21" s="1318"/>
      <c r="C21" s="1318"/>
      <c r="D21" s="1318"/>
      <c r="E21" s="1318"/>
      <c r="F21" s="1318"/>
      <c r="G21" s="1318"/>
      <c r="H21" s="1318"/>
      <c r="I21" s="1318"/>
      <c r="J21" s="1318"/>
    </row>
    <row r="22" spans="1:16" s="603" customFormat="1" ht="15" customHeight="1" x14ac:dyDescent="0.25">
      <c r="A22" s="1316" t="s">
        <v>270</v>
      </c>
      <c r="B22" s="1316"/>
      <c r="C22" s="1316"/>
      <c r="D22" s="1316"/>
      <c r="E22" s="1316"/>
      <c r="F22" s="1316"/>
      <c r="G22" s="1316"/>
      <c r="H22" s="1316"/>
    </row>
    <row r="23" spans="1:16" s="603" customFormat="1" x14ac:dyDescent="0.25">
      <c r="A23" s="1126" t="s">
        <v>1401</v>
      </c>
      <c r="B23" s="127"/>
      <c r="C23" s="127"/>
      <c r="D23" s="127"/>
      <c r="E23" s="127"/>
      <c r="F23" s="127"/>
      <c r="G23" s="127"/>
      <c r="H23" s="127"/>
    </row>
    <row r="24" spans="1:16" x14ac:dyDescent="0.25">
      <c r="J24" s="269"/>
    </row>
    <row r="25" spans="1:16" x14ac:dyDescent="0.25">
      <c r="G25" s="175"/>
      <c r="J25" s="269"/>
    </row>
    <row r="26" spans="1:16" x14ac:dyDescent="0.25">
      <c r="H26" s="175"/>
      <c r="J26" s="269"/>
    </row>
    <row r="27" spans="1:16" x14ac:dyDescent="0.25">
      <c r="H27" s="175"/>
      <c r="J27" s="269"/>
    </row>
    <row r="28" spans="1:16" x14ac:dyDescent="0.25">
      <c r="H28" s="175"/>
      <c r="J28" s="269"/>
    </row>
    <row r="29" spans="1:16" x14ac:dyDescent="0.25">
      <c r="H29" s="175"/>
    </row>
  </sheetData>
  <mergeCells count="17">
    <mergeCell ref="M2:M3"/>
    <mergeCell ref="A19:H19"/>
    <mergeCell ref="A21:J21"/>
    <mergeCell ref="A22:H22"/>
    <mergeCell ref="N2:P2"/>
    <mergeCell ref="A2:A3"/>
    <mergeCell ref="B2:B3"/>
    <mergeCell ref="C2:C3"/>
    <mergeCell ref="D2:D3"/>
    <mergeCell ref="E2:E3"/>
    <mergeCell ref="F2:F3"/>
    <mergeCell ref="G2:G3"/>
    <mergeCell ref="H2:H3"/>
    <mergeCell ref="I2:I3"/>
    <mergeCell ref="J2:J3"/>
    <mergeCell ref="K2:K3"/>
    <mergeCell ref="L2:L3"/>
  </mergeCells>
  <printOptions horizontalCentered="1"/>
  <pageMargins left="0.78431372549019618" right="0.78431372549019618" top="0.98039215686274517" bottom="0.98039215686274517" header="0.50980392156862753" footer="0.50980392156862753"/>
  <pageSetup paperSize="9" scale="54" fitToHeight="0"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6"/>
  <sheetViews>
    <sheetView zoomScaleNormal="100" workbookViewId="0">
      <selection activeCell="N16" sqref="N16"/>
    </sheetView>
  </sheetViews>
  <sheetFormatPr defaultColWidth="9.140625" defaultRowHeight="15" x14ac:dyDescent="0.25"/>
  <cols>
    <col min="1" max="1" width="13" style="127" customWidth="1"/>
    <col min="2" max="4" width="14.5703125" style="127" bestFit="1" customWidth="1"/>
    <col min="5" max="5" width="10.140625" style="127" customWidth="1"/>
    <col min="6" max="6" width="9.42578125" style="127" customWidth="1"/>
    <col min="7" max="7" width="10.42578125" style="127" customWidth="1"/>
    <col min="8" max="8" width="11.7109375" style="127" bestFit="1" customWidth="1"/>
    <col min="9" max="10" width="15.7109375" style="127" customWidth="1"/>
    <col min="11" max="11" width="14.5703125" style="127" bestFit="1" customWidth="1"/>
    <col min="12" max="12" width="9.85546875" style="127" customWidth="1"/>
    <col min="13" max="13" width="13.7109375" style="127" customWidth="1"/>
    <col min="14" max="16" width="10.7109375" style="127" customWidth="1"/>
    <col min="17" max="17" width="14.5703125" style="127" bestFit="1" customWidth="1"/>
    <col min="18" max="16384" width="9.140625" style="127"/>
  </cols>
  <sheetData>
    <row r="1" spans="1:16" x14ac:dyDescent="0.25">
      <c r="A1" s="293" t="s">
        <v>15</v>
      </c>
      <c r="B1" s="293"/>
      <c r="C1" s="293"/>
    </row>
    <row r="2" spans="1:16" s="603" customFormat="1" x14ac:dyDescent="0.25">
      <c r="A2" s="1309" t="s">
        <v>172</v>
      </c>
      <c r="B2" s="1314" t="s">
        <v>244</v>
      </c>
      <c r="C2" s="1314" t="s">
        <v>271</v>
      </c>
      <c r="D2" s="1309" t="s">
        <v>272</v>
      </c>
      <c r="E2" s="1309" t="s">
        <v>247</v>
      </c>
      <c r="F2" s="1309" t="s">
        <v>248</v>
      </c>
      <c r="G2" s="1309" t="s">
        <v>249</v>
      </c>
      <c r="H2" s="1309" t="s">
        <v>273</v>
      </c>
      <c r="I2" s="1309" t="s">
        <v>274</v>
      </c>
      <c r="J2" s="1309" t="s">
        <v>1122</v>
      </c>
      <c r="K2" s="1309" t="s">
        <v>253</v>
      </c>
      <c r="L2" s="1309" t="s">
        <v>275</v>
      </c>
      <c r="M2" s="1309" t="s">
        <v>276</v>
      </c>
      <c r="N2" s="1311" t="s">
        <v>277</v>
      </c>
      <c r="O2" s="1312"/>
      <c r="P2" s="1313"/>
    </row>
    <row r="3" spans="1:16" s="603" customFormat="1" ht="32.25" customHeight="1" x14ac:dyDescent="0.25">
      <c r="A3" s="1310"/>
      <c r="B3" s="1315"/>
      <c r="C3" s="1315"/>
      <c r="D3" s="1310"/>
      <c r="E3" s="1310"/>
      <c r="F3" s="1310"/>
      <c r="G3" s="1310"/>
      <c r="H3" s="1310"/>
      <c r="I3" s="1310"/>
      <c r="J3" s="1310"/>
      <c r="K3" s="1310"/>
      <c r="L3" s="1310"/>
      <c r="M3" s="1310"/>
      <c r="N3" s="701" t="s">
        <v>257</v>
      </c>
      <c r="O3" s="701" t="s">
        <v>258</v>
      </c>
      <c r="P3" s="701" t="s">
        <v>259</v>
      </c>
    </row>
    <row r="4" spans="1:16" s="132" customFormat="1" x14ac:dyDescent="0.25">
      <c r="A4" s="1157" t="s">
        <v>532</v>
      </c>
      <c r="B4" s="710">
        <v>266</v>
      </c>
      <c r="C4" s="710">
        <v>1705</v>
      </c>
      <c r="D4" s="710">
        <v>10</v>
      </c>
      <c r="E4" s="710">
        <v>246</v>
      </c>
      <c r="F4" s="710">
        <v>3.5100000000000001E-3</v>
      </c>
      <c r="G4" s="710">
        <v>20.224450000000001</v>
      </c>
      <c r="H4" s="710">
        <v>29.338079719999996</v>
      </c>
      <c r="I4" s="710">
        <v>0.11926048666666665</v>
      </c>
      <c r="J4" s="710">
        <v>835842.72706552688</v>
      </c>
      <c r="K4" s="710" t="s">
        <v>225</v>
      </c>
      <c r="L4" s="710" t="s">
        <v>225</v>
      </c>
      <c r="M4" s="711">
        <v>38356305.409999996</v>
      </c>
      <c r="N4" s="710">
        <v>42685.19</v>
      </c>
      <c r="O4" s="710">
        <v>33552.300000000003</v>
      </c>
      <c r="P4" s="710">
        <v>42417.24</v>
      </c>
    </row>
    <row r="5" spans="1:16" s="603" customFormat="1" x14ac:dyDescent="0.25">
      <c r="A5" s="1158" t="s">
        <v>1413</v>
      </c>
      <c r="B5" s="706">
        <f>INDEX(B6:B17,COUNT(B6:B17))</f>
        <v>266</v>
      </c>
      <c r="C5" s="706">
        <f>INDEX(C6:C17,COUNT(C6:C17))</f>
        <v>1771</v>
      </c>
      <c r="D5" s="712">
        <v>1</v>
      </c>
      <c r="E5" s="706">
        <f>SUM(E6:E17)</f>
        <v>42</v>
      </c>
      <c r="F5" s="706">
        <f>SUM(F6:F17)</f>
        <v>5.9000000000000003E-4</v>
      </c>
      <c r="G5" s="706">
        <f>SUM(G6:G17)</f>
        <v>1.7283200000000001</v>
      </c>
      <c r="H5" s="706">
        <f>SUM(H6:H17)</f>
        <v>1.2987962499999999</v>
      </c>
      <c r="I5" s="370">
        <f>H5/E5</f>
        <v>3.0923720238095236E-2</v>
      </c>
      <c r="J5" s="706">
        <f>H5/F5*100</f>
        <v>220134.95762711859</v>
      </c>
      <c r="K5" s="710" t="s">
        <v>225</v>
      </c>
      <c r="L5" s="710" t="s">
        <v>225</v>
      </c>
      <c r="M5" s="706">
        <f>INDEX(M6:M17,COUNT(M6:M17))</f>
        <v>41477459.560000002</v>
      </c>
      <c r="N5" s="706">
        <f>MAX(N6:N17)</f>
        <v>43643.65</v>
      </c>
      <c r="O5" s="706">
        <f>MIN(O6:O17)</f>
        <v>41779.14</v>
      </c>
      <c r="P5" s="706">
        <f>INDEX(P6:P17,COUNT(P6:P17))</f>
        <v>42784.29</v>
      </c>
    </row>
    <row r="6" spans="1:16" s="603" customFormat="1" x14ac:dyDescent="0.25">
      <c r="A6" s="221">
        <v>45383</v>
      </c>
      <c r="B6" s="601">
        <v>266</v>
      </c>
      <c r="C6" s="601">
        <v>1704</v>
      </c>
      <c r="D6" s="601">
        <v>1</v>
      </c>
      <c r="E6" s="601">
        <v>20</v>
      </c>
      <c r="F6" s="601">
        <v>2.3000000000000001E-4</v>
      </c>
      <c r="G6" s="601">
        <v>0.76</v>
      </c>
      <c r="H6" s="601">
        <v>0.56713574999999994</v>
      </c>
      <c r="I6" s="601">
        <v>2.8356787499999998E-2</v>
      </c>
      <c r="J6" s="601">
        <v>246580.76086956519</v>
      </c>
      <c r="K6" s="601" t="s">
        <v>225</v>
      </c>
      <c r="L6" s="601" t="s">
        <v>225</v>
      </c>
      <c r="M6" s="588">
        <v>40187325.409999996</v>
      </c>
      <c r="N6" s="601">
        <v>43265.36</v>
      </c>
      <c r="O6" s="601">
        <v>41843.949999999997</v>
      </c>
      <c r="P6" s="601">
        <v>42994.7</v>
      </c>
    </row>
    <row r="7" spans="1:16" s="603" customFormat="1" x14ac:dyDescent="0.25">
      <c r="A7" s="221">
        <v>45413</v>
      </c>
      <c r="B7" s="601">
        <v>266</v>
      </c>
      <c r="C7" s="601">
        <v>1771</v>
      </c>
      <c r="D7" s="601">
        <v>2</v>
      </c>
      <c r="E7" s="601">
        <v>22</v>
      </c>
      <c r="F7" s="601">
        <v>3.6000000000000002E-4</v>
      </c>
      <c r="G7" s="601">
        <v>0.96831999999999996</v>
      </c>
      <c r="H7" s="601">
        <v>0.73166049999999994</v>
      </c>
      <c r="I7" s="601">
        <v>3.3257295454545449E-2</v>
      </c>
      <c r="J7" s="601">
        <v>203239.02777777775</v>
      </c>
      <c r="K7" s="601" t="s">
        <v>225</v>
      </c>
      <c r="L7" s="601" t="s">
        <v>225</v>
      </c>
      <c r="M7" s="588">
        <v>41477459.560000002</v>
      </c>
      <c r="N7" s="601">
        <v>43643.65</v>
      </c>
      <c r="O7" s="601">
        <v>41779.14</v>
      </c>
      <c r="P7" s="601">
        <v>42784.29</v>
      </c>
    </row>
    <row r="8" spans="1:16" s="603" customFormat="1" x14ac:dyDescent="0.25">
      <c r="A8" s="221">
        <v>45444</v>
      </c>
      <c r="B8" s="601"/>
      <c r="C8" s="601"/>
      <c r="D8" s="601"/>
      <c r="E8" s="601"/>
      <c r="F8" s="601"/>
      <c r="G8" s="601"/>
      <c r="H8" s="601"/>
      <c r="I8" s="601"/>
      <c r="J8" s="601"/>
      <c r="K8" s="601"/>
      <c r="L8" s="601"/>
      <c r="M8" s="588"/>
      <c r="N8" s="601"/>
      <c r="O8" s="601"/>
      <c r="P8" s="601"/>
    </row>
    <row r="9" spans="1:16" s="603" customFormat="1" x14ac:dyDescent="0.25">
      <c r="A9" s="221">
        <v>45474</v>
      </c>
      <c r="B9" s="601"/>
      <c r="C9" s="601"/>
      <c r="D9" s="601"/>
      <c r="E9" s="601"/>
      <c r="F9" s="601"/>
      <c r="G9" s="601"/>
      <c r="H9" s="601"/>
      <c r="I9" s="601"/>
      <c r="J9" s="601"/>
      <c r="K9" s="601"/>
      <c r="L9" s="601"/>
      <c r="M9" s="588"/>
      <c r="N9" s="601"/>
      <c r="O9" s="601"/>
      <c r="P9" s="601"/>
    </row>
    <row r="10" spans="1:16" s="603" customFormat="1" x14ac:dyDescent="0.25">
      <c r="A10" s="221">
        <v>45505</v>
      </c>
      <c r="B10" s="601"/>
      <c r="C10" s="601"/>
      <c r="D10" s="601"/>
      <c r="E10" s="601"/>
      <c r="F10" s="601"/>
      <c r="G10" s="601"/>
      <c r="H10" s="601"/>
      <c r="I10" s="601"/>
      <c r="J10" s="601"/>
      <c r="K10" s="601"/>
      <c r="L10" s="601"/>
      <c r="M10" s="588"/>
      <c r="N10" s="601"/>
      <c r="O10" s="601"/>
      <c r="P10" s="601"/>
    </row>
    <row r="11" spans="1:16" s="603" customFormat="1" x14ac:dyDescent="0.25">
      <c r="A11" s="221">
        <v>45536</v>
      </c>
      <c r="B11" s="601"/>
      <c r="C11" s="601"/>
      <c r="D11" s="601"/>
      <c r="E11" s="601"/>
      <c r="F11" s="601"/>
      <c r="G11" s="601"/>
      <c r="H11" s="601"/>
      <c r="I11" s="601"/>
      <c r="J11" s="601"/>
      <c r="K11" s="601"/>
      <c r="L11" s="601"/>
      <c r="M11" s="588"/>
      <c r="N11" s="601"/>
      <c r="O11" s="601"/>
      <c r="P11" s="601"/>
    </row>
    <row r="12" spans="1:16" s="603" customFormat="1" x14ac:dyDescent="0.25">
      <c r="A12" s="221">
        <v>45566</v>
      </c>
      <c r="B12" s="601"/>
      <c r="C12" s="601"/>
      <c r="D12" s="601"/>
      <c r="E12" s="601"/>
      <c r="F12" s="601"/>
      <c r="G12" s="601"/>
      <c r="H12" s="601"/>
      <c r="I12" s="601"/>
      <c r="J12" s="601"/>
      <c r="K12" s="601"/>
      <c r="L12" s="601"/>
      <c r="M12" s="588"/>
      <c r="N12" s="601"/>
      <c r="O12" s="601"/>
      <c r="P12" s="601"/>
    </row>
    <row r="13" spans="1:16" s="603" customFormat="1" x14ac:dyDescent="0.25">
      <c r="A13" s="221">
        <v>45597</v>
      </c>
      <c r="B13" s="601"/>
      <c r="C13" s="601"/>
      <c r="D13" s="601"/>
      <c r="E13" s="601"/>
      <c r="F13" s="601"/>
      <c r="G13" s="601"/>
      <c r="H13" s="601"/>
      <c r="I13" s="601"/>
      <c r="J13" s="601"/>
      <c r="K13" s="601"/>
      <c r="L13" s="601"/>
      <c r="M13" s="588"/>
      <c r="N13" s="601"/>
      <c r="O13" s="601"/>
      <c r="P13" s="601"/>
    </row>
    <row r="14" spans="1:16" s="603" customFormat="1" x14ac:dyDescent="0.25">
      <c r="A14" s="221">
        <v>45627</v>
      </c>
      <c r="B14" s="601"/>
      <c r="C14" s="601"/>
      <c r="D14" s="601"/>
      <c r="E14" s="601"/>
      <c r="F14" s="601"/>
      <c r="G14" s="601"/>
      <c r="H14" s="601"/>
      <c r="I14" s="601"/>
      <c r="J14" s="601"/>
      <c r="K14" s="601"/>
      <c r="L14" s="601"/>
      <c r="M14" s="588"/>
      <c r="N14" s="601"/>
      <c r="O14" s="601"/>
      <c r="P14" s="601"/>
    </row>
    <row r="15" spans="1:16" s="603" customFormat="1" x14ac:dyDescent="0.25">
      <c r="A15" s="221">
        <v>45658</v>
      </c>
      <c r="B15" s="601"/>
      <c r="C15" s="601"/>
      <c r="D15" s="601"/>
      <c r="E15" s="601"/>
      <c r="F15" s="601"/>
      <c r="G15" s="601"/>
      <c r="H15" s="601"/>
      <c r="I15" s="601"/>
      <c r="J15" s="601"/>
      <c r="K15" s="601"/>
      <c r="L15" s="601"/>
      <c r="M15" s="588"/>
      <c r="N15" s="601"/>
      <c r="O15" s="601"/>
      <c r="P15" s="601"/>
    </row>
    <row r="16" spans="1:16" s="603" customFormat="1" x14ac:dyDescent="0.25">
      <c r="A16" s="221">
        <v>45689</v>
      </c>
      <c r="B16" s="601"/>
      <c r="C16" s="601"/>
      <c r="D16" s="601"/>
      <c r="E16" s="601"/>
      <c r="F16" s="601"/>
      <c r="G16" s="601"/>
      <c r="H16" s="601"/>
      <c r="I16" s="601"/>
      <c r="J16" s="601"/>
      <c r="K16" s="601"/>
      <c r="L16" s="601"/>
      <c r="M16" s="588"/>
      <c r="N16" s="601"/>
      <c r="O16" s="601"/>
      <c r="P16" s="601"/>
    </row>
    <row r="17" spans="1:17" s="603" customFormat="1" x14ac:dyDescent="0.25">
      <c r="A17" s="221">
        <v>45717</v>
      </c>
      <c r="B17" s="601"/>
      <c r="C17" s="601"/>
      <c r="D17" s="601"/>
      <c r="E17" s="601"/>
      <c r="F17" s="601"/>
      <c r="G17" s="601"/>
      <c r="H17" s="601"/>
      <c r="I17" s="601"/>
      <c r="J17" s="601"/>
      <c r="K17" s="601"/>
      <c r="L17" s="601"/>
      <c r="M17" s="588"/>
      <c r="N17" s="601"/>
      <c r="O17" s="601"/>
      <c r="P17" s="601"/>
    </row>
    <row r="18" spans="1:17" s="603" customFormat="1" x14ac:dyDescent="0.25">
      <c r="A18" s="168"/>
      <c r="B18" s="605"/>
      <c r="C18" s="605"/>
      <c r="D18" s="605"/>
      <c r="E18" s="605"/>
      <c r="F18" s="605"/>
      <c r="G18" s="605"/>
      <c r="H18" s="605"/>
      <c r="I18" s="605"/>
      <c r="J18" s="605"/>
      <c r="K18" s="605"/>
      <c r="L18" s="605"/>
      <c r="M18" s="709"/>
      <c r="N18" s="605"/>
      <c r="O18" s="605"/>
      <c r="P18" s="605"/>
    </row>
    <row r="19" spans="1:17" s="603" customFormat="1" x14ac:dyDescent="0.25">
      <c r="A19" s="603" t="s">
        <v>278</v>
      </c>
      <c r="B19" s="605"/>
      <c r="C19" s="605"/>
      <c r="D19" s="605"/>
      <c r="E19" s="605"/>
      <c r="F19" s="605"/>
      <c r="G19" s="605"/>
      <c r="H19" s="605"/>
      <c r="I19" s="605"/>
      <c r="J19" s="605"/>
      <c r="K19" s="605"/>
      <c r="L19" s="605"/>
      <c r="M19" s="605"/>
      <c r="N19" s="605"/>
      <c r="O19" s="605"/>
      <c r="P19" s="605"/>
      <c r="Q19" s="605"/>
    </row>
    <row r="20" spans="1:17" s="603" customFormat="1" x14ac:dyDescent="0.25">
      <c r="A20" s="168" t="s">
        <v>279</v>
      </c>
      <c r="B20" s="605"/>
      <c r="C20" s="605"/>
      <c r="D20" s="605"/>
      <c r="E20" s="605"/>
      <c r="F20" s="605"/>
      <c r="G20" s="605"/>
      <c r="H20" s="605"/>
      <c r="I20" s="605"/>
      <c r="J20" s="605"/>
      <c r="K20" s="605"/>
      <c r="L20" s="605"/>
      <c r="M20" s="605"/>
      <c r="N20" s="605"/>
      <c r="O20" s="605"/>
      <c r="P20" s="605"/>
      <c r="Q20" s="605"/>
    </row>
    <row r="21" spans="1:17" s="603" customFormat="1" x14ac:dyDescent="0.25">
      <c r="A21" s="1284" t="s">
        <v>280</v>
      </c>
      <c r="B21" s="1284"/>
      <c r="C21" s="1284"/>
      <c r="D21" s="1284"/>
      <c r="E21" s="1284"/>
      <c r="F21" s="1284"/>
      <c r="G21" s="1284"/>
      <c r="H21" s="1284"/>
      <c r="I21" s="1284"/>
      <c r="J21" s="1284"/>
      <c r="K21" s="1284"/>
      <c r="L21" s="1284"/>
      <c r="M21" s="1284"/>
      <c r="N21" s="1284"/>
      <c r="O21" s="1284"/>
      <c r="P21" s="1284"/>
      <c r="Q21" s="1284"/>
    </row>
    <row r="22" spans="1:17" s="603" customFormat="1" x14ac:dyDescent="0.25">
      <c r="A22" s="1126" t="s">
        <v>1401</v>
      </c>
      <c r="B22" s="127"/>
      <c r="C22" s="127"/>
      <c r="D22" s="127"/>
      <c r="E22" s="127"/>
      <c r="F22" s="127"/>
      <c r="G22" s="176"/>
      <c r="H22" s="127"/>
      <c r="I22" s="140"/>
      <c r="J22" s="269"/>
      <c r="K22" s="127"/>
      <c r="L22" s="127"/>
      <c r="M22" s="127"/>
      <c r="N22" s="127"/>
      <c r="O22" s="127"/>
      <c r="P22" s="127"/>
      <c r="Q22" s="127"/>
    </row>
    <row r="23" spans="1:17" x14ac:dyDescent="0.25">
      <c r="I23" s="140"/>
      <c r="J23" s="269"/>
    </row>
    <row r="24" spans="1:17" x14ac:dyDescent="0.25">
      <c r="I24" s="140"/>
      <c r="J24" s="269"/>
    </row>
    <row r="25" spans="1:17" x14ac:dyDescent="0.25">
      <c r="I25" s="140"/>
      <c r="J25" s="269"/>
    </row>
    <row r="26" spans="1:17" x14ac:dyDescent="0.25">
      <c r="I26" s="140"/>
      <c r="J26" s="269"/>
    </row>
  </sheetData>
  <mergeCells count="15">
    <mergeCell ref="A21:Q21"/>
    <mergeCell ref="E2:E3"/>
    <mergeCell ref="J2:J3"/>
    <mergeCell ref="M2:M3"/>
    <mergeCell ref="N2:P2"/>
    <mergeCell ref="F2:F3"/>
    <mergeCell ref="G2:G3"/>
    <mergeCell ref="H2:H3"/>
    <mergeCell ref="I2:I3"/>
    <mergeCell ref="K2:K3"/>
    <mergeCell ref="L2:L3"/>
    <mergeCell ref="A2:A3"/>
    <mergeCell ref="B2:B3"/>
    <mergeCell ref="C2:C3"/>
    <mergeCell ref="D2:D3"/>
  </mergeCells>
  <printOptions horizontalCentered="1"/>
  <pageMargins left="0.78431372549019618" right="0.78431372549019618" top="0.98039215686274517" bottom="0.98039215686274517" header="0.50980392156862753" footer="0.50980392156862753"/>
  <pageSetup paperSize="9" scale="64" orientation="landscape"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topLeftCell="A2" zoomScaleNormal="100" workbookViewId="0">
      <selection activeCell="G18" sqref="G18"/>
    </sheetView>
  </sheetViews>
  <sheetFormatPr defaultColWidth="9.140625" defaultRowHeight="15" x14ac:dyDescent="0.25"/>
  <cols>
    <col min="1" max="1" width="6.42578125" style="127" bestFit="1" customWidth="1"/>
    <col min="2" max="2" width="36.42578125" style="127" bestFit="1" customWidth="1"/>
    <col min="3" max="8" width="13.5703125" style="127" bestFit="1" customWidth="1"/>
    <col min="9" max="16384" width="9.140625" style="127"/>
  </cols>
  <sheetData>
    <row r="1" spans="1:8" ht="20.25" customHeight="1" x14ac:dyDescent="0.25">
      <c r="A1" s="571" t="s">
        <v>281</v>
      </c>
      <c r="B1" s="371"/>
      <c r="C1" s="371"/>
      <c r="D1" s="371"/>
      <c r="E1" s="371"/>
      <c r="F1" s="371"/>
      <c r="G1" s="371"/>
      <c r="H1" s="371"/>
    </row>
    <row r="2" spans="1:8" s="603" customFormat="1" ht="19.5" customHeight="1" x14ac:dyDescent="0.25">
      <c r="A2" s="1321" t="s">
        <v>282</v>
      </c>
      <c r="B2" s="1322"/>
      <c r="C2" s="1322"/>
      <c r="D2" s="1322"/>
      <c r="E2" s="1322"/>
      <c r="F2" s="1322"/>
      <c r="G2" s="1322"/>
      <c r="H2" s="1323"/>
    </row>
    <row r="3" spans="1:8" s="603" customFormat="1" ht="15" customHeight="1" x14ac:dyDescent="0.25">
      <c r="A3" s="1294" t="s">
        <v>283</v>
      </c>
      <c r="B3" s="1294" t="s">
        <v>284</v>
      </c>
      <c r="C3" s="1290" t="s">
        <v>73</v>
      </c>
      <c r="D3" s="1296"/>
      <c r="E3" s="1290" t="s">
        <v>74</v>
      </c>
      <c r="F3" s="1296"/>
      <c r="G3" s="1325" t="s">
        <v>285</v>
      </c>
      <c r="H3" s="1326"/>
    </row>
    <row r="4" spans="1:8" s="603" customFormat="1" ht="15" customHeight="1" x14ac:dyDescent="0.25">
      <c r="A4" s="1324"/>
      <c r="B4" s="1324"/>
      <c r="C4" s="1050" t="s">
        <v>1234</v>
      </c>
      <c r="D4" s="1050" t="s">
        <v>1371</v>
      </c>
      <c r="E4" s="713" t="s">
        <v>1237</v>
      </c>
      <c r="F4" s="699" t="s">
        <v>1371</v>
      </c>
      <c r="G4" s="1050" t="s">
        <v>1237</v>
      </c>
      <c r="H4" s="1050" t="s">
        <v>1371</v>
      </c>
    </row>
    <row r="5" spans="1:8" s="603" customFormat="1" ht="15" customHeight="1" x14ac:dyDescent="0.25">
      <c r="A5" s="714">
        <v>1</v>
      </c>
      <c r="B5" s="715" t="s">
        <v>286</v>
      </c>
      <c r="C5" s="716">
        <v>25.920916663120753</v>
      </c>
      <c r="D5" s="716">
        <v>25.975602512022856</v>
      </c>
      <c r="E5" s="716">
        <v>15.84</v>
      </c>
      <c r="F5" s="717">
        <v>16.13</v>
      </c>
      <c r="G5" s="717">
        <v>0</v>
      </c>
      <c r="H5" s="716">
        <v>0</v>
      </c>
    </row>
    <row r="6" spans="1:8" s="603" customFormat="1" ht="15" customHeight="1" x14ac:dyDescent="0.25">
      <c r="A6" s="714">
        <v>2</v>
      </c>
      <c r="B6" s="715" t="s">
        <v>287</v>
      </c>
      <c r="C6" s="716">
        <v>0.23110901443756196</v>
      </c>
      <c r="D6" s="716">
        <v>0.30295493416170538</v>
      </c>
      <c r="E6" s="716">
        <v>2.27</v>
      </c>
      <c r="F6" s="717">
        <v>2.31</v>
      </c>
      <c r="G6" s="717">
        <v>0</v>
      </c>
      <c r="H6" s="716">
        <v>0</v>
      </c>
    </row>
    <row r="7" spans="1:8" s="603" customFormat="1" ht="15" customHeight="1" x14ac:dyDescent="0.25">
      <c r="A7" s="714">
        <v>3</v>
      </c>
      <c r="B7" s="715" t="s">
        <v>288</v>
      </c>
      <c r="C7" s="716">
        <v>0.33611707458596229</v>
      </c>
      <c r="D7" s="716">
        <v>0.31944850851171619</v>
      </c>
      <c r="E7" s="716">
        <v>0.11</v>
      </c>
      <c r="F7" s="717">
        <v>0.1</v>
      </c>
      <c r="G7" s="717">
        <v>0</v>
      </c>
      <c r="H7" s="716">
        <v>0</v>
      </c>
    </row>
    <row r="8" spans="1:8" s="603" customFormat="1" ht="15" customHeight="1" x14ac:dyDescent="0.25">
      <c r="A8" s="714">
        <v>4</v>
      </c>
      <c r="B8" s="715" t="s">
        <v>289</v>
      </c>
      <c r="C8" s="716">
        <v>3.2604825769039906E-3</v>
      </c>
      <c r="D8" s="716">
        <v>3.2170719662159134E-3</v>
      </c>
      <c r="E8" s="716">
        <v>0</v>
      </c>
      <c r="F8" s="717">
        <v>0</v>
      </c>
      <c r="G8" s="717">
        <v>0</v>
      </c>
      <c r="H8" s="716">
        <v>0</v>
      </c>
    </row>
    <row r="9" spans="1:8" s="603" customFormat="1" ht="15" customHeight="1" x14ac:dyDescent="0.25">
      <c r="A9" s="714">
        <v>5</v>
      </c>
      <c r="B9" s="715" t="s">
        <v>290</v>
      </c>
      <c r="C9" s="716">
        <v>0.30034176680690844</v>
      </c>
      <c r="D9" s="716">
        <v>0.24620805681991237</v>
      </c>
      <c r="E9" s="716">
        <v>1.07</v>
      </c>
      <c r="F9" s="717">
        <v>1.06</v>
      </c>
      <c r="G9" s="717">
        <v>0</v>
      </c>
      <c r="H9" s="716">
        <v>0</v>
      </c>
    </row>
    <row r="10" spans="1:8" s="603" customFormat="1" ht="15" customHeight="1" x14ac:dyDescent="0.25">
      <c r="A10" s="714">
        <v>6</v>
      </c>
      <c r="B10" s="715" t="s">
        <v>291</v>
      </c>
      <c r="C10" s="716">
        <v>3.864492569917289E-2</v>
      </c>
      <c r="D10" s="716">
        <v>4.0442149549410847E-2</v>
      </c>
      <c r="E10" s="716">
        <v>0.28999999999999998</v>
      </c>
      <c r="F10" s="717">
        <v>0.28000000000000003</v>
      </c>
      <c r="G10" s="717">
        <v>0</v>
      </c>
      <c r="H10" s="716">
        <v>0</v>
      </c>
    </row>
    <row r="11" spans="1:8" s="603" customFormat="1" ht="15" customHeight="1" x14ac:dyDescent="0.25">
      <c r="A11" s="714">
        <v>7</v>
      </c>
      <c r="B11" s="715" t="s">
        <v>292</v>
      </c>
      <c r="C11" s="716">
        <v>1.211255341389391E-2</v>
      </c>
      <c r="D11" s="716">
        <v>1.1868078537260358E-2</v>
      </c>
      <c r="E11" s="716">
        <v>0.05</v>
      </c>
      <c r="F11" s="717">
        <v>0.05</v>
      </c>
      <c r="G11" s="717">
        <v>0</v>
      </c>
      <c r="H11" s="716">
        <v>0</v>
      </c>
    </row>
    <row r="12" spans="1:8" s="603" customFormat="1" ht="15" customHeight="1" x14ac:dyDescent="0.25">
      <c r="A12" s="714">
        <v>8</v>
      </c>
      <c r="B12" s="715" t="s">
        <v>293</v>
      </c>
      <c r="C12" s="716">
        <v>0.95629040310996127</v>
      </c>
      <c r="D12" s="716">
        <v>0.90566376073237964</v>
      </c>
      <c r="E12" s="716">
        <v>2.27</v>
      </c>
      <c r="F12" s="717">
        <v>2.27</v>
      </c>
      <c r="G12" s="717">
        <v>50.417867698647875</v>
      </c>
      <c r="H12" s="716">
        <v>50.741771627687982</v>
      </c>
    </row>
    <row r="13" spans="1:8" s="603" customFormat="1" ht="15" customHeight="1" x14ac:dyDescent="0.25">
      <c r="A13" s="714">
        <v>9</v>
      </c>
      <c r="B13" s="715" t="s">
        <v>294</v>
      </c>
      <c r="C13" s="716">
        <v>2.3914876016265078E-2</v>
      </c>
      <c r="D13" s="716">
        <v>2.3554290081386459E-2</v>
      </c>
      <c r="E13" s="716">
        <v>0</v>
      </c>
      <c r="F13" s="717">
        <v>0</v>
      </c>
      <c r="G13" s="717">
        <v>0</v>
      </c>
      <c r="H13" s="716">
        <v>0</v>
      </c>
    </row>
    <row r="14" spans="1:8" s="603" customFormat="1" ht="15" customHeight="1" x14ac:dyDescent="0.25">
      <c r="A14" s="714">
        <v>10</v>
      </c>
      <c r="B14" s="715" t="s">
        <v>295</v>
      </c>
      <c r="C14" s="716">
        <v>0.111828923336208</v>
      </c>
      <c r="D14" s="716">
        <v>9.8380325470786539E-2</v>
      </c>
      <c r="E14" s="716">
        <v>2.84</v>
      </c>
      <c r="F14" s="717">
        <v>2.67</v>
      </c>
      <c r="G14" s="717">
        <v>0</v>
      </c>
      <c r="H14" s="716">
        <v>0</v>
      </c>
    </row>
    <row r="15" spans="1:8" s="603" customFormat="1" ht="15" customHeight="1" x14ac:dyDescent="0.25">
      <c r="A15" s="714">
        <v>11</v>
      </c>
      <c r="B15" s="715" t="s">
        <v>296</v>
      </c>
      <c r="C15" s="716">
        <v>0.32984316740159525</v>
      </c>
      <c r="D15" s="716">
        <v>0.32295125757757992</v>
      </c>
      <c r="E15" s="716">
        <v>0.19</v>
      </c>
      <c r="F15" s="717">
        <v>0.17</v>
      </c>
      <c r="G15" s="717">
        <v>0</v>
      </c>
      <c r="H15" s="716">
        <v>0</v>
      </c>
    </row>
    <row r="16" spans="1:8" s="603" customFormat="1" ht="15" customHeight="1" x14ac:dyDescent="0.25">
      <c r="A16" s="714">
        <v>12</v>
      </c>
      <c r="B16" s="715" t="s">
        <v>297</v>
      </c>
      <c r="C16" s="716">
        <v>0.53073677891120619</v>
      </c>
      <c r="D16" s="716">
        <v>0.50993290709098882</v>
      </c>
      <c r="E16" s="716">
        <v>0.17</v>
      </c>
      <c r="F16" s="717">
        <v>0.16</v>
      </c>
      <c r="G16" s="717">
        <v>0</v>
      </c>
      <c r="H16" s="716">
        <v>0</v>
      </c>
    </row>
    <row r="17" spans="1:8" s="603" customFormat="1" ht="15" customHeight="1" x14ac:dyDescent="0.25">
      <c r="A17" s="714">
        <v>13</v>
      </c>
      <c r="B17" s="715" t="s">
        <v>298</v>
      </c>
      <c r="C17" s="716">
        <v>7.9755679883347017E-2</v>
      </c>
      <c r="D17" s="716">
        <v>8.2026237284088019E-2</v>
      </c>
      <c r="E17" s="716">
        <v>0.15</v>
      </c>
      <c r="F17" s="717">
        <v>0.14000000000000001</v>
      </c>
      <c r="G17" s="717">
        <v>0</v>
      </c>
      <c r="H17" s="716">
        <v>0</v>
      </c>
    </row>
    <row r="18" spans="1:8" s="603" customFormat="1" ht="15" customHeight="1" x14ac:dyDescent="0.25">
      <c r="A18" s="714">
        <v>14</v>
      </c>
      <c r="B18" s="715" t="s">
        <v>299</v>
      </c>
      <c r="C18" s="716">
        <v>2.8205459673376279</v>
      </c>
      <c r="D18" s="716">
        <v>2.8293229277505638</v>
      </c>
      <c r="E18" s="716">
        <v>1.6</v>
      </c>
      <c r="F18" s="717">
        <v>1.58</v>
      </c>
      <c r="G18" s="717">
        <v>0</v>
      </c>
      <c r="H18" s="716">
        <v>0</v>
      </c>
    </row>
    <row r="19" spans="1:8" s="603" customFormat="1" ht="15" customHeight="1" x14ac:dyDescent="0.25">
      <c r="A19" s="714">
        <v>15</v>
      </c>
      <c r="B19" s="715" t="s">
        <v>300</v>
      </c>
      <c r="C19" s="716">
        <v>7.4673848035267582E-2</v>
      </c>
      <c r="D19" s="716">
        <v>7.6961376083596184E-2</v>
      </c>
      <c r="E19" s="716">
        <v>0.03</v>
      </c>
      <c r="F19" s="717">
        <v>0.03</v>
      </c>
      <c r="G19" s="717">
        <v>0</v>
      </c>
      <c r="H19" s="716">
        <v>0</v>
      </c>
    </row>
    <row r="20" spans="1:8" s="603" customFormat="1" ht="15" customHeight="1" x14ac:dyDescent="0.25">
      <c r="A20" s="714">
        <v>16</v>
      </c>
      <c r="B20" s="715" t="s">
        <v>301</v>
      </c>
      <c r="C20" s="716">
        <v>9.4609319499125589E-3</v>
      </c>
      <c r="D20" s="716">
        <v>8.0053978216301398E-3</v>
      </c>
      <c r="E20" s="716">
        <v>0</v>
      </c>
      <c r="F20" s="717">
        <v>0</v>
      </c>
      <c r="G20" s="717">
        <v>0</v>
      </c>
      <c r="H20" s="716">
        <v>0</v>
      </c>
    </row>
    <row r="21" spans="1:8" s="603" customFormat="1" ht="15" customHeight="1" x14ac:dyDescent="0.25">
      <c r="A21" s="714">
        <v>17</v>
      </c>
      <c r="B21" s="715" t="s">
        <v>302</v>
      </c>
      <c r="C21" s="716">
        <v>29.504017871492632</v>
      </c>
      <c r="D21" s="716">
        <v>30.077113239656651</v>
      </c>
      <c r="E21" s="716">
        <v>64.45</v>
      </c>
      <c r="F21" s="717">
        <v>64.53</v>
      </c>
      <c r="G21" s="717">
        <v>0</v>
      </c>
      <c r="H21" s="716">
        <v>0</v>
      </c>
    </row>
    <row r="22" spans="1:8" s="603" customFormat="1" ht="15" customHeight="1" x14ac:dyDescent="0.25">
      <c r="A22" s="714">
        <v>18</v>
      </c>
      <c r="B22" s="715" t="s">
        <v>303</v>
      </c>
      <c r="C22" s="716">
        <v>1.387106687693887E-2</v>
      </c>
      <c r="D22" s="716">
        <v>1.4390143820291492E-2</v>
      </c>
      <c r="E22" s="716">
        <v>0</v>
      </c>
      <c r="F22" s="717">
        <v>0</v>
      </c>
      <c r="G22" s="717">
        <v>0</v>
      </c>
      <c r="H22" s="716">
        <v>0</v>
      </c>
    </row>
    <row r="23" spans="1:8" s="603" customFormat="1" ht="15" customHeight="1" x14ac:dyDescent="0.25">
      <c r="A23" s="714">
        <v>19</v>
      </c>
      <c r="B23" s="715" t="s">
        <v>304</v>
      </c>
      <c r="C23" s="716">
        <v>0.20311408217757215</v>
      </c>
      <c r="D23" s="716">
        <v>0.17010490666217484</v>
      </c>
      <c r="E23" s="716">
        <v>0.35</v>
      </c>
      <c r="F23" s="717">
        <v>0.34</v>
      </c>
      <c r="G23" s="717">
        <v>0</v>
      </c>
      <c r="H23" s="716">
        <v>0</v>
      </c>
    </row>
    <row r="24" spans="1:8" s="603" customFormat="1" ht="15" customHeight="1" x14ac:dyDescent="0.25">
      <c r="A24" s="714">
        <v>20</v>
      </c>
      <c r="B24" s="715" t="s">
        <v>305</v>
      </c>
      <c r="C24" s="716">
        <v>1.2864553126267859</v>
      </c>
      <c r="D24" s="716">
        <v>1.2956233865355125</v>
      </c>
      <c r="E24" s="716">
        <v>0.53</v>
      </c>
      <c r="F24" s="717">
        <v>0.53</v>
      </c>
      <c r="G24" s="717">
        <v>0</v>
      </c>
      <c r="H24" s="716">
        <v>0</v>
      </c>
    </row>
    <row r="25" spans="1:8" s="603" customFormat="1" ht="15" customHeight="1" x14ac:dyDescent="0.25">
      <c r="A25" s="714">
        <v>21</v>
      </c>
      <c r="B25" s="715" t="s">
        <v>306</v>
      </c>
      <c r="C25" s="716">
        <v>37.212988610203531</v>
      </c>
      <c r="D25" s="716">
        <v>36.686228531863293</v>
      </c>
      <c r="E25" s="716">
        <v>7.79</v>
      </c>
      <c r="F25" s="717">
        <v>7.65</v>
      </c>
      <c r="G25" s="717">
        <v>49.582132301352118</v>
      </c>
      <c r="H25" s="716">
        <v>49.258228372312026</v>
      </c>
    </row>
    <row r="26" spans="1:8" s="603" customFormat="1" ht="13.5" customHeight="1" x14ac:dyDescent="0.25">
      <c r="A26" s="715"/>
      <c r="B26" s="715" t="s">
        <v>96</v>
      </c>
      <c r="C26" s="718">
        <v>100</v>
      </c>
      <c r="D26" s="718">
        <v>100</v>
      </c>
      <c r="E26" s="718">
        <v>100</v>
      </c>
      <c r="F26" s="719">
        <v>100</v>
      </c>
      <c r="G26" s="719">
        <v>100</v>
      </c>
      <c r="H26" s="718">
        <v>100</v>
      </c>
    </row>
    <row r="27" spans="1:8" s="603" customFormat="1" ht="13.5" customHeight="1" x14ac:dyDescent="0.25">
      <c r="A27" s="168"/>
      <c r="B27" s="168"/>
      <c r="C27" s="177"/>
      <c r="D27" s="177"/>
      <c r="E27" s="177"/>
      <c r="F27" s="178"/>
      <c r="G27" s="178"/>
      <c r="H27" s="177"/>
    </row>
    <row r="28" spans="1:8" s="603" customFormat="1" ht="14.25" customHeight="1" x14ac:dyDescent="0.25">
      <c r="A28" s="1319" t="s">
        <v>81</v>
      </c>
      <c r="B28" s="1319"/>
      <c r="C28" s="1319"/>
      <c r="D28" s="1319"/>
      <c r="E28" s="1319"/>
      <c r="F28" s="1319"/>
      <c r="G28" s="1319"/>
      <c r="H28" s="1319"/>
    </row>
    <row r="29" spans="1:8" s="603" customFormat="1" ht="35.25" customHeight="1" x14ac:dyDescent="0.25">
      <c r="A29" s="1320" t="s">
        <v>307</v>
      </c>
      <c r="B29" s="1320"/>
      <c r="C29" s="1320"/>
      <c r="D29" s="1320"/>
      <c r="E29" s="1320"/>
      <c r="F29" s="1320"/>
      <c r="G29" s="1320"/>
      <c r="H29" s="1320"/>
    </row>
    <row r="30" spans="1:8" s="603" customFormat="1" ht="13.5" customHeight="1" x14ac:dyDescent="0.25">
      <c r="A30" s="1319" t="s">
        <v>171</v>
      </c>
      <c r="B30" s="1319"/>
      <c r="C30" s="1319"/>
      <c r="D30" s="1319"/>
      <c r="E30" s="1319"/>
      <c r="F30" s="1319"/>
      <c r="G30" s="1319"/>
      <c r="H30" s="1319"/>
    </row>
    <row r="31" spans="1:8" x14ac:dyDescent="0.25">
      <c r="A31" s="1126" t="s">
        <v>1401</v>
      </c>
    </row>
  </sheetData>
  <mergeCells count="9">
    <mergeCell ref="A30:H30"/>
    <mergeCell ref="A28:H28"/>
    <mergeCell ref="A29:H29"/>
    <mergeCell ref="A2:H2"/>
    <mergeCell ref="A3:A4"/>
    <mergeCell ref="B3:B4"/>
    <mergeCell ref="C3:D3"/>
    <mergeCell ref="E3:F3"/>
    <mergeCell ref="G3:H3"/>
  </mergeCells>
  <printOptions horizontalCentered="1"/>
  <pageMargins left="0.78431372549019618" right="0.78431372549019618" top="0.98039215686274517" bottom="0.98039215686274517" header="0.50980392156862753" footer="0.50980392156862753"/>
  <pageSetup paperSize="9" scale="92" orientation="landscape"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
  <sheetViews>
    <sheetView zoomScaleNormal="100" workbookViewId="0">
      <selection activeCell="E7" sqref="E7"/>
    </sheetView>
  </sheetViews>
  <sheetFormatPr defaultColWidth="9.140625" defaultRowHeight="15" x14ac:dyDescent="0.25"/>
  <cols>
    <col min="1" max="6" width="14.5703125" style="127" bestFit="1" customWidth="1"/>
    <col min="7" max="7" width="5.42578125" style="127" bestFit="1" customWidth="1"/>
    <col min="8" max="16384" width="9.140625" style="127"/>
  </cols>
  <sheetData>
    <row r="1" spans="1:7" x14ac:dyDescent="0.25">
      <c r="A1" s="369" t="s">
        <v>17</v>
      </c>
      <c r="B1" s="369"/>
      <c r="C1" s="369"/>
      <c r="D1" s="369"/>
      <c r="E1" s="369"/>
      <c r="F1" s="369"/>
    </row>
    <row r="2" spans="1:7" s="603" customFormat="1" ht="18" customHeight="1" x14ac:dyDescent="0.25">
      <c r="A2" s="1294" t="s">
        <v>116</v>
      </c>
      <c r="B2" s="1321" t="s">
        <v>308</v>
      </c>
      <c r="C2" s="1322"/>
      <c r="D2" s="1322"/>
      <c r="E2" s="1322"/>
      <c r="F2" s="1323"/>
    </row>
    <row r="3" spans="1:7" s="603" customFormat="1" ht="18" customHeight="1" x14ac:dyDescent="0.25">
      <c r="A3" s="1324"/>
      <c r="B3" s="699" t="s">
        <v>309</v>
      </c>
      <c r="C3" s="699" t="s">
        <v>310</v>
      </c>
      <c r="D3" s="699" t="s">
        <v>80</v>
      </c>
      <c r="E3" s="699" t="s">
        <v>311</v>
      </c>
      <c r="F3" s="699" t="s">
        <v>306</v>
      </c>
    </row>
    <row r="4" spans="1:7" s="132" customFormat="1" ht="18" customHeight="1" x14ac:dyDescent="0.25">
      <c r="A4" s="1157" t="s">
        <v>532</v>
      </c>
      <c r="B4" s="720">
        <v>34.431982336452869</v>
      </c>
      <c r="C4" s="720">
        <v>13.0199984621889</v>
      </c>
      <c r="D4" s="720">
        <v>3.2849058607471351</v>
      </c>
      <c r="E4" s="720">
        <v>0.13515121235006566</v>
      </c>
      <c r="F4" s="720">
        <v>49.127962128261025</v>
      </c>
    </row>
    <row r="5" spans="1:7" s="132" customFormat="1" ht="18" customHeight="1" x14ac:dyDescent="0.25">
      <c r="A5" s="1158" t="s">
        <v>1413</v>
      </c>
      <c r="B5" s="721">
        <v>38.693026054611508</v>
      </c>
      <c r="C5" s="721">
        <v>6.293035594966927</v>
      </c>
      <c r="D5" s="721">
        <v>3.2734927665522711</v>
      </c>
      <c r="E5" s="721">
        <v>8.9228045416788374E-2</v>
      </c>
      <c r="F5" s="721">
        <v>51.651217538452507</v>
      </c>
      <c r="G5" s="179"/>
    </row>
    <row r="6" spans="1:7" s="603" customFormat="1" ht="18" customHeight="1" x14ac:dyDescent="0.25">
      <c r="A6" s="221">
        <v>45383</v>
      </c>
      <c r="B6" s="582">
        <v>38.581507405826095</v>
      </c>
      <c r="C6" s="582">
        <v>6.1647818120874911</v>
      </c>
      <c r="D6" s="582">
        <v>2.7451590559904235</v>
      </c>
      <c r="E6" s="582">
        <v>5.6915565716708369E-3</v>
      </c>
      <c r="F6" s="582">
        <v>52.502860169524311</v>
      </c>
    </row>
    <row r="7" spans="1:7" s="603" customFormat="1" ht="18" customHeight="1" x14ac:dyDescent="0.25">
      <c r="A7" s="221">
        <v>45413</v>
      </c>
      <c r="B7" s="582">
        <v>38.793481223311346</v>
      </c>
      <c r="C7" s="582">
        <v>6.4085656478851396</v>
      </c>
      <c r="D7" s="582">
        <v>3.7494118401991301</v>
      </c>
      <c r="E7" s="582">
        <v>0.16447709273690175</v>
      </c>
      <c r="F7" s="582">
        <v>50.884064195867481</v>
      </c>
    </row>
    <row r="8" spans="1:7" s="603" customFormat="1" ht="18" customHeight="1" x14ac:dyDescent="0.25">
      <c r="A8" s="221">
        <v>45444</v>
      </c>
      <c r="B8" s="582"/>
      <c r="C8" s="582"/>
      <c r="D8" s="582"/>
      <c r="E8" s="582"/>
      <c r="F8" s="582"/>
    </row>
    <row r="9" spans="1:7" s="603" customFormat="1" ht="18" customHeight="1" x14ac:dyDescent="0.25">
      <c r="A9" s="221">
        <v>45474</v>
      </c>
      <c r="B9" s="582"/>
      <c r="C9" s="582"/>
      <c r="D9" s="582"/>
      <c r="E9" s="582"/>
      <c r="F9" s="582"/>
    </row>
    <row r="10" spans="1:7" s="603" customFormat="1" ht="18" customHeight="1" x14ac:dyDescent="0.25">
      <c r="A10" s="221">
        <v>45505</v>
      </c>
      <c r="B10" s="582"/>
      <c r="C10" s="582"/>
      <c r="D10" s="582"/>
      <c r="E10" s="582"/>
      <c r="F10" s="582"/>
    </row>
    <row r="11" spans="1:7" s="603" customFormat="1" ht="13.5" customHeight="1" x14ac:dyDescent="0.25">
      <c r="A11" s="221">
        <v>45536</v>
      </c>
      <c r="B11" s="582"/>
      <c r="C11" s="582"/>
      <c r="D11" s="582"/>
      <c r="E11" s="582"/>
      <c r="F11" s="582"/>
    </row>
    <row r="12" spans="1:7" s="603" customFormat="1" x14ac:dyDescent="0.25">
      <c r="A12" s="221">
        <v>45566</v>
      </c>
      <c r="B12" s="582"/>
      <c r="C12" s="582"/>
      <c r="D12" s="582"/>
      <c r="E12" s="582"/>
      <c r="F12" s="582"/>
    </row>
    <row r="13" spans="1:7" s="603" customFormat="1" ht="13.5" customHeight="1" x14ac:dyDescent="0.25">
      <c r="A13" s="221">
        <v>45597</v>
      </c>
      <c r="B13" s="582"/>
      <c r="C13" s="582"/>
      <c r="D13" s="582"/>
      <c r="E13" s="582"/>
      <c r="F13" s="582"/>
    </row>
    <row r="14" spans="1:7" s="603" customFormat="1" x14ac:dyDescent="0.25">
      <c r="A14" s="221">
        <v>45627</v>
      </c>
      <c r="B14" s="582"/>
      <c r="C14" s="582"/>
      <c r="D14" s="582"/>
      <c r="E14" s="582"/>
      <c r="F14" s="582"/>
    </row>
    <row r="15" spans="1:7" s="603" customFormat="1" x14ac:dyDescent="0.25">
      <c r="A15" s="221">
        <v>45658</v>
      </c>
      <c r="B15" s="582"/>
      <c r="C15" s="582"/>
      <c r="D15" s="582"/>
      <c r="E15" s="582"/>
      <c r="F15" s="582"/>
    </row>
    <row r="16" spans="1:7" s="603" customFormat="1" x14ac:dyDescent="0.25">
      <c r="A16" s="221">
        <v>45689</v>
      </c>
      <c r="B16" s="582"/>
      <c r="C16" s="582"/>
      <c r="D16" s="582"/>
      <c r="E16" s="582"/>
      <c r="F16" s="582"/>
    </row>
    <row r="17" spans="1:6" s="603" customFormat="1" x14ac:dyDescent="0.25">
      <c r="A17" s="221">
        <v>45717</v>
      </c>
      <c r="B17" s="582"/>
      <c r="C17" s="582"/>
      <c r="D17" s="582"/>
      <c r="E17" s="582"/>
      <c r="F17" s="582"/>
    </row>
    <row r="18" spans="1:6" s="603" customFormat="1" ht="15" customHeight="1" x14ac:dyDescent="0.25">
      <c r="A18" s="168"/>
      <c r="B18" s="722"/>
      <c r="C18" s="722"/>
      <c r="D18" s="722"/>
      <c r="E18" s="722"/>
      <c r="F18" s="722"/>
    </row>
    <row r="19" spans="1:6" s="603" customFormat="1" x14ac:dyDescent="0.25">
      <c r="A19" s="1284" t="s">
        <v>312</v>
      </c>
      <c r="B19" s="1284"/>
      <c r="C19" s="1284"/>
      <c r="D19" s="1284"/>
      <c r="E19" s="1284"/>
    </row>
    <row r="20" spans="1:6" s="603" customFormat="1" x14ac:dyDescent="0.25">
      <c r="A20" s="1126" t="s">
        <v>1401</v>
      </c>
    </row>
    <row r="21" spans="1:6" s="603" customFormat="1" x14ac:dyDescent="0.25">
      <c r="A21" s="127"/>
      <c r="B21" s="127"/>
      <c r="C21" s="127"/>
      <c r="D21" s="127"/>
      <c r="E21" s="127"/>
    </row>
  </sheetData>
  <mergeCells count="3">
    <mergeCell ref="A2:A3"/>
    <mergeCell ref="B2:F2"/>
    <mergeCell ref="A19:E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zoomScaleNormal="100" workbookViewId="0">
      <selection activeCell="A2" sqref="A2"/>
    </sheetView>
  </sheetViews>
  <sheetFormatPr defaultColWidth="9.140625" defaultRowHeight="15" x14ac:dyDescent="0.25"/>
  <cols>
    <col min="1" max="6" width="14.5703125" style="127" bestFit="1" customWidth="1"/>
    <col min="7" max="7" width="4.5703125" style="127" bestFit="1" customWidth="1"/>
    <col min="8" max="16384" width="9.140625" style="127"/>
  </cols>
  <sheetData>
    <row r="1" spans="1:6" ht="18" customHeight="1" x14ac:dyDescent="0.25">
      <c r="A1" s="369" t="s">
        <v>18</v>
      </c>
      <c r="B1" s="369"/>
      <c r="C1" s="369"/>
      <c r="D1" s="369"/>
      <c r="E1" s="369"/>
      <c r="F1" s="369"/>
    </row>
    <row r="2" spans="1:6" s="603" customFormat="1" ht="18" customHeight="1" x14ac:dyDescent="0.25">
      <c r="A2" s="723" t="s">
        <v>313</v>
      </c>
      <c r="B2" s="1290" t="s">
        <v>308</v>
      </c>
      <c r="C2" s="1327"/>
      <c r="D2" s="1327"/>
      <c r="E2" s="1327"/>
      <c r="F2" s="1328"/>
    </row>
    <row r="3" spans="1:6" s="603" customFormat="1" ht="18" customHeight="1" x14ac:dyDescent="0.25">
      <c r="A3" s="649"/>
      <c r="B3" s="699" t="s">
        <v>309</v>
      </c>
      <c r="C3" s="699" t="s">
        <v>310</v>
      </c>
      <c r="D3" s="699" t="s">
        <v>80</v>
      </c>
      <c r="E3" s="699" t="s">
        <v>311</v>
      </c>
      <c r="F3" s="699" t="s">
        <v>306</v>
      </c>
    </row>
    <row r="4" spans="1:6" s="132" customFormat="1" ht="18" customHeight="1" x14ac:dyDescent="0.25">
      <c r="A4" s="1157" t="s">
        <v>532</v>
      </c>
      <c r="B4" s="720">
        <v>28.24</v>
      </c>
      <c r="C4" s="720">
        <v>14.43</v>
      </c>
      <c r="D4" s="720">
        <v>7.78</v>
      </c>
      <c r="E4" s="720">
        <v>0.24</v>
      </c>
      <c r="F4" s="720">
        <v>49.31</v>
      </c>
    </row>
    <row r="5" spans="1:6" s="132" customFormat="1" ht="18" customHeight="1" x14ac:dyDescent="0.25">
      <c r="A5" s="1158" t="s">
        <v>1413</v>
      </c>
      <c r="B5" s="724">
        <v>29.2</v>
      </c>
      <c r="C5" s="724">
        <v>15</v>
      </c>
      <c r="D5" s="724">
        <v>8.52</v>
      </c>
      <c r="E5" s="724">
        <v>0.17</v>
      </c>
      <c r="F5" s="724">
        <v>47.11</v>
      </c>
    </row>
    <row r="6" spans="1:6" s="603" customFormat="1" ht="18" customHeight="1" x14ac:dyDescent="0.25">
      <c r="A6" s="221">
        <v>45383</v>
      </c>
      <c r="B6" s="582">
        <v>29.27</v>
      </c>
      <c r="C6" s="582">
        <v>13.71</v>
      </c>
      <c r="D6" s="582">
        <v>8.48</v>
      </c>
      <c r="E6" s="582">
        <v>0.16</v>
      </c>
      <c r="F6" s="582">
        <v>48.39</v>
      </c>
    </row>
    <row r="7" spans="1:6" s="603" customFormat="1" ht="18" customHeight="1" x14ac:dyDescent="0.25">
      <c r="A7" s="221">
        <v>45413</v>
      </c>
      <c r="B7" s="582">
        <v>29.15</v>
      </c>
      <c r="C7" s="582">
        <v>16.100000000000001</v>
      </c>
      <c r="D7" s="582">
        <v>8.5500000000000007</v>
      </c>
      <c r="E7" s="582">
        <v>0.19</v>
      </c>
      <c r="F7" s="582">
        <v>46.01</v>
      </c>
    </row>
    <row r="8" spans="1:6" s="603" customFormat="1" ht="18" customHeight="1" x14ac:dyDescent="0.25">
      <c r="A8" s="221">
        <v>45444</v>
      </c>
      <c r="B8" s="582"/>
      <c r="C8" s="582"/>
      <c r="D8" s="582"/>
      <c r="E8" s="582"/>
      <c r="F8" s="582"/>
    </row>
    <row r="9" spans="1:6" s="603" customFormat="1" ht="18" customHeight="1" x14ac:dyDescent="0.25">
      <c r="A9" s="221">
        <v>45474</v>
      </c>
      <c r="B9" s="582"/>
      <c r="C9" s="582"/>
      <c r="D9" s="582"/>
      <c r="E9" s="582"/>
      <c r="F9" s="582"/>
    </row>
    <row r="10" spans="1:6" s="603" customFormat="1" ht="18" customHeight="1" x14ac:dyDescent="0.25">
      <c r="A10" s="221">
        <v>45505</v>
      </c>
      <c r="B10" s="582"/>
      <c r="C10" s="582"/>
      <c r="D10" s="582"/>
      <c r="E10" s="582"/>
      <c r="F10" s="582"/>
    </row>
    <row r="11" spans="1:6" s="603" customFormat="1" ht="18" customHeight="1" x14ac:dyDescent="0.25">
      <c r="A11" s="221">
        <v>45536</v>
      </c>
      <c r="B11" s="582"/>
      <c r="C11" s="582"/>
      <c r="D11" s="582"/>
      <c r="E11" s="582"/>
      <c r="F11" s="582"/>
    </row>
    <row r="12" spans="1:6" s="603" customFormat="1" x14ac:dyDescent="0.25">
      <c r="A12" s="221">
        <v>45566</v>
      </c>
      <c r="B12" s="582"/>
      <c r="C12" s="582"/>
      <c r="D12" s="582"/>
      <c r="E12" s="582"/>
      <c r="F12" s="582"/>
    </row>
    <row r="13" spans="1:6" s="603" customFormat="1" ht="13.5" customHeight="1" x14ac:dyDescent="0.25">
      <c r="A13" s="221">
        <v>45597</v>
      </c>
      <c r="B13" s="582"/>
      <c r="C13" s="582"/>
      <c r="D13" s="582"/>
      <c r="E13" s="582"/>
      <c r="F13" s="582"/>
    </row>
    <row r="14" spans="1:6" s="603" customFormat="1" x14ac:dyDescent="0.25">
      <c r="A14" s="221">
        <v>45627</v>
      </c>
      <c r="B14" s="582"/>
      <c r="C14" s="582"/>
      <c r="D14" s="582"/>
      <c r="E14" s="582"/>
      <c r="F14" s="582"/>
    </row>
    <row r="15" spans="1:6" s="603" customFormat="1" x14ac:dyDescent="0.25">
      <c r="A15" s="221">
        <v>45658</v>
      </c>
      <c r="B15" s="582"/>
      <c r="C15" s="582"/>
      <c r="D15" s="582"/>
      <c r="E15" s="582"/>
      <c r="F15" s="582"/>
    </row>
    <row r="16" spans="1:6" s="603" customFormat="1" x14ac:dyDescent="0.25">
      <c r="A16" s="221">
        <v>45689</v>
      </c>
      <c r="B16" s="582"/>
      <c r="C16" s="582"/>
      <c r="D16" s="582"/>
      <c r="E16" s="582"/>
      <c r="F16" s="582"/>
    </row>
    <row r="17" spans="1:6" s="603" customFormat="1" x14ac:dyDescent="0.25">
      <c r="A17" s="221">
        <v>45717</v>
      </c>
      <c r="B17" s="582"/>
      <c r="C17" s="582"/>
      <c r="D17" s="582"/>
      <c r="E17" s="582"/>
      <c r="F17" s="582"/>
    </row>
    <row r="18" spans="1:6" s="603" customFormat="1" x14ac:dyDescent="0.25">
      <c r="A18" s="168"/>
      <c r="B18" s="722"/>
      <c r="C18" s="722"/>
      <c r="D18" s="722"/>
      <c r="E18" s="722"/>
      <c r="F18" s="722"/>
    </row>
    <row r="19" spans="1:6" s="603" customFormat="1" x14ac:dyDescent="0.25">
      <c r="A19" s="1284" t="s">
        <v>314</v>
      </c>
      <c r="B19" s="1284"/>
      <c r="C19" s="1284"/>
      <c r="D19" s="1284"/>
      <c r="E19" s="1284"/>
      <c r="F19" s="1284"/>
    </row>
    <row r="20" spans="1:6" s="603" customFormat="1" x14ac:dyDescent="0.25">
      <c r="A20" s="1126" t="s">
        <v>1401</v>
      </c>
    </row>
    <row r="21" spans="1:6" s="603" customFormat="1" x14ac:dyDescent="0.25">
      <c r="A21" s="127"/>
      <c r="B21" s="127"/>
      <c r="C21" s="127"/>
      <c r="D21" s="127"/>
      <c r="E21" s="127"/>
      <c r="F21" s="127"/>
    </row>
  </sheetData>
  <mergeCells count="2">
    <mergeCell ref="B2:F2"/>
    <mergeCell ref="A19:F19"/>
  </mergeCells>
  <printOptions horizontalCentered="1"/>
  <pageMargins left="0.78431372549019618" right="0.78431372549019618" top="0.98039215686274517" bottom="0.98039215686274517" header="0.50980392156862753" footer="0.50980392156862753"/>
  <pageSetup paperSize="9" scale="97"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
  <sheetViews>
    <sheetView topLeftCell="A2" zoomScaleNormal="100" workbookViewId="0">
      <selection activeCell="A20" sqref="A20"/>
    </sheetView>
  </sheetViews>
  <sheetFormatPr defaultColWidth="9.140625" defaultRowHeight="15" x14ac:dyDescent="0.25"/>
  <cols>
    <col min="1" max="6" width="14.5703125" style="127" bestFit="1" customWidth="1"/>
    <col min="7" max="7" width="4.5703125" style="127" bestFit="1" customWidth="1"/>
    <col min="8" max="16384" width="9.140625" style="127"/>
  </cols>
  <sheetData>
    <row r="1" spans="1:6" ht="21" customHeight="1" x14ac:dyDescent="0.25">
      <c r="A1" s="571" t="s">
        <v>19</v>
      </c>
      <c r="B1" s="571"/>
      <c r="C1" s="571"/>
      <c r="D1" s="571"/>
      <c r="E1" s="571"/>
    </row>
    <row r="2" spans="1:6" s="603" customFormat="1" ht="18.75" customHeight="1" x14ac:dyDescent="0.25">
      <c r="A2" s="1329" t="s">
        <v>116</v>
      </c>
      <c r="B2" s="1290" t="s">
        <v>308</v>
      </c>
      <c r="C2" s="1291"/>
      <c r="D2" s="1291"/>
      <c r="E2" s="1291"/>
      <c r="F2" s="1296"/>
    </row>
    <row r="3" spans="1:6" s="603" customFormat="1" ht="18" customHeight="1" x14ac:dyDescent="0.25">
      <c r="A3" s="1330"/>
      <c r="B3" s="699" t="s">
        <v>309</v>
      </c>
      <c r="C3" s="699" t="s">
        <v>310</v>
      </c>
      <c r="D3" s="699" t="s">
        <v>80</v>
      </c>
      <c r="E3" s="699" t="s">
        <v>311</v>
      </c>
      <c r="F3" s="699" t="s">
        <v>306</v>
      </c>
    </row>
    <row r="4" spans="1:6" s="132" customFormat="1" ht="18" customHeight="1" x14ac:dyDescent="0.25">
      <c r="A4" s="1157" t="s">
        <v>532</v>
      </c>
      <c r="B4" s="725">
        <v>0</v>
      </c>
      <c r="C4" s="725">
        <v>0</v>
      </c>
      <c r="D4" s="725">
        <v>0</v>
      </c>
      <c r="E4" s="725">
        <v>0</v>
      </c>
      <c r="F4" s="725">
        <v>100</v>
      </c>
    </row>
    <row r="5" spans="1:6" s="132" customFormat="1" ht="18" customHeight="1" x14ac:dyDescent="0.25">
      <c r="A5" s="1158" t="s">
        <v>1413</v>
      </c>
      <c r="B5" s="726">
        <v>0.41786769864788265</v>
      </c>
      <c r="C5" s="726">
        <v>0</v>
      </c>
      <c r="D5" s="726">
        <v>0</v>
      </c>
      <c r="E5" s="726">
        <v>0</v>
      </c>
      <c r="F5" s="726">
        <v>99.582132301352118</v>
      </c>
    </row>
    <row r="6" spans="1:6" s="603" customFormat="1" ht="18" customHeight="1" x14ac:dyDescent="0.25">
      <c r="A6" s="221">
        <v>45383</v>
      </c>
      <c r="B6" s="575">
        <v>0</v>
      </c>
      <c r="C6" s="575">
        <v>0</v>
      </c>
      <c r="D6" s="575">
        <v>0</v>
      </c>
      <c r="E6" s="575">
        <v>0</v>
      </c>
      <c r="F6" s="575">
        <v>100</v>
      </c>
    </row>
    <row r="7" spans="1:6" s="603" customFormat="1" ht="18" customHeight="1" x14ac:dyDescent="0.25">
      <c r="A7" s="221">
        <v>45413</v>
      </c>
      <c r="B7" s="575">
        <v>0.74177162768797822</v>
      </c>
      <c r="C7" s="575">
        <v>0</v>
      </c>
      <c r="D7" s="575">
        <v>0</v>
      </c>
      <c r="E7" s="575">
        <v>0</v>
      </c>
      <c r="F7" s="575">
        <v>99.258228372312018</v>
      </c>
    </row>
    <row r="8" spans="1:6" s="603" customFormat="1" ht="18" customHeight="1" x14ac:dyDescent="0.25">
      <c r="A8" s="221">
        <v>45444</v>
      </c>
      <c r="B8" s="575"/>
      <c r="C8" s="575"/>
      <c r="D8" s="575"/>
      <c r="E8" s="575"/>
      <c r="F8" s="575"/>
    </row>
    <row r="9" spans="1:6" s="603" customFormat="1" ht="18" customHeight="1" x14ac:dyDescent="0.25">
      <c r="A9" s="221">
        <v>45474</v>
      </c>
      <c r="B9" s="575"/>
      <c r="C9" s="575"/>
      <c r="D9" s="575"/>
      <c r="E9" s="575"/>
      <c r="F9" s="575"/>
    </row>
    <row r="10" spans="1:6" s="603" customFormat="1" ht="18" customHeight="1" x14ac:dyDescent="0.25">
      <c r="A10" s="221">
        <v>45505</v>
      </c>
      <c r="B10" s="575"/>
      <c r="C10" s="575"/>
      <c r="D10" s="575"/>
      <c r="E10" s="575"/>
      <c r="F10" s="575"/>
    </row>
    <row r="11" spans="1:6" s="603" customFormat="1" ht="18" customHeight="1" x14ac:dyDescent="0.25">
      <c r="A11" s="221">
        <v>45536</v>
      </c>
      <c r="B11" s="575"/>
      <c r="C11" s="575"/>
      <c r="D11" s="575"/>
      <c r="E11" s="575"/>
      <c r="F11" s="575"/>
    </row>
    <row r="12" spans="1:6" s="603" customFormat="1" ht="18" customHeight="1" x14ac:dyDescent="0.25">
      <c r="A12" s="221">
        <v>45566</v>
      </c>
      <c r="B12" s="575"/>
      <c r="C12" s="575"/>
      <c r="D12" s="575"/>
      <c r="E12" s="575"/>
      <c r="F12" s="575"/>
    </row>
    <row r="13" spans="1:6" s="603" customFormat="1" ht="18" customHeight="1" x14ac:dyDescent="0.25">
      <c r="A13" s="221">
        <v>45597</v>
      </c>
      <c r="B13" s="575"/>
      <c r="C13" s="575"/>
      <c r="D13" s="575"/>
      <c r="E13" s="575"/>
      <c r="F13" s="575"/>
    </row>
    <row r="14" spans="1:6" s="603" customFormat="1" x14ac:dyDescent="0.25">
      <c r="A14" s="221">
        <v>45627</v>
      </c>
      <c r="B14" s="575"/>
      <c r="C14" s="575"/>
      <c r="D14" s="575"/>
      <c r="E14" s="575"/>
      <c r="F14" s="575"/>
    </row>
    <row r="15" spans="1:6" s="603" customFormat="1" x14ac:dyDescent="0.25">
      <c r="A15" s="221">
        <v>45658</v>
      </c>
      <c r="B15" s="575"/>
      <c r="C15" s="575"/>
      <c r="D15" s="575"/>
      <c r="E15" s="575"/>
      <c r="F15" s="575"/>
    </row>
    <row r="16" spans="1:6" s="603" customFormat="1" x14ac:dyDescent="0.25">
      <c r="A16" s="221">
        <v>45689</v>
      </c>
      <c r="B16" s="575"/>
      <c r="C16" s="575"/>
      <c r="D16" s="575"/>
      <c r="E16" s="575"/>
      <c r="F16" s="575"/>
    </row>
    <row r="17" spans="1:6" s="603" customFormat="1" x14ac:dyDescent="0.25">
      <c r="A17" s="221">
        <v>45717</v>
      </c>
      <c r="B17" s="575"/>
      <c r="C17" s="575"/>
      <c r="D17" s="575"/>
      <c r="E17" s="575"/>
      <c r="F17" s="575"/>
    </row>
    <row r="18" spans="1:6" s="603" customFormat="1" x14ac:dyDescent="0.25">
      <c r="A18" s="168"/>
      <c r="B18" s="727"/>
      <c r="C18" s="727"/>
      <c r="D18" s="727"/>
      <c r="E18" s="727"/>
      <c r="F18" s="727"/>
    </row>
    <row r="19" spans="1:6" s="603" customFormat="1" x14ac:dyDescent="0.25">
      <c r="A19" s="1331" t="s">
        <v>315</v>
      </c>
      <c r="B19" s="1331"/>
      <c r="C19" s="1331"/>
      <c r="D19" s="1331"/>
      <c r="E19" s="1331"/>
      <c r="F19" s="1331"/>
    </row>
    <row r="20" spans="1:6" s="603" customFormat="1" x14ac:dyDescent="0.25">
      <c r="A20" s="1126" t="s">
        <v>1401</v>
      </c>
      <c r="B20" s="127"/>
      <c r="C20" s="127"/>
      <c r="D20" s="127"/>
      <c r="E20" s="127"/>
      <c r="F20" s="127"/>
    </row>
  </sheetData>
  <mergeCells count="3">
    <mergeCell ref="A2:A3"/>
    <mergeCell ref="B2:F2"/>
    <mergeCell ref="A19:F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topLeftCell="A10" zoomScaleNormal="100" workbookViewId="0">
      <selection activeCell="A38" sqref="A38:J38"/>
    </sheetView>
  </sheetViews>
  <sheetFormatPr defaultColWidth="9.140625" defaultRowHeight="15" x14ac:dyDescent="0.25"/>
  <cols>
    <col min="1" max="1" width="6.42578125" style="180" bestFit="1" customWidth="1"/>
    <col min="2" max="2" width="20.5703125" style="180" bestFit="1" customWidth="1"/>
    <col min="3" max="3" width="10" style="180" bestFit="1" customWidth="1"/>
    <col min="4" max="4" width="13.85546875" style="180" bestFit="1" customWidth="1"/>
    <col min="5" max="5" width="9.5703125" style="180" customWidth="1"/>
    <col min="6" max="7" width="6" style="180" bestFit="1" customWidth="1"/>
    <col min="8" max="8" width="9.5703125" style="180" bestFit="1" customWidth="1"/>
    <col min="9" max="9" width="10.5703125" style="180" bestFit="1" customWidth="1"/>
    <col min="10" max="11" width="10" style="180" bestFit="1" customWidth="1"/>
    <col min="12" max="16384" width="9.140625" style="180"/>
  </cols>
  <sheetData>
    <row r="1" spans="1:11" ht="15.75" customHeight="1" x14ac:dyDescent="0.25">
      <c r="A1" s="553" t="s">
        <v>1372</v>
      </c>
      <c r="B1" s="553"/>
      <c r="C1" s="553"/>
      <c r="D1" s="553"/>
      <c r="E1" s="553"/>
      <c r="F1" s="553"/>
      <c r="G1" s="553"/>
      <c r="H1" s="553"/>
      <c r="I1" s="553"/>
      <c r="J1" s="553"/>
    </row>
    <row r="2" spans="1:11" s="550" customFormat="1" ht="60" x14ac:dyDescent="0.25">
      <c r="A2" s="728" t="s">
        <v>105</v>
      </c>
      <c r="B2" s="728" t="s">
        <v>316</v>
      </c>
      <c r="C2" s="729" t="s">
        <v>317</v>
      </c>
      <c r="D2" s="729" t="s">
        <v>318</v>
      </c>
      <c r="E2" s="730" t="s">
        <v>319</v>
      </c>
      <c r="F2" s="730" t="s">
        <v>320</v>
      </c>
      <c r="G2" s="730" t="s">
        <v>321</v>
      </c>
      <c r="H2" s="731" t="s">
        <v>322</v>
      </c>
      <c r="I2" s="729" t="s">
        <v>323</v>
      </c>
      <c r="J2" s="729" t="s">
        <v>324</v>
      </c>
    </row>
    <row r="3" spans="1:11" s="550" customFormat="1" ht="15" customHeight="1" x14ac:dyDescent="0.25">
      <c r="A3" s="560">
        <v>1</v>
      </c>
      <c r="B3" s="732" t="s">
        <v>325</v>
      </c>
      <c r="C3" s="561">
        <v>123.8</v>
      </c>
      <c r="D3" s="561">
        <v>186403.462088</v>
      </c>
      <c r="E3" s="562">
        <v>2.2024720597592791</v>
      </c>
      <c r="F3" s="562">
        <v>0.99</v>
      </c>
      <c r="G3" s="563">
        <v>0.180477</v>
      </c>
      <c r="H3" s="563">
        <v>1.5</v>
      </c>
      <c r="I3" s="564">
        <v>-3.2974800000000002</v>
      </c>
      <c r="J3" s="564">
        <v>1.1599999999999999</v>
      </c>
      <c r="K3" s="181"/>
    </row>
    <row r="4" spans="1:11" s="550" customFormat="1" ht="15" customHeight="1" x14ac:dyDescent="0.25">
      <c r="A4" s="560">
        <v>2</v>
      </c>
      <c r="B4" s="732" t="s">
        <v>326</v>
      </c>
      <c r="C4" s="561">
        <v>892.46</v>
      </c>
      <c r="D4" s="561">
        <v>318557.77811200003</v>
      </c>
      <c r="E4" s="562">
        <v>3.7639569450670813</v>
      </c>
      <c r="F4" s="562">
        <v>1.02</v>
      </c>
      <c r="G4" s="563">
        <v>0.245592</v>
      </c>
      <c r="H4" s="563">
        <v>1.34</v>
      </c>
      <c r="I4" s="564">
        <v>0.53288100000000005</v>
      </c>
      <c r="J4" s="564">
        <v>1.27</v>
      </c>
    </row>
    <row r="5" spans="1:11" s="550" customFormat="1" ht="15" customHeight="1" x14ac:dyDescent="0.25">
      <c r="A5" s="560">
        <v>3</v>
      </c>
      <c r="B5" s="732" t="s">
        <v>327</v>
      </c>
      <c r="C5" s="561">
        <v>88.78</v>
      </c>
      <c r="D5" s="561">
        <v>135302.625826</v>
      </c>
      <c r="E5" s="562">
        <v>1.5986841105619862</v>
      </c>
      <c r="F5" s="562">
        <v>0.81</v>
      </c>
      <c r="G5" s="563">
        <v>0.18029899999999999</v>
      </c>
      <c r="H5" s="563">
        <v>1.24</v>
      </c>
      <c r="I5" s="564">
        <v>-9.6540959999999991</v>
      </c>
      <c r="J5" s="564">
        <v>1.01</v>
      </c>
    </row>
    <row r="6" spans="1:11" s="550" customFormat="1" ht="15" customHeight="1" x14ac:dyDescent="0.25">
      <c r="A6" s="560">
        <v>4</v>
      </c>
      <c r="B6" s="732" t="s">
        <v>328</v>
      </c>
      <c r="C6" s="561">
        <v>760.42</v>
      </c>
      <c r="D6" s="561">
        <v>1162765.9964300001</v>
      </c>
      <c r="E6" s="562">
        <v>13.738798574278723</v>
      </c>
      <c r="F6" s="562">
        <v>1.18</v>
      </c>
      <c r="G6" s="563">
        <v>0.40544000000000002</v>
      </c>
      <c r="H6" s="563">
        <v>1.2</v>
      </c>
      <c r="I6" s="564">
        <v>0.90966000000000002</v>
      </c>
      <c r="J6" s="564">
        <v>1.42</v>
      </c>
    </row>
    <row r="7" spans="1:11" s="550" customFormat="1" ht="15" customHeight="1" x14ac:dyDescent="0.25">
      <c r="A7" s="560">
        <v>5</v>
      </c>
      <c r="B7" s="732" t="s">
        <v>329</v>
      </c>
      <c r="C7" s="561">
        <v>2075.9499999999998</v>
      </c>
      <c r="D7" s="561">
        <v>501945.40968799999</v>
      </c>
      <c r="E7" s="562">
        <v>5.9307951042257701</v>
      </c>
      <c r="F7" s="562">
        <v>1.0900000000000001</v>
      </c>
      <c r="G7" s="563">
        <v>0.24226</v>
      </c>
      <c r="H7" s="563">
        <v>1.44</v>
      </c>
      <c r="I7" s="564">
        <v>-1.0449649999999999</v>
      </c>
      <c r="J7" s="564">
        <v>1.19</v>
      </c>
    </row>
    <row r="8" spans="1:11" s="550" customFormat="1" ht="15" customHeight="1" x14ac:dyDescent="0.25">
      <c r="A8" s="560">
        <v>6</v>
      </c>
      <c r="B8" s="732" t="s">
        <v>1123</v>
      </c>
      <c r="C8" s="561">
        <v>244.55</v>
      </c>
      <c r="D8" s="561">
        <v>84066.271703999999</v>
      </c>
      <c r="E8" s="562">
        <v>0.99329493412939995</v>
      </c>
      <c r="F8" s="562">
        <v>1.28</v>
      </c>
      <c r="G8" s="563">
        <v>0.32653199999999999</v>
      </c>
      <c r="H8" s="563">
        <v>1.45</v>
      </c>
      <c r="I8" s="564">
        <v>-0.130296</v>
      </c>
      <c r="J8" s="564">
        <v>0.97</v>
      </c>
    </row>
    <row r="9" spans="1:11" s="550" customFormat="1" ht="15" customHeight="1" x14ac:dyDescent="0.25">
      <c r="A9" s="560">
        <v>7</v>
      </c>
      <c r="B9" s="732" t="s">
        <v>330</v>
      </c>
      <c r="C9" s="561">
        <v>993.97</v>
      </c>
      <c r="D9" s="561">
        <v>240383.45263700001</v>
      </c>
      <c r="E9" s="562">
        <v>2.8402789955237844</v>
      </c>
      <c r="F9" s="562">
        <v>0.92</v>
      </c>
      <c r="G9" s="563">
        <v>0.19672999999999999</v>
      </c>
      <c r="H9" s="563">
        <v>1.34</v>
      </c>
      <c r="I9" s="564">
        <v>3.4457270000000002</v>
      </c>
      <c r="J9" s="564">
        <v>1.1399999999999999</v>
      </c>
    </row>
    <row r="10" spans="1:11" s="550" customFormat="1" ht="15" customHeight="1" x14ac:dyDescent="0.25">
      <c r="A10" s="560">
        <v>8</v>
      </c>
      <c r="B10" s="732" t="s">
        <v>331</v>
      </c>
      <c r="C10" s="561">
        <v>6765.69</v>
      </c>
      <c r="D10" s="561">
        <v>986704.93996600003</v>
      </c>
      <c r="E10" s="562">
        <v>11.65852842623503</v>
      </c>
      <c r="F10" s="562">
        <v>1.17</v>
      </c>
      <c r="G10" s="563">
        <v>0.43581599999999998</v>
      </c>
      <c r="H10" s="563">
        <v>1.1499999999999999</v>
      </c>
      <c r="I10" s="564">
        <v>-2.4410210000000001</v>
      </c>
      <c r="J10" s="564">
        <v>1.36</v>
      </c>
    </row>
    <row r="11" spans="1:11" s="550" customFormat="1" ht="15" customHeight="1" x14ac:dyDescent="0.25">
      <c r="A11" s="560">
        <v>9</v>
      </c>
      <c r="B11" s="732" t="s">
        <v>332</v>
      </c>
      <c r="C11" s="561">
        <v>1248.3399999999999</v>
      </c>
      <c r="D11" s="561">
        <v>136616.19233799999</v>
      </c>
      <c r="E11" s="562">
        <v>1.6142047103883439</v>
      </c>
      <c r="F11" s="562">
        <v>1.4</v>
      </c>
      <c r="G11" s="563">
        <v>0.32136900000000002</v>
      </c>
      <c r="H11" s="563">
        <v>1.6</v>
      </c>
      <c r="I11" s="564">
        <v>1.333737</v>
      </c>
      <c r="J11" s="564">
        <v>1.33</v>
      </c>
    </row>
    <row r="12" spans="1:11" s="550" customFormat="1" ht="15" customHeight="1" x14ac:dyDescent="0.25">
      <c r="A12" s="560">
        <v>10</v>
      </c>
      <c r="B12" s="732" t="s">
        <v>333</v>
      </c>
      <c r="C12" s="561">
        <v>274.95</v>
      </c>
      <c r="D12" s="561">
        <v>433553.35333200003</v>
      </c>
      <c r="E12" s="562">
        <v>5.1227007075537836</v>
      </c>
      <c r="F12" s="562">
        <v>1.1599999999999999</v>
      </c>
      <c r="G12" s="563">
        <v>0.30351800000000001</v>
      </c>
      <c r="H12" s="563">
        <v>1.36</v>
      </c>
      <c r="I12" s="564">
        <v>2.0380340000000001</v>
      </c>
      <c r="J12" s="564">
        <v>1.21</v>
      </c>
    </row>
    <row r="13" spans="1:11" s="550" customFormat="1" ht="15" customHeight="1" x14ac:dyDescent="0.25">
      <c r="A13" s="560">
        <v>11</v>
      </c>
      <c r="B13" s="732" t="s">
        <v>334</v>
      </c>
      <c r="C13" s="561">
        <v>621.76</v>
      </c>
      <c r="D13" s="561">
        <v>239996.931178</v>
      </c>
      <c r="E13" s="562">
        <v>2.8357120057028387</v>
      </c>
      <c r="F13" s="562">
        <v>1.1299999999999999</v>
      </c>
      <c r="G13" s="563">
        <v>0.18833900000000001</v>
      </c>
      <c r="H13" s="563">
        <v>1.69</v>
      </c>
      <c r="I13" s="564">
        <v>16.238464</v>
      </c>
      <c r="J13" s="564">
        <v>1.19</v>
      </c>
    </row>
    <row r="14" spans="1:11" s="550" customFormat="1" ht="15" customHeight="1" x14ac:dyDescent="0.25">
      <c r="A14" s="560">
        <v>12</v>
      </c>
      <c r="B14" s="732" t="s">
        <v>335</v>
      </c>
      <c r="C14" s="561">
        <v>664.8</v>
      </c>
      <c r="D14" s="561">
        <v>165590.425113</v>
      </c>
      <c r="E14" s="562">
        <v>1.9565531701490988</v>
      </c>
      <c r="F14" s="562">
        <v>0.92</v>
      </c>
      <c r="G14" s="563">
        <v>0.15077699999999999</v>
      </c>
      <c r="H14" s="563">
        <v>1.53</v>
      </c>
      <c r="I14" s="564">
        <v>-8.4337940000000007</v>
      </c>
      <c r="J14" s="564">
        <v>2.0099999999999998</v>
      </c>
    </row>
    <row r="15" spans="1:11" s="550" customFormat="1" ht="15" customHeight="1" x14ac:dyDescent="0.25">
      <c r="A15" s="560">
        <v>13</v>
      </c>
      <c r="B15" s="732" t="s">
        <v>336</v>
      </c>
      <c r="C15" s="561">
        <v>234.96</v>
      </c>
      <c r="D15" s="561">
        <v>207916.71734500001</v>
      </c>
      <c r="E15" s="562">
        <v>2.4566644609478523</v>
      </c>
      <c r="F15" s="562">
        <v>0.6</v>
      </c>
      <c r="G15" s="563">
        <v>0.152312</v>
      </c>
      <c r="H15" s="563">
        <v>0.99</v>
      </c>
      <c r="I15" s="564">
        <v>4.3932390000000003</v>
      </c>
      <c r="J15" s="564">
        <v>1.05</v>
      </c>
    </row>
    <row r="16" spans="1:11" s="550" customFormat="1" ht="15" customHeight="1" x14ac:dyDescent="0.25">
      <c r="A16" s="560">
        <v>14</v>
      </c>
      <c r="B16" s="732" t="s">
        <v>337</v>
      </c>
      <c r="C16" s="561">
        <v>96.42</v>
      </c>
      <c r="D16" s="561">
        <v>84027.873409000007</v>
      </c>
      <c r="E16" s="562">
        <v>0.99284123455251139</v>
      </c>
      <c r="F16" s="562">
        <v>0.54</v>
      </c>
      <c r="G16" s="563">
        <v>8.9044999999999999E-2</v>
      </c>
      <c r="H16" s="563">
        <v>1.18</v>
      </c>
      <c r="I16" s="564">
        <v>-6.0094570000000003</v>
      </c>
      <c r="J16" s="564">
        <v>0.93</v>
      </c>
    </row>
    <row r="17" spans="1:10" s="550" customFormat="1" ht="15" customHeight="1" x14ac:dyDescent="0.25">
      <c r="A17" s="560">
        <v>15</v>
      </c>
      <c r="B17" s="732" t="s">
        <v>338</v>
      </c>
      <c r="C17" s="561">
        <v>95.92</v>
      </c>
      <c r="D17" s="561">
        <v>129733.35197600001</v>
      </c>
      <c r="E17" s="562">
        <v>1.532879699472335</v>
      </c>
      <c r="F17" s="562">
        <v>0.78</v>
      </c>
      <c r="G17" s="563">
        <v>0.206427</v>
      </c>
      <c r="H17" s="563">
        <v>1.1100000000000001</v>
      </c>
      <c r="I17" s="564">
        <v>2.2592000000000001E-2</v>
      </c>
      <c r="J17" s="564">
        <v>1.07</v>
      </c>
    </row>
    <row r="18" spans="1:10" s="550" customFormat="1" ht="15" customHeight="1" x14ac:dyDescent="0.25">
      <c r="A18" s="560">
        <v>16</v>
      </c>
      <c r="B18" s="732" t="s">
        <v>339</v>
      </c>
      <c r="C18" s="561">
        <v>1248.47</v>
      </c>
      <c r="D18" s="561">
        <v>398848.11429400003</v>
      </c>
      <c r="E18" s="562">
        <v>4.7126368683297226</v>
      </c>
      <c r="F18" s="562">
        <v>0.74</v>
      </c>
      <c r="G18" s="563">
        <v>0.181339</v>
      </c>
      <c r="H18" s="563">
        <v>1.1299999999999999</v>
      </c>
      <c r="I18" s="564">
        <v>-2.1694209999999998</v>
      </c>
      <c r="J18" s="564">
        <v>0.98</v>
      </c>
    </row>
    <row r="19" spans="1:10" s="550" customFormat="1" ht="15" customHeight="1" x14ac:dyDescent="0.25">
      <c r="A19" s="560">
        <v>17</v>
      </c>
      <c r="B19" s="732" t="s">
        <v>340</v>
      </c>
      <c r="C19" s="561">
        <v>1045.71</v>
      </c>
      <c r="D19" s="561">
        <v>61754.872094999999</v>
      </c>
      <c r="E19" s="562">
        <v>0.72967196434921533</v>
      </c>
      <c r="F19" s="562">
        <v>1.22</v>
      </c>
      <c r="G19" s="563">
        <v>0.30704700000000001</v>
      </c>
      <c r="H19" s="563">
        <v>1.43</v>
      </c>
      <c r="I19" s="564">
        <v>-5.3104040000000001</v>
      </c>
      <c r="J19" s="564">
        <v>0.98</v>
      </c>
    </row>
    <row r="20" spans="1:10" s="550" customFormat="1" ht="15" customHeight="1" x14ac:dyDescent="0.25">
      <c r="A20" s="560">
        <v>18</v>
      </c>
      <c r="B20" s="732" t="s">
        <v>341</v>
      </c>
      <c r="C20" s="561">
        <v>239.93</v>
      </c>
      <c r="D20" s="561">
        <v>157648.62831299999</v>
      </c>
      <c r="E20" s="562">
        <v>1.8627159347224951</v>
      </c>
      <c r="F20" s="562">
        <v>0.51</v>
      </c>
      <c r="G20" s="563">
        <v>8.5064000000000001E-2</v>
      </c>
      <c r="H20" s="563">
        <v>1.1399999999999999</v>
      </c>
      <c r="I20" s="564">
        <v>-2.8056969999999999</v>
      </c>
      <c r="J20" s="564">
        <v>1.07</v>
      </c>
    </row>
    <row r="21" spans="1:10" s="550" customFormat="1" ht="15" customHeight="1" x14ac:dyDescent="0.25">
      <c r="A21" s="560">
        <v>19</v>
      </c>
      <c r="B21" s="732" t="s">
        <v>342</v>
      </c>
      <c r="C21" s="561">
        <v>1406.21</v>
      </c>
      <c r="D21" s="561">
        <v>785709.01318000001</v>
      </c>
      <c r="E21" s="562">
        <v>9.2836373812253825</v>
      </c>
      <c r="F21" s="562">
        <v>0.94</v>
      </c>
      <c r="G21" s="563">
        <v>0.33678399999999997</v>
      </c>
      <c r="H21" s="563">
        <v>1.05</v>
      </c>
      <c r="I21" s="564">
        <v>-2.8123770000000001</v>
      </c>
      <c r="J21" s="564">
        <v>1.23</v>
      </c>
    </row>
    <row r="22" spans="1:10" s="550" customFormat="1" ht="15" customHeight="1" x14ac:dyDescent="0.25">
      <c r="A22" s="560">
        <v>20</v>
      </c>
      <c r="B22" s="732" t="s">
        <v>343</v>
      </c>
      <c r="C22" s="561">
        <v>778.5</v>
      </c>
      <c r="D22" s="561">
        <v>95419.776039000004</v>
      </c>
      <c r="E22" s="562">
        <v>1.1274436017458216</v>
      </c>
      <c r="F22" s="562">
        <v>1.2</v>
      </c>
      <c r="G22" s="563">
        <v>0.29867199999999999</v>
      </c>
      <c r="H22" s="563">
        <v>1.43</v>
      </c>
      <c r="I22" s="564">
        <v>-3.685009</v>
      </c>
      <c r="J22" s="564">
        <v>0.93</v>
      </c>
    </row>
    <row r="23" spans="1:10" s="550" customFormat="1" ht="15" customHeight="1" x14ac:dyDescent="0.25">
      <c r="A23" s="560">
        <v>21</v>
      </c>
      <c r="B23" s="732" t="s">
        <v>344</v>
      </c>
      <c r="C23" s="561">
        <v>617.79</v>
      </c>
      <c r="D23" s="561">
        <v>329714.41799400002</v>
      </c>
      <c r="E23" s="562">
        <v>3.8957795375535911</v>
      </c>
      <c r="F23" s="562">
        <v>1.01</v>
      </c>
      <c r="G23" s="563">
        <v>0.25362499999999999</v>
      </c>
      <c r="H23" s="563">
        <v>1.3</v>
      </c>
      <c r="I23" s="564">
        <v>-0.37730900000000001</v>
      </c>
      <c r="J23" s="564">
        <v>1.07</v>
      </c>
    </row>
    <row r="24" spans="1:10" s="550" customFormat="1" ht="15" customHeight="1" x14ac:dyDescent="0.25">
      <c r="A24" s="560">
        <v>22</v>
      </c>
      <c r="B24" s="732" t="s">
        <v>345</v>
      </c>
      <c r="C24" s="561">
        <v>542.73</v>
      </c>
      <c r="D24" s="561">
        <v>139995.80641799999</v>
      </c>
      <c r="E24" s="562">
        <v>1.6541369385808387</v>
      </c>
      <c r="F24" s="562">
        <v>0.79</v>
      </c>
      <c r="G24" s="563">
        <v>0.136569</v>
      </c>
      <c r="H24" s="563">
        <v>1.38</v>
      </c>
      <c r="I24" s="564">
        <v>-3.272275</v>
      </c>
      <c r="J24" s="564">
        <v>1.02</v>
      </c>
    </row>
    <row r="25" spans="1:10" s="550" customFormat="1" ht="15" customHeight="1" x14ac:dyDescent="0.25">
      <c r="A25" s="560">
        <v>23</v>
      </c>
      <c r="B25" s="732" t="s">
        <v>346</v>
      </c>
      <c r="C25" s="561">
        <v>2836.81</v>
      </c>
      <c r="D25" s="561">
        <v>347483.99413399998</v>
      </c>
      <c r="E25" s="562">
        <v>4.1057380572276454</v>
      </c>
      <c r="F25" s="562">
        <v>0.64</v>
      </c>
      <c r="G25" s="563">
        <v>0.13015499999999999</v>
      </c>
      <c r="H25" s="563">
        <v>1.1499999999999999</v>
      </c>
      <c r="I25" s="564">
        <v>3.7041230000000001</v>
      </c>
      <c r="J25" s="564">
        <v>1</v>
      </c>
    </row>
    <row r="26" spans="1:10" s="550" customFormat="1" ht="15" customHeight="1" x14ac:dyDescent="0.25">
      <c r="A26" s="560">
        <v>24</v>
      </c>
      <c r="B26" s="732" t="s">
        <v>347</v>
      </c>
      <c r="C26" s="561">
        <v>157.19999999999999</v>
      </c>
      <c r="D26" s="561">
        <v>171503.000783</v>
      </c>
      <c r="E26" s="562">
        <v>2.0264139043249463</v>
      </c>
      <c r="F26" s="562">
        <v>0.79</v>
      </c>
      <c r="G26" s="563">
        <v>0.17832100000000001</v>
      </c>
      <c r="H26" s="563">
        <v>1.21</v>
      </c>
      <c r="I26" s="564">
        <v>-3.1937030000000002</v>
      </c>
      <c r="J26" s="564">
        <v>0.99</v>
      </c>
    </row>
    <row r="27" spans="1:10" s="550" customFormat="1" ht="15" customHeight="1" x14ac:dyDescent="0.25">
      <c r="A27" s="560">
        <v>25</v>
      </c>
      <c r="B27" s="732" t="s">
        <v>348</v>
      </c>
      <c r="C27" s="561">
        <v>288.7</v>
      </c>
      <c r="D27" s="561">
        <v>114336.037152</v>
      </c>
      <c r="E27" s="562">
        <v>1.3509509127678927</v>
      </c>
      <c r="F27" s="562">
        <v>1.03</v>
      </c>
      <c r="G27" s="563">
        <v>0.30249999999999999</v>
      </c>
      <c r="H27" s="563">
        <v>1.21</v>
      </c>
      <c r="I27" s="564">
        <v>-0.65618100000000001</v>
      </c>
      <c r="J27" s="564">
        <v>0.69</v>
      </c>
    </row>
    <row r="28" spans="1:10" s="550" customFormat="1" ht="15" customHeight="1" x14ac:dyDescent="0.25">
      <c r="A28" s="560">
        <v>26</v>
      </c>
      <c r="B28" s="732" t="s">
        <v>349</v>
      </c>
      <c r="C28" s="561">
        <v>361.81</v>
      </c>
      <c r="D28" s="561">
        <v>375952.85404599999</v>
      </c>
      <c r="E28" s="562">
        <v>4.4421152244059021</v>
      </c>
      <c r="F28" s="562">
        <v>0.82</v>
      </c>
      <c r="G28" s="563">
        <v>0.18731999999999999</v>
      </c>
      <c r="H28" s="563">
        <v>1.22</v>
      </c>
      <c r="I28" s="564">
        <v>-4.0051269999999999</v>
      </c>
      <c r="J28" s="564">
        <v>1.1100000000000001</v>
      </c>
    </row>
    <row r="29" spans="1:10" s="550" customFormat="1" ht="15" customHeight="1" x14ac:dyDescent="0.25">
      <c r="A29" s="560">
        <v>27</v>
      </c>
      <c r="B29" s="732" t="s">
        <v>350</v>
      </c>
      <c r="C29" s="561">
        <v>9696.67</v>
      </c>
      <c r="D29" s="561">
        <v>170526.537943</v>
      </c>
      <c r="E29" s="562">
        <v>2.0148763926371114</v>
      </c>
      <c r="F29" s="562">
        <v>1.19</v>
      </c>
      <c r="G29" s="563">
        <v>0.230434</v>
      </c>
      <c r="H29" s="563">
        <v>1.6</v>
      </c>
      <c r="I29" s="564">
        <v>-1.156706</v>
      </c>
      <c r="J29" s="564">
        <v>1.1299999999999999</v>
      </c>
    </row>
    <row r="30" spans="1:10" s="550" customFormat="1" ht="15" customHeight="1" x14ac:dyDescent="0.25">
      <c r="A30" s="560">
        <v>28</v>
      </c>
      <c r="B30" s="732" t="s">
        <v>351</v>
      </c>
      <c r="C30" s="561">
        <v>488.66</v>
      </c>
      <c r="D30" s="561">
        <v>76772.964105999999</v>
      </c>
      <c r="E30" s="562">
        <v>0.90711999924411513</v>
      </c>
      <c r="F30" s="562">
        <v>1.17</v>
      </c>
      <c r="G30" s="563">
        <v>0.24125199999999999</v>
      </c>
      <c r="H30" s="563">
        <v>1.54</v>
      </c>
      <c r="I30" s="564">
        <v>-2.6229239999999998</v>
      </c>
      <c r="J30" s="564">
        <v>0.93</v>
      </c>
    </row>
    <row r="31" spans="1:10" s="550" customFormat="1" ht="15" customHeight="1" x14ac:dyDescent="0.25">
      <c r="A31" s="560">
        <v>29</v>
      </c>
      <c r="B31" s="732" t="s">
        <v>352</v>
      </c>
      <c r="C31" s="561">
        <v>9300.6</v>
      </c>
      <c r="D31" s="561">
        <v>141230.6018</v>
      </c>
      <c r="E31" s="562">
        <v>1.6687268088434999</v>
      </c>
      <c r="F31" s="562">
        <v>0.85</v>
      </c>
      <c r="G31" s="563">
        <v>0.106088</v>
      </c>
      <c r="H31" s="563">
        <v>1.69</v>
      </c>
      <c r="I31" s="564">
        <v>2.7349570000000001</v>
      </c>
      <c r="J31" s="564">
        <v>1.24</v>
      </c>
    </row>
    <row r="32" spans="1:10" s="550" customFormat="1" ht="15" customHeight="1" x14ac:dyDescent="0.25">
      <c r="A32" s="560">
        <v>30</v>
      </c>
      <c r="B32" s="732" t="s">
        <v>353</v>
      </c>
      <c r="C32" s="561">
        <v>159.55000000000001</v>
      </c>
      <c r="D32" s="561">
        <v>82913.255510000003</v>
      </c>
      <c r="E32" s="562">
        <v>0.97967133549400498</v>
      </c>
      <c r="F32" s="562">
        <v>0.9</v>
      </c>
      <c r="G32" s="563">
        <v>0.20998600000000001</v>
      </c>
      <c r="H32" s="563">
        <v>1.27</v>
      </c>
      <c r="I32" s="564">
        <v>-5.4001359999999998</v>
      </c>
      <c r="J32" s="564">
        <v>0.9</v>
      </c>
    </row>
    <row r="33" spans="1:10" s="550" customFormat="1" ht="15" customHeight="1" x14ac:dyDescent="0.25">
      <c r="A33" s="733"/>
      <c r="B33" s="734"/>
      <c r="C33" s="735"/>
      <c r="D33" s="735"/>
      <c r="E33" s="736"/>
      <c r="F33" s="737"/>
      <c r="G33" s="738"/>
      <c r="H33" s="738"/>
      <c r="I33" s="739"/>
      <c r="J33" s="739"/>
    </row>
    <row r="34" spans="1:10" s="550" customFormat="1" ht="38.25" customHeight="1" x14ac:dyDescent="0.25">
      <c r="A34" s="1332" t="s">
        <v>354</v>
      </c>
      <c r="B34" s="1332"/>
      <c r="C34" s="1332"/>
      <c r="D34" s="1332"/>
      <c r="E34" s="1332"/>
      <c r="F34" s="1332"/>
      <c r="G34" s="1332"/>
      <c r="H34" s="1332"/>
      <c r="I34" s="1332"/>
      <c r="J34" s="1332"/>
    </row>
    <row r="35" spans="1:10" s="550" customFormat="1" ht="34.5" customHeight="1" x14ac:dyDescent="0.25">
      <c r="A35" s="1332" t="s">
        <v>355</v>
      </c>
      <c r="B35" s="1332"/>
      <c r="C35" s="1332"/>
      <c r="D35" s="1332"/>
      <c r="E35" s="1332"/>
      <c r="F35" s="1332"/>
      <c r="G35" s="1332"/>
      <c r="H35" s="1332"/>
      <c r="I35" s="1332"/>
      <c r="J35" s="1332"/>
    </row>
    <row r="36" spans="1:10" s="550" customFormat="1" ht="20.25" customHeight="1" x14ac:dyDescent="0.25">
      <c r="A36" s="1332" t="s">
        <v>356</v>
      </c>
      <c r="B36" s="1332"/>
      <c r="C36" s="1332"/>
      <c r="D36" s="1332"/>
      <c r="E36" s="1332"/>
      <c r="F36" s="1332"/>
      <c r="G36" s="1332"/>
      <c r="H36" s="1332"/>
      <c r="I36" s="1332"/>
      <c r="J36" s="1332"/>
    </row>
    <row r="37" spans="1:10" s="550" customFormat="1" ht="48.75" customHeight="1" x14ac:dyDescent="0.25">
      <c r="A37" s="1332" t="s">
        <v>357</v>
      </c>
      <c r="B37" s="1332"/>
      <c r="C37" s="1332"/>
      <c r="D37" s="1332"/>
      <c r="E37" s="1332"/>
      <c r="F37" s="1332"/>
      <c r="G37" s="1332"/>
      <c r="H37" s="1332"/>
      <c r="I37" s="1332"/>
      <c r="J37" s="1332"/>
    </row>
    <row r="38" spans="1:10" s="550" customFormat="1" ht="37.5" customHeight="1" x14ac:dyDescent="0.25">
      <c r="A38" s="1332" t="s">
        <v>358</v>
      </c>
      <c r="B38" s="1332"/>
      <c r="C38" s="1332"/>
      <c r="D38" s="1332"/>
      <c r="E38" s="1332"/>
      <c r="F38" s="1332"/>
      <c r="G38" s="1332"/>
      <c r="H38" s="1332"/>
      <c r="I38" s="1332"/>
      <c r="J38" s="1332"/>
    </row>
    <row r="39" spans="1:10" s="550" customFormat="1" x14ac:dyDescent="0.25">
      <c r="A39" s="552" t="s">
        <v>312</v>
      </c>
      <c r="H39" s="551"/>
    </row>
    <row r="40" spans="1:10" s="550" customFormat="1" x14ac:dyDescent="0.25"/>
  </sheetData>
  <mergeCells count="5">
    <mergeCell ref="A34:J34"/>
    <mergeCell ref="A35:J35"/>
    <mergeCell ref="A36:J36"/>
    <mergeCell ref="A37:J37"/>
    <mergeCell ref="A38:J38"/>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zoomScaleNormal="100" workbookViewId="0">
      <selection activeCell="K7" sqref="K7"/>
    </sheetView>
  </sheetViews>
  <sheetFormatPr defaultColWidth="9.140625" defaultRowHeight="12" x14ac:dyDescent="0.25"/>
  <cols>
    <col min="1" max="1" width="6.42578125" style="182" bestFit="1" customWidth="1"/>
    <col min="2" max="2" width="20.5703125" style="182" bestFit="1" customWidth="1"/>
    <col min="3" max="3" width="14.5703125" style="182" bestFit="1" customWidth="1"/>
    <col min="4" max="4" width="13.85546875" style="182" bestFit="1" customWidth="1"/>
    <col min="5" max="5" width="9.85546875" style="182" customWidth="1"/>
    <col min="6" max="6" width="7.85546875" style="182" customWidth="1"/>
    <col min="7" max="7" width="9" style="182" customWidth="1"/>
    <col min="8" max="8" width="9.5703125" style="182" bestFit="1" customWidth="1"/>
    <col min="9" max="9" width="10.5703125" style="182" bestFit="1" customWidth="1"/>
    <col min="10" max="10" width="11.5703125" style="182" customWidth="1"/>
    <col min="11" max="11" width="30.42578125" style="182" bestFit="1" customWidth="1"/>
    <col min="12" max="12" width="4.5703125" style="182" bestFit="1" customWidth="1"/>
    <col min="13" max="16384" width="9.140625" style="182"/>
  </cols>
  <sheetData>
    <row r="1" spans="1:11" ht="17.25" customHeight="1" x14ac:dyDescent="0.25">
      <c r="A1" s="565" t="s">
        <v>1374</v>
      </c>
      <c r="B1" s="565"/>
      <c r="C1" s="565"/>
      <c r="D1" s="565"/>
      <c r="E1" s="565"/>
      <c r="F1" s="565"/>
      <c r="G1" s="565"/>
      <c r="H1" s="565"/>
      <c r="I1" s="565"/>
      <c r="J1" s="565"/>
      <c r="K1" s="565"/>
    </row>
    <row r="2" spans="1:11" s="183" customFormat="1" ht="48" x14ac:dyDescent="0.25">
      <c r="A2" s="740" t="s">
        <v>359</v>
      </c>
      <c r="B2" s="740" t="s">
        <v>316</v>
      </c>
      <c r="C2" s="741" t="s">
        <v>317</v>
      </c>
      <c r="D2" s="741" t="s">
        <v>318</v>
      </c>
      <c r="E2" s="740" t="s">
        <v>319</v>
      </c>
      <c r="F2" s="740" t="s">
        <v>320</v>
      </c>
      <c r="G2" s="740" t="s">
        <v>321</v>
      </c>
      <c r="H2" s="741" t="s">
        <v>322</v>
      </c>
      <c r="I2" s="741" t="s">
        <v>323</v>
      </c>
      <c r="J2" s="741" t="s">
        <v>324</v>
      </c>
    </row>
    <row r="3" spans="1:11" s="183" customFormat="1" ht="27.75" customHeight="1" x14ac:dyDescent="0.25">
      <c r="A3" s="560">
        <v>1</v>
      </c>
      <c r="B3" s="732" t="s">
        <v>360</v>
      </c>
      <c r="C3" s="561">
        <v>114.0001121</v>
      </c>
      <c r="D3" s="561">
        <v>89445.68</v>
      </c>
      <c r="E3" s="562">
        <v>0.9</v>
      </c>
      <c r="F3" s="562">
        <v>1.71</v>
      </c>
      <c r="G3" s="563">
        <v>0.22</v>
      </c>
      <c r="H3" s="563">
        <v>2.95</v>
      </c>
      <c r="I3" s="564">
        <v>11.68</v>
      </c>
      <c r="J3" s="564">
        <v>0.02</v>
      </c>
      <c r="K3" s="604"/>
    </row>
    <row r="4" spans="1:11" s="183" customFormat="1" ht="27.75" customHeight="1" x14ac:dyDescent="0.25">
      <c r="A4" s="560">
        <v>2</v>
      </c>
      <c r="B4" s="732" t="s">
        <v>361</v>
      </c>
      <c r="C4" s="561">
        <v>432.02778899999998</v>
      </c>
      <c r="D4" s="561">
        <v>105569.45</v>
      </c>
      <c r="E4" s="562">
        <v>1.06</v>
      </c>
      <c r="F4" s="562">
        <v>1.45</v>
      </c>
      <c r="G4" s="563">
        <v>0.2</v>
      </c>
      <c r="H4" s="563">
        <v>2.0499999999999998</v>
      </c>
      <c r="I4" s="564">
        <v>8.49</v>
      </c>
      <c r="J4" s="564">
        <v>0.03</v>
      </c>
      <c r="K4" s="604"/>
    </row>
    <row r="5" spans="1:11" s="183" customFormat="1" ht="27.75" customHeight="1" x14ac:dyDescent="0.25">
      <c r="A5" s="560">
        <v>3</v>
      </c>
      <c r="B5" s="732" t="s">
        <v>362</v>
      </c>
      <c r="C5" s="561">
        <v>71.892328500000005</v>
      </c>
      <c r="D5" s="561">
        <v>58771.12</v>
      </c>
      <c r="E5" s="562">
        <v>0.59</v>
      </c>
      <c r="F5" s="562">
        <v>0.76</v>
      </c>
      <c r="G5" s="563">
        <v>0.11</v>
      </c>
      <c r="H5" s="563">
        <v>1.07</v>
      </c>
      <c r="I5" s="564">
        <v>-1.81</v>
      </c>
      <c r="J5" s="564">
        <v>0.01</v>
      </c>
      <c r="K5" s="604"/>
    </row>
    <row r="6" spans="1:11" s="183" customFormat="1" ht="27.75" customHeight="1" x14ac:dyDescent="0.25">
      <c r="A6" s="560">
        <v>4</v>
      </c>
      <c r="B6" s="732" t="s">
        <v>363</v>
      </c>
      <c r="C6" s="561">
        <v>95.919779000000005</v>
      </c>
      <c r="D6" s="561">
        <v>129891.11</v>
      </c>
      <c r="E6" s="562">
        <v>1.31</v>
      </c>
      <c r="F6" s="562">
        <v>0.81</v>
      </c>
      <c r="G6" s="563">
        <v>0.21</v>
      </c>
      <c r="H6" s="563">
        <v>1.82</v>
      </c>
      <c r="I6" s="564">
        <v>0.18</v>
      </c>
      <c r="J6" s="564">
        <v>0.02</v>
      </c>
      <c r="K6" s="604"/>
    </row>
    <row r="7" spans="1:11" s="183" customFormat="1" ht="27.75" customHeight="1" x14ac:dyDescent="0.25">
      <c r="A7" s="560">
        <v>5</v>
      </c>
      <c r="B7" s="732" t="s">
        <v>364</v>
      </c>
      <c r="C7" s="561">
        <v>617.1986594</v>
      </c>
      <c r="D7" s="561">
        <v>329947.61</v>
      </c>
      <c r="E7" s="562">
        <v>3.32</v>
      </c>
      <c r="F7" s="562">
        <v>1.03</v>
      </c>
      <c r="G7" s="563">
        <v>0.25</v>
      </c>
      <c r="H7" s="563">
        <v>1.1499999999999999</v>
      </c>
      <c r="I7" s="564">
        <v>-0.32</v>
      </c>
      <c r="J7" s="564">
        <v>0.03</v>
      </c>
      <c r="K7" s="604"/>
    </row>
    <row r="8" spans="1:11" s="183" customFormat="1" ht="27.75" customHeight="1" x14ac:dyDescent="0.25">
      <c r="A8" s="560">
        <v>6</v>
      </c>
      <c r="B8" s="732" t="s">
        <v>365</v>
      </c>
      <c r="C8" s="561">
        <v>283.179756</v>
      </c>
      <c r="D8" s="561">
        <v>102904.69</v>
      </c>
      <c r="E8" s="562">
        <v>1.04</v>
      </c>
      <c r="F8" s="562">
        <v>0.51</v>
      </c>
      <c r="G8" s="563">
        <v>0.05</v>
      </c>
      <c r="H8" s="563">
        <v>1.34</v>
      </c>
      <c r="I8" s="564">
        <v>2.0299999999999998</v>
      </c>
      <c r="J8" s="564">
        <v>0.02</v>
      </c>
      <c r="K8" s="604"/>
    </row>
    <row r="9" spans="1:11" s="183" customFormat="1" ht="27.75" customHeight="1" x14ac:dyDescent="0.25">
      <c r="A9" s="560">
        <v>7</v>
      </c>
      <c r="B9" s="732" t="s">
        <v>366</v>
      </c>
      <c r="C9" s="561">
        <v>123.79926399999999</v>
      </c>
      <c r="D9" s="561">
        <v>186563.32</v>
      </c>
      <c r="E9" s="562">
        <v>1.88</v>
      </c>
      <c r="F9" s="562">
        <v>0.97</v>
      </c>
      <c r="G9" s="563">
        <v>0.17</v>
      </c>
      <c r="H9" s="563">
        <v>1.1000000000000001</v>
      </c>
      <c r="I9" s="564">
        <v>-3.26</v>
      </c>
      <c r="J9" s="564">
        <v>0.02</v>
      </c>
      <c r="K9" s="604"/>
    </row>
    <row r="10" spans="1:11" s="183" customFormat="1" ht="27.75" customHeight="1" x14ac:dyDescent="0.25">
      <c r="A10" s="560">
        <v>8</v>
      </c>
      <c r="B10" s="732" t="s">
        <v>367</v>
      </c>
      <c r="C10" s="561">
        <v>159.54888130000001</v>
      </c>
      <c r="D10" s="561">
        <v>82921.38</v>
      </c>
      <c r="E10" s="562">
        <v>0.84</v>
      </c>
      <c r="F10" s="562">
        <v>0.91</v>
      </c>
      <c r="G10" s="563">
        <v>0.21</v>
      </c>
      <c r="H10" s="563">
        <v>1.08</v>
      </c>
      <c r="I10" s="564">
        <v>-5.35</v>
      </c>
      <c r="J10" s="564">
        <v>0.03</v>
      </c>
      <c r="K10" s="604"/>
    </row>
    <row r="11" spans="1:11" s="183" customFormat="1" ht="27.75" customHeight="1" x14ac:dyDescent="0.25">
      <c r="A11" s="560">
        <v>9</v>
      </c>
      <c r="B11" s="732" t="s">
        <v>368</v>
      </c>
      <c r="C11" s="561">
        <v>2169.2527439999999</v>
      </c>
      <c r="D11" s="561">
        <v>59921.7</v>
      </c>
      <c r="E11" s="562">
        <v>0.6</v>
      </c>
      <c r="F11" s="562">
        <v>1.34</v>
      </c>
      <c r="G11" s="563">
        <v>0.19</v>
      </c>
      <c r="H11" s="563">
        <v>2.25</v>
      </c>
      <c r="I11" s="564">
        <v>3.37</v>
      </c>
      <c r="J11" s="564">
        <v>0.02</v>
      </c>
      <c r="K11" s="604"/>
    </row>
    <row r="12" spans="1:11" s="183" customFormat="1" ht="27.75" customHeight="1" x14ac:dyDescent="0.25">
      <c r="A12" s="560">
        <v>10</v>
      </c>
      <c r="B12" s="732" t="s">
        <v>369</v>
      </c>
      <c r="C12" s="561">
        <v>2827.5435385000001</v>
      </c>
      <c r="D12" s="561">
        <v>357098.96</v>
      </c>
      <c r="E12" s="562">
        <v>3.6</v>
      </c>
      <c r="F12" s="562">
        <v>0.67</v>
      </c>
      <c r="G12" s="563">
        <v>0.14000000000000001</v>
      </c>
      <c r="H12" s="563">
        <v>1.1599999999999999</v>
      </c>
      <c r="I12" s="564">
        <v>3.82</v>
      </c>
      <c r="J12" s="564">
        <v>0.02</v>
      </c>
      <c r="K12" s="604"/>
    </row>
    <row r="13" spans="1:11" s="183" customFormat="1" ht="27.75" customHeight="1" x14ac:dyDescent="0.25">
      <c r="A13" s="560">
        <v>11</v>
      </c>
      <c r="B13" s="732" t="s">
        <v>370</v>
      </c>
      <c r="C13" s="561">
        <v>24.086829600000002</v>
      </c>
      <c r="D13" s="561">
        <v>61134.83</v>
      </c>
      <c r="E13" s="562">
        <v>0.62</v>
      </c>
      <c r="F13" s="562">
        <v>0.62</v>
      </c>
      <c r="G13" s="563">
        <v>0.11</v>
      </c>
      <c r="H13" s="563">
        <v>1.8</v>
      </c>
      <c r="I13" s="564">
        <v>8.4600000000000009</v>
      </c>
      <c r="J13" s="564">
        <v>0.03</v>
      </c>
      <c r="K13" s="604"/>
    </row>
    <row r="14" spans="1:11" s="183" customFormat="1" ht="27.75" customHeight="1" x14ac:dyDescent="0.25">
      <c r="A14" s="560">
        <v>12</v>
      </c>
      <c r="B14" s="732" t="s">
        <v>371</v>
      </c>
      <c r="C14" s="561">
        <v>161.47308079999999</v>
      </c>
      <c r="D14" s="561">
        <v>75947.25</v>
      </c>
      <c r="E14" s="562">
        <v>0.76</v>
      </c>
      <c r="F14" s="562">
        <v>0.28000000000000003</v>
      </c>
      <c r="G14" s="563">
        <v>0.01</v>
      </c>
      <c r="H14" s="563">
        <v>2.13</v>
      </c>
      <c r="I14" s="564">
        <v>3.37</v>
      </c>
      <c r="J14" s="564">
        <v>0.03</v>
      </c>
      <c r="K14" s="604"/>
    </row>
    <row r="15" spans="1:11" s="183" customFormat="1" ht="27.75" customHeight="1" x14ac:dyDescent="0.25">
      <c r="A15" s="560">
        <v>13</v>
      </c>
      <c r="B15" s="732" t="s">
        <v>372</v>
      </c>
      <c r="C15" s="561">
        <v>6162.7283269999998</v>
      </c>
      <c r="D15" s="561">
        <v>112003.89</v>
      </c>
      <c r="E15" s="562">
        <v>1.1299999999999999</v>
      </c>
      <c r="F15" s="562">
        <v>1.33</v>
      </c>
      <c r="G15" s="563">
        <v>0.19</v>
      </c>
      <c r="H15" s="563">
        <v>2.2200000000000002</v>
      </c>
      <c r="I15" s="564">
        <v>8.1199999999999992</v>
      </c>
      <c r="J15" s="564">
        <v>0.03</v>
      </c>
      <c r="K15" s="604"/>
    </row>
    <row r="16" spans="1:11" s="183" customFormat="1" ht="27.75" customHeight="1" x14ac:dyDescent="0.25">
      <c r="A16" s="560">
        <v>14</v>
      </c>
      <c r="B16" s="732" t="s">
        <v>373</v>
      </c>
      <c r="C16" s="561">
        <v>53.093716000000001</v>
      </c>
      <c r="D16" s="561">
        <v>54884.46</v>
      </c>
      <c r="E16" s="562">
        <v>0.55000000000000004</v>
      </c>
      <c r="F16" s="562">
        <v>0.68</v>
      </c>
      <c r="G16" s="563">
        <v>0.09</v>
      </c>
      <c r="H16" s="563">
        <v>1.66</v>
      </c>
      <c r="I16" s="564">
        <v>7.62</v>
      </c>
      <c r="J16" s="564">
        <v>0.03</v>
      </c>
      <c r="K16" s="604"/>
    </row>
    <row r="17" spans="1:11" s="183" customFormat="1" ht="27.75" customHeight="1" x14ac:dyDescent="0.25">
      <c r="A17" s="560">
        <v>15</v>
      </c>
      <c r="B17" s="732" t="s">
        <v>374</v>
      </c>
      <c r="C17" s="561">
        <v>83.409132999999997</v>
      </c>
      <c r="D17" s="561">
        <v>70531.61</v>
      </c>
      <c r="E17" s="562">
        <v>0.71</v>
      </c>
      <c r="F17" s="562">
        <v>0.55000000000000004</v>
      </c>
      <c r="G17" s="563">
        <v>0.08</v>
      </c>
      <c r="H17" s="563">
        <v>1.27</v>
      </c>
      <c r="I17" s="564">
        <v>-6.65</v>
      </c>
      <c r="J17" s="564">
        <v>0.02</v>
      </c>
      <c r="K17" s="604"/>
    </row>
    <row r="18" spans="1:11" s="183" customFormat="1" ht="27.75" customHeight="1" x14ac:dyDescent="0.25">
      <c r="A18" s="560">
        <v>16</v>
      </c>
      <c r="B18" s="732" t="s">
        <v>375</v>
      </c>
      <c r="C18" s="561">
        <v>27.380562999999999</v>
      </c>
      <c r="D18" s="561">
        <v>64802.26</v>
      </c>
      <c r="E18" s="562">
        <v>0.65</v>
      </c>
      <c r="F18" s="562">
        <v>1</v>
      </c>
      <c r="G18" s="563">
        <v>0.17</v>
      </c>
      <c r="H18" s="563">
        <v>1.0900000000000001</v>
      </c>
      <c r="I18" s="564">
        <v>2.96</v>
      </c>
      <c r="J18" s="564">
        <v>0.02</v>
      </c>
      <c r="K18" s="604"/>
    </row>
    <row r="19" spans="1:11" s="183" customFormat="1" ht="27.75" customHeight="1" x14ac:dyDescent="0.25">
      <c r="A19" s="560">
        <v>17</v>
      </c>
      <c r="B19" s="732" t="s">
        <v>376</v>
      </c>
      <c r="C19" s="561">
        <v>131.69584520000001</v>
      </c>
      <c r="D19" s="561">
        <v>85411.34</v>
      </c>
      <c r="E19" s="562">
        <v>0.86</v>
      </c>
      <c r="F19" s="562">
        <v>1.1200000000000001</v>
      </c>
      <c r="G19" s="563">
        <v>0.3</v>
      </c>
      <c r="H19" s="563">
        <v>1.29</v>
      </c>
      <c r="I19" s="564">
        <v>-3.96</v>
      </c>
      <c r="J19" s="564">
        <v>0.02</v>
      </c>
      <c r="K19" s="604"/>
    </row>
    <row r="20" spans="1:11" s="183" customFormat="1" ht="27.75" customHeight="1" x14ac:dyDescent="0.25">
      <c r="A20" s="560">
        <v>18</v>
      </c>
      <c r="B20" s="732" t="s">
        <v>377</v>
      </c>
      <c r="C20" s="561">
        <v>542.73301919999994</v>
      </c>
      <c r="D20" s="561">
        <v>140133.39000000001</v>
      </c>
      <c r="E20" s="562">
        <v>1.41</v>
      </c>
      <c r="F20" s="562">
        <v>0.83</v>
      </c>
      <c r="G20" s="563">
        <v>0.15</v>
      </c>
      <c r="H20" s="563">
        <v>0.85</v>
      </c>
      <c r="I20" s="564">
        <v>-3.11</v>
      </c>
      <c r="J20" s="564">
        <v>0.02</v>
      </c>
      <c r="K20" s="604"/>
    </row>
    <row r="21" spans="1:11" s="183" customFormat="1" ht="27.75" customHeight="1" x14ac:dyDescent="0.25">
      <c r="A21" s="560">
        <v>19</v>
      </c>
      <c r="B21" s="732" t="s">
        <v>378</v>
      </c>
      <c r="C21" s="561">
        <v>759.66243750000001</v>
      </c>
      <c r="D21" s="561">
        <v>1151826.3999999999</v>
      </c>
      <c r="E21" s="562">
        <v>11.6</v>
      </c>
      <c r="F21" s="562">
        <v>1.1399999999999999</v>
      </c>
      <c r="G21" s="563">
        <v>0.38</v>
      </c>
      <c r="H21" s="563">
        <v>1.1599999999999999</v>
      </c>
      <c r="I21" s="564">
        <v>0.75</v>
      </c>
      <c r="J21" s="564">
        <v>0.02</v>
      </c>
      <c r="K21" s="604"/>
    </row>
    <row r="22" spans="1:11" s="183" customFormat="1" ht="27.75" customHeight="1" x14ac:dyDescent="0.25">
      <c r="A22" s="560">
        <v>20</v>
      </c>
      <c r="B22" s="732" t="s">
        <v>379</v>
      </c>
      <c r="C22" s="561">
        <v>2150.8620689999998</v>
      </c>
      <c r="D22" s="561">
        <v>57949.919999999998</v>
      </c>
      <c r="E22" s="562">
        <v>0.57999999999999996</v>
      </c>
      <c r="F22" s="562">
        <v>0.66</v>
      </c>
      <c r="G22" s="563">
        <v>0.09</v>
      </c>
      <c r="H22" s="563">
        <v>1.42</v>
      </c>
      <c r="I22" s="564">
        <v>-5.79</v>
      </c>
      <c r="J22" s="564">
        <v>0.02</v>
      </c>
      <c r="K22" s="604"/>
    </row>
    <row r="23" spans="1:11" s="183" customFormat="1" ht="27.75" customHeight="1" x14ac:dyDescent="0.25">
      <c r="A23" s="560">
        <v>21</v>
      </c>
      <c r="B23" s="732" t="s">
        <v>380</v>
      </c>
      <c r="C23" s="561">
        <v>39.984348199999999</v>
      </c>
      <c r="D23" s="561">
        <v>66528.759999999995</v>
      </c>
      <c r="E23" s="562">
        <v>0.67</v>
      </c>
      <c r="F23" s="562">
        <v>0.94</v>
      </c>
      <c r="G23" s="563">
        <v>0.14000000000000001</v>
      </c>
      <c r="H23" s="563">
        <v>1.53</v>
      </c>
      <c r="I23" s="564">
        <v>12.69</v>
      </c>
      <c r="J23" s="564">
        <v>0.02</v>
      </c>
      <c r="K23" s="604"/>
    </row>
    <row r="24" spans="1:11" s="183" customFormat="1" ht="27.75" customHeight="1" x14ac:dyDescent="0.25">
      <c r="A24" s="560">
        <v>22</v>
      </c>
      <c r="B24" s="732" t="s">
        <v>381</v>
      </c>
      <c r="C24" s="561">
        <v>224.72165229999999</v>
      </c>
      <c r="D24" s="561">
        <v>100692.72</v>
      </c>
      <c r="E24" s="562">
        <v>1.01</v>
      </c>
      <c r="F24" s="562">
        <v>1.1100000000000001</v>
      </c>
      <c r="G24" s="563">
        <v>0.16</v>
      </c>
      <c r="H24" s="563">
        <v>1.8</v>
      </c>
      <c r="I24" s="564">
        <v>6.98</v>
      </c>
      <c r="J24" s="564">
        <v>0.02</v>
      </c>
      <c r="K24" s="604"/>
    </row>
    <row r="25" spans="1:11" s="183" customFormat="1" ht="27.75" customHeight="1" x14ac:dyDescent="0.25">
      <c r="A25" s="560">
        <v>23</v>
      </c>
      <c r="B25" s="732" t="s">
        <v>382</v>
      </c>
      <c r="C25" s="561">
        <v>234.95912619999999</v>
      </c>
      <c r="D25" s="561">
        <v>207947.99</v>
      </c>
      <c r="E25" s="562">
        <v>2.09</v>
      </c>
      <c r="F25" s="562">
        <v>0.6</v>
      </c>
      <c r="G25" s="563">
        <v>0.15</v>
      </c>
      <c r="H25" s="563">
        <v>1.53</v>
      </c>
      <c r="I25" s="564">
        <v>4.42</v>
      </c>
      <c r="J25" s="564">
        <v>0.02</v>
      </c>
      <c r="K25" s="604"/>
    </row>
    <row r="26" spans="1:11" s="183" customFormat="1" ht="27.75" customHeight="1" x14ac:dyDescent="0.25">
      <c r="A26" s="560">
        <v>24</v>
      </c>
      <c r="B26" s="732" t="s">
        <v>383</v>
      </c>
      <c r="C26" s="561">
        <v>1404.2931430000001</v>
      </c>
      <c r="D26" s="561">
        <v>787141.41</v>
      </c>
      <c r="E26" s="562">
        <v>7.93</v>
      </c>
      <c r="F26" s="562">
        <v>0.91</v>
      </c>
      <c r="G26" s="563">
        <v>0.31</v>
      </c>
      <c r="H26" s="563">
        <v>0.9</v>
      </c>
      <c r="I26" s="564">
        <v>-2.5499999999999998</v>
      </c>
      <c r="J26" s="564">
        <v>0.03</v>
      </c>
      <c r="K26" s="604"/>
    </row>
    <row r="27" spans="1:11" s="183" customFormat="1" ht="27.75" customHeight="1" x14ac:dyDescent="0.25">
      <c r="A27" s="560">
        <v>25</v>
      </c>
      <c r="B27" s="732" t="s">
        <v>384</v>
      </c>
      <c r="C27" s="561">
        <v>1248.1470211999999</v>
      </c>
      <c r="D27" s="561">
        <v>377913.33</v>
      </c>
      <c r="E27" s="562">
        <v>3.81</v>
      </c>
      <c r="F27" s="562">
        <v>0.75</v>
      </c>
      <c r="G27" s="563">
        <v>0.18</v>
      </c>
      <c r="H27" s="563">
        <v>1.1599999999999999</v>
      </c>
      <c r="I27" s="564">
        <v>-2.11</v>
      </c>
      <c r="J27" s="564">
        <v>0.03</v>
      </c>
      <c r="K27" s="604"/>
    </row>
    <row r="28" spans="1:11" s="183" customFormat="1" ht="27.75" customHeight="1" x14ac:dyDescent="0.25">
      <c r="A28" s="560">
        <v>26</v>
      </c>
      <c r="B28" s="732" t="s">
        <v>385</v>
      </c>
      <c r="C28" s="561">
        <v>778.284809</v>
      </c>
      <c r="D28" s="561">
        <v>96707.53</v>
      </c>
      <c r="E28" s="562">
        <v>0.97</v>
      </c>
      <c r="F28" s="562">
        <v>1.2</v>
      </c>
      <c r="G28" s="563">
        <v>0.28999999999999998</v>
      </c>
      <c r="H28" s="563">
        <v>1.26</v>
      </c>
      <c r="I28" s="564">
        <v>-3.55</v>
      </c>
      <c r="J28" s="564">
        <v>0.03</v>
      </c>
      <c r="K28" s="604"/>
    </row>
    <row r="29" spans="1:11" s="183" customFormat="1" ht="27.75" customHeight="1" x14ac:dyDescent="0.25">
      <c r="A29" s="560">
        <v>27</v>
      </c>
      <c r="B29" s="732" t="s">
        <v>386</v>
      </c>
      <c r="C29" s="561">
        <v>2075.3570949999998</v>
      </c>
      <c r="D29" s="561">
        <v>502209.02</v>
      </c>
      <c r="E29" s="562">
        <v>5.0599999999999996</v>
      </c>
      <c r="F29" s="562">
        <v>1.06</v>
      </c>
      <c r="G29" s="563">
        <v>0.22</v>
      </c>
      <c r="H29" s="563">
        <v>0.97</v>
      </c>
      <c r="I29" s="564">
        <v>-0.96</v>
      </c>
      <c r="J29" s="564">
        <v>0.02</v>
      </c>
      <c r="K29" s="604"/>
    </row>
    <row r="30" spans="1:11" s="183" customFormat="1" ht="27.75" customHeight="1" x14ac:dyDescent="0.25">
      <c r="A30" s="560">
        <v>28</v>
      </c>
      <c r="B30" s="732" t="s">
        <v>387</v>
      </c>
      <c r="C30" s="561">
        <v>244.5453966</v>
      </c>
      <c r="D30" s="561">
        <v>83980.44</v>
      </c>
      <c r="E30" s="562">
        <v>0.85</v>
      </c>
      <c r="F30" s="562">
        <v>1.34</v>
      </c>
      <c r="G30" s="563">
        <v>0.35</v>
      </c>
      <c r="H30" s="563">
        <v>1.79</v>
      </c>
      <c r="I30" s="564">
        <v>-0.19</v>
      </c>
      <c r="J30" s="564">
        <v>0.03</v>
      </c>
      <c r="K30" s="604"/>
    </row>
    <row r="31" spans="1:11" s="183" customFormat="1" ht="27.75" customHeight="1" x14ac:dyDescent="0.25">
      <c r="A31" s="560">
        <v>29</v>
      </c>
      <c r="B31" s="732" t="s">
        <v>388</v>
      </c>
      <c r="C31" s="561">
        <v>993.94747700000005</v>
      </c>
      <c r="D31" s="561">
        <v>247193.94</v>
      </c>
      <c r="E31" s="562">
        <v>2.4900000000000002</v>
      </c>
      <c r="F31" s="562">
        <v>0.89</v>
      </c>
      <c r="G31" s="563">
        <v>0.18</v>
      </c>
      <c r="H31" s="563">
        <v>1.44</v>
      </c>
      <c r="I31" s="564">
        <v>3.48</v>
      </c>
      <c r="J31" s="564">
        <v>0.02</v>
      </c>
      <c r="K31" s="604"/>
    </row>
    <row r="32" spans="1:11" s="183" customFormat="1" ht="27.75" customHeight="1" x14ac:dyDescent="0.25">
      <c r="A32" s="560">
        <v>30</v>
      </c>
      <c r="B32" s="732" t="s">
        <v>389</v>
      </c>
      <c r="C32" s="561">
        <v>29.6163369</v>
      </c>
      <c r="D32" s="561">
        <v>43168.45</v>
      </c>
      <c r="E32" s="562">
        <v>0.43</v>
      </c>
      <c r="F32" s="562">
        <v>0.91</v>
      </c>
      <c r="G32" s="563">
        <v>0.15</v>
      </c>
      <c r="H32" s="563">
        <v>1.03</v>
      </c>
      <c r="I32" s="564">
        <v>-0.1</v>
      </c>
      <c r="J32" s="564">
        <v>0.02</v>
      </c>
      <c r="K32" s="604"/>
    </row>
    <row r="33" spans="1:11" s="183" customFormat="1" ht="27.75" customHeight="1" x14ac:dyDescent="0.25">
      <c r="A33" s="560">
        <v>31</v>
      </c>
      <c r="B33" s="732" t="s">
        <v>390</v>
      </c>
      <c r="C33" s="561">
        <v>274.92593160000001</v>
      </c>
      <c r="D33" s="561">
        <v>433777.86</v>
      </c>
      <c r="E33" s="562">
        <v>4.37</v>
      </c>
      <c r="F33" s="562">
        <v>1.2</v>
      </c>
      <c r="G33" s="563">
        <v>0.31</v>
      </c>
      <c r="H33" s="563">
        <v>1.87</v>
      </c>
      <c r="I33" s="564">
        <v>2.09</v>
      </c>
      <c r="J33" s="564">
        <v>0.03</v>
      </c>
      <c r="K33" s="604"/>
    </row>
    <row r="34" spans="1:11" s="183" customFormat="1" ht="27.75" customHeight="1" x14ac:dyDescent="0.25">
      <c r="A34" s="560">
        <v>32</v>
      </c>
      <c r="B34" s="732" t="s">
        <v>391</v>
      </c>
      <c r="C34" s="561">
        <v>621.76441550000004</v>
      </c>
      <c r="D34" s="561">
        <v>239977.75</v>
      </c>
      <c r="E34" s="562">
        <v>2.42</v>
      </c>
      <c r="F34" s="562">
        <v>1.1499999999999999</v>
      </c>
      <c r="G34" s="563">
        <v>0.19</v>
      </c>
      <c r="H34" s="563">
        <v>1.91</v>
      </c>
      <c r="I34" s="564">
        <v>16.23</v>
      </c>
      <c r="J34" s="564">
        <v>0.02</v>
      </c>
      <c r="K34" s="604"/>
    </row>
    <row r="35" spans="1:11" s="183" customFormat="1" ht="27.75" customHeight="1" x14ac:dyDescent="0.25">
      <c r="A35" s="560">
        <v>33</v>
      </c>
      <c r="B35" s="732" t="s">
        <v>392</v>
      </c>
      <c r="C35" s="561">
        <v>157.20128700000001</v>
      </c>
      <c r="D35" s="561">
        <v>163731.62</v>
      </c>
      <c r="E35" s="562">
        <v>1.65</v>
      </c>
      <c r="F35" s="562">
        <v>0.83</v>
      </c>
      <c r="G35" s="563">
        <v>0.19</v>
      </c>
      <c r="H35" s="563">
        <v>1.26</v>
      </c>
      <c r="I35" s="564">
        <v>-3.26</v>
      </c>
      <c r="J35" s="564">
        <v>0.02</v>
      </c>
      <c r="K35" s="604"/>
    </row>
    <row r="36" spans="1:11" s="183" customFormat="1" ht="27.75" customHeight="1" x14ac:dyDescent="0.25">
      <c r="A36" s="560">
        <v>34</v>
      </c>
      <c r="B36" s="732" t="s">
        <v>393</v>
      </c>
      <c r="C36" s="561">
        <v>9696.6661339999991</v>
      </c>
      <c r="D36" s="561">
        <v>170574.05</v>
      </c>
      <c r="E36" s="562">
        <v>1.72</v>
      </c>
      <c r="F36" s="562">
        <v>1.26</v>
      </c>
      <c r="G36" s="563">
        <v>0.26</v>
      </c>
      <c r="H36" s="563">
        <v>1.46</v>
      </c>
      <c r="I36" s="564">
        <v>-1.1599999999999999</v>
      </c>
      <c r="J36" s="564">
        <v>0.03</v>
      </c>
      <c r="K36" s="604"/>
    </row>
    <row r="37" spans="1:11" s="183" customFormat="1" ht="27.75" customHeight="1" x14ac:dyDescent="0.25">
      <c r="A37" s="560">
        <v>35</v>
      </c>
      <c r="B37" s="732" t="s">
        <v>394</v>
      </c>
      <c r="C37" s="561">
        <v>96.415716000000003</v>
      </c>
      <c r="D37" s="561">
        <v>84008.27</v>
      </c>
      <c r="E37" s="562">
        <v>0.85</v>
      </c>
      <c r="F37" s="562">
        <v>0.57999999999999996</v>
      </c>
      <c r="G37" s="563">
        <v>0.1</v>
      </c>
      <c r="H37" s="563">
        <v>1.3</v>
      </c>
      <c r="I37" s="564">
        <v>-6.08</v>
      </c>
      <c r="J37" s="564">
        <v>0.03</v>
      </c>
      <c r="K37" s="604"/>
    </row>
    <row r="38" spans="1:11" s="183" customFormat="1" ht="27.75" customHeight="1" x14ac:dyDescent="0.25">
      <c r="A38" s="560">
        <v>36</v>
      </c>
      <c r="B38" s="732" t="s">
        <v>395</v>
      </c>
      <c r="C38" s="561">
        <v>6290.1396029999996</v>
      </c>
      <c r="D38" s="561">
        <v>103093.5</v>
      </c>
      <c r="E38" s="562">
        <v>1.04</v>
      </c>
      <c r="F38" s="562">
        <v>1.28</v>
      </c>
      <c r="G38" s="563">
        <v>0.24</v>
      </c>
      <c r="H38" s="563">
        <v>1.62</v>
      </c>
      <c r="I38" s="564">
        <v>-6.54</v>
      </c>
      <c r="J38" s="564">
        <v>0.02</v>
      </c>
      <c r="K38" s="604"/>
    </row>
    <row r="39" spans="1:11" s="183" customFormat="1" ht="27.75" customHeight="1" x14ac:dyDescent="0.25">
      <c r="A39" s="560">
        <v>37</v>
      </c>
      <c r="B39" s="732" t="s">
        <v>396</v>
      </c>
      <c r="C39" s="561">
        <v>9300.6038189999999</v>
      </c>
      <c r="D39" s="561">
        <v>141276.17000000001</v>
      </c>
      <c r="E39" s="562">
        <v>1.42</v>
      </c>
      <c r="F39" s="562">
        <v>0.95</v>
      </c>
      <c r="G39" s="563">
        <v>0.13</v>
      </c>
      <c r="H39" s="563">
        <v>1.94</v>
      </c>
      <c r="I39" s="564">
        <v>2.7</v>
      </c>
      <c r="J39" s="564">
        <v>0.03</v>
      </c>
      <c r="K39" s="604"/>
    </row>
    <row r="40" spans="1:11" s="183" customFormat="1" ht="27.75" customHeight="1" x14ac:dyDescent="0.25">
      <c r="A40" s="560">
        <v>38</v>
      </c>
      <c r="B40" s="732" t="s">
        <v>397</v>
      </c>
      <c r="C40" s="561">
        <v>6765.6904279999999</v>
      </c>
      <c r="D40" s="561">
        <v>967764.36</v>
      </c>
      <c r="E40" s="562">
        <v>9.75</v>
      </c>
      <c r="F40" s="562">
        <v>1.2</v>
      </c>
      <c r="G40" s="563">
        <v>0.43</v>
      </c>
      <c r="H40" s="563">
        <v>1.07</v>
      </c>
      <c r="I40" s="564">
        <v>-2.4900000000000002</v>
      </c>
      <c r="J40" s="564">
        <v>0.02</v>
      </c>
      <c r="K40" s="604"/>
    </row>
    <row r="41" spans="1:11" s="183" customFormat="1" ht="27.75" customHeight="1" x14ac:dyDescent="0.25">
      <c r="A41" s="560">
        <v>39</v>
      </c>
      <c r="B41" s="732" t="s">
        <v>398</v>
      </c>
      <c r="C41" s="561">
        <v>1001.376754</v>
      </c>
      <c r="D41" s="561">
        <v>62473.89</v>
      </c>
      <c r="E41" s="562">
        <v>0.63</v>
      </c>
      <c r="F41" s="562">
        <v>0.95</v>
      </c>
      <c r="G41" s="563">
        <v>0.21</v>
      </c>
      <c r="H41" s="563">
        <v>1.33</v>
      </c>
      <c r="I41" s="564">
        <v>-3.49</v>
      </c>
      <c r="J41" s="564">
        <v>0.03</v>
      </c>
      <c r="K41" s="604"/>
    </row>
    <row r="42" spans="1:11" s="183" customFormat="1" ht="27.75" customHeight="1" x14ac:dyDescent="0.25">
      <c r="A42" s="560">
        <v>40</v>
      </c>
      <c r="B42" s="742" t="s">
        <v>1219</v>
      </c>
      <c r="C42" s="561">
        <v>375.79280999999997</v>
      </c>
      <c r="D42" s="561">
        <v>65462.99</v>
      </c>
      <c r="E42" s="562">
        <v>0.66</v>
      </c>
      <c r="F42" s="562">
        <v>1.1499999999999999</v>
      </c>
      <c r="G42" s="563">
        <v>0.14000000000000001</v>
      </c>
      <c r="H42" s="563">
        <v>1.59</v>
      </c>
      <c r="I42" s="564">
        <v>-7.75</v>
      </c>
      <c r="J42" s="564">
        <v>0.02</v>
      </c>
      <c r="K42" s="604"/>
    </row>
    <row r="43" spans="1:11" s="183" customFormat="1" ht="27.75" customHeight="1" x14ac:dyDescent="0.25">
      <c r="A43" s="560">
        <v>41</v>
      </c>
      <c r="B43" s="732" t="s">
        <v>399</v>
      </c>
      <c r="C43" s="561">
        <v>892.46119339999996</v>
      </c>
      <c r="D43" s="561">
        <v>318653.71999999997</v>
      </c>
      <c r="E43" s="562">
        <v>3.21</v>
      </c>
      <c r="F43" s="562">
        <v>1.08</v>
      </c>
      <c r="G43" s="563">
        <v>0.26</v>
      </c>
      <c r="H43" s="563">
        <v>1.04</v>
      </c>
      <c r="I43" s="564">
        <v>0.5</v>
      </c>
      <c r="J43" s="564">
        <v>0.02</v>
      </c>
      <c r="K43" s="604"/>
    </row>
    <row r="44" spans="1:11" s="183" customFormat="1" ht="27.75" customHeight="1" x14ac:dyDescent="0.25">
      <c r="A44" s="560">
        <v>42</v>
      </c>
      <c r="B44" s="732" t="s">
        <v>400</v>
      </c>
      <c r="C44" s="561">
        <v>239.93349699999999</v>
      </c>
      <c r="D44" s="561">
        <v>157614.71</v>
      </c>
      <c r="E44" s="562">
        <v>1.59</v>
      </c>
      <c r="F44" s="562">
        <v>0.55000000000000004</v>
      </c>
      <c r="G44" s="563">
        <v>0.1</v>
      </c>
      <c r="H44" s="563">
        <v>1.0900000000000001</v>
      </c>
      <c r="I44" s="564">
        <v>-2.82</v>
      </c>
      <c r="J44" s="564">
        <v>0.02</v>
      </c>
      <c r="K44" s="604"/>
    </row>
    <row r="45" spans="1:11" s="183" customFormat="1" ht="27.75" customHeight="1" x14ac:dyDescent="0.25">
      <c r="A45" s="560">
        <v>43</v>
      </c>
      <c r="B45" s="732" t="s">
        <v>401</v>
      </c>
      <c r="C45" s="561">
        <v>361.80875179999998</v>
      </c>
      <c r="D45" s="561">
        <v>371890.91</v>
      </c>
      <c r="E45" s="562">
        <v>3.75</v>
      </c>
      <c r="F45" s="562">
        <v>0.8</v>
      </c>
      <c r="G45" s="563">
        <v>0.17</v>
      </c>
      <c r="H45" s="563">
        <v>1.1399999999999999</v>
      </c>
      <c r="I45" s="564">
        <v>-3.92</v>
      </c>
      <c r="J45" s="564">
        <v>0.02</v>
      </c>
      <c r="K45" s="604"/>
    </row>
    <row r="46" spans="1:11" s="183" customFormat="1" ht="27.75" customHeight="1" x14ac:dyDescent="0.25">
      <c r="A46" s="560">
        <v>44</v>
      </c>
      <c r="B46" s="732" t="s">
        <v>402</v>
      </c>
      <c r="C46" s="561">
        <v>95.283481600000002</v>
      </c>
      <c r="D46" s="561">
        <v>66676.05</v>
      </c>
      <c r="E46" s="562">
        <v>0.67</v>
      </c>
      <c r="F46" s="562">
        <v>0.84</v>
      </c>
      <c r="G46" s="563">
        <v>0.15</v>
      </c>
      <c r="H46" s="563">
        <v>1.34</v>
      </c>
      <c r="I46" s="564">
        <v>-4.34</v>
      </c>
      <c r="J46" s="564">
        <v>0.02</v>
      </c>
      <c r="K46" s="604"/>
    </row>
    <row r="47" spans="1:11" s="183" customFormat="1" ht="27.75" customHeight="1" x14ac:dyDescent="0.25">
      <c r="A47" s="560">
        <v>45</v>
      </c>
      <c r="B47" s="732" t="s">
        <v>403</v>
      </c>
      <c r="C47" s="561">
        <v>664.65032659999997</v>
      </c>
      <c r="D47" s="561">
        <v>162570.15</v>
      </c>
      <c r="E47" s="562">
        <v>1.64</v>
      </c>
      <c r="F47" s="562">
        <v>1</v>
      </c>
      <c r="G47" s="563">
        <v>0.18</v>
      </c>
      <c r="H47" s="563">
        <v>2.19</v>
      </c>
      <c r="I47" s="564">
        <v>-8.42</v>
      </c>
      <c r="J47" s="564">
        <v>0.02</v>
      </c>
      <c r="K47" s="604"/>
    </row>
    <row r="48" spans="1:11" s="183" customFormat="1" ht="27.75" customHeight="1" x14ac:dyDescent="0.25">
      <c r="A48" s="560">
        <v>46</v>
      </c>
      <c r="B48" s="732" t="s">
        <v>404</v>
      </c>
      <c r="C48" s="561">
        <v>1248.3527171000001</v>
      </c>
      <c r="D48" s="561">
        <v>137758.22</v>
      </c>
      <c r="E48" s="562">
        <v>1.39</v>
      </c>
      <c r="F48" s="562">
        <v>1.5</v>
      </c>
      <c r="G48" s="563">
        <v>0.36</v>
      </c>
      <c r="H48" s="563">
        <v>1.79</v>
      </c>
      <c r="I48" s="564">
        <v>1.33</v>
      </c>
      <c r="J48" s="564">
        <v>0.03</v>
      </c>
      <c r="K48" s="604"/>
    </row>
    <row r="49" spans="1:11" s="183" customFormat="1" ht="27.75" customHeight="1" x14ac:dyDescent="0.25">
      <c r="A49" s="560">
        <v>47</v>
      </c>
      <c r="B49" s="732" t="s">
        <v>405</v>
      </c>
      <c r="C49" s="561">
        <v>488.28355699999997</v>
      </c>
      <c r="D49" s="561">
        <v>77978.149999999994</v>
      </c>
      <c r="E49" s="562">
        <v>0.79</v>
      </c>
      <c r="F49" s="562">
        <v>1.1599999999999999</v>
      </c>
      <c r="G49" s="563">
        <v>0.23</v>
      </c>
      <c r="H49" s="563">
        <v>1.38</v>
      </c>
      <c r="I49" s="564">
        <v>-2.77</v>
      </c>
      <c r="J49" s="564">
        <v>0.03</v>
      </c>
      <c r="K49" s="604"/>
    </row>
    <row r="50" spans="1:11" s="183" customFormat="1" ht="27.75" customHeight="1" x14ac:dyDescent="0.25">
      <c r="A50" s="560">
        <v>48</v>
      </c>
      <c r="B50" s="732" t="s">
        <v>406</v>
      </c>
      <c r="C50" s="561">
        <v>88.778616</v>
      </c>
      <c r="D50" s="561">
        <v>135271.35999999999</v>
      </c>
      <c r="E50" s="562">
        <v>1.36</v>
      </c>
      <c r="F50" s="562">
        <v>0.86</v>
      </c>
      <c r="G50" s="563">
        <v>0.2</v>
      </c>
      <c r="H50" s="563">
        <v>1.86</v>
      </c>
      <c r="I50" s="564">
        <v>-9.68</v>
      </c>
      <c r="J50" s="564">
        <v>0.02</v>
      </c>
      <c r="K50" s="604"/>
    </row>
    <row r="51" spans="1:11" s="183" customFormat="1" ht="27.75" customHeight="1" x14ac:dyDescent="0.25">
      <c r="A51" s="560">
        <v>49</v>
      </c>
      <c r="B51" s="732" t="s">
        <v>407</v>
      </c>
      <c r="C51" s="561">
        <v>288.69024400000001</v>
      </c>
      <c r="D51" s="561">
        <v>114500.32</v>
      </c>
      <c r="E51" s="562">
        <v>1.1499999999999999</v>
      </c>
      <c r="F51" s="562">
        <v>1.07</v>
      </c>
      <c r="G51" s="563">
        <v>0.32</v>
      </c>
      <c r="H51" s="563">
        <v>1.1499999999999999</v>
      </c>
      <c r="I51" s="564">
        <v>-0.56999999999999995</v>
      </c>
      <c r="J51" s="564">
        <v>0.02</v>
      </c>
      <c r="K51" s="604"/>
    </row>
    <row r="52" spans="1:11" s="183" customFormat="1" ht="27.75" customHeight="1" x14ac:dyDescent="0.25">
      <c r="A52" s="560">
        <v>50</v>
      </c>
      <c r="B52" s="732" t="s">
        <v>408</v>
      </c>
      <c r="C52" s="561">
        <v>1044.9985326000001</v>
      </c>
      <c r="D52" s="561">
        <v>61818.98</v>
      </c>
      <c r="E52" s="562">
        <v>0.62</v>
      </c>
      <c r="F52" s="562">
        <v>1.25</v>
      </c>
      <c r="G52" s="563">
        <v>0.31</v>
      </c>
      <c r="H52" s="563">
        <v>1.1000000000000001</v>
      </c>
      <c r="I52" s="564">
        <v>-5.23</v>
      </c>
      <c r="J52" s="564">
        <v>0.02</v>
      </c>
      <c r="K52" s="604"/>
    </row>
    <row r="53" spans="1:11" s="183" customFormat="1" ht="27" customHeight="1" x14ac:dyDescent="0.25">
      <c r="A53" s="554"/>
      <c r="B53" s="555"/>
      <c r="C53" s="556"/>
      <c r="D53" s="556"/>
      <c r="E53" s="557"/>
      <c r="F53" s="557"/>
      <c r="G53" s="558"/>
      <c r="H53" s="558"/>
      <c r="I53" s="559"/>
      <c r="J53" s="559"/>
    </row>
    <row r="54" spans="1:11" s="183" customFormat="1" ht="26.25" customHeight="1" x14ac:dyDescent="0.25">
      <c r="A54" s="1334" t="s">
        <v>409</v>
      </c>
      <c r="B54" s="1334"/>
      <c r="C54" s="1334"/>
      <c r="D54" s="1334"/>
      <c r="E54" s="1334"/>
      <c r="F54" s="1334"/>
      <c r="G54" s="1334"/>
      <c r="H54" s="1334"/>
      <c r="I54" s="1334"/>
      <c r="J54" s="1334"/>
    </row>
    <row r="55" spans="1:11" s="183" customFormat="1" ht="17.25" customHeight="1" x14ac:dyDescent="0.25">
      <c r="A55" s="1334" t="s">
        <v>355</v>
      </c>
      <c r="B55" s="1334"/>
      <c r="C55" s="1334"/>
      <c r="D55" s="1334"/>
      <c r="E55" s="1334"/>
      <c r="F55" s="1334"/>
      <c r="G55" s="1334"/>
      <c r="H55" s="1334"/>
      <c r="I55" s="1334"/>
      <c r="J55" s="1334"/>
    </row>
    <row r="56" spans="1:11" s="183" customFormat="1" ht="19.5" customHeight="1" x14ac:dyDescent="0.25">
      <c r="A56" s="1334" t="s">
        <v>410</v>
      </c>
      <c r="B56" s="1334"/>
      <c r="C56" s="1334"/>
      <c r="D56" s="1334"/>
      <c r="E56" s="1334"/>
      <c r="F56" s="1334"/>
      <c r="G56" s="1334"/>
      <c r="H56" s="1334"/>
      <c r="I56" s="1334"/>
      <c r="J56" s="1334"/>
    </row>
    <row r="57" spans="1:11" s="183" customFormat="1" ht="27" customHeight="1" x14ac:dyDescent="0.25">
      <c r="A57" s="1334" t="s">
        <v>357</v>
      </c>
      <c r="B57" s="1334"/>
      <c r="C57" s="1334"/>
      <c r="D57" s="1334"/>
      <c r="E57" s="1334"/>
      <c r="F57" s="1334"/>
      <c r="G57" s="1334"/>
      <c r="H57" s="1334"/>
      <c r="I57" s="1334"/>
      <c r="J57" s="1334"/>
    </row>
    <row r="58" spans="1:11" s="183" customFormat="1" ht="15.75" customHeight="1" x14ac:dyDescent="0.25">
      <c r="A58" s="1334" t="s">
        <v>411</v>
      </c>
      <c r="B58" s="1334"/>
      <c r="C58" s="1334"/>
      <c r="D58" s="1334"/>
      <c r="E58" s="1334"/>
      <c r="F58" s="1334"/>
      <c r="G58" s="1334"/>
      <c r="H58" s="1334"/>
      <c r="I58" s="1334"/>
      <c r="J58" s="1334"/>
    </row>
    <row r="59" spans="1:11" s="183" customFormat="1" ht="15.75" customHeight="1" x14ac:dyDescent="0.25">
      <c r="A59" s="743" t="s">
        <v>1244</v>
      </c>
      <c r="B59" s="651"/>
      <c r="C59" s="651"/>
      <c r="D59" s="651"/>
      <c r="E59" s="651"/>
      <c r="F59" s="651"/>
      <c r="G59" s="651"/>
      <c r="H59" s="651"/>
      <c r="I59" s="651"/>
      <c r="J59" s="651"/>
    </row>
    <row r="60" spans="1:11" s="183" customFormat="1" ht="13.5" customHeight="1" x14ac:dyDescent="0.25">
      <c r="A60" s="1333" t="s">
        <v>314</v>
      </c>
      <c r="B60" s="1333"/>
      <c r="C60" s="1333"/>
      <c r="D60" s="1333"/>
      <c r="E60" s="1333"/>
      <c r="F60" s="1333"/>
      <c r="G60" s="1333"/>
      <c r="H60" s="1333"/>
      <c r="I60" s="1333"/>
      <c r="J60" s="1333"/>
    </row>
  </sheetData>
  <mergeCells count="6">
    <mergeCell ref="A60:J60"/>
    <mergeCell ref="A54:J54"/>
    <mergeCell ref="A55:J55"/>
    <mergeCell ref="A56:J56"/>
    <mergeCell ref="A57:J57"/>
    <mergeCell ref="A58:J58"/>
  </mergeCells>
  <printOptions horizontalCentered="1"/>
  <pageMargins left="0.78431372549019618" right="0.78431372549019618" top="0.98039215686274517" bottom="0.98039215686274517" header="0.50980392156862753" footer="0.50980392156862753"/>
  <pageSetup paperSize="9" scale="89" fitToHeight="0"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1"/>
  <sheetViews>
    <sheetView zoomScaleNormal="100" workbookViewId="0">
      <selection activeCell="L13" sqref="L13"/>
    </sheetView>
  </sheetViews>
  <sheetFormatPr defaultColWidth="9.140625" defaultRowHeight="15" x14ac:dyDescent="0.25"/>
  <cols>
    <col min="1" max="1" width="6.42578125" style="127" bestFit="1" customWidth="1"/>
    <col min="2" max="2" width="40.42578125" style="127" bestFit="1" customWidth="1"/>
    <col min="3" max="3" width="13.42578125" style="127" bestFit="1" customWidth="1"/>
    <col min="4" max="4" width="17.42578125" style="127" customWidth="1"/>
    <col min="5" max="5" width="10.42578125" style="127" bestFit="1" customWidth="1"/>
    <col min="6" max="6" width="7.5703125" style="127" bestFit="1" customWidth="1"/>
    <col min="7" max="7" width="6.140625" style="127" bestFit="1" customWidth="1"/>
    <col min="8" max="8" width="10.42578125" style="127" bestFit="1" customWidth="1"/>
    <col min="9" max="9" width="12.5703125" style="127" bestFit="1" customWidth="1"/>
    <col min="10" max="10" width="12.140625" style="127" bestFit="1" customWidth="1"/>
    <col min="11" max="16384" width="9.140625" style="127"/>
  </cols>
  <sheetData>
    <row r="1" spans="1:10" ht="15.75" customHeight="1" x14ac:dyDescent="0.25">
      <c r="A1" s="571" t="s">
        <v>1375</v>
      </c>
      <c r="B1" s="571"/>
      <c r="C1" s="571"/>
      <c r="D1" s="571"/>
      <c r="E1" s="571"/>
      <c r="F1" s="571"/>
      <c r="G1" s="571"/>
    </row>
    <row r="2" spans="1:10" s="128" customFormat="1" ht="43.5" customHeight="1" x14ac:dyDescent="0.25">
      <c r="A2" s="884" t="s">
        <v>412</v>
      </c>
      <c r="B2" s="884" t="s">
        <v>316</v>
      </c>
      <c r="C2" s="884" t="s">
        <v>413</v>
      </c>
      <c r="D2" s="884" t="s">
        <v>414</v>
      </c>
      <c r="E2" s="884" t="s">
        <v>415</v>
      </c>
      <c r="F2" s="884" t="s">
        <v>320</v>
      </c>
      <c r="G2" s="884" t="s">
        <v>416</v>
      </c>
      <c r="H2" s="885" t="s">
        <v>417</v>
      </c>
      <c r="I2" s="885" t="s">
        <v>418</v>
      </c>
      <c r="J2" s="884" t="s">
        <v>419</v>
      </c>
    </row>
    <row r="3" spans="1:10" s="128" customFormat="1" ht="18" customHeight="1" x14ac:dyDescent="0.25">
      <c r="A3" s="983">
        <v>1</v>
      </c>
      <c r="B3" s="984" t="s">
        <v>420</v>
      </c>
      <c r="C3" s="985">
        <v>876.48364649999996</v>
      </c>
      <c r="D3" s="985">
        <v>1341246.6510129899</v>
      </c>
      <c r="E3" s="986">
        <v>0.13991466020000001</v>
      </c>
      <c r="F3" s="987">
        <v>1.18</v>
      </c>
      <c r="G3" s="987">
        <v>0.41</v>
      </c>
      <c r="H3" s="987" t="s">
        <v>238</v>
      </c>
      <c r="I3" s="987" t="s">
        <v>238</v>
      </c>
      <c r="J3" s="984" t="s">
        <v>238</v>
      </c>
    </row>
    <row r="4" spans="1:10" s="128" customFormat="1" ht="18" customHeight="1" x14ac:dyDescent="0.25">
      <c r="A4" s="983">
        <v>2</v>
      </c>
      <c r="B4" s="984" t="s">
        <v>421</v>
      </c>
      <c r="C4" s="985">
        <v>6765.6909470000001</v>
      </c>
      <c r="D4" s="985">
        <v>982919.36729088007</v>
      </c>
      <c r="E4" s="986">
        <v>0.1025350775</v>
      </c>
      <c r="F4" s="987">
        <v>1.1399999999999999</v>
      </c>
      <c r="G4" s="987">
        <v>0.36</v>
      </c>
      <c r="H4" s="987" t="s">
        <v>238</v>
      </c>
      <c r="I4" s="987" t="s">
        <v>238</v>
      </c>
      <c r="J4" s="984" t="s">
        <v>238</v>
      </c>
    </row>
    <row r="5" spans="1:10" s="128" customFormat="1" ht="18" customHeight="1" x14ac:dyDescent="0.25">
      <c r="A5" s="983">
        <v>3</v>
      </c>
      <c r="B5" s="984" t="s">
        <v>422</v>
      </c>
      <c r="C5" s="985">
        <v>1406.187809</v>
      </c>
      <c r="D5" s="985">
        <v>785878.50507991994</v>
      </c>
      <c r="E5" s="986">
        <v>8.1980390299999997E-2</v>
      </c>
      <c r="F5" s="987">
        <v>0.92</v>
      </c>
      <c r="G5" s="987">
        <v>0.32</v>
      </c>
      <c r="H5" s="987" t="s">
        <v>238</v>
      </c>
      <c r="I5" s="987" t="s">
        <v>238</v>
      </c>
      <c r="J5" s="984" t="s">
        <v>238</v>
      </c>
    </row>
    <row r="6" spans="1:10" s="128" customFormat="1" ht="18" customHeight="1" x14ac:dyDescent="0.25">
      <c r="A6" s="983">
        <v>4</v>
      </c>
      <c r="B6" s="984" t="s">
        <v>423</v>
      </c>
      <c r="C6" s="985">
        <v>2083.8855715</v>
      </c>
      <c r="D6" s="985">
        <v>506855.22449331003</v>
      </c>
      <c r="E6" s="986">
        <v>5.2873553500000003E-2</v>
      </c>
      <c r="F6" s="987">
        <v>1.06</v>
      </c>
      <c r="G6" s="987">
        <v>0.23</v>
      </c>
      <c r="H6" s="987" t="s">
        <v>238</v>
      </c>
      <c r="I6" s="987" t="s">
        <v>238</v>
      </c>
      <c r="J6" s="984" t="s">
        <v>238</v>
      </c>
    </row>
    <row r="7" spans="1:10" s="128" customFormat="1" ht="18" customHeight="1" x14ac:dyDescent="0.25">
      <c r="A7" s="983">
        <v>5</v>
      </c>
      <c r="B7" s="984" t="s">
        <v>425</v>
      </c>
      <c r="C7" s="985">
        <v>281.20083720000002</v>
      </c>
      <c r="D7" s="985">
        <v>444081.01772672997</v>
      </c>
      <c r="E7" s="986">
        <v>4.6325144300000003E-2</v>
      </c>
      <c r="F7" s="987">
        <v>1.17</v>
      </c>
      <c r="G7" s="987">
        <v>0.3</v>
      </c>
      <c r="H7" s="987" t="s">
        <v>238</v>
      </c>
      <c r="I7" s="987" t="s">
        <v>238</v>
      </c>
      <c r="J7" s="984" t="s">
        <v>238</v>
      </c>
    </row>
    <row r="8" spans="1:10" s="128" customFormat="1" ht="18" customHeight="1" x14ac:dyDescent="0.25">
      <c r="A8" s="983">
        <v>6</v>
      </c>
      <c r="B8" s="984" t="s">
        <v>424</v>
      </c>
      <c r="C8" s="985">
        <v>375.23847060000003</v>
      </c>
      <c r="D8" s="985">
        <v>406339.96239175496</v>
      </c>
      <c r="E8" s="986">
        <v>4.2388115400000002E-2</v>
      </c>
      <c r="F8" s="987">
        <v>0.81</v>
      </c>
      <c r="G8" s="987">
        <v>0.18</v>
      </c>
      <c r="H8" s="987" t="s">
        <v>238</v>
      </c>
      <c r="I8" s="987" t="s">
        <v>238</v>
      </c>
      <c r="J8" s="984" t="s">
        <v>238</v>
      </c>
    </row>
    <row r="9" spans="1:10" s="128" customFormat="1" ht="18" customHeight="1" x14ac:dyDescent="0.25">
      <c r="A9" s="983">
        <v>7</v>
      </c>
      <c r="B9" s="984" t="s">
        <v>427</v>
      </c>
      <c r="C9" s="985">
        <v>617.69894199999999</v>
      </c>
      <c r="D9" s="985">
        <v>330246.99347172503</v>
      </c>
      <c r="E9" s="986">
        <v>3.44503346E-2</v>
      </c>
      <c r="F9" s="987">
        <v>1.02</v>
      </c>
      <c r="G9" s="987">
        <v>0.25</v>
      </c>
      <c r="H9" s="987" t="s">
        <v>238</v>
      </c>
      <c r="I9" s="987" t="s">
        <v>238</v>
      </c>
      <c r="J9" s="984" t="s">
        <v>238</v>
      </c>
    </row>
    <row r="10" spans="1:10" s="128" customFormat="1" ht="18" customHeight="1" x14ac:dyDescent="0.25">
      <c r="A10" s="983">
        <v>8</v>
      </c>
      <c r="B10" s="984" t="s">
        <v>431</v>
      </c>
      <c r="C10" s="985">
        <v>2836.0493190000002</v>
      </c>
      <c r="D10" s="985">
        <v>326901.17395785003</v>
      </c>
      <c r="E10" s="986">
        <v>3.4101309099999998E-2</v>
      </c>
      <c r="F10" s="987">
        <v>0.64</v>
      </c>
      <c r="G10" s="987">
        <v>0.13</v>
      </c>
      <c r="H10" s="987" t="s">
        <v>238</v>
      </c>
      <c r="I10" s="987" t="s">
        <v>238</v>
      </c>
      <c r="J10" s="984" t="s">
        <v>238</v>
      </c>
    </row>
    <row r="11" spans="1:10" s="128" customFormat="1" ht="18" customHeight="1" x14ac:dyDescent="0.25">
      <c r="A11" s="983">
        <v>9</v>
      </c>
      <c r="B11" s="984" t="s">
        <v>429</v>
      </c>
      <c r="C11" s="985">
        <v>892.4611893</v>
      </c>
      <c r="D11" s="985">
        <v>319015.86604138999</v>
      </c>
      <c r="E11" s="986">
        <v>3.3278738500000002E-2</v>
      </c>
      <c r="F11" s="987">
        <v>1.05</v>
      </c>
      <c r="G11" s="987">
        <v>0.26</v>
      </c>
      <c r="H11" s="987" t="s">
        <v>238</v>
      </c>
      <c r="I11" s="987" t="s">
        <v>238</v>
      </c>
      <c r="J11" s="984" t="s">
        <v>238</v>
      </c>
    </row>
    <row r="12" spans="1:10" s="128" customFormat="1" ht="18" customHeight="1" x14ac:dyDescent="0.25">
      <c r="A12" s="983">
        <v>10</v>
      </c>
      <c r="B12" s="984" t="s">
        <v>426</v>
      </c>
      <c r="C12" s="985">
        <v>1248.2854981999999</v>
      </c>
      <c r="D12" s="985">
        <v>296886.16305201</v>
      </c>
      <c r="E12" s="986">
        <v>3.0970237000000001E-2</v>
      </c>
      <c r="F12" s="987">
        <v>0.71</v>
      </c>
      <c r="G12" s="987">
        <v>0.17</v>
      </c>
      <c r="H12" s="987" t="s">
        <v>238</v>
      </c>
      <c r="I12" s="987" t="s">
        <v>238</v>
      </c>
      <c r="J12" s="984" t="s">
        <v>238</v>
      </c>
    </row>
    <row r="13" spans="1:10" s="128" customFormat="1" ht="18" customHeight="1" x14ac:dyDescent="0.25">
      <c r="A13" s="983">
        <v>11</v>
      </c>
      <c r="B13" s="984" t="s">
        <v>428</v>
      </c>
      <c r="C13" s="985">
        <v>621.76441550000004</v>
      </c>
      <c r="D13" s="985">
        <v>241954.21420928003</v>
      </c>
      <c r="E13" s="986">
        <v>2.5239907700000001E-2</v>
      </c>
      <c r="F13" s="987">
        <v>0.89</v>
      </c>
      <c r="G13" s="987">
        <v>0.19</v>
      </c>
      <c r="H13" s="987" t="s">
        <v>238</v>
      </c>
      <c r="I13" s="987" t="s">
        <v>238</v>
      </c>
      <c r="J13" s="984" t="s">
        <v>238</v>
      </c>
    </row>
    <row r="14" spans="1:10" s="128" customFormat="1" ht="18" customHeight="1" x14ac:dyDescent="0.25">
      <c r="A14" s="983">
        <v>12</v>
      </c>
      <c r="B14" s="984" t="s">
        <v>434</v>
      </c>
      <c r="C14" s="985">
        <v>993.96559100000002</v>
      </c>
      <c r="D14" s="985">
        <v>241011.79842874999</v>
      </c>
      <c r="E14" s="986">
        <v>2.5141597799999998E-2</v>
      </c>
      <c r="F14" s="987">
        <v>1.1200000000000001</v>
      </c>
      <c r="G14" s="987">
        <v>0.18</v>
      </c>
      <c r="H14" s="987" t="s">
        <v>238</v>
      </c>
      <c r="I14" s="987" t="s">
        <v>238</v>
      </c>
      <c r="J14" s="984" t="s">
        <v>238</v>
      </c>
    </row>
    <row r="15" spans="1:10" s="128" customFormat="1" ht="18" customHeight="1" x14ac:dyDescent="0.25">
      <c r="A15" s="983">
        <v>13</v>
      </c>
      <c r="B15" s="984" t="s">
        <v>447</v>
      </c>
      <c r="C15" s="985">
        <v>234.95912619999999</v>
      </c>
      <c r="D15" s="985">
        <v>212798.28815756002</v>
      </c>
      <c r="E15" s="986">
        <v>2.2198452600000002E-2</v>
      </c>
      <c r="F15" s="987">
        <v>0.43</v>
      </c>
      <c r="G15" s="987">
        <v>0</v>
      </c>
      <c r="H15" s="987" t="s">
        <v>238</v>
      </c>
      <c r="I15" s="987" t="s">
        <v>238</v>
      </c>
      <c r="J15" s="984" t="s">
        <v>238</v>
      </c>
    </row>
    <row r="16" spans="1:10" s="128" customFormat="1" ht="18" customHeight="1" x14ac:dyDescent="0.25">
      <c r="A16" s="983">
        <v>14</v>
      </c>
      <c r="B16" s="984" t="s">
        <v>430</v>
      </c>
      <c r="C16" s="985">
        <v>96.415716000000003</v>
      </c>
      <c r="D16" s="985">
        <v>208491.44909206501</v>
      </c>
      <c r="E16" s="986">
        <v>2.17491766E-2</v>
      </c>
      <c r="F16" s="987">
        <v>0.6</v>
      </c>
      <c r="G16" s="987">
        <v>0.15</v>
      </c>
      <c r="H16" s="987" t="s">
        <v>238</v>
      </c>
      <c r="I16" s="987" t="s">
        <v>238</v>
      </c>
      <c r="J16" s="984" t="s">
        <v>238</v>
      </c>
    </row>
    <row r="17" spans="1:10" s="128" customFormat="1" ht="18" customHeight="1" x14ac:dyDescent="0.25">
      <c r="A17" s="983">
        <v>15</v>
      </c>
      <c r="B17" s="984" t="s">
        <v>432</v>
      </c>
      <c r="C17" s="985">
        <v>123.792264</v>
      </c>
      <c r="D17" s="985">
        <v>187435.88665171</v>
      </c>
      <c r="E17" s="986">
        <v>1.9552726100000001E-2</v>
      </c>
      <c r="F17" s="987">
        <v>0.95</v>
      </c>
      <c r="G17" s="987">
        <v>0.17</v>
      </c>
      <c r="H17" s="987" t="s">
        <v>238</v>
      </c>
      <c r="I17" s="987" t="s">
        <v>238</v>
      </c>
      <c r="J17" s="984" t="s">
        <v>238</v>
      </c>
    </row>
    <row r="18" spans="1:10" s="128" customFormat="1" ht="18" customHeight="1" x14ac:dyDescent="0.25">
      <c r="A18" s="983">
        <v>16</v>
      </c>
      <c r="B18" s="984" t="s">
        <v>435</v>
      </c>
      <c r="C18" s="985">
        <v>157.20128700000001</v>
      </c>
      <c r="D18" s="985">
        <v>178258.59348677998</v>
      </c>
      <c r="E18" s="986">
        <v>1.8595379499999998E-2</v>
      </c>
      <c r="F18" s="987">
        <v>0.8</v>
      </c>
      <c r="G18" s="987">
        <v>0.18</v>
      </c>
      <c r="H18" s="987" t="s">
        <v>238</v>
      </c>
      <c r="I18" s="987" t="s">
        <v>238</v>
      </c>
      <c r="J18" s="984" t="s">
        <v>238</v>
      </c>
    </row>
    <row r="19" spans="1:10" s="128" customFormat="1" ht="18" customHeight="1" x14ac:dyDescent="0.25">
      <c r="A19" s="983">
        <v>17</v>
      </c>
      <c r="B19" s="984" t="s">
        <v>440</v>
      </c>
      <c r="C19" s="985">
        <v>9894.5572800000009</v>
      </c>
      <c r="D19" s="985">
        <v>176951.53349249999</v>
      </c>
      <c r="E19" s="986">
        <v>1.8459031099999999E-2</v>
      </c>
      <c r="F19" s="987">
        <v>1.23</v>
      </c>
      <c r="G19" s="987">
        <v>0.25</v>
      </c>
      <c r="H19" s="987" t="s">
        <v>238</v>
      </c>
      <c r="I19" s="987" t="s">
        <v>238</v>
      </c>
      <c r="J19" s="984" t="s">
        <v>238</v>
      </c>
    </row>
    <row r="20" spans="1:10" s="128" customFormat="1" ht="18" customHeight="1" x14ac:dyDescent="0.25">
      <c r="A20" s="983">
        <v>18</v>
      </c>
      <c r="B20" s="984" t="s">
        <v>439</v>
      </c>
      <c r="C20" s="985">
        <v>664.79578240000001</v>
      </c>
      <c r="D20" s="985">
        <v>164370.00286589999</v>
      </c>
      <c r="E20" s="986">
        <v>1.7146565200000002E-2</v>
      </c>
      <c r="F20" s="987">
        <v>0.96</v>
      </c>
      <c r="G20" s="987">
        <v>0.17</v>
      </c>
      <c r="H20" s="987" t="s">
        <v>238</v>
      </c>
      <c r="I20" s="987" t="s">
        <v>238</v>
      </c>
      <c r="J20" s="984" t="s">
        <v>238</v>
      </c>
    </row>
    <row r="21" spans="1:10" s="128" customFormat="1" ht="18" customHeight="1" x14ac:dyDescent="0.25">
      <c r="A21" s="983">
        <v>19</v>
      </c>
      <c r="B21" s="984" t="s">
        <v>437</v>
      </c>
      <c r="C21" s="985">
        <v>239.92763600000001</v>
      </c>
      <c r="D21" s="985">
        <v>159428.97813581998</v>
      </c>
      <c r="E21" s="986">
        <v>1.6631132900000001E-2</v>
      </c>
      <c r="F21" s="987">
        <v>0.54</v>
      </c>
      <c r="G21" s="987">
        <v>0.09</v>
      </c>
      <c r="H21" s="987" t="s">
        <v>238</v>
      </c>
      <c r="I21" s="987" t="s">
        <v>238</v>
      </c>
      <c r="J21" s="984" t="s">
        <v>238</v>
      </c>
    </row>
    <row r="22" spans="1:10" s="128" customFormat="1" ht="18" customHeight="1" x14ac:dyDescent="0.25">
      <c r="A22" s="983">
        <v>20</v>
      </c>
      <c r="B22" s="984" t="s">
        <v>446</v>
      </c>
      <c r="C22" s="985">
        <v>542.73301919999994</v>
      </c>
      <c r="D22" s="985">
        <v>140290.17574000001</v>
      </c>
      <c r="E22" s="986">
        <v>1.46346328E-2</v>
      </c>
      <c r="F22" s="987">
        <v>0.9</v>
      </c>
      <c r="G22" s="987">
        <v>0.06</v>
      </c>
      <c r="H22" s="987" t="s">
        <v>238</v>
      </c>
      <c r="I22" s="987" t="s">
        <v>238</v>
      </c>
      <c r="J22" s="984" t="s">
        <v>238</v>
      </c>
    </row>
    <row r="23" spans="1:10" s="128" customFormat="1" ht="18" customHeight="1" x14ac:dyDescent="0.25">
      <c r="A23" s="983">
        <v>21</v>
      </c>
      <c r="B23" s="984" t="s">
        <v>438</v>
      </c>
      <c r="C23" s="985">
        <v>88.778616</v>
      </c>
      <c r="D23" s="985">
        <v>140036.15487686999</v>
      </c>
      <c r="E23" s="986">
        <v>1.4608134199999999E-2</v>
      </c>
      <c r="F23" s="987">
        <v>0.8</v>
      </c>
      <c r="G23" s="987">
        <v>0.14000000000000001</v>
      </c>
      <c r="H23" s="987" t="s">
        <v>238</v>
      </c>
      <c r="I23" s="987" t="s">
        <v>238</v>
      </c>
      <c r="J23" s="984" t="s">
        <v>238</v>
      </c>
    </row>
    <row r="24" spans="1:10" s="128" customFormat="1" ht="18" customHeight="1" x14ac:dyDescent="0.25">
      <c r="A24" s="983">
        <v>22</v>
      </c>
      <c r="B24" s="984" t="s">
        <v>441</v>
      </c>
      <c r="C24" s="985">
        <v>9300.6038189999999</v>
      </c>
      <c r="D24" s="985">
        <v>139336.18547552</v>
      </c>
      <c r="E24" s="986">
        <v>1.4535115499999999E-2</v>
      </c>
      <c r="F24" s="987">
        <v>1.45</v>
      </c>
      <c r="G24" s="987">
        <v>0.34</v>
      </c>
      <c r="H24" s="987" t="s">
        <v>238</v>
      </c>
      <c r="I24" s="987" t="s">
        <v>238</v>
      </c>
      <c r="J24" s="984" t="s">
        <v>238</v>
      </c>
    </row>
    <row r="25" spans="1:10" s="128" customFormat="1" ht="18" customHeight="1" x14ac:dyDescent="0.25">
      <c r="A25" s="983">
        <v>23</v>
      </c>
      <c r="B25" s="984" t="s">
        <v>436</v>
      </c>
      <c r="C25" s="985">
        <v>1247.8139951000001</v>
      </c>
      <c r="D25" s="985">
        <v>135561.38319023</v>
      </c>
      <c r="E25" s="986">
        <v>1.4141340000000001E-2</v>
      </c>
      <c r="F25" s="987">
        <v>0.83</v>
      </c>
      <c r="G25" s="987">
        <v>0.19</v>
      </c>
      <c r="H25" s="987" t="s">
        <v>238</v>
      </c>
      <c r="I25" s="987" t="s">
        <v>238</v>
      </c>
      <c r="J25" s="984" t="s">
        <v>238</v>
      </c>
    </row>
    <row r="26" spans="1:10" s="128" customFormat="1" ht="18" customHeight="1" x14ac:dyDescent="0.25">
      <c r="A26" s="983">
        <v>24</v>
      </c>
      <c r="B26" s="984" t="s">
        <v>433</v>
      </c>
      <c r="C26" s="985">
        <v>95.919779000000005</v>
      </c>
      <c r="D26" s="985">
        <v>130820.31350555999</v>
      </c>
      <c r="E26" s="986">
        <v>1.36467664E-2</v>
      </c>
      <c r="F26" s="987">
        <v>0.8</v>
      </c>
      <c r="G26" s="987">
        <v>0.21</v>
      </c>
      <c r="H26" s="987" t="s">
        <v>238</v>
      </c>
      <c r="I26" s="987" t="s">
        <v>238</v>
      </c>
      <c r="J26" s="984" t="s">
        <v>238</v>
      </c>
    </row>
    <row r="27" spans="1:10" s="128" customFormat="1" ht="18" customHeight="1" x14ac:dyDescent="0.25">
      <c r="A27" s="983">
        <v>25</v>
      </c>
      <c r="B27" s="984" t="s">
        <v>442</v>
      </c>
      <c r="C27" s="985">
        <v>288.697318</v>
      </c>
      <c r="D27" s="985">
        <v>113964.57959985</v>
      </c>
      <c r="E27" s="986">
        <v>1.1888428899999999E-2</v>
      </c>
      <c r="F27" s="987">
        <v>1.06</v>
      </c>
      <c r="G27" s="987">
        <v>0.32</v>
      </c>
      <c r="H27" s="987" t="s">
        <v>238</v>
      </c>
      <c r="I27" s="987" t="s">
        <v>238</v>
      </c>
      <c r="J27" s="984" t="s">
        <v>238</v>
      </c>
    </row>
    <row r="28" spans="1:10" s="128" customFormat="1" ht="18" customHeight="1" x14ac:dyDescent="0.25">
      <c r="A28" s="983">
        <v>26</v>
      </c>
      <c r="B28" s="984" t="s">
        <v>445</v>
      </c>
      <c r="C28" s="985">
        <v>115.8270046</v>
      </c>
      <c r="D28" s="985">
        <v>112751.63079055501</v>
      </c>
      <c r="E28" s="986">
        <v>1.17618979E-2</v>
      </c>
      <c r="F28" s="987">
        <v>1.69</v>
      </c>
      <c r="G28" s="987">
        <v>0.22</v>
      </c>
      <c r="H28" s="987" t="s">
        <v>238</v>
      </c>
      <c r="I28" s="987" t="s">
        <v>238</v>
      </c>
      <c r="J28" s="984" t="s">
        <v>238</v>
      </c>
    </row>
    <row r="29" spans="1:10" s="128" customFormat="1" ht="18" customHeight="1" x14ac:dyDescent="0.25">
      <c r="A29" s="983">
        <v>27</v>
      </c>
      <c r="B29" s="984" t="s">
        <v>454</v>
      </c>
      <c r="C29" s="985">
        <v>106.608431</v>
      </c>
      <c r="D29" s="985">
        <v>107018.18880100001</v>
      </c>
      <c r="E29" s="986">
        <v>1.11638031E-2</v>
      </c>
      <c r="F29" s="987">
        <v>1.43</v>
      </c>
      <c r="G29" s="987">
        <v>0.2</v>
      </c>
      <c r="H29" s="987" t="s">
        <v>238</v>
      </c>
      <c r="I29" s="987" t="s">
        <v>238</v>
      </c>
      <c r="J29" s="984" t="s">
        <v>238</v>
      </c>
    </row>
    <row r="30" spans="1:10" s="128" customFormat="1" ht="18" customHeight="1" x14ac:dyDescent="0.25">
      <c r="A30" s="983">
        <v>28</v>
      </c>
      <c r="B30" s="984" t="s">
        <v>452</v>
      </c>
      <c r="C30" s="985">
        <v>224.72165229999999</v>
      </c>
      <c r="D30" s="985">
        <v>102465.37412951501</v>
      </c>
      <c r="E30" s="986">
        <v>1.06888677E-2</v>
      </c>
      <c r="F30" s="987">
        <v>1.23</v>
      </c>
      <c r="G30" s="987">
        <v>0.23</v>
      </c>
      <c r="H30" s="987" t="s">
        <v>238</v>
      </c>
      <c r="I30" s="987" t="s">
        <v>238</v>
      </c>
      <c r="J30" s="984" t="s">
        <v>238</v>
      </c>
    </row>
    <row r="31" spans="1:10" s="128" customFormat="1" ht="18" customHeight="1" x14ac:dyDescent="0.25">
      <c r="A31" s="983">
        <v>29</v>
      </c>
      <c r="B31" s="984" t="s">
        <v>453</v>
      </c>
      <c r="C31" s="985">
        <v>432.02778899999998</v>
      </c>
      <c r="D31" s="985">
        <v>100250.861769025</v>
      </c>
      <c r="E31" s="986">
        <v>1.04578567E-2</v>
      </c>
      <c r="F31" s="987">
        <v>1.08</v>
      </c>
      <c r="G31" s="987">
        <v>0.16</v>
      </c>
      <c r="H31" s="987" t="s">
        <v>238</v>
      </c>
      <c r="I31" s="987" t="s">
        <v>238</v>
      </c>
      <c r="J31" s="984" t="s">
        <v>238</v>
      </c>
    </row>
    <row r="32" spans="1:10" s="128" customFormat="1" ht="18" customHeight="1" x14ac:dyDescent="0.25">
      <c r="A32" s="983">
        <v>30</v>
      </c>
      <c r="B32" s="984" t="s">
        <v>443</v>
      </c>
      <c r="C32" s="985">
        <v>778.43873599999995</v>
      </c>
      <c r="D32" s="985">
        <v>97565.651782195011</v>
      </c>
      <c r="E32" s="986">
        <v>1.0177744000000001E-2</v>
      </c>
      <c r="F32" s="987">
        <v>0.55000000000000004</v>
      </c>
      <c r="G32" s="987">
        <v>0.08</v>
      </c>
      <c r="H32" s="987" t="s">
        <v>238</v>
      </c>
      <c r="I32" s="987" t="s">
        <v>238</v>
      </c>
      <c r="J32" s="984" t="s">
        <v>238</v>
      </c>
    </row>
    <row r="33" spans="1:10" s="128" customFormat="1" ht="18" customHeight="1" x14ac:dyDescent="0.25">
      <c r="A33" s="983">
        <v>31</v>
      </c>
      <c r="B33" s="984" t="s">
        <v>444</v>
      </c>
      <c r="C33" s="985">
        <v>6290.1396029999996</v>
      </c>
      <c r="D33" s="985">
        <v>96599.371945959996</v>
      </c>
      <c r="E33" s="986">
        <v>1.00769447E-2</v>
      </c>
      <c r="F33" s="987">
        <v>1.18</v>
      </c>
      <c r="G33" s="987">
        <v>0.28999999999999998</v>
      </c>
      <c r="H33" s="987" t="s">
        <v>238</v>
      </c>
      <c r="I33" s="987" t="s">
        <v>238</v>
      </c>
      <c r="J33" s="984" t="s">
        <v>238</v>
      </c>
    </row>
    <row r="34" spans="1:10" s="128" customFormat="1" ht="18" customHeight="1" x14ac:dyDescent="0.25">
      <c r="A34" s="983">
        <v>32</v>
      </c>
      <c r="B34" s="984" t="s">
        <v>448</v>
      </c>
      <c r="C34" s="985">
        <v>1147.1106440000001</v>
      </c>
      <c r="D34" s="985">
        <v>84553.219690334998</v>
      </c>
      <c r="E34" s="986">
        <v>8.8203277E-3</v>
      </c>
      <c r="F34" s="987">
        <v>1.31</v>
      </c>
      <c r="G34" s="987">
        <v>0.34</v>
      </c>
      <c r="H34" s="987" t="s">
        <v>238</v>
      </c>
      <c r="I34" s="987" t="s">
        <v>238</v>
      </c>
      <c r="J34" s="984" t="s">
        <v>238</v>
      </c>
    </row>
    <row r="35" spans="1:10" s="128" customFormat="1" ht="18" customHeight="1" x14ac:dyDescent="0.25">
      <c r="A35" s="983">
        <v>33</v>
      </c>
      <c r="B35" s="984" t="s">
        <v>450</v>
      </c>
      <c r="C35" s="985">
        <v>498.95234900000003</v>
      </c>
      <c r="D35" s="985">
        <v>83989.652636679995</v>
      </c>
      <c r="E35" s="986">
        <v>8.7615382000000002E-3</v>
      </c>
      <c r="F35" s="987">
        <v>1.24</v>
      </c>
      <c r="G35" s="987">
        <v>0.31</v>
      </c>
      <c r="H35" s="987" t="s">
        <v>238</v>
      </c>
      <c r="I35" s="987" t="s">
        <v>238</v>
      </c>
      <c r="J35" s="984" t="s">
        <v>238</v>
      </c>
    </row>
    <row r="36" spans="1:10" s="128" customFormat="1" ht="18" customHeight="1" x14ac:dyDescent="0.25">
      <c r="A36" s="983">
        <v>34</v>
      </c>
      <c r="B36" s="984" t="s">
        <v>451</v>
      </c>
      <c r="C36" s="985">
        <v>244.54532560000001</v>
      </c>
      <c r="D36" s="985">
        <v>82314.798228625004</v>
      </c>
      <c r="E36" s="986">
        <v>8.5868226000000002E-3</v>
      </c>
      <c r="F36" s="987">
        <v>1.0900000000000001</v>
      </c>
      <c r="G36" s="987">
        <v>0.28999999999999998</v>
      </c>
      <c r="H36" s="987" t="s">
        <v>238</v>
      </c>
      <c r="I36" s="987" t="s">
        <v>238</v>
      </c>
      <c r="J36" s="984" t="s">
        <v>238</v>
      </c>
    </row>
    <row r="37" spans="1:10" s="128" customFormat="1" ht="18" customHeight="1" x14ac:dyDescent="0.25">
      <c r="A37" s="983">
        <v>35</v>
      </c>
      <c r="B37" s="984" t="s">
        <v>449</v>
      </c>
      <c r="C37" s="985">
        <v>131.69584520000001</v>
      </c>
      <c r="D37" s="985">
        <v>80222.838966145006</v>
      </c>
      <c r="E37" s="986">
        <v>8.3685958999999994E-3</v>
      </c>
      <c r="F37" s="987">
        <v>1.1299999999999999</v>
      </c>
      <c r="G37" s="987">
        <v>0.22</v>
      </c>
      <c r="H37" s="987" t="s">
        <v>238</v>
      </c>
      <c r="I37" s="987" t="s">
        <v>238</v>
      </c>
      <c r="J37" s="984" t="s">
        <v>238</v>
      </c>
    </row>
    <row r="38" spans="1:10" s="128" customFormat="1" ht="18" customHeight="1" x14ac:dyDescent="0.25">
      <c r="A38" s="983">
        <v>36</v>
      </c>
      <c r="B38" s="984" t="s">
        <v>455</v>
      </c>
      <c r="C38" s="985">
        <v>161.48914719999999</v>
      </c>
      <c r="D38" s="985">
        <v>77817.707268480008</v>
      </c>
      <c r="E38" s="986">
        <v>8.1177000999999999E-3</v>
      </c>
      <c r="F38" s="987">
        <v>0.27</v>
      </c>
      <c r="G38" s="987">
        <v>0.01</v>
      </c>
      <c r="H38" s="987" t="s">
        <v>238</v>
      </c>
      <c r="I38" s="987" t="s">
        <v>238</v>
      </c>
      <c r="J38" s="984" t="s">
        <v>238</v>
      </c>
    </row>
    <row r="39" spans="1:10" s="128" customFormat="1" ht="18" customHeight="1" x14ac:dyDescent="0.25">
      <c r="A39" s="983">
        <v>37</v>
      </c>
      <c r="B39" s="984" t="s">
        <v>458</v>
      </c>
      <c r="C39" s="985">
        <v>650.733068</v>
      </c>
      <c r="D39" s="985">
        <v>65497.750549019998</v>
      </c>
      <c r="E39" s="986">
        <v>6.8325206999999997E-3</v>
      </c>
      <c r="F39" s="987">
        <v>0.41</v>
      </c>
      <c r="G39" s="987">
        <v>0.04</v>
      </c>
      <c r="H39" s="987" t="s">
        <v>238</v>
      </c>
      <c r="I39" s="987" t="s">
        <v>238</v>
      </c>
      <c r="J39" s="984" t="s">
        <v>238</v>
      </c>
    </row>
    <row r="40" spans="1:10" s="128" customFormat="1" ht="18" customHeight="1" x14ac:dyDescent="0.25">
      <c r="A40" s="983">
        <v>38</v>
      </c>
      <c r="B40" s="984" t="s">
        <v>456</v>
      </c>
      <c r="C40" s="985">
        <v>24.086829600000002</v>
      </c>
      <c r="D40" s="985">
        <v>61895.001982880007</v>
      </c>
      <c r="E40" s="986">
        <v>6.4566932000000004E-3</v>
      </c>
      <c r="F40" s="987">
        <v>0.91</v>
      </c>
      <c r="G40" s="987">
        <v>0.2</v>
      </c>
      <c r="H40" s="987" t="s">
        <v>238</v>
      </c>
      <c r="I40" s="987" t="s">
        <v>238</v>
      </c>
      <c r="J40" s="984" t="s">
        <v>238</v>
      </c>
    </row>
    <row r="41" spans="1:10" s="128" customFormat="1" ht="18" customHeight="1" x14ac:dyDescent="0.25">
      <c r="A41" s="988">
        <v>39</v>
      </c>
      <c r="B41" s="989" t="s">
        <v>457</v>
      </c>
      <c r="C41" s="990">
        <v>1001.519455</v>
      </c>
      <c r="D41" s="990">
        <v>61699.396963920008</v>
      </c>
      <c r="E41" s="991">
        <v>6.4362882999999997E-3</v>
      </c>
      <c r="F41" s="992">
        <v>0.6</v>
      </c>
      <c r="G41" s="992">
        <v>0.11</v>
      </c>
      <c r="H41" s="992" t="s">
        <v>238</v>
      </c>
      <c r="I41" s="992" t="s">
        <v>238</v>
      </c>
      <c r="J41" s="989" t="s">
        <v>238</v>
      </c>
    </row>
    <row r="42" spans="1:10" s="128" customFormat="1" ht="18" customHeight="1" x14ac:dyDescent="0.25">
      <c r="A42" s="993">
        <v>40</v>
      </c>
      <c r="B42" s="994" t="s">
        <v>459</v>
      </c>
      <c r="C42" s="995">
        <v>371.72062390000002</v>
      </c>
      <c r="D42" s="995">
        <v>60454.759769999997</v>
      </c>
      <c r="E42" s="996">
        <v>6.3064517E-3</v>
      </c>
      <c r="F42" s="997">
        <v>1.06</v>
      </c>
      <c r="G42" s="997">
        <v>0.11</v>
      </c>
      <c r="H42" s="997" t="s">
        <v>238</v>
      </c>
      <c r="I42" s="997" t="s">
        <v>238</v>
      </c>
      <c r="J42" s="994" t="s">
        <v>238</v>
      </c>
    </row>
    <row r="43" spans="1:10" s="128" customFormat="1" ht="18" customHeight="1" x14ac:dyDescent="0.25">
      <c r="A43" s="566"/>
      <c r="B43" s="567"/>
      <c r="C43" s="568"/>
      <c r="D43" s="568"/>
      <c r="E43" s="569"/>
      <c r="F43" s="570"/>
      <c r="G43" s="570"/>
      <c r="H43" s="570"/>
      <c r="I43" s="570"/>
      <c r="J43" s="567"/>
    </row>
    <row r="44" spans="1:10" s="128" customFormat="1" ht="18.75" customHeight="1" x14ac:dyDescent="0.25">
      <c r="A44" s="1337" t="s">
        <v>81</v>
      </c>
      <c r="B44" s="1337"/>
      <c r="C44" s="1337"/>
      <c r="D44" s="1337"/>
      <c r="E44" s="1337"/>
      <c r="F44" s="1337"/>
      <c r="G44" s="1337"/>
      <c r="H44" s="1337"/>
      <c r="I44" s="1337"/>
      <c r="J44" s="1337"/>
    </row>
    <row r="45" spans="1:10" s="128" customFormat="1" ht="18" customHeight="1" x14ac:dyDescent="0.25">
      <c r="A45" s="1337" t="s">
        <v>460</v>
      </c>
      <c r="B45" s="1337"/>
      <c r="C45" s="1337"/>
      <c r="D45" s="1337"/>
      <c r="E45" s="1337"/>
      <c r="F45" s="1337"/>
      <c r="G45" s="1337"/>
      <c r="H45" s="1337"/>
      <c r="I45" s="1337"/>
      <c r="J45" s="1337"/>
    </row>
    <row r="46" spans="1:10" s="128" customFormat="1" ht="18" customHeight="1" x14ac:dyDescent="0.25">
      <c r="A46" s="1337" t="s">
        <v>461</v>
      </c>
      <c r="B46" s="1337"/>
      <c r="C46" s="1337"/>
      <c r="D46" s="1337"/>
      <c r="E46" s="1337"/>
      <c r="F46" s="1337"/>
      <c r="G46" s="1337"/>
      <c r="H46" s="1337"/>
      <c r="I46" s="1337"/>
      <c r="J46" s="1337"/>
    </row>
    <row r="47" spans="1:10" s="128" customFormat="1" ht="18" customHeight="1" x14ac:dyDescent="0.25">
      <c r="A47" s="1337" t="s">
        <v>462</v>
      </c>
      <c r="B47" s="1337"/>
      <c r="C47" s="1337"/>
      <c r="D47" s="1337"/>
      <c r="E47" s="1337"/>
      <c r="F47" s="1337"/>
      <c r="G47" s="1337"/>
      <c r="H47" s="1337"/>
      <c r="I47" s="1337"/>
      <c r="J47" s="1337"/>
    </row>
    <row r="48" spans="1:10" s="128" customFormat="1" ht="18" customHeight="1" x14ac:dyDescent="0.25">
      <c r="A48" s="1337" t="s">
        <v>463</v>
      </c>
      <c r="B48" s="1337"/>
      <c r="C48" s="1337"/>
      <c r="D48" s="1337"/>
      <c r="E48" s="1337"/>
      <c r="F48" s="1337"/>
      <c r="G48" s="1337"/>
      <c r="H48" s="1337"/>
      <c r="I48" s="1337"/>
      <c r="J48" s="1337"/>
    </row>
    <row r="49" spans="1:10" s="128" customFormat="1" ht="33" customHeight="1" x14ac:dyDescent="0.25">
      <c r="A49" s="1335" t="s">
        <v>1124</v>
      </c>
      <c r="B49" s="1335"/>
      <c r="C49" s="1335"/>
      <c r="D49" s="1335"/>
      <c r="E49" s="1335"/>
      <c r="F49" s="1335"/>
      <c r="G49" s="1335"/>
      <c r="H49" s="1335"/>
      <c r="I49" s="1335"/>
      <c r="J49" s="1335"/>
    </row>
    <row r="50" spans="1:10" s="128" customFormat="1" ht="18" customHeight="1" x14ac:dyDescent="0.25">
      <c r="A50" s="1336" t="s">
        <v>315</v>
      </c>
      <c r="B50" s="1336"/>
      <c r="C50" s="1336"/>
      <c r="D50" s="1336"/>
      <c r="E50" s="1336"/>
      <c r="F50" s="1336"/>
      <c r="G50" s="1336"/>
      <c r="H50" s="1336"/>
      <c r="I50" s="1336"/>
      <c r="J50" s="1336"/>
    </row>
    <row r="51" spans="1:10" s="128" customFormat="1" ht="28.35" customHeight="1" x14ac:dyDescent="0.25"/>
  </sheetData>
  <mergeCells count="7">
    <mergeCell ref="A49:J49"/>
    <mergeCell ref="A50:J50"/>
    <mergeCell ref="A44:J44"/>
    <mergeCell ref="A45:J45"/>
    <mergeCell ref="A46:J46"/>
    <mergeCell ref="A47:J47"/>
    <mergeCell ref="A48:J48"/>
  </mergeCells>
  <printOptions horizontalCentered="1"/>
  <pageMargins left="0.78431372549019618" right="0.78431372549019618" top="0.98039215686274517" bottom="0.98039215686274517" header="0.50980392156862753" footer="0.50980392156862753"/>
  <pageSetup paperSize="9" scale="94" fitToHeight="0" orientation="landscape"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zoomScaleNormal="100" workbookViewId="0">
      <selection activeCell="A21" sqref="A21"/>
    </sheetView>
  </sheetViews>
  <sheetFormatPr defaultColWidth="9.140625" defaultRowHeight="15" x14ac:dyDescent="0.25"/>
  <cols>
    <col min="1" max="10" width="10.5703125" style="127" bestFit="1" customWidth="1"/>
    <col min="11" max="11" width="4.5703125" style="127" bestFit="1" customWidth="1"/>
    <col min="12" max="16384" width="9.140625" style="127"/>
  </cols>
  <sheetData>
    <row r="1" spans="1:10" ht="15.75" customHeight="1" x14ac:dyDescent="0.25">
      <c r="A1" s="186" t="s">
        <v>464</v>
      </c>
      <c r="B1" s="186"/>
      <c r="C1" s="186"/>
      <c r="D1" s="186"/>
      <c r="E1" s="186"/>
      <c r="F1" s="186"/>
      <c r="G1" s="186"/>
    </row>
    <row r="2" spans="1:10" s="603" customFormat="1" x14ac:dyDescent="0.25">
      <c r="A2" s="1309" t="s">
        <v>143</v>
      </c>
      <c r="B2" s="1311" t="s">
        <v>73</v>
      </c>
      <c r="C2" s="1312"/>
      <c r="D2" s="1313"/>
      <c r="E2" s="1311" t="s">
        <v>74</v>
      </c>
      <c r="F2" s="1312"/>
      <c r="G2" s="1313"/>
      <c r="H2" s="1311" t="s">
        <v>75</v>
      </c>
      <c r="I2" s="1312"/>
      <c r="J2" s="1313"/>
    </row>
    <row r="3" spans="1:10" s="603" customFormat="1" ht="48.75" customHeight="1" x14ac:dyDescent="0.25">
      <c r="A3" s="1310"/>
      <c r="B3" s="1051" t="s">
        <v>465</v>
      </c>
      <c r="C3" s="1051" t="s">
        <v>466</v>
      </c>
      <c r="D3" s="1051" t="s">
        <v>467</v>
      </c>
      <c r="E3" s="1051" t="s">
        <v>465</v>
      </c>
      <c r="F3" s="1051" t="s">
        <v>466</v>
      </c>
      <c r="G3" s="1051" t="s">
        <v>467</v>
      </c>
      <c r="H3" s="1051" t="s">
        <v>465</v>
      </c>
      <c r="I3" s="1051" t="s">
        <v>466</v>
      </c>
      <c r="J3" s="1051" t="s">
        <v>467</v>
      </c>
    </row>
    <row r="4" spans="1:10" s="132" customFormat="1" ht="15.75" customHeight="1" x14ac:dyDescent="0.25">
      <c r="A4" s="1157" t="s">
        <v>532</v>
      </c>
      <c r="B4" s="702">
        <v>2772</v>
      </c>
      <c r="C4" s="702">
        <v>1284</v>
      </c>
      <c r="D4" s="744">
        <v>2.1588785046728973</v>
      </c>
      <c r="E4" s="745">
        <v>1768</v>
      </c>
      <c r="F4" s="745">
        <v>690</v>
      </c>
      <c r="G4" s="746">
        <v>2.5623188405797102</v>
      </c>
      <c r="H4" s="747">
        <v>3</v>
      </c>
      <c r="I4" s="747">
        <v>0</v>
      </c>
      <c r="J4" s="748" t="s">
        <v>1245</v>
      </c>
    </row>
    <row r="5" spans="1:10" s="132" customFormat="1" ht="15.75" customHeight="1" x14ac:dyDescent="0.25">
      <c r="A5" s="1158" t="s">
        <v>1413</v>
      </c>
      <c r="B5" s="889">
        <v>3037</v>
      </c>
      <c r="C5" s="889">
        <v>1122</v>
      </c>
      <c r="D5" s="749">
        <v>2.7067736185383242</v>
      </c>
      <c r="E5" s="592">
        <v>1831</v>
      </c>
      <c r="F5" s="592">
        <v>432</v>
      </c>
      <c r="G5" s="749">
        <f>IFERROR(E5/F5,"-")</f>
        <v>4.2384259259259256</v>
      </c>
      <c r="H5" s="710">
        <v>1</v>
      </c>
      <c r="I5" s="710">
        <v>0</v>
      </c>
      <c r="J5" s="749" t="str">
        <f>IFERROR(H5/I5,"0")</f>
        <v>0</v>
      </c>
    </row>
    <row r="6" spans="1:10" s="603" customFormat="1" ht="15.75" customHeight="1" x14ac:dyDescent="0.25">
      <c r="A6" s="221">
        <v>45383</v>
      </c>
      <c r="B6" s="592">
        <v>2840</v>
      </c>
      <c r="C6" s="601">
        <v>1246</v>
      </c>
      <c r="D6" s="572">
        <v>2.2792937399678972</v>
      </c>
      <c r="E6" s="592">
        <v>2081</v>
      </c>
      <c r="F6" s="592">
        <v>608</v>
      </c>
      <c r="G6" s="573">
        <v>3.42</v>
      </c>
      <c r="H6" s="587">
        <v>1</v>
      </c>
      <c r="I6" s="587" t="s">
        <v>238</v>
      </c>
      <c r="J6" s="574" t="s">
        <v>238</v>
      </c>
    </row>
    <row r="7" spans="1:10" s="603" customFormat="1" ht="15.75" customHeight="1" x14ac:dyDescent="0.25">
      <c r="A7" s="221">
        <v>45413</v>
      </c>
      <c r="B7" s="601">
        <v>1955</v>
      </c>
      <c r="C7" s="601">
        <v>2146</v>
      </c>
      <c r="D7" s="572">
        <v>0.91099720410065232</v>
      </c>
      <c r="E7" s="592">
        <v>1388</v>
      </c>
      <c r="F7" s="592">
        <v>1330</v>
      </c>
      <c r="G7" s="573">
        <v>1.04</v>
      </c>
      <c r="H7" s="587" t="s">
        <v>238</v>
      </c>
      <c r="I7" s="587">
        <v>1</v>
      </c>
      <c r="J7" s="587" t="s">
        <v>238</v>
      </c>
    </row>
    <row r="8" spans="1:10" s="603" customFormat="1" ht="15.75" customHeight="1" x14ac:dyDescent="0.25">
      <c r="A8" s="221">
        <v>45444</v>
      </c>
      <c r="B8" s="601"/>
      <c r="C8" s="601"/>
      <c r="D8" s="572"/>
      <c r="E8" s="592"/>
      <c r="F8" s="592"/>
      <c r="G8" s="573"/>
      <c r="H8" s="587"/>
      <c r="I8" s="587"/>
      <c r="J8" s="574"/>
    </row>
    <row r="9" spans="1:10" s="603" customFormat="1" ht="15.75" customHeight="1" x14ac:dyDescent="0.25">
      <c r="A9" s="221">
        <v>45474</v>
      </c>
      <c r="B9" s="601"/>
      <c r="C9" s="601"/>
      <c r="D9" s="572"/>
      <c r="E9" s="592"/>
      <c r="F9" s="592"/>
      <c r="G9" s="573"/>
      <c r="H9" s="587"/>
      <c r="I9" s="587"/>
      <c r="J9" s="574"/>
    </row>
    <row r="10" spans="1:10" s="603" customFormat="1" ht="15.75" customHeight="1" x14ac:dyDescent="0.25">
      <c r="A10" s="221">
        <v>45505</v>
      </c>
      <c r="B10" s="601"/>
      <c r="C10" s="601"/>
      <c r="D10" s="572"/>
      <c r="E10" s="592"/>
      <c r="F10" s="592"/>
      <c r="G10" s="573"/>
      <c r="H10" s="587"/>
      <c r="I10" s="587"/>
      <c r="J10" s="574"/>
    </row>
    <row r="11" spans="1:10" s="603" customFormat="1" ht="19.5" customHeight="1" x14ac:dyDescent="0.25">
      <c r="A11" s="221">
        <v>45536</v>
      </c>
      <c r="B11" s="601"/>
      <c r="C11" s="601"/>
      <c r="D11" s="572"/>
      <c r="E11" s="592"/>
      <c r="F11" s="592"/>
      <c r="G11" s="573"/>
      <c r="H11" s="587"/>
      <c r="I11" s="587"/>
      <c r="J11" s="574"/>
    </row>
    <row r="12" spans="1:10" s="603" customFormat="1" ht="18" customHeight="1" x14ac:dyDescent="0.25">
      <c r="A12" s="221">
        <v>45566</v>
      </c>
      <c r="B12" s="601"/>
      <c r="C12" s="601"/>
      <c r="D12" s="572"/>
      <c r="E12" s="592"/>
      <c r="F12" s="592"/>
      <c r="G12" s="573"/>
      <c r="H12" s="587"/>
      <c r="I12" s="587"/>
      <c r="J12" s="574"/>
    </row>
    <row r="13" spans="1:10" s="603" customFormat="1" ht="18" customHeight="1" x14ac:dyDescent="0.25">
      <c r="A13" s="221">
        <v>45597</v>
      </c>
      <c r="B13" s="601"/>
      <c r="C13" s="601"/>
      <c r="D13" s="572"/>
      <c r="E13" s="592"/>
      <c r="F13" s="592"/>
      <c r="G13" s="573"/>
      <c r="H13" s="587"/>
      <c r="I13" s="587"/>
      <c r="J13" s="574"/>
    </row>
    <row r="14" spans="1:10" s="603" customFormat="1" x14ac:dyDescent="0.25">
      <c r="A14" s="221">
        <v>45627</v>
      </c>
      <c r="B14" s="601"/>
      <c r="C14" s="601"/>
      <c r="D14" s="572"/>
      <c r="E14" s="592"/>
      <c r="F14" s="592"/>
      <c r="G14" s="573"/>
      <c r="H14" s="587"/>
      <c r="I14" s="587"/>
      <c r="J14" s="574"/>
    </row>
    <row r="15" spans="1:10" s="603" customFormat="1" x14ac:dyDescent="0.25">
      <c r="A15" s="221">
        <v>45658</v>
      </c>
      <c r="B15" s="601"/>
      <c r="C15" s="601"/>
      <c r="D15" s="572"/>
      <c r="E15" s="592"/>
      <c r="F15" s="592"/>
      <c r="G15" s="573"/>
      <c r="H15" s="587"/>
      <c r="I15" s="587"/>
      <c r="J15" s="574"/>
    </row>
    <row r="16" spans="1:10" s="603" customFormat="1" x14ac:dyDescent="0.25">
      <c r="A16" s="221">
        <v>45689</v>
      </c>
      <c r="B16" s="601"/>
      <c r="C16" s="601"/>
      <c r="D16" s="572"/>
      <c r="E16" s="592"/>
      <c r="F16" s="592"/>
      <c r="G16" s="573"/>
      <c r="H16" s="587"/>
      <c r="I16" s="587"/>
      <c r="J16" s="574"/>
    </row>
    <row r="17" spans="1:10" s="603" customFormat="1" x14ac:dyDescent="0.25">
      <c r="A17" s="221">
        <v>45717</v>
      </c>
      <c r="B17" s="601"/>
      <c r="C17" s="601"/>
      <c r="D17" s="572"/>
      <c r="E17" s="592"/>
      <c r="F17" s="592"/>
      <c r="G17" s="573"/>
      <c r="H17" s="587"/>
      <c r="I17" s="587"/>
      <c r="J17" s="574"/>
    </row>
    <row r="18" spans="1:10" s="603" customFormat="1" x14ac:dyDescent="0.25">
      <c r="A18" s="168"/>
      <c r="B18" s="605"/>
      <c r="C18" s="605"/>
      <c r="D18" s="750"/>
      <c r="E18" s="751"/>
      <c r="F18" s="751"/>
      <c r="G18" s="752"/>
      <c r="H18" s="708"/>
      <c r="I18" s="708"/>
      <c r="J18" s="753"/>
    </row>
    <row r="19" spans="1:10" s="603" customFormat="1" x14ac:dyDescent="0.25">
      <c r="A19" s="184" t="s">
        <v>468</v>
      </c>
      <c r="B19" s="184"/>
      <c r="C19" s="184"/>
      <c r="D19" s="184"/>
      <c r="E19" s="184"/>
      <c r="F19" s="184"/>
    </row>
    <row r="20" spans="1:10" s="603" customFormat="1" x14ac:dyDescent="0.25">
      <c r="A20" s="1284" t="s">
        <v>171</v>
      </c>
      <c r="B20" s="1284"/>
      <c r="C20" s="1284"/>
      <c r="D20" s="1284"/>
      <c r="E20" s="1284"/>
      <c r="F20" s="1284"/>
    </row>
    <row r="21" spans="1:10" s="603" customFormat="1" x14ac:dyDescent="0.25">
      <c r="A21" s="1126" t="s">
        <v>1401</v>
      </c>
    </row>
    <row r="22" spans="1:10" s="603" customFormat="1" x14ac:dyDescent="0.25">
      <c r="A22" s="127"/>
      <c r="B22" s="127"/>
      <c r="C22" s="127"/>
      <c r="D22" s="127"/>
      <c r="E22" s="127"/>
      <c r="F22" s="127"/>
      <c r="G22" s="127"/>
    </row>
  </sheetData>
  <mergeCells count="5">
    <mergeCell ref="A20:F20"/>
    <mergeCell ref="H2:J2"/>
    <mergeCell ref="A2:A3"/>
    <mergeCell ref="B2:D2"/>
    <mergeCell ref="E2:G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topLeftCell="A4" zoomScaleNormal="100" workbookViewId="0">
      <selection activeCell="A21" sqref="A21"/>
    </sheetView>
  </sheetViews>
  <sheetFormatPr defaultColWidth="9.140625" defaultRowHeight="15" x14ac:dyDescent="0.25"/>
  <cols>
    <col min="1" max="1" width="9.85546875" style="127" bestFit="1" customWidth="1"/>
    <col min="2" max="10" width="13.5703125" style="127" bestFit="1" customWidth="1"/>
    <col min="11" max="16384" width="9.140625" style="127"/>
  </cols>
  <sheetData>
    <row r="1" spans="1:12" ht="13.5" customHeight="1" x14ac:dyDescent="0.25">
      <c r="A1" s="186" t="s">
        <v>469</v>
      </c>
      <c r="B1" s="186"/>
      <c r="C1" s="186"/>
      <c r="D1" s="186"/>
      <c r="E1" s="186"/>
      <c r="F1" s="186"/>
      <c r="G1" s="186"/>
    </row>
    <row r="2" spans="1:12" s="603" customFormat="1" ht="27.75" customHeight="1" x14ac:dyDescent="0.25">
      <c r="A2" s="1294" t="s">
        <v>470</v>
      </c>
      <c r="B2" s="1311" t="s">
        <v>73</v>
      </c>
      <c r="C2" s="1312"/>
      <c r="D2" s="1313"/>
      <c r="E2" s="1311" t="s">
        <v>74</v>
      </c>
      <c r="F2" s="1312"/>
      <c r="G2" s="1313"/>
      <c r="H2" s="1311" t="s">
        <v>75</v>
      </c>
      <c r="I2" s="1312"/>
      <c r="J2" s="1313"/>
    </row>
    <row r="3" spans="1:12" s="603" customFormat="1" ht="48" customHeight="1" x14ac:dyDescent="0.25">
      <c r="A3" s="1324"/>
      <c r="B3" s="1051" t="s">
        <v>471</v>
      </c>
      <c r="C3" s="1051" t="s">
        <v>272</v>
      </c>
      <c r="D3" s="1051" t="s">
        <v>472</v>
      </c>
      <c r="E3" s="1051" t="s">
        <v>471</v>
      </c>
      <c r="F3" s="1051" t="s">
        <v>473</v>
      </c>
      <c r="G3" s="1051" t="s">
        <v>472</v>
      </c>
      <c r="H3" s="1051" t="s">
        <v>471</v>
      </c>
      <c r="I3" s="1051" t="s">
        <v>272</v>
      </c>
      <c r="J3" s="1051" t="s">
        <v>472</v>
      </c>
    </row>
    <row r="4" spans="1:12" s="132" customFormat="1" ht="18" customHeight="1" x14ac:dyDescent="0.25">
      <c r="A4" s="1157" t="s">
        <v>532</v>
      </c>
      <c r="B4" s="702">
        <v>5252</v>
      </c>
      <c r="C4" s="702">
        <v>4295</v>
      </c>
      <c r="D4" s="754">
        <v>81.778370144706784</v>
      </c>
      <c r="E4" s="702">
        <v>2439</v>
      </c>
      <c r="F4" s="702">
        <v>2985</v>
      </c>
      <c r="G4" s="755">
        <v>122.38622386223864</v>
      </c>
      <c r="H4" s="703">
        <v>266</v>
      </c>
      <c r="I4" s="703">
        <v>7</v>
      </c>
      <c r="J4" s="755">
        <v>2.6315789473684208</v>
      </c>
    </row>
    <row r="5" spans="1:12" s="132" customFormat="1" ht="18" customHeight="1" x14ac:dyDescent="0.25">
      <c r="A5" s="1158" t="s">
        <v>1413</v>
      </c>
      <c r="B5" s="706">
        <v>5274</v>
      </c>
      <c r="C5" s="601">
        <v>4201</v>
      </c>
      <c r="D5" s="372">
        <v>79.654910883579817</v>
      </c>
      <c r="E5" s="706">
        <v>2464</v>
      </c>
      <c r="F5" s="601">
        <v>3058</v>
      </c>
      <c r="G5" s="372">
        <f>F5/E5*100</f>
        <v>124.10714285714286</v>
      </c>
      <c r="H5" s="706">
        <f>INDEX(H6:H17,COUNT(H6:H17))</f>
        <v>266</v>
      </c>
      <c r="I5" s="710">
        <v>1</v>
      </c>
      <c r="J5" s="372">
        <f>I5/H5*100</f>
        <v>0.37593984962406013</v>
      </c>
      <c r="K5" s="185"/>
      <c r="L5" s="185"/>
    </row>
    <row r="6" spans="1:12" s="603" customFormat="1" ht="18" customHeight="1" x14ac:dyDescent="0.25">
      <c r="A6" s="221">
        <v>45383</v>
      </c>
      <c r="B6" s="601">
        <v>5264</v>
      </c>
      <c r="C6" s="601">
        <v>4153</v>
      </c>
      <c r="D6" s="575">
        <v>78.894376899696056</v>
      </c>
      <c r="E6" s="592">
        <v>2464</v>
      </c>
      <c r="F6" s="601">
        <v>2625</v>
      </c>
      <c r="G6" s="575">
        <v>106.53409090909101</v>
      </c>
      <c r="H6" s="587">
        <v>266</v>
      </c>
      <c r="I6" s="587">
        <v>1</v>
      </c>
      <c r="J6" s="575">
        <v>0.37593984962406013</v>
      </c>
      <c r="K6" s="185"/>
      <c r="L6" s="185"/>
    </row>
    <row r="7" spans="1:12" s="603" customFormat="1" ht="18" customHeight="1" x14ac:dyDescent="0.25">
      <c r="A7" s="221">
        <v>45413</v>
      </c>
      <c r="B7" s="601">
        <v>5274</v>
      </c>
      <c r="C7" s="601">
        <v>4170</v>
      </c>
      <c r="D7" s="575">
        <v>79.067121729237769</v>
      </c>
      <c r="E7" s="592">
        <v>2482</v>
      </c>
      <c r="F7" s="601">
        <v>2995</v>
      </c>
      <c r="G7" s="575">
        <v>120.66881547139404</v>
      </c>
      <c r="H7" s="587">
        <v>266</v>
      </c>
      <c r="I7" s="587">
        <v>2</v>
      </c>
      <c r="J7" s="575">
        <v>0.75187969924812026</v>
      </c>
      <c r="K7" s="185"/>
      <c r="L7" s="185"/>
    </row>
    <row r="8" spans="1:12" s="603" customFormat="1" ht="18" customHeight="1" x14ac:dyDescent="0.25">
      <c r="A8" s="221">
        <v>45444</v>
      </c>
      <c r="B8" s="601"/>
      <c r="C8" s="601"/>
      <c r="D8" s="575"/>
      <c r="E8" s="592"/>
      <c r="F8" s="601"/>
      <c r="G8" s="575"/>
      <c r="H8" s="587"/>
      <c r="I8" s="587"/>
      <c r="J8" s="575"/>
      <c r="K8" s="185"/>
      <c r="L8" s="185"/>
    </row>
    <row r="9" spans="1:12" s="603" customFormat="1" ht="18" customHeight="1" x14ac:dyDescent="0.25">
      <c r="A9" s="221">
        <v>45474</v>
      </c>
      <c r="B9" s="601"/>
      <c r="C9" s="601"/>
      <c r="D9" s="575"/>
      <c r="E9" s="592"/>
      <c r="F9" s="601"/>
      <c r="G9" s="575"/>
      <c r="H9" s="587"/>
      <c r="I9" s="587"/>
      <c r="J9" s="575"/>
      <c r="K9" s="185"/>
      <c r="L9" s="185"/>
    </row>
    <row r="10" spans="1:12" s="603" customFormat="1" x14ac:dyDescent="0.25">
      <c r="A10" s="221">
        <v>45505</v>
      </c>
      <c r="B10" s="601"/>
      <c r="C10" s="601"/>
      <c r="D10" s="575"/>
      <c r="E10" s="592"/>
      <c r="F10" s="601"/>
      <c r="G10" s="575"/>
      <c r="H10" s="587"/>
      <c r="I10" s="587"/>
      <c r="J10" s="575"/>
      <c r="K10" s="185"/>
      <c r="L10" s="185"/>
    </row>
    <row r="11" spans="1:12" s="603" customFormat="1" x14ac:dyDescent="0.25">
      <c r="A11" s="221">
        <v>45536</v>
      </c>
      <c r="B11" s="601"/>
      <c r="C11" s="601"/>
      <c r="D11" s="575"/>
      <c r="E11" s="592"/>
      <c r="F11" s="601"/>
      <c r="G11" s="575"/>
      <c r="H11" s="587"/>
      <c r="I11" s="587"/>
      <c r="J11" s="575"/>
      <c r="K11" s="185"/>
      <c r="L11" s="185"/>
    </row>
    <row r="12" spans="1:12" s="603" customFormat="1" x14ac:dyDescent="0.25">
      <c r="A12" s="221">
        <v>45566</v>
      </c>
      <c r="B12" s="601"/>
      <c r="C12" s="601"/>
      <c r="D12" s="575"/>
      <c r="E12" s="592"/>
      <c r="F12" s="601"/>
      <c r="G12" s="575"/>
      <c r="H12" s="587"/>
      <c r="I12" s="587"/>
      <c r="J12" s="575"/>
      <c r="K12" s="185"/>
      <c r="L12" s="185"/>
    </row>
    <row r="13" spans="1:12" s="603" customFormat="1" ht="13.5" customHeight="1" x14ac:dyDescent="0.25">
      <c r="A13" s="221">
        <v>45597</v>
      </c>
      <c r="B13" s="601"/>
      <c r="C13" s="601"/>
      <c r="D13" s="575"/>
      <c r="E13" s="592"/>
      <c r="F13" s="601"/>
      <c r="G13" s="575"/>
      <c r="H13" s="587"/>
      <c r="I13" s="587"/>
      <c r="J13" s="575"/>
      <c r="K13" s="185"/>
      <c r="L13" s="185"/>
    </row>
    <row r="14" spans="1:12" s="603" customFormat="1" x14ac:dyDescent="0.25">
      <c r="A14" s="221">
        <v>45627</v>
      </c>
      <c r="B14" s="601"/>
      <c r="C14" s="601"/>
      <c r="D14" s="575"/>
      <c r="E14" s="592"/>
      <c r="F14" s="601"/>
      <c r="G14" s="575"/>
      <c r="H14" s="587"/>
      <c r="I14" s="587"/>
      <c r="J14" s="575"/>
      <c r="K14" s="185"/>
      <c r="L14" s="185"/>
    </row>
    <row r="15" spans="1:12" s="603" customFormat="1" x14ac:dyDescent="0.25">
      <c r="A15" s="221">
        <v>45658</v>
      </c>
      <c r="B15" s="601"/>
      <c r="C15" s="601"/>
      <c r="D15" s="575"/>
      <c r="E15" s="592"/>
      <c r="F15" s="601"/>
      <c r="G15" s="575"/>
      <c r="H15" s="587"/>
      <c r="I15" s="587"/>
      <c r="J15" s="575"/>
      <c r="K15" s="185"/>
      <c r="L15" s="185"/>
    </row>
    <row r="16" spans="1:12" s="603" customFormat="1" x14ac:dyDescent="0.25">
      <c r="A16" s="221">
        <v>45689</v>
      </c>
      <c r="B16" s="601"/>
      <c r="C16" s="601"/>
      <c r="D16" s="575"/>
      <c r="E16" s="592"/>
      <c r="F16" s="601"/>
      <c r="G16" s="575"/>
      <c r="H16" s="587"/>
      <c r="I16" s="587"/>
      <c r="J16" s="575"/>
      <c r="K16" s="185"/>
      <c r="L16" s="185"/>
    </row>
    <row r="17" spans="1:12" s="603" customFormat="1" x14ac:dyDescent="0.25">
      <c r="A17" s="221">
        <v>45717</v>
      </c>
      <c r="B17" s="601"/>
      <c r="C17" s="601"/>
      <c r="D17" s="575"/>
      <c r="E17" s="356"/>
      <c r="F17" s="356"/>
      <c r="G17" s="356"/>
      <c r="H17" s="587"/>
      <c r="I17" s="587"/>
      <c r="J17" s="575"/>
      <c r="K17" s="185"/>
      <c r="L17" s="185"/>
    </row>
    <row r="18" spans="1:12" s="603" customFormat="1" ht="15" customHeight="1" x14ac:dyDescent="0.25">
      <c r="A18" s="168"/>
      <c r="B18" s="605"/>
      <c r="C18" s="605"/>
      <c r="D18" s="727"/>
      <c r="E18" s="751"/>
      <c r="F18" s="605"/>
      <c r="G18" s="727"/>
      <c r="H18" s="708"/>
      <c r="I18" s="708"/>
      <c r="J18" s="727"/>
      <c r="K18" s="185"/>
      <c r="L18" s="185"/>
    </row>
    <row r="19" spans="1:12" s="603" customFormat="1" ht="15" customHeight="1" x14ac:dyDescent="0.25">
      <c r="A19" s="184" t="s">
        <v>269</v>
      </c>
      <c r="B19" s="184"/>
      <c r="C19" s="184"/>
      <c r="D19" s="184"/>
      <c r="E19" s="184"/>
      <c r="F19" s="184"/>
      <c r="G19" s="184"/>
    </row>
    <row r="20" spans="1:12" s="603" customFormat="1" ht="15" customHeight="1" x14ac:dyDescent="0.25">
      <c r="A20" s="1316" t="s">
        <v>171</v>
      </c>
      <c r="B20" s="1316"/>
      <c r="C20" s="1316"/>
      <c r="D20" s="1316"/>
      <c r="E20" s="1316"/>
      <c r="F20" s="1316"/>
      <c r="G20" s="1316"/>
      <c r="H20" s="184"/>
      <c r="I20" s="184"/>
      <c r="J20" s="184"/>
    </row>
    <row r="21" spans="1:12" s="603" customFormat="1" ht="15" customHeight="1" x14ac:dyDescent="0.25">
      <c r="A21" s="1126" t="s">
        <v>1401</v>
      </c>
    </row>
    <row r="22" spans="1:12" s="603" customFormat="1" x14ac:dyDescent="0.25">
      <c r="A22" s="127"/>
      <c r="B22" s="127"/>
      <c r="C22" s="127"/>
      <c r="D22" s="127"/>
      <c r="E22" s="127"/>
      <c r="F22" s="127"/>
      <c r="G22" s="127"/>
    </row>
  </sheetData>
  <mergeCells count="5">
    <mergeCell ref="A20:G20"/>
    <mergeCell ref="H2:J2"/>
    <mergeCell ref="A2:A3"/>
    <mergeCell ref="B2:D2"/>
    <mergeCell ref="E2:G2"/>
  </mergeCells>
  <printOptions horizontalCentered="1"/>
  <pageMargins left="0.78431372549019618" right="0.78431372549019618" top="0.98039215686274517" bottom="0.98039215686274517" header="0.50980392156862753" footer="0.50980392156862753"/>
  <pageSetup paperSize="9" scale="85"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1"/>
  <sheetViews>
    <sheetView topLeftCell="A3" zoomScaleNormal="100" workbookViewId="0">
      <selection activeCell="A20" sqref="A20"/>
    </sheetView>
  </sheetViews>
  <sheetFormatPr defaultColWidth="9.140625" defaultRowHeight="15" x14ac:dyDescent="0.25"/>
  <cols>
    <col min="1" max="8" width="14.5703125" style="127" bestFit="1" customWidth="1"/>
    <col min="9" max="9" width="10.85546875" style="127" customWidth="1"/>
    <col min="10" max="16384" width="9.140625" style="127"/>
  </cols>
  <sheetData>
    <row r="1" spans="1:10" ht="15.75" customHeight="1" x14ac:dyDescent="0.25">
      <c r="A1" s="373" t="s">
        <v>474</v>
      </c>
      <c r="B1" s="373"/>
      <c r="C1" s="373"/>
      <c r="D1" s="367"/>
      <c r="E1" s="367"/>
      <c r="F1" s="367"/>
      <c r="G1" s="367"/>
      <c r="H1" s="367"/>
    </row>
    <row r="2" spans="1:10" s="603" customFormat="1" ht="38.25" customHeight="1" x14ac:dyDescent="0.25">
      <c r="A2" s="756" t="s">
        <v>116</v>
      </c>
      <c r="B2" s="1051" t="s">
        <v>475</v>
      </c>
      <c r="C2" s="1051" t="s">
        <v>476</v>
      </c>
      <c r="D2" s="1051" t="s">
        <v>477</v>
      </c>
      <c r="E2" s="701" t="s">
        <v>478</v>
      </c>
      <c r="F2" s="701" t="s">
        <v>479</v>
      </c>
      <c r="G2" s="701" t="s">
        <v>480</v>
      </c>
      <c r="H2" s="701" t="s">
        <v>481</v>
      </c>
    </row>
    <row r="3" spans="1:10" s="132" customFormat="1" ht="18" customHeight="1" x14ac:dyDescent="0.25">
      <c r="A3" s="1157" t="s">
        <v>532</v>
      </c>
      <c r="B3" s="270">
        <v>0.62412709274705258</v>
      </c>
      <c r="C3" s="270">
        <v>0.61750610039390652</v>
      </c>
      <c r="D3" s="270">
        <v>0.64135556155944995</v>
      </c>
      <c r="E3" s="757">
        <v>0.61679637815273303</v>
      </c>
      <c r="F3" s="757">
        <v>0.82938324319843104</v>
      </c>
      <c r="G3" s="757">
        <v>0.64060670458171098</v>
      </c>
      <c r="H3" s="757">
        <v>0.54</v>
      </c>
    </row>
    <row r="4" spans="1:10" s="132" customFormat="1" ht="18" customHeight="1" x14ac:dyDescent="0.25">
      <c r="A4" s="1158" t="s">
        <v>1413</v>
      </c>
      <c r="B4" s="758">
        <v>0.65339149010028241</v>
      </c>
      <c r="C4" s="758">
        <v>0.62940041422805959</v>
      </c>
      <c r="D4" s="758">
        <v>0.650664079471162</v>
      </c>
      <c r="E4" s="759">
        <v>0.63288753471630499</v>
      </c>
      <c r="F4" s="759">
        <v>0.89564327384619902</v>
      </c>
      <c r="G4" s="759">
        <v>0.64945405085013796</v>
      </c>
      <c r="H4" s="759">
        <v>0.7</v>
      </c>
      <c r="I4" s="603"/>
      <c r="J4" s="603"/>
    </row>
    <row r="5" spans="1:10" s="603" customFormat="1" ht="18" customHeight="1" x14ac:dyDescent="0.25">
      <c r="A5" s="221">
        <v>45383</v>
      </c>
      <c r="B5" s="576">
        <v>0.66487890792989146</v>
      </c>
      <c r="C5" s="576">
        <v>0.59553522173251039</v>
      </c>
      <c r="D5" s="576">
        <v>0.57968753784555982</v>
      </c>
      <c r="E5" s="576">
        <v>0.61078348183021303</v>
      </c>
      <c r="F5" s="576">
        <v>0.72036026245593698</v>
      </c>
      <c r="G5" s="576">
        <v>0.57071033715729602</v>
      </c>
      <c r="H5" s="576">
        <v>0.7</v>
      </c>
    </row>
    <row r="6" spans="1:10" s="603" customFormat="1" ht="18" customHeight="1" x14ac:dyDescent="0.25">
      <c r="A6" s="221">
        <v>45413</v>
      </c>
      <c r="B6" s="576">
        <v>0.65549976586728997</v>
      </c>
      <c r="C6" s="576">
        <v>0.66922922756258785</v>
      </c>
      <c r="D6" s="576">
        <v>0.71596297989615454</v>
      </c>
      <c r="E6" s="576">
        <v>0.65017635650529604</v>
      </c>
      <c r="F6" s="576">
        <v>1.0234396316338601</v>
      </c>
      <c r="G6" s="576">
        <v>0.70526606614377896</v>
      </c>
      <c r="H6" s="576">
        <v>0.66</v>
      </c>
    </row>
    <row r="7" spans="1:10" s="603" customFormat="1" ht="18" customHeight="1" x14ac:dyDescent="0.25">
      <c r="A7" s="221">
        <v>45444</v>
      </c>
      <c r="B7" s="576"/>
      <c r="C7" s="576"/>
      <c r="D7" s="576"/>
      <c r="E7" s="576"/>
      <c r="F7" s="576"/>
      <c r="G7" s="576"/>
      <c r="H7" s="576"/>
    </row>
    <row r="8" spans="1:10" s="603" customFormat="1" ht="18" customHeight="1" x14ac:dyDescent="0.25">
      <c r="A8" s="221">
        <v>45474</v>
      </c>
      <c r="B8" s="576"/>
      <c r="C8" s="576"/>
      <c r="D8" s="576"/>
      <c r="E8" s="576"/>
      <c r="F8" s="576"/>
      <c r="G8" s="576"/>
      <c r="H8" s="576"/>
    </row>
    <row r="9" spans="1:10" s="603" customFormat="1" ht="19.5" customHeight="1" x14ac:dyDescent="0.25">
      <c r="A9" s="221">
        <v>45505</v>
      </c>
      <c r="B9" s="576"/>
      <c r="C9" s="576"/>
      <c r="D9" s="576"/>
      <c r="E9" s="576"/>
      <c r="F9" s="576"/>
      <c r="G9" s="576"/>
      <c r="H9" s="576"/>
    </row>
    <row r="10" spans="1:10" s="603" customFormat="1" ht="18" customHeight="1" x14ac:dyDescent="0.25">
      <c r="A10" s="221">
        <v>45536</v>
      </c>
      <c r="B10" s="576"/>
      <c r="C10" s="576"/>
      <c r="D10" s="576"/>
      <c r="E10" s="576"/>
      <c r="F10" s="576"/>
      <c r="G10" s="576"/>
      <c r="H10" s="576"/>
    </row>
    <row r="11" spans="1:10" s="603" customFormat="1" ht="18" customHeight="1" x14ac:dyDescent="0.25">
      <c r="A11" s="221">
        <v>45566</v>
      </c>
      <c r="B11" s="576"/>
      <c r="C11" s="576"/>
      <c r="D11" s="576"/>
      <c r="E11" s="576"/>
      <c r="F11" s="576"/>
      <c r="G11" s="576"/>
      <c r="H11" s="576"/>
    </row>
    <row r="12" spans="1:10" s="603" customFormat="1" x14ac:dyDescent="0.25">
      <c r="A12" s="221">
        <v>45597</v>
      </c>
      <c r="B12" s="576"/>
      <c r="C12" s="576"/>
      <c r="D12" s="576"/>
      <c r="E12" s="576"/>
      <c r="F12" s="576"/>
      <c r="G12" s="576"/>
      <c r="H12" s="576"/>
    </row>
    <row r="13" spans="1:10" s="603" customFormat="1" x14ac:dyDescent="0.25">
      <c r="A13" s="221">
        <v>45627</v>
      </c>
      <c r="B13" s="576"/>
      <c r="C13" s="576"/>
      <c r="D13" s="576"/>
      <c r="E13" s="576"/>
      <c r="F13" s="576"/>
      <c r="G13" s="576"/>
      <c r="H13" s="576"/>
    </row>
    <row r="14" spans="1:10" s="603" customFormat="1" x14ac:dyDescent="0.25">
      <c r="A14" s="221">
        <v>45658</v>
      </c>
      <c r="B14" s="576"/>
      <c r="C14" s="576"/>
      <c r="D14" s="576"/>
      <c r="E14" s="576"/>
      <c r="F14" s="576"/>
      <c r="G14" s="576"/>
      <c r="H14" s="576"/>
    </row>
    <row r="15" spans="1:10" s="603" customFormat="1" x14ac:dyDescent="0.25">
      <c r="A15" s="221">
        <v>45689</v>
      </c>
      <c r="B15" s="576"/>
      <c r="C15" s="576"/>
      <c r="D15" s="576"/>
      <c r="E15" s="576"/>
      <c r="F15" s="576"/>
      <c r="G15" s="576"/>
      <c r="H15" s="576"/>
    </row>
    <row r="16" spans="1:10" s="603" customFormat="1" x14ac:dyDescent="0.25">
      <c r="A16" s="221">
        <v>45717</v>
      </c>
      <c r="B16" s="576"/>
      <c r="C16" s="576"/>
      <c r="D16" s="576"/>
      <c r="E16" s="576"/>
      <c r="F16" s="576"/>
      <c r="G16" s="576"/>
      <c r="H16" s="576"/>
    </row>
    <row r="17" spans="1:8" s="603" customFormat="1" x14ac:dyDescent="0.25">
      <c r="A17" s="168"/>
      <c r="B17" s="760"/>
      <c r="C17" s="760"/>
      <c r="D17" s="760"/>
      <c r="E17" s="760"/>
      <c r="F17" s="760"/>
      <c r="G17" s="760"/>
      <c r="H17" s="760"/>
    </row>
    <row r="18" spans="1:8" s="603" customFormat="1" x14ac:dyDescent="0.25">
      <c r="A18" s="1338" t="s">
        <v>482</v>
      </c>
      <c r="B18" s="1338"/>
      <c r="C18" s="1338"/>
      <c r="D18" s="1338"/>
      <c r="E18" s="1338"/>
      <c r="F18" s="1338"/>
      <c r="G18" s="1338"/>
    </row>
    <row r="19" spans="1:8" s="603" customFormat="1" x14ac:dyDescent="0.25">
      <c r="A19" s="1284" t="s">
        <v>483</v>
      </c>
      <c r="B19" s="1284"/>
      <c r="C19" s="1284"/>
      <c r="D19" s="1284"/>
      <c r="E19" s="1284"/>
      <c r="F19" s="1284"/>
      <c r="G19" s="1284"/>
    </row>
    <row r="20" spans="1:8" s="603" customFormat="1" x14ac:dyDescent="0.25">
      <c r="A20" s="1126" t="s">
        <v>1401</v>
      </c>
    </row>
    <row r="21" spans="1:8" s="603" customFormat="1" x14ac:dyDescent="0.25">
      <c r="A21" s="127"/>
      <c r="B21" s="127"/>
      <c r="C21" s="127"/>
      <c r="D21" s="127"/>
      <c r="E21" s="127"/>
      <c r="F21" s="127"/>
      <c r="G21" s="127"/>
    </row>
  </sheetData>
  <mergeCells count="2">
    <mergeCell ref="A18:G18"/>
    <mergeCell ref="A19:G19"/>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8"/>
  <sheetViews>
    <sheetView topLeftCell="A17" zoomScaleNormal="100" workbookViewId="0">
      <selection activeCell="A37" sqref="A37"/>
    </sheetView>
  </sheetViews>
  <sheetFormatPr defaultColWidth="9.140625" defaultRowHeight="15" x14ac:dyDescent="0.25"/>
  <cols>
    <col min="1" max="10" width="14.5703125" style="127" bestFit="1" customWidth="1"/>
    <col min="11" max="11" width="14.42578125" style="127" bestFit="1" customWidth="1"/>
    <col min="12" max="12" width="15" style="127" bestFit="1" customWidth="1"/>
    <col min="13" max="16" width="14.5703125" style="127" bestFit="1" customWidth="1"/>
    <col min="17" max="17" width="4.5703125" style="127" bestFit="1" customWidth="1"/>
    <col min="18" max="16384" width="9.140625" style="127"/>
  </cols>
  <sheetData>
    <row r="1" spans="1:16" x14ac:dyDescent="0.25">
      <c r="A1" s="369" t="s">
        <v>484</v>
      </c>
      <c r="B1" s="369"/>
      <c r="C1" s="369"/>
      <c r="D1" s="369"/>
      <c r="E1" s="369"/>
      <c r="F1" s="369"/>
      <c r="G1" s="369"/>
      <c r="H1" s="369"/>
      <c r="I1" s="369"/>
      <c r="J1" s="369"/>
      <c r="K1" s="369"/>
    </row>
    <row r="2" spans="1:16" s="603" customFormat="1" x14ac:dyDescent="0.25">
      <c r="A2" s="756" t="s">
        <v>143</v>
      </c>
      <c r="B2" s="1290" t="s">
        <v>73</v>
      </c>
      <c r="C2" s="1291"/>
      <c r="D2" s="1291"/>
      <c r="E2" s="1291"/>
      <c r="F2" s="1291"/>
      <c r="G2" s="1340" t="s">
        <v>74</v>
      </c>
      <c r="H2" s="1341"/>
      <c r="I2" s="1341"/>
      <c r="J2" s="1341"/>
      <c r="K2" s="1342"/>
      <c r="L2" s="1322" t="s">
        <v>75</v>
      </c>
      <c r="M2" s="1322"/>
      <c r="N2" s="1322"/>
      <c r="O2" s="1322"/>
      <c r="P2" s="1323"/>
    </row>
    <row r="3" spans="1:16" s="603" customFormat="1" x14ac:dyDescent="0.25">
      <c r="A3" s="1052" t="s">
        <v>485</v>
      </c>
      <c r="B3" s="1050" t="s">
        <v>486</v>
      </c>
      <c r="C3" s="1050" t="s">
        <v>487</v>
      </c>
      <c r="D3" s="1050" t="s">
        <v>488</v>
      </c>
      <c r="E3" s="1050" t="s">
        <v>489</v>
      </c>
      <c r="F3" s="1053" t="s">
        <v>490</v>
      </c>
      <c r="G3" s="1054" t="s">
        <v>486</v>
      </c>
      <c r="H3" s="1055" t="s">
        <v>487</v>
      </c>
      <c r="I3" s="1056" t="s">
        <v>488</v>
      </c>
      <c r="J3" s="1056" t="s">
        <v>489</v>
      </c>
      <c r="K3" s="1057" t="s">
        <v>490</v>
      </c>
      <c r="L3" s="1058" t="s">
        <v>486</v>
      </c>
      <c r="M3" s="1050" t="s">
        <v>487</v>
      </c>
      <c r="N3" s="1050" t="s">
        <v>488</v>
      </c>
      <c r="O3" s="1050" t="s">
        <v>489</v>
      </c>
      <c r="P3" s="1050" t="s">
        <v>490</v>
      </c>
    </row>
    <row r="4" spans="1:16" s="603" customFormat="1" x14ac:dyDescent="0.25">
      <c r="A4" s="1343" t="s">
        <v>491</v>
      </c>
      <c r="B4" s="1344"/>
      <c r="C4" s="1344"/>
      <c r="D4" s="1344"/>
      <c r="E4" s="1344"/>
      <c r="F4" s="1344"/>
      <c r="G4" s="1345"/>
      <c r="H4" s="1344"/>
      <c r="I4" s="1344"/>
      <c r="J4" s="1344"/>
      <c r="K4" s="1346"/>
      <c r="L4" s="1344"/>
      <c r="M4" s="1344"/>
      <c r="N4" s="1344"/>
      <c r="O4" s="1344"/>
      <c r="P4" s="1347"/>
    </row>
    <row r="5" spans="1:16" s="132" customFormat="1" x14ac:dyDescent="0.25">
      <c r="A5" s="1157" t="s">
        <v>532</v>
      </c>
      <c r="B5" s="1059">
        <v>6.8860000000000001</v>
      </c>
      <c r="C5" s="1059">
        <v>12.107799999999999</v>
      </c>
      <c r="D5" s="1059">
        <v>22.874099999999999</v>
      </c>
      <c r="E5" s="1059">
        <v>33.898000000000003</v>
      </c>
      <c r="F5" s="1060">
        <v>47.015999999999998</v>
      </c>
      <c r="G5" s="1061">
        <v>10.41</v>
      </c>
      <c r="H5" s="1062">
        <v>15.69</v>
      </c>
      <c r="I5" s="1063">
        <v>26.18</v>
      </c>
      <c r="J5" s="1063">
        <v>37.520000000000003</v>
      </c>
      <c r="K5" s="1064">
        <v>53.16</v>
      </c>
      <c r="L5" s="1065">
        <v>100</v>
      </c>
      <c r="M5" s="1066">
        <v>100</v>
      </c>
      <c r="N5" s="1066">
        <v>100</v>
      </c>
      <c r="O5" s="1066">
        <v>100</v>
      </c>
      <c r="P5" s="1066">
        <v>100</v>
      </c>
    </row>
    <row r="6" spans="1:16" s="132" customFormat="1" x14ac:dyDescent="0.25">
      <c r="A6" s="1158" t="s">
        <v>1413</v>
      </c>
      <c r="B6" s="764">
        <v>9.4981000000000009</v>
      </c>
      <c r="C6" s="764">
        <v>15.0312</v>
      </c>
      <c r="D6" s="764">
        <v>26.3704</v>
      </c>
      <c r="E6" s="764">
        <v>38.2121</v>
      </c>
      <c r="F6" s="761">
        <v>51.277000000000001</v>
      </c>
      <c r="G6" s="762">
        <v>8.16</v>
      </c>
      <c r="H6" s="768">
        <v>13.81</v>
      </c>
      <c r="I6" s="763">
        <v>26.22</v>
      </c>
      <c r="J6" s="764">
        <v>39.9</v>
      </c>
      <c r="K6" s="765">
        <v>56.49</v>
      </c>
      <c r="L6" s="766">
        <v>100</v>
      </c>
      <c r="M6" s="767">
        <v>100</v>
      </c>
      <c r="N6" s="767">
        <v>100</v>
      </c>
      <c r="O6" s="767">
        <v>100</v>
      </c>
      <c r="P6" s="767">
        <v>100</v>
      </c>
    </row>
    <row r="7" spans="1:16" s="603" customFormat="1" x14ac:dyDescent="0.25">
      <c r="A7" s="221">
        <v>45383</v>
      </c>
      <c r="B7" s="581">
        <v>12.237399999999999</v>
      </c>
      <c r="C7" s="581">
        <v>18.0837</v>
      </c>
      <c r="D7" s="581">
        <v>28.117799999999999</v>
      </c>
      <c r="E7" s="581">
        <v>38.904200000000003</v>
      </c>
      <c r="F7" s="769">
        <v>51.089700000000001</v>
      </c>
      <c r="G7" s="770">
        <v>9.17</v>
      </c>
      <c r="H7" s="771">
        <v>15.05</v>
      </c>
      <c r="I7" s="581">
        <v>26.65</v>
      </c>
      <c r="J7" s="772">
        <v>40</v>
      </c>
      <c r="K7" s="773">
        <v>56.68</v>
      </c>
      <c r="L7" s="774">
        <v>100</v>
      </c>
      <c r="M7" s="271">
        <v>100</v>
      </c>
      <c r="N7" s="271">
        <v>100</v>
      </c>
      <c r="O7" s="271">
        <v>100</v>
      </c>
      <c r="P7" s="271">
        <v>100</v>
      </c>
    </row>
    <row r="8" spans="1:16" s="603" customFormat="1" x14ac:dyDescent="0.25">
      <c r="A8" s="221">
        <v>45413</v>
      </c>
      <c r="B8" s="581">
        <v>9.3636999999999997</v>
      </c>
      <c r="C8" s="581">
        <v>14.9964</v>
      </c>
      <c r="D8" s="581">
        <v>27.557200000000002</v>
      </c>
      <c r="E8" s="581">
        <v>40.197099999999999</v>
      </c>
      <c r="F8" s="772">
        <v>53.834899999999998</v>
      </c>
      <c r="G8" s="770">
        <v>7.86</v>
      </c>
      <c r="H8" s="771">
        <v>13.85</v>
      </c>
      <c r="I8" s="581">
        <v>27.5</v>
      </c>
      <c r="J8" s="772">
        <v>40.93</v>
      </c>
      <c r="K8" s="773">
        <v>58.04</v>
      </c>
      <c r="L8" s="774">
        <v>100</v>
      </c>
      <c r="M8" s="271">
        <v>100</v>
      </c>
      <c r="N8" s="271">
        <v>100</v>
      </c>
      <c r="O8" s="271">
        <v>100</v>
      </c>
      <c r="P8" s="271">
        <v>100</v>
      </c>
    </row>
    <row r="9" spans="1:16" s="603" customFormat="1" x14ac:dyDescent="0.25">
      <c r="A9" s="221">
        <v>45444</v>
      </c>
      <c r="B9" s="581"/>
      <c r="C9" s="581"/>
      <c r="D9" s="581"/>
      <c r="E9" s="581"/>
      <c r="F9" s="772"/>
      <c r="G9" s="770"/>
      <c r="H9" s="771"/>
      <c r="I9" s="581"/>
      <c r="J9" s="772"/>
      <c r="K9" s="773"/>
      <c r="L9" s="774"/>
      <c r="M9" s="271"/>
      <c r="N9" s="271"/>
      <c r="O9" s="271"/>
      <c r="P9" s="271"/>
    </row>
    <row r="10" spans="1:16" s="603" customFormat="1" x14ac:dyDescent="0.25">
      <c r="A10" s="221">
        <v>45474</v>
      </c>
      <c r="B10" s="581"/>
      <c r="C10" s="581"/>
      <c r="D10" s="581"/>
      <c r="E10" s="581"/>
      <c r="F10" s="772"/>
      <c r="G10" s="770"/>
      <c r="H10" s="771"/>
      <c r="I10" s="581"/>
      <c r="J10" s="772"/>
      <c r="K10" s="773"/>
      <c r="L10" s="774"/>
      <c r="M10" s="271"/>
      <c r="N10" s="271"/>
      <c r="O10" s="271"/>
      <c r="P10" s="271"/>
    </row>
    <row r="11" spans="1:16" s="603" customFormat="1" x14ac:dyDescent="0.25">
      <c r="A11" s="221">
        <v>45505</v>
      </c>
      <c r="B11" s="581"/>
      <c r="C11" s="581"/>
      <c r="D11" s="581"/>
      <c r="E11" s="581"/>
      <c r="F11" s="772"/>
      <c r="G11" s="770"/>
      <c r="H11" s="771"/>
      <c r="I11" s="581"/>
      <c r="J11" s="772"/>
      <c r="K11" s="773"/>
      <c r="L11" s="774"/>
      <c r="M11" s="271"/>
      <c r="N11" s="271"/>
      <c r="O11" s="271"/>
      <c r="P11" s="271"/>
    </row>
    <row r="12" spans="1:16" s="603" customFormat="1" x14ac:dyDescent="0.25">
      <c r="A12" s="221">
        <v>45536</v>
      </c>
      <c r="B12" s="581"/>
      <c r="C12" s="581"/>
      <c r="D12" s="581"/>
      <c r="E12" s="581"/>
      <c r="F12" s="772"/>
      <c r="G12" s="374"/>
      <c r="H12" s="771"/>
      <c r="I12" s="581"/>
      <c r="J12" s="772"/>
      <c r="K12" s="773"/>
      <c r="L12" s="774"/>
      <c r="M12" s="271"/>
      <c r="N12" s="271"/>
      <c r="O12" s="271"/>
      <c r="P12" s="271"/>
    </row>
    <row r="13" spans="1:16" s="603" customFormat="1" x14ac:dyDescent="0.25">
      <c r="A13" s="221">
        <v>45566</v>
      </c>
      <c r="B13" s="581"/>
      <c r="C13" s="581"/>
      <c r="D13" s="581"/>
      <c r="E13" s="581"/>
      <c r="F13" s="772"/>
      <c r="G13" s="770"/>
      <c r="H13" s="771"/>
      <c r="I13" s="581"/>
      <c r="J13" s="772"/>
      <c r="K13" s="773"/>
      <c r="L13" s="774"/>
      <c r="M13" s="271"/>
      <c r="N13" s="271"/>
      <c r="O13" s="271"/>
      <c r="P13" s="271"/>
    </row>
    <row r="14" spans="1:16" s="603" customFormat="1" x14ac:dyDescent="0.25">
      <c r="A14" s="221">
        <v>45597</v>
      </c>
      <c r="B14" s="581"/>
      <c r="C14" s="581"/>
      <c r="D14" s="581"/>
      <c r="E14" s="581"/>
      <c r="F14" s="581"/>
      <c r="G14" s="770"/>
      <c r="H14" s="771"/>
      <c r="I14" s="771"/>
      <c r="J14" s="771"/>
      <c r="K14" s="773"/>
      <c r="L14" s="775"/>
      <c r="M14" s="591"/>
      <c r="N14" s="591"/>
      <c r="O14" s="591"/>
      <c r="P14" s="591"/>
    </row>
    <row r="15" spans="1:16" s="603" customFormat="1" x14ac:dyDescent="0.25">
      <c r="A15" s="221">
        <v>45627</v>
      </c>
      <c r="B15" s="581"/>
      <c r="C15" s="581"/>
      <c r="D15" s="581"/>
      <c r="E15" s="581"/>
      <c r="F15" s="581"/>
      <c r="G15" s="770"/>
      <c r="H15" s="771"/>
      <c r="I15" s="581"/>
      <c r="J15" s="772"/>
      <c r="K15" s="773"/>
      <c r="L15" s="775"/>
      <c r="M15" s="591"/>
      <c r="N15" s="591"/>
      <c r="O15" s="591"/>
      <c r="P15" s="591"/>
    </row>
    <row r="16" spans="1:16" s="603" customFormat="1" x14ac:dyDescent="0.25">
      <c r="A16" s="221">
        <v>45658</v>
      </c>
      <c r="B16" s="581"/>
      <c r="C16" s="581"/>
      <c r="D16" s="581"/>
      <c r="E16" s="581"/>
      <c r="F16" s="581"/>
      <c r="G16" s="770"/>
      <c r="H16" s="771"/>
      <c r="I16" s="581"/>
      <c r="J16" s="772"/>
      <c r="K16" s="773"/>
      <c r="L16" s="775"/>
      <c r="M16" s="591"/>
      <c r="N16" s="591"/>
      <c r="O16" s="591"/>
      <c r="P16" s="591"/>
    </row>
    <row r="17" spans="1:16" s="603" customFormat="1" x14ac:dyDescent="0.25">
      <c r="A17" s="221">
        <v>45689</v>
      </c>
      <c r="B17" s="581"/>
      <c r="C17" s="581"/>
      <c r="D17" s="581"/>
      <c r="E17" s="581"/>
      <c r="F17" s="581"/>
      <c r="G17" s="770"/>
      <c r="H17" s="771"/>
      <c r="I17" s="581"/>
      <c r="J17" s="772"/>
      <c r="K17" s="773"/>
      <c r="L17" s="775"/>
      <c r="M17" s="591"/>
      <c r="N17" s="591"/>
      <c r="O17" s="591"/>
      <c r="P17" s="591"/>
    </row>
    <row r="18" spans="1:16" s="603" customFormat="1" x14ac:dyDescent="0.25">
      <c r="A18" s="221">
        <v>45717</v>
      </c>
      <c r="B18" s="581"/>
      <c r="C18" s="581"/>
      <c r="D18" s="581"/>
      <c r="E18" s="581"/>
      <c r="F18" s="581"/>
      <c r="G18" s="776"/>
      <c r="H18" s="777"/>
      <c r="I18" s="590"/>
      <c r="J18" s="778"/>
      <c r="K18" s="779"/>
      <c r="L18" s="775"/>
      <c r="M18" s="591"/>
      <c r="N18" s="591"/>
      <c r="O18" s="591"/>
      <c r="P18" s="591"/>
    </row>
    <row r="19" spans="1:16" s="603" customFormat="1" x14ac:dyDescent="0.25">
      <c r="A19" s="1348" t="s">
        <v>492</v>
      </c>
      <c r="B19" s="1348"/>
      <c r="C19" s="1348"/>
      <c r="D19" s="1348"/>
      <c r="E19" s="1348"/>
      <c r="F19" s="1348"/>
      <c r="G19" s="1349"/>
      <c r="H19" s="1348"/>
      <c r="I19" s="1348"/>
      <c r="J19" s="1348"/>
      <c r="K19" s="1350"/>
      <c r="L19" s="1348"/>
      <c r="M19" s="1348"/>
      <c r="N19" s="1348"/>
      <c r="O19" s="1348"/>
      <c r="P19" s="1348"/>
    </row>
    <row r="20" spans="1:16" s="132" customFormat="1" x14ac:dyDescent="0.25">
      <c r="A20" s="1157" t="s">
        <v>532</v>
      </c>
      <c r="B20" s="375">
        <v>35.9</v>
      </c>
      <c r="C20" s="375">
        <v>47.49</v>
      </c>
      <c r="D20" s="375">
        <v>68.790000000000006</v>
      </c>
      <c r="E20" s="375">
        <v>81.44</v>
      </c>
      <c r="F20" s="376">
        <v>90.03</v>
      </c>
      <c r="G20" s="762">
        <v>25.48</v>
      </c>
      <c r="H20" s="375">
        <v>38.590000000000003</v>
      </c>
      <c r="I20" s="375">
        <v>59.21</v>
      </c>
      <c r="J20" s="375">
        <v>75.72</v>
      </c>
      <c r="K20" s="765">
        <v>88.71</v>
      </c>
      <c r="L20" s="377">
        <v>100</v>
      </c>
      <c r="M20" s="378">
        <v>100</v>
      </c>
      <c r="N20" s="378">
        <v>100</v>
      </c>
      <c r="O20" s="378" t="s">
        <v>225</v>
      </c>
      <c r="P20" s="379" t="s">
        <v>225</v>
      </c>
    </row>
    <row r="21" spans="1:16" s="132" customFormat="1" x14ac:dyDescent="0.25">
      <c r="A21" s="1158" t="s">
        <v>1413</v>
      </c>
      <c r="B21" s="764">
        <v>42.03</v>
      </c>
      <c r="C21" s="764">
        <v>54.86</v>
      </c>
      <c r="D21" s="764">
        <v>72.37</v>
      </c>
      <c r="E21" s="764">
        <v>82.56</v>
      </c>
      <c r="F21" s="761">
        <v>90.7</v>
      </c>
      <c r="G21" s="780">
        <v>26.15</v>
      </c>
      <c r="H21" s="763">
        <v>40.479999999999997</v>
      </c>
      <c r="I21" s="764">
        <v>62.61</v>
      </c>
      <c r="J21" s="764">
        <v>78.400000000000006</v>
      </c>
      <c r="K21" s="765">
        <v>90.32</v>
      </c>
      <c r="L21" s="766">
        <v>100</v>
      </c>
      <c r="M21" s="767">
        <v>100</v>
      </c>
      <c r="N21" s="767">
        <v>100</v>
      </c>
      <c r="O21" s="764" t="s">
        <v>225</v>
      </c>
      <c r="P21" s="764" t="s">
        <v>225</v>
      </c>
    </row>
    <row r="22" spans="1:16" s="603" customFormat="1" x14ac:dyDescent="0.25">
      <c r="A22" s="221">
        <v>45383</v>
      </c>
      <c r="B22" s="581">
        <v>41.94</v>
      </c>
      <c r="C22" s="581">
        <v>55.09</v>
      </c>
      <c r="D22" s="581">
        <v>72.36</v>
      </c>
      <c r="E22" s="581">
        <v>82.17</v>
      </c>
      <c r="F22" s="772">
        <v>90.43</v>
      </c>
      <c r="G22" s="781">
        <v>26.45</v>
      </c>
      <c r="H22" s="771">
        <v>40.93</v>
      </c>
      <c r="I22" s="581">
        <v>62.12</v>
      </c>
      <c r="J22" s="772">
        <v>77.930000000000007</v>
      </c>
      <c r="K22" s="773">
        <v>90.04</v>
      </c>
      <c r="L22" s="774">
        <v>100</v>
      </c>
      <c r="M22" s="271">
        <v>100</v>
      </c>
      <c r="N22" s="271">
        <v>100</v>
      </c>
      <c r="O22" s="272" t="s">
        <v>225</v>
      </c>
      <c r="P22" s="272" t="s">
        <v>225</v>
      </c>
    </row>
    <row r="23" spans="1:16" s="603" customFormat="1" x14ac:dyDescent="0.25">
      <c r="A23" s="221">
        <v>45413</v>
      </c>
      <c r="B23" s="581">
        <v>42.1</v>
      </c>
      <c r="C23" s="581">
        <v>55.03</v>
      </c>
      <c r="D23" s="581">
        <v>72.75</v>
      </c>
      <c r="E23" s="581">
        <v>83.54</v>
      </c>
      <c r="F23" s="772">
        <v>91.32</v>
      </c>
      <c r="G23" s="781">
        <v>25.89</v>
      </c>
      <c r="H23" s="771">
        <v>40.270000000000003</v>
      </c>
      <c r="I23" s="581">
        <v>63.09</v>
      </c>
      <c r="J23" s="772">
        <v>78.84</v>
      </c>
      <c r="K23" s="773">
        <v>90.59</v>
      </c>
      <c r="L23" s="774">
        <v>100</v>
      </c>
      <c r="M23" s="271">
        <v>100</v>
      </c>
      <c r="N23" s="271">
        <v>100</v>
      </c>
      <c r="O23" s="272" t="s">
        <v>225</v>
      </c>
      <c r="P23" s="272" t="s">
        <v>225</v>
      </c>
    </row>
    <row r="24" spans="1:16" s="603" customFormat="1" x14ac:dyDescent="0.25">
      <c r="A24" s="221">
        <v>45444</v>
      </c>
      <c r="B24" s="581"/>
      <c r="C24" s="581"/>
      <c r="D24" s="581"/>
      <c r="E24" s="581"/>
      <c r="F24" s="772"/>
      <c r="G24" s="781"/>
      <c r="H24" s="771"/>
      <c r="I24" s="581"/>
      <c r="J24" s="772"/>
      <c r="K24" s="773"/>
      <c r="L24" s="774"/>
      <c r="M24" s="271"/>
      <c r="N24" s="271"/>
      <c r="O24" s="272"/>
      <c r="P24" s="272"/>
    </row>
    <row r="25" spans="1:16" s="603" customFormat="1" x14ac:dyDescent="0.25">
      <c r="A25" s="221">
        <v>45474</v>
      </c>
      <c r="B25" s="581"/>
      <c r="C25" s="581"/>
      <c r="D25" s="581"/>
      <c r="E25" s="581"/>
      <c r="F25" s="772"/>
      <c r="G25" s="781"/>
      <c r="H25" s="771"/>
      <c r="I25" s="581"/>
      <c r="J25" s="772"/>
      <c r="K25" s="773"/>
      <c r="L25" s="774"/>
      <c r="M25" s="271"/>
      <c r="N25" s="271"/>
      <c r="O25" s="272"/>
      <c r="P25" s="272"/>
    </row>
    <row r="26" spans="1:16" s="603" customFormat="1" x14ac:dyDescent="0.25">
      <c r="A26" s="221">
        <v>45505</v>
      </c>
      <c r="B26" s="581"/>
      <c r="C26" s="581"/>
      <c r="D26" s="581"/>
      <c r="E26" s="581"/>
      <c r="F26" s="772"/>
      <c r="G26" s="781"/>
      <c r="H26" s="771"/>
      <c r="I26" s="581"/>
      <c r="J26" s="772"/>
      <c r="K26" s="773"/>
      <c r="L26" s="774"/>
      <c r="M26" s="271"/>
      <c r="N26" s="271"/>
      <c r="O26" s="272"/>
      <c r="P26" s="272"/>
    </row>
    <row r="27" spans="1:16" s="603" customFormat="1" x14ac:dyDescent="0.25">
      <c r="A27" s="221">
        <v>45536</v>
      </c>
      <c r="B27" s="581"/>
      <c r="C27" s="581"/>
      <c r="D27" s="581"/>
      <c r="E27" s="581"/>
      <c r="F27" s="772"/>
      <c r="G27" s="781"/>
      <c r="H27" s="771"/>
      <c r="I27" s="581"/>
      <c r="J27" s="772"/>
      <c r="K27" s="773"/>
      <c r="L27" s="774"/>
      <c r="M27" s="271"/>
      <c r="N27" s="271"/>
      <c r="O27" s="272"/>
      <c r="P27" s="272"/>
    </row>
    <row r="28" spans="1:16" s="603" customFormat="1" x14ac:dyDescent="0.25">
      <c r="A28" s="221">
        <v>45566</v>
      </c>
      <c r="B28" s="581"/>
      <c r="C28" s="581"/>
      <c r="D28" s="581"/>
      <c r="E28" s="581"/>
      <c r="F28" s="772"/>
      <c r="G28" s="781"/>
      <c r="H28" s="771"/>
      <c r="I28" s="581"/>
      <c r="J28" s="772"/>
      <c r="K28" s="773"/>
      <c r="L28" s="774"/>
      <c r="M28" s="271"/>
      <c r="N28" s="271"/>
      <c r="O28" s="272"/>
      <c r="P28" s="272"/>
    </row>
    <row r="29" spans="1:16" s="603" customFormat="1" x14ac:dyDescent="0.25">
      <c r="A29" s="221">
        <v>45597</v>
      </c>
      <c r="B29" s="581"/>
      <c r="C29" s="581"/>
      <c r="D29" s="581"/>
      <c r="E29" s="581"/>
      <c r="F29" s="581"/>
      <c r="G29" s="781"/>
      <c r="H29" s="771"/>
      <c r="I29" s="771"/>
      <c r="J29" s="771"/>
      <c r="K29" s="773"/>
      <c r="L29" s="775"/>
      <c r="M29" s="591"/>
      <c r="N29" s="591"/>
      <c r="O29" s="272"/>
      <c r="P29" s="272"/>
    </row>
    <row r="30" spans="1:16" s="603" customFormat="1" x14ac:dyDescent="0.25">
      <c r="A30" s="221">
        <v>45627</v>
      </c>
      <c r="B30" s="581"/>
      <c r="C30" s="581"/>
      <c r="D30" s="581"/>
      <c r="E30" s="581"/>
      <c r="F30" s="581"/>
      <c r="G30" s="781"/>
      <c r="H30" s="771"/>
      <c r="I30" s="581"/>
      <c r="J30" s="772"/>
      <c r="K30" s="773"/>
      <c r="L30" s="775"/>
      <c r="M30" s="591"/>
      <c r="N30" s="591"/>
      <c r="O30" s="272"/>
      <c r="P30" s="272"/>
    </row>
    <row r="31" spans="1:16" s="603" customFormat="1" x14ac:dyDescent="0.25">
      <c r="A31" s="221">
        <v>45658</v>
      </c>
      <c r="B31" s="581"/>
      <c r="C31" s="581"/>
      <c r="D31" s="581"/>
      <c r="E31" s="581"/>
      <c r="F31" s="581"/>
      <c r="G31" s="781"/>
      <c r="H31" s="771"/>
      <c r="I31" s="581"/>
      <c r="J31" s="772"/>
      <c r="K31" s="773"/>
      <c r="L31" s="775"/>
      <c r="M31" s="591"/>
      <c r="N31" s="591"/>
      <c r="O31" s="272"/>
      <c r="P31" s="272"/>
    </row>
    <row r="32" spans="1:16" s="603" customFormat="1" x14ac:dyDescent="0.25">
      <c r="A32" s="221">
        <v>45689</v>
      </c>
      <c r="B32" s="581"/>
      <c r="C32" s="581"/>
      <c r="D32" s="581"/>
      <c r="E32" s="581"/>
      <c r="F32" s="581"/>
      <c r="G32" s="781"/>
      <c r="H32" s="771"/>
      <c r="I32" s="581"/>
      <c r="J32" s="772"/>
      <c r="K32" s="773"/>
      <c r="L32" s="775"/>
      <c r="M32" s="591"/>
      <c r="N32" s="591"/>
      <c r="O32" s="272"/>
      <c r="P32" s="272"/>
    </row>
    <row r="33" spans="1:16" s="603" customFormat="1" x14ac:dyDescent="0.25">
      <c r="A33" s="221">
        <v>45717</v>
      </c>
      <c r="B33" s="622"/>
      <c r="C33" s="622"/>
      <c r="D33" s="622"/>
      <c r="E33" s="622"/>
      <c r="F33" s="782"/>
      <c r="G33" s="783"/>
      <c r="H33" s="784"/>
      <c r="I33" s="623"/>
      <c r="J33" s="785"/>
      <c r="K33" s="786"/>
      <c r="L33" s="775"/>
      <c r="M33" s="591"/>
      <c r="N33" s="591"/>
      <c r="O33" s="272"/>
      <c r="P33" s="272"/>
    </row>
    <row r="34" spans="1:16" s="603" customFormat="1" x14ac:dyDescent="0.25">
      <c r="G34" s="380"/>
      <c r="H34" s="380"/>
      <c r="I34" s="380"/>
      <c r="J34" s="380"/>
      <c r="K34" s="380"/>
    </row>
    <row r="35" spans="1:16" s="603" customFormat="1" ht="15" customHeight="1" x14ac:dyDescent="0.25">
      <c r="A35" s="1339" t="s">
        <v>493</v>
      </c>
      <c r="B35" s="1339"/>
      <c r="C35" s="1339"/>
      <c r="D35" s="1339"/>
      <c r="E35" s="1339"/>
      <c r="F35" s="1339"/>
      <c r="G35" s="1339"/>
      <c r="H35" s="1339"/>
      <c r="I35" s="1339"/>
      <c r="J35" s="1339"/>
      <c r="K35" s="1339"/>
    </row>
    <row r="36" spans="1:16" s="603" customFormat="1" ht="15" customHeight="1" x14ac:dyDescent="0.25">
      <c r="A36" s="1316" t="s">
        <v>171</v>
      </c>
      <c r="B36" s="1316"/>
      <c r="C36" s="1316"/>
      <c r="D36" s="1316"/>
      <c r="E36" s="1316"/>
      <c r="F36" s="1316"/>
      <c r="G36" s="1316"/>
      <c r="H36" s="1316"/>
      <c r="I36" s="1316"/>
      <c r="J36" s="1316"/>
      <c r="K36" s="1316"/>
    </row>
    <row r="37" spans="1:16" s="603" customFormat="1" x14ac:dyDescent="0.25">
      <c r="A37" s="1126" t="s">
        <v>1401</v>
      </c>
      <c r="G37" s="380"/>
      <c r="H37" s="380"/>
      <c r="I37" s="380"/>
      <c r="J37" s="380"/>
      <c r="K37" s="380"/>
    </row>
    <row r="38" spans="1:16" s="603" customFormat="1" x14ac:dyDescent="0.25">
      <c r="A38" s="127"/>
      <c r="B38" s="127"/>
      <c r="C38" s="127"/>
      <c r="D38" s="127"/>
      <c r="E38" s="127"/>
      <c r="F38" s="127"/>
      <c r="G38" s="127"/>
      <c r="H38" s="127"/>
      <c r="I38" s="127"/>
      <c r="J38" s="127"/>
      <c r="K38" s="127"/>
    </row>
  </sheetData>
  <mergeCells count="7">
    <mergeCell ref="A35:K35"/>
    <mergeCell ref="A36:K36"/>
    <mergeCell ref="B2:F2"/>
    <mergeCell ref="G2:K2"/>
    <mergeCell ref="L2:P2"/>
    <mergeCell ref="A4:P4"/>
    <mergeCell ref="A19:P19"/>
  </mergeCells>
  <printOptions horizontalCentered="1"/>
  <pageMargins left="0.78431372549019618" right="0.78431372549019618" top="0.98039215686274517" bottom="0.98039215686274517" header="0.50980392156862753" footer="0.50980392156862753"/>
  <pageSetup paperSize="9" scale="55" fitToHeight="0"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0"/>
  <sheetViews>
    <sheetView topLeftCell="A3" zoomScaleNormal="100" workbookViewId="0">
      <selection activeCell="A19" sqref="A19"/>
    </sheetView>
  </sheetViews>
  <sheetFormatPr defaultColWidth="9.140625" defaultRowHeight="15" x14ac:dyDescent="0.25"/>
  <cols>
    <col min="1" max="1" width="14.42578125" style="127" customWidth="1"/>
    <col min="2" max="2" width="13.42578125" style="127" bestFit="1" customWidth="1"/>
    <col min="3" max="3" width="9.140625" style="127" bestFit="1" customWidth="1"/>
    <col min="4" max="4" width="9.7109375" style="127" bestFit="1" customWidth="1"/>
    <col min="5" max="5" width="16.28515625" style="127" bestFit="1" customWidth="1"/>
    <col min="6" max="6" width="11.7109375" style="127" bestFit="1" customWidth="1"/>
    <col min="7" max="7" width="11.42578125" style="127" bestFit="1" customWidth="1"/>
    <col min="8" max="8" width="14.140625" style="127" bestFit="1" customWidth="1"/>
    <col min="9" max="9" width="13.140625" style="127" bestFit="1" customWidth="1"/>
    <col min="10" max="10" width="17.28515625" style="127" bestFit="1" customWidth="1"/>
    <col min="11" max="11" width="13.140625" style="127" bestFit="1" customWidth="1"/>
    <col min="12" max="12" width="17.85546875" style="127" customWidth="1"/>
    <col min="13" max="13" width="12.85546875" style="127" bestFit="1" customWidth="1"/>
    <col min="14" max="14" width="14.42578125" style="127" bestFit="1" customWidth="1"/>
    <col min="15" max="15" width="13.5703125" style="127" bestFit="1" customWidth="1"/>
    <col min="16" max="17" width="14.5703125" style="127" bestFit="1" customWidth="1"/>
    <col min="18" max="16384" width="9.140625" style="127"/>
  </cols>
  <sheetData>
    <row r="1" spans="1:17" ht="16.5" customHeight="1" x14ac:dyDescent="0.25">
      <c r="A1" s="369" t="s">
        <v>27</v>
      </c>
      <c r="B1" s="369"/>
      <c r="C1" s="369"/>
      <c r="D1" s="369"/>
      <c r="E1" s="369"/>
      <c r="F1" s="369"/>
      <c r="G1" s="369"/>
      <c r="H1" s="369"/>
      <c r="I1" s="369"/>
    </row>
    <row r="2" spans="1:17" s="603" customFormat="1" ht="88.5" customHeight="1" x14ac:dyDescent="0.25">
      <c r="A2" s="787" t="s">
        <v>494</v>
      </c>
      <c r="B2" s="787" t="s">
        <v>495</v>
      </c>
      <c r="C2" s="787" t="s">
        <v>496</v>
      </c>
      <c r="D2" s="787" t="s">
        <v>497</v>
      </c>
      <c r="E2" s="787" t="s">
        <v>498</v>
      </c>
      <c r="F2" s="787" t="s">
        <v>273</v>
      </c>
      <c r="G2" s="787" t="s">
        <v>499</v>
      </c>
      <c r="H2" s="787" t="s">
        <v>500</v>
      </c>
      <c r="I2" s="787" t="s">
        <v>501</v>
      </c>
      <c r="J2" s="787" t="s">
        <v>502</v>
      </c>
      <c r="K2" s="787" t="s">
        <v>503</v>
      </c>
      <c r="L2" s="787" t="s">
        <v>504</v>
      </c>
      <c r="M2" s="787" t="s">
        <v>505</v>
      </c>
      <c r="N2" s="787" t="s">
        <v>506</v>
      </c>
      <c r="O2" s="787" t="s">
        <v>507</v>
      </c>
      <c r="P2" s="787" t="s">
        <v>1125</v>
      </c>
      <c r="Q2" s="787" t="s">
        <v>509</v>
      </c>
    </row>
    <row r="3" spans="1:17" s="132" customFormat="1" ht="18" customHeight="1" x14ac:dyDescent="0.25">
      <c r="A3" s="1157" t="s">
        <v>532</v>
      </c>
      <c r="B3" s="789">
        <v>9980.6111099999998</v>
      </c>
      <c r="C3" s="790">
        <v>2519145.3052500002</v>
      </c>
      <c r="D3" s="790">
        <v>597537.51045000006</v>
      </c>
      <c r="E3" s="791">
        <v>23.71985090358654</v>
      </c>
      <c r="F3" s="790">
        <v>3458333.6918770159</v>
      </c>
      <c r="G3" s="790">
        <v>699412.76619996899</v>
      </c>
      <c r="H3" s="792">
        <v>20.223981504235979</v>
      </c>
      <c r="I3" s="790">
        <v>597537.43017000007</v>
      </c>
      <c r="J3" s="791">
        <v>99.99998656486018</v>
      </c>
      <c r="K3" s="790">
        <v>699412.76619996899</v>
      </c>
      <c r="L3" s="793">
        <v>100</v>
      </c>
      <c r="M3" s="794">
        <v>1014.2349300000001</v>
      </c>
      <c r="N3" s="795">
        <v>0.16973577595759454</v>
      </c>
      <c r="O3" s="794">
        <v>158274.00048334099</v>
      </c>
      <c r="P3" s="790">
        <v>700419.10301068402</v>
      </c>
      <c r="Q3" s="273">
        <v>385.35</v>
      </c>
    </row>
    <row r="4" spans="1:17" s="132" customFormat="1" ht="18" customHeight="1" x14ac:dyDescent="0.25">
      <c r="A4" s="1158" t="s">
        <v>1413</v>
      </c>
      <c r="B4" s="796">
        <f>SUM(B5:B16)</f>
        <v>1866.34923</v>
      </c>
      <c r="C4" s="796">
        <f>SUM(C5:C16)</f>
        <v>463420.69102999999</v>
      </c>
      <c r="D4" s="796">
        <f>SUM(D5:D16)</f>
        <v>120301.44175999999</v>
      </c>
      <c r="E4" s="797">
        <f>D4/C4*100</f>
        <v>25.959445507842499</v>
      </c>
      <c r="F4" s="796">
        <f>SUM(F5:F16)</f>
        <v>670920.35534477304</v>
      </c>
      <c r="G4" s="796">
        <f>SUM(G5:G16)</f>
        <v>141268.27193364903</v>
      </c>
      <c r="H4" s="797">
        <f>G4/F4*100</f>
        <v>21.055892969748101</v>
      </c>
      <c r="I4" s="796">
        <f>SUM(I5:I16)</f>
        <v>120301.44175999999</v>
      </c>
      <c r="J4" s="798">
        <f>I4/D4*100</f>
        <v>100</v>
      </c>
      <c r="K4" s="796">
        <f>SUM(K5:K16)</f>
        <v>141268.27193364903</v>
      </c>
      <c r="L4" s="799">
        <f>K4/G4*100</f>
        <v>100</v>
      </c>
      <c r="M4" s="796">
        <f>SUM(M5:M16)</f>
        <v>73.8</v>
      </c>
      <c r="N4" s="800">
        <f>M4/D4*100</f>
        <v>6.1345898203971787E-2</v>
      </c>
      <c r="O4" s="796">
        <f>SUM(O5:O16)</f>
        <v>27814.92986281</v>
      </c>
      <c r="P4" s="796">
        <f>SUM(P5:P16)</f>
        <v>141531.25562632602</v>
      </c>
      <c r="Q4" s="796">
        <f>INDEX(Q5:Q16,COUNT(Q5:Q16))</f>
        <v>390.68</v>
      </c>
    </row>
    <row r="5" spans="1:17" s="603" customFormat="1" ht="18" customHeight="1" x14ac:dyDescent="0.25">
      <c r="A5" s="221">
        <v>45383</v>
      </c>
      <c r="B5" s="577">
        <v>899.80000000000007</v>
      </c>
      <c r="C5" s="601">
        <v>244703.9</v>
      </c>
      <c r="D5" s="601">
        <v>61106.7</v>
      </c>
      <c r="E5" s="578">
        <v>24.971690275471701</v>
      </c>
      <c r="F5" s="801">
        <v>322563</v>
      </c>
      <c r="G5" s="601">
        <v>65643</v>
      </c>
      <c r="H5" s="578">
        <v>20.350443169241359</v>
      </c>
      <c r="I5" s="601">
        <v>61106.7</v>
      </c>
      <c r="J5" s="578">
        <v>100</v>
      </c>
      <c r="K5" s="601">
        <v>65643</v>
      </c>
      <c r="L5" s="582">
        <v>100</v>
      </c>
      <c r="M5" s="601">
        <v>36.9</v>
      </c>
      <c r="N5" s="576">
        <v>6.0386176965864631E-2</v>
      </c>
      <c r="O5" s="601">
        <v>10723</v>
      </c>
      <c r="P5" s="601">
        <v>65728</v>
      </c>
      <c r="Q5" s="601">
        <v>388.39</v>
      </c>
    </row>
    <row r="6" spans="1:17" s="603" customFormat="1" ht="18" customHeight="1" x14ac:dyDescent="0.25">
      <c r="A6" s="221">
        <v>45413</v>
      </c>
      <c r="B6" s="577">
        <v>966.54922999999997</v>
      </c>
      <c r="C6" s="601">
        <v>218716.79103000002</v>
      </c>
      <c r="D6" s="601">
        <v>59194.741759999997</v>
      </c>
      <c r="E6" s="578">
        <v>27.064562113057256</v>
      </c>
      <c r="F6" s="801">
        <v>348357.35534477304</v>
      </c>
      <c r="G6" s="601">
        <v>75625.271933649012</v>
      </c>
      <c r="H6" s="578">
        <v>21.709107263947928</v>
      </c>
      <c r="I6" s="601">
        <v>59194.741759999997</v>
      </c>
      <c r="J6" s="578">
        <v>100</v>
      </c>
      <c r="K6" s="601">
        <v>75625.271933649012</v>
      </c>
      <c r="L6" s="582">
        <v>100</v>
      </c>
      <c r="M6" s="601">
        <v>36.9</v>
      </c>
      <c r="N6" s="576">
        <v>6.23366179205712E-2</v>
      </c>
      <c r="O6" s="601">
        <v>17091.92986281</v>
      </c>
      <c r="P6" s="601">
        <v>75803.255626326019</v>
      </c>
      <c r="Q6" s="601">
        <v>390.68</v>
      </c>
    </row>
    <row r="7" spans="1:17" s="603" customFormat="1" ht="18" customHeight="1" x14ac:dyDescent="0.25">
      <c r="A7" s="221">
        <v>45444</v>
      </c>
      <c r="B7" s="577"/>
      <c r="C7" s="601"/>
      <c r="D7" s="601"/>
      <c r="E7" s="578"/>
      <c r="F7" s="801"/>
      <c r="G7" s="601"/>
      <c r="H7" s="578"/>
      <c r="I7" s="601"/>
      <c r="J7" s="578"/>
      <c r="K7" s="601"/>
      <c r="L7" s="582"/>
      <c r="M7" s="601"/>
      <c r="N7" s="576"/>
      <c r="O7" s="601"/>
      <c r="P7" s="601"/>
      <c r="Q7" s="601"/>
    </row>
    <row r="8" spans="1:17" s="603" customFormat="1" ht="18" customHeight="1" x14ac:dyDescent="0.25">
      <c r="A8" s="221">
        <v>45474</v>
      </c>
      <c r="B8" s="577"/>
      <c r="C8" s="601"/>
      <c r="D8" s="601"/>
      <c r="E8" s="578"/>
      <c r="F8" s="801"/>
      <c r="G8" s="601"/>
      <c r="H8" s="578"/>
      <c r="I8" s="601"/>
      <c r="J8" s="578"/>
      <c r="K8" s="601"/>
      <c r="L8" s="582"/>
      <c r="M8" s="601"/>
      <c r="N8" s="576"/>
      <c r="O8" s="601"/>
      <c r="P8" s="601"/>
      <c r="Q8" s="601"/>
    </row>
    <row r="9" spans="1:17" s="603" customFormat="1" ht="18" customHeight="1" x14ac:dyDescent="0.25">
      <c r="A9" s="221">
        <v>45505</v>
      </c>
      <c r="B9" s="577"/>
      <c r="C9" s="601"/>
      <c r="D9" s="601"/>
      <c r="E9" s="578"/>
      <c r="F9" s="801"/>
      <c r="G9" s="601"/>
      <c r="H9" s="578"/>
      <c r="I9" s="601"/>
      <c r="J9" s="578"/>
      <c r="K9" s="601"/>
      <c r="L9" s="582"/>
      <c r="M9" s="601"/>
      <c r="N9" s="576"/>
      <c r="O9" s="601"/>
      <c r="P9" s="601"/>
      <c r="Q9" s="601"/>
    </row>
    <row r="10" spans="1:17" s="603" customFormat="1" x14ac:dyDescent="0.25">
      <c r="A10" s="221">
        <v>45536</v>
      </c>
      <c r="B10" s="577"/>
      <c r="C10" s="601"/>
      <c r="D10" s="601"/>
      <c r="E10" s="578"/>
      <c r="F10" s="801"/>
      <c r="G10" s="601"/>
      <c r="H10" s="578"/>
      <c r="I10" s="601"/>
      <c r="J10" s="578"/>
      <c r="K10" s="601"/>
      <c r="L10" s="582"/>
      <c r="M10" s="601"/>
      <c r="N10" s="576"/>
      <c r="O10" s="601"/>
      <c r="P10" s="601"/>
      <c r="Q10" s="601"/>
    </row>
    <row r="11" spans="1:17" s="603" customFormat="1" ht="13.5" customHeight="1" x14ac:dyDescent="0.25">
      <c r="A11" s="221">
        <v>45566</v>
      </c>
      <c r="B11" s="577"/>
      <c r="C11" s="601"/>
      <c r="D11" s="601"/>
      <c r="E11" s="578"/>
      <c r="F11" s="801"/>
      <c r="G11" s="601"/>
      <c r="H11" s="578"/>
      <c r="I11" s="601"/>
      <c r="J11" s="578"/>
      <c r="K11" s="601"/>
      <c r="L11" s="582"/>
      <c r="M11" s="601"/>
      <c r="N11" s="576"/>
      <c r="O11" s="601"/>
      <c r="P11" s="601"/>
      <c r="Q11" s="601"/>
    </row>
    <row r="12" spans="1:17" s="603" customFormat="1" x14ac:dyDescent="0.25">
      <c r="A12" s="221">
        <v>45597</v>
      </c>
      <c r="B12" s="593"/>
      <c r="C12" s="592"/>
      <c r="D12" s="592"/>
      <c r="E12" s="802"/>
      <c r="F12" s="803"/>
      <c r="G12" s="592"/>
      <c r="H12" s="802"/>
      <c r="I12" s="592"/>
      <c r="J12" s="802"/>
      <c r="K12" s="592"/>
      <c r="L12" s="581"/>
      <c r="M12" s="592"/>
      <c r="N12" s="804"/>
      <c r="O12" s="592"/>
      <c r="P12" s="805"/>
      <c r="Q12" s="806"/>
    </row>
    <row r="13" spans="1:17" s="603" customFormat="1" x14ac:dyDescent="0.25">
      <c r="A13" s="221">
        <v>45627</v>
      </c>
      <c r="B13" s="577"/>
      <c r="C13" s="601"/>
      <c r="D13" s="601"/>
      <c r="E13" s="578"/>
      <c r="F13" s="801"/>
      <c r="G13" s="601"/>
      <c r="H13" s="578"/>
      <c r="I13" s="601"/>
      <c r="J13" s="578"/>
      <c r="K13" s="601"/>
      <c r="L13" s="582"/>
      <c r="M13" s="601"/>
      <c r="N13" s="576"/>
      <c r="O13" s="601"/>
      <c r="P13" s="601"/>
      <c r="Q13" s="601"/>
    </row>
    <row r="14" spans="1:17" s="603" customFormat="1" x14ac:dyDescent="0.25">
      <c r="A14" s="221">
        <v>45658</v>
      </c>
      <c r="B14" s="577"/>
      <c r="C14" s="601"/>
      <c r="D14" s="601"/>
      <c r="E14" s="578"/>
      <c r="F14" s="801"/>
      <c r="G14" s="601"/>
      <c r="H14" s="578"/>
      <c r="I14" s="601"/>
      <c r="J14" s="578"/>
      <c r="K14" s="601"/>
      <c r="L14" s="582"/>
      <c r="M14" s="601"/>
      <c r="N14" s="576"/>
      <c r="O14" s="601"/>
      <c r="P14" s="601"/>
      <c r="Q14" s="601"/>
    </row>
    <row r="15" spans="1:17" s="603" customFormat="1" x14ac:dyDescent="0.25">
      <c r="A15" s="221">
        <v>45689</v>
      </c>
      <c r="B15" s="577"/>
      <c r="C15" s="601"/>
      <c r="D15" s="601"/>
      <c r="E15" s="578"/>
      <c r="F15" s="801"/>
      <c r="G15" s="601"/>
      <c r="H15" s="578"/>
      <c r="I15" s="601"/>
      <c r="J15" s="578"/>
      <c r="K15" s="601"/>
      <c r="L15" s="582"/>
      <c r="M15" s="601"/>
      <c r="N15" s="576"/>
      <c r="O15" s="601"/>
      <c r="P15" s="601"/>
      <c r="Q15" s="601"/>
    </row>
    <row r="16" spans="1:17" s="603" customFormat="1" x14ac:dyDescent="0.25">
      <c r="A16" s="221">
        <v>45717</v>
      </c>
      <c r="B16" s="577"/>
      <c r="C16" s="601"/>
      <c r="D16" s="601"/>
      <c r="E16" s="578"/>
      <c r="F16" s="801"/>
      <c r="G16" s="601"/>
      <c r="H16" s="578"/>
      <c r="I16" s="601"/>
      <c r="J16" s="578"/>
      <c r="K16" s="601"/>
      <c r="L16" s="582"/>
      <c r="M16" s="601"/>
      <c r="N16" s="576"/>
      <c r="O16" s="601"/>
      <c r="P16" s="601"/>
      <c r="Q16" s="601"/>
    </row>
    <row r="17" spans="1:17" s="603" customFormat="1" x14ac:dyDescent="0.25">
      <c r="A17" s="168"/>
      <c r="B17" s="606"/>
      <c r="C17" s="605"/>
      <c r="D17" s="605"/>
      <c r="E17" s="807"/>
      <c r="F17" s="169"/>
      <c r="G17" s="605"/>
      <c r="H17" s="807"/>
      <c r="I17" s="605"/>
      <c r="J17" s="807"/>
      <c r="K17" s="605"/>
      <c r="L17" s="722"/>
      <c r="M17" s="605"/>
      <c r="N17" s="760"/>
      <c r="O17" s="605"/>
      <c r="P17" s="605"/>
      <c r="Q17" s="605"/>
    </row>
    <row r="18" spans="1:17" s="603" customFormat="1" ht="15" customHeight="1" x14ac:dyDescent="0.25">
      <c r="A18" s="1316" t="s">
        <v>262</v>
      </c>
      <c r="B18" s="1316"/>
      <c r="C18" s="1316"/>
      <c r="D18" s="1316"/>
    </row>
    <row r="19" spans="1:17" s="603" customFormat="1" x14ac:dyDescent="0.25">
      <c r="A19" s="1126" t="s">
        <v>1401</v>
      </c>
    </row>
    <row r="20" spans="1:17" s="603" customFormat="1" x14ac:dyDescent="0.25">
      <c r="A20" s="127"/>
      <c r="B20" s="127"/>
      <c r="C20" s="127"/>
      <c r="D20" s="127"/>
    </row>
  </sheetData>
  <mergeCells count="1">
    <mergeCell ref="A18:D18"/>
  </mergeCells>
  <printOptions horizontalCentered="1"/>
  <pageMargins left="0.78431372549019618" right="0.78431372549019618" top="0.98039215686274517" bottom="0.98039215686274517" header="0.50980392156862753" footer="0.50980392156862753"/>
  <pageSetup paperSize="9" fitToWidth="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Views>
    <sheetView topLeftCell="A3" zoomScaleNormal="100" workbookViewId="0">
      <selection activeCell="A20" sqref="A20"/>
    </sheetView>
  </sheetViews>
  <sheetFormatPr defaultColWidth="9.140625" defaultRowHeight="15" x14ac:dyDescent="0.25"/>
  <cols>
    <col min="1" max="1" width="14.42578125" style="127" customWidth="1"/>
    <col min="2" max="2" width="13.42578125" style="127" bestFit="1" customWidth="1"/>
    <col min="3" max="3" width="10.7109375" style="127" customWidth="1"/>
    <col min="4" max="4" width="9.7109375" style="127" bestFit="1" customWidth="1"/>
    <col min="5" max="5" width="16.28515625" style="127" bestFit="1" customWidth="1"/>
    <col min="6" max="6" width="11.7109375" style="127" bestFit="1" customWidth="1"/>
    <col min="7" max="7" width="11.42578125" style="127" bestFit="1" customWidth="1"/>
    <col min="8" max="8" width="14.140625" style="127" bestFit="1" customWidth="1"/>
    <col min="9" max="9" width="13.140625" style="127" bestFit="1" customWidth="1"/>
    <col min="10" max="10" width="17.28515625" style="127" bestFit="1" customWidth="1"/>
    <col min="11" max="11" width="13.140625" style="127" bestFit="1" customWidth="1"/>
    <col min="12" max="12" width="17.85546875" style="127" customWidth="1"/>
    <col min="13" max="13" width="12.85546875" style="127" bestFit="1" customWidth="1"/>
    <col min="14" max="14" width="14.42578125" style="127" bestFit="1" customWidth="1"/>
    <col min="15" max="15" width="13.5703125" style="127" bestFit="1" customWidth="1"/>
    <col min="16" max="17" width="14.5703125" style="127" bestFit="1" customWidth="1"/>
    <col min="18" max="16384" width="9.140625" style="127"/>
  </cols>
  <sheetData>
    <row r="1" spans="1:17" ht="18" customHeight="1" x14ac:dyDescent="0.25">
      <c r="A1" s="186" t="s">
        <v>510</v>
      </c>
      <c r="B1" s="186"/>
      <c r="C1" s="186"/>
      <c r="D1" s="186"/>
      <c r="E1" s="186"/>
      <c r="F1" s="186"/>
      <c r="G1" s="186"/>
      <c r="H1" s="186"/>
      <c r="I1" s="186"/>
    </row>
    <row r="2" spans="1:17" s="603" customFormat="1" ht="93" customHeight="1" x14ac:dyDescent="0.25">
      <c r="A2" s="787" t="s">
        <v>494</v>
      </c>
      <c r="B2" s="787" t="s">
        <v>495</v>
      </c>
      <c r="C2" s="787" t="s">
        <v>496</v>
      </c>
      <c r="D2" s="787" t="s">
        <v>497</v>
      </c>
      <c r="E2" s="787" t="s">
        <v>498</v>
      </c>
      <c r="F2" s="787" t="s">
        <v>273</v>
      </c>
      <c r="G2" s="787" t="s">
        <v>511</v>
      </c>
      <c r="H2" s="787" t="s">
        <v>500</v>
      </c>
      <c r="I2" s="787" t="s">
        <v>501</v>
      </c>
      <c r="J2" s="787" t="s">
        <v>502</v>
      </c>
      <c r="K2" s="787" t="s">
        <v>503</v>
      </c>
      <c r="L2" s="787" t="s">
        <v>504</v>
      </c>
      <c r="M2" s="787" t="s">
        <v>505</v>
      </c>
      <c r="N2" s="787" t="s">
        <v>506</v>
      </c>
      <c r="O2" s="787" t="s">
        <v>507</v>
      </c>
      <c r="P2" s="787" t="s">
        <v>1125</v>
      </c>
      <c r="Q2" s="787" t="s">
        <v>509</v>
      </c>
    </row>
    <row r="3" spans="1:17" s="132" customFormat="1" ht="18" customHeight="1" x14ac:dyDescent="0.25">
      <c r="A3" s="1157" t="s">
        <v>532</v>
      </c>
      <c r="B3" s="789">
        <v>69487.82673999999</v>
      </c>
      <c r="C3" s="790">
        <v>11268719.193800002</v>
      </c>
      <c r="D3" s="790">
        <v>2344344.1848999998</v>
      </c>
      <c r="E3" s="791">
        <v>20.803998614055867</v>
      </c>
      <c r="F3" s="790">
        <v>21748414.387699999</v>
      </c>
      <c r="G3" s="790">
        <v>5504035.4572999999</v>
      </c>
      <c r="H3" s="792">
        <v>25.30775512725587</v>
      </c>
      <c r="I3" s="790">
        <v>2341440.7551000002</v>
      </c>
      <c r="J3" s="791">
        <v>99.876151726410285</v>
      </c>
      <c r="K3" s="790">
        <v>5498635.5640999991</v>
      </c>
      <c r="L3" s="793">
        <v>99.901892107311212</v>
      </c>
      <c r="M3" s="794">
        <v>2903.4311500000003</v>
      </c>
      <c r="N3" s="795">
        <v>0.12384833117513626</v>
      </c>
      <c r="O3" s="794">
        <v>1303158.07</v>
      </c>
      <c r="P3" s="790">
        <v>5504035.4572999999</v>
      </c>
      <c r="Q3" s="273">
        <v>765.52</v>
      </c>
    </row>
    <row r="4" spans="1:17" s="132" customFormat="1" ht="18" customHeight="1" x14ac:dyDescent="0.25">
      <c r="A4" s="1158" t="s">
        <v>1413</v>
      </c>
      <c r="B4" s="796">
        <f>SUM(B5:B16)</f>
        <v>15340.75657</v>
      </c>
      <c r="C4" s="796">
        <f>SUM(C5:C16)</f>
        <v>2113712.4410000001</v>
      </c>
      <c r="D4" s="796">
        <f>SUM(D5:D16)</f>
        <v>479102.6728</v>
      </c>
      <c r="E4" s="797">
        <f>D4/C4*100</f>
        <v>22.666407383841481</v>
      </c>
      <c r="F4" s="796">
        <f>SUM(F5:F16)</f>
        <v>4829285.7180000003</v>
      </c>
      <c r="G4" s="796">
        <f>SUM(G5:G16)</f>
        <v>1180247.1913000001</v>
      </c>
      <c r="H4" s="797">
        <f>G4/F4*100</f>
        <v>24.439373858144542</v>
      </c>
      <c r="I4" s="796">
        <f>SUM(I5:I16)</f>
        <v>478633.11450000003</v>
      </c>
      <c r="J4" s="798">
        <f>I4/D4*100</f>
        <v>99.901992135160555</v>
      </c>
      <c r="K4" s="796">
        <f>SUM(K5:K16)</f>
        <v>1179577.0992000001</v>
      </c>
      <c r="L4" s="799">
        <f>K4/G4*100</f>
        <v>99.943224427480999</v>
      </c>
      <c r="M4" s="796">
        <f>SUM(M5:M16)</f>
        <v>469.55797999999999</v>
      </c>
      <c r="N4" s="800">
        <f>M4/D4*100</f>
        <v>9.8007798047917719E-2</v>
      </c>
      <c r="O4" s="796">
        <f>SUM(O5:O16)</f>
        <v>262231.03000000003</v>
      </c>
      <c r="P4" s="796">
        <f>SUM(P5:P16)</f>
        <v>1180247.1913000001</v>
      </c>
      <c r="Q4" s="796">
        <f>INDEX(Q5:Q16,COUNT(Q5:Q16))</f>
        <v>819.86</v>
      </c>
    </row>
    <row r="5" spans="1:17" s="603" customFormat="1" ht="18" customHeight="1" x14ac:dyDescent="0.25">
      <c r="A5" s="221">
        <v>45383</v>
      </c>
      <c r="B5" s="577">
        <v>7195.4276099999997</v>
      </c>
      <c r="C5" s="601">
        <v>1101489.7069999999</v>
      </c>
      <c r="D5" s="601">
        <v>246083.10620000001</v>
      </c>
      <c r="E5" s="578">
        <v>22.340935600000002</v>
      </c>
      <c r="F5" s="801">
        <v>2285452.9109999998</v>
      </c>
      <c r="G5" s="601">
        <v>562380.61869999999</v>
      </c>
      <c r="H5" s="578">
        <v>24.60696591</v>
      </c>
      <c r="I5" s="601">
        <v>245951.9013</v>
      </c>
      <c r="J5" s="578">
        <v>99.946682686988936</v>
      </c>
      <c r="K5" s="601">
        <v>562055.16500000004</v>
      </c>
      <c r="L5" s="578">
        <v>99.946682686988936</v>
      </c>
      <c r="M5" s="601">
        <v>131.20477</v>
      </c>
      <c r="N5" s="576">
        <v>5.3345703000000001E-2</v>
      </c>
      <c r="O5" s="601">
        <v>131968.62</v>
      </c>
      <c r="P5" s="601">
        <v>562380.61869999999</v>
      </c>
      <c r="Q5" s="601">
        <v>775.22</v>
      </c>
    </row>
    <row r="6" spans="1:17" s="603" customFormat="1" ht="18" customHeight="1" x14ac:dyDescent="0.25">
      <c r="A6" s="221">
        <v>45413</v>
      </c>
      <c r="B6" s="577">
        <v>8145.3289599999998</v>
      </c>
      <c r="C6" s="601">
        <v>1012222.7340000001</v>
      </c>
      <c r="D6" s="601">
        <v>233019.56659999999</v>
      </c>
      <c r="E6" s="578">
        <v>23.020582210000001</v>
      </c>
      <c r="F6" s="801">
        <v>2543832.807</v>
      </c>
      <c r="G6" s="601">
        <v>617866.57259999996</v>
      </c>
      <c r="H6" s="578">
        <v>24.288804320000001</v>
      </c>
      <c r="I6" s="601">
        <v>232681.2132</v>
      </c>
      <c r="J6" s="578">
        <v>100</v>
      </c>
      <c r="K6" s="601">
        <v>617521.93420000002</v>
      </c>
      <c r="L6" s="582">
        <v>100</v>
      </c>
      <c r="M6" s="601">
        <v>338.35320999999999</v>
      </c>
      <c r="N6" s="576">
        <v>0.145414924</v>
      </c>
      <c r="O6" s="601">
        <v>130262.41</v>
      </c>
      <c r="P6" s="601">
        <v>617866.57259999996</v>
      </c>
      <c r="Q6" s="601">
        <v>819.86</v>
      </c>
    </row>
    <row r="7" spans="1:17" s="603" customFormat="1" ht="18" customHeight="1" x14ac:dyDescent="0.25">
      <c r="A7" s="221">
        <v>45444</v>
      </c>
      <c r="B7" s="577"/>
      <c r="C7" s="601"/>
      <c r="D7" s="601"/>
      <c r="E7" s="578"/>
      <c r="F7" s="801"/>
      <c r="G7" s="601"/>
      <c r="H7" s="578"/>
      <c r="I7" s="601"/>
      <c r="J7" s="578"/>
      <c r="K7" s="601"/>
      <c r="L7" s="582"/>
      <c r="M7" s="601"/>
      <c r="N7" s="576"/>
      <c r="O7" s="601"/>
      <c r="P7" s="601"/>
      <c r="Q7" s="601"/>
    </row>
    <row r="8" spans="1:17" s="603" customFormat="1" ht="18" customHeight="1" x14ac:dyDescent="0.25">
      <c r="A8" s="221">
        <v>45474</v>
      </c>
      <c r="B8" s="577"/>
      <c r="C8" s="601"/>
      <c r="D8" s="601"/>
      <c r="E8" s="578"/>
      <c r="F8" s="801"/>
      <c r="G8" s="601"/>
      <c r="H8" s="578"/>
      <c r="I8" s="601"/>
      <c r="J8" s="578"/>
      <c r="K8" s="601"/>
      <c r="L8" s="582"/>
      <c r="M8" s="601"/>
      <c r="N8" s="576"/>
      <c r="O8" s="601"/>
      <c r="P8" s="601"/>
      <c r="Q8" s="601"/>
    </row>
    <row r="9" spans="1:17" s="603" customFormat="1" x14ac:dyDescent="0.25">
      <c r="A9" s="221">
        <v>45505</v>
      </c>
      <c r="B9" s="577"/>
      <c r="C9" s="601"/>
      <c r="D9" s="601"/>
      <c r="E9" s="578"/>
      <c r="F9" s="801"/>
      <c r="G9" s="601"/>
      <c r="H9" s="578"/>
      <c r="I9" s="601"/>
      <c r="J9" s="578"/>
      <c r="K9" s="601"/>
      <c r="L9" s="582"/>
      <c r="M9" s="601"/>
      <c r="N9" s="576"/>
      <c r="O9" s="601"/>
      <c r="P9" s="601"/>
      <c r="Q9" s="601"/>
    </row>
    <row r="10" spans="1:17" s="603" customFormat="1" ht="18.75" customHeight="1" x14ac:dyDescent="0.25">
      <c r="A10" s="221">
        <v>45536</v>
      </c>
      <c r="B10" s="577"/>
      <c r="C10" s="601"/>
      <c r="D10" s="601"/>
      <c r="E10" s="578"/>
      <c r="F10" s="801"/>
      <c r="G10" s="601"/>
      <c r="H10" s="578"/>
      <c r="I10" s="601"/>
      <c r="J10" s="578"/>
      <c r="K10" s="601"/>
      <c r="L10" s="582"/>
      <c r="M10" s="601"/>
      <c r="N10" s="576"/>
      <c r="O10" s="601"/>
      <c r="P10" s="601"/>
      <c r="Q10" s="601"/>
    </row>
    <row r="11" spans="1:17" s="603" customFormat="1" ht="18" customHeight="1" x14ac:dyDescent="0.25">
      <c r="A11" s="221">
        <v>45566</v>
      </c>
      <c r="B11" s="577"/>
      <c r="C11" s="601"/>
      <c r="D11" s="601"/>
      <c r="E11" s="578"/>
      <c r="F11" s="801"/>
      <c r="G11" s="601"/>
      <c r="H11" s="578"/>
      <c r="I11" s="601"/>
      <c r="J11" s="578"/>
      <c r="K11" s="601"/>
      <c r="L11" s="582"/>
      <c r="M11" s="601"/>
      <c r="N11" s="576"/>
      <c r="O11" s="601"/>
      <c r="P11" s="601"/>
      <c r="Q11" s="601"/>
    </row>
    <row r="12" spans="1:17" s="603" customFormat="1" x14ac:dyDescent="0.25">
      <c r="A12" s="221">
        <v>45597</v>
      </c>
      <c r="B12" s="577"/>
      <c r="C12" s="601"/>
      <c r="D12" s="601"/>
      <c r="E12" s="578"/>
      <c r="F12" s="801"/>
      <c r="G12" s="601"/>
      <c r="H12" s="578"/>
      <c r="I12" s="601"/>
      <c r="J12" s="578"/>
      <c r="K12" s="601"/>
      <c r="L12" s="582"/>
      <c r="M12" s="601"/>
      <c r="N12" s="576"/>
      <c r="O12" s="601"/>
      <c r="P12" s="601"/>
      <c r="Q12" s="601"/>
    </row>
    <row r="13" spans="1:17" s="603" customFormat="1" x14ac:dyDescent="0.25">
      <c r="A13" s="221">
        <v>45627</v>
      </c>
      <c r="B13" s="577"/>
      <c r="C13" s="601"/>
      <c r="D13" s="601"/>
      <c r="E13" s="578"/>
      <c r="F13" s="801"/>
      <c r="G13" s="601"/>
      <c r="H13" s="578"/>
      <c r="I13" s="601"/>
      <c r="J13" s="578"/>
      <c r="K13" s="601"/>
      <c r="L13" s="582"/>
      <c r="M13" s="601"/>
      <c r="N13" s="576"/>
      <c r="O13" s="601"/>
      <c r="P13" s="601"/>
      <c r="Q13" s="601"/>
    </row>
    <row r="14" spans="1:17" s="603" customFormat="1" x14ac:dyDescent="0.25">
      <c r="A14" s="221">
        <v>45658</v>
      </c>
      <c r="B14" s="577"/>
      <c r="C14" s="601"/>
      <c r="D14" s="601"/>
      <c r="E14" s="578"/>
      <c r="F14" s="801"/>
      <c r="G14" s="601"/>
      <c r="H14" s="578"/>
      <c r="I14" s="601"/>
      <c r="J14" s="578"/>
      <c r="K14" s="601"/>
      <c r="L14" s="582"/>
      <c r="M14" s="601"/>
      <c r="N14" s="576"/>
      <c r="O14" s="601"/>
      <c r="P14" s="601"/>
      <c r="Q14" s="601"/>
    </row>
    <row r="15" spans="1:17" s="603" customFormat="1" x14ac:dyDescent="0.25">
      <c r="A15" s="221">
        <v>45689</v>
      </c>
      <c r="B15" s="577"/>
      <c r="C15" s="601"/>
      <c r="D15" s="601"/>
      <c r="E15" s="578"/>
      <c r="F15" s="801"/>
      <c r="G15" s="601"/>
      <c r="H15" s="578"/>
      <c r="I15" s="601"/>
      <c r="J15" s="578"/>
      <c r="K15" s="601"/>
      <c r="L15" s="582"/>
      <c r="M15" s="601"/>
      <c r="N15" s="576"/>
      <c r="O15" s="601"/>
      <c r="P15" s="601"/>
      <c r="Q15" s="601"/>
    </row>
    <row r="16" spans="1:17" s="603" customFormat="1" x14ac:dyDescent="0.25">
      <c r="A16" s="221">
        <v>45717</v>
      </c>
      <c r="B16" s="577"/>
      <c r="C16" s="601"/>
      <c r="D16" s="601"/>
      <c r="E16" s="578"/>
      <c r="F16" s="801"/>
      <c r="G16" s="601"/>
      <c r="H16" s="578"/>
      <c r="I16" s="601"/>
      <c r="J16" s="578"/>
      <c r="K16" s="601"/>
      <c r="L16" s="582"/>
      <c r="M16" s="601"/>
      <c r="N16" s="576"/>
      <c r="O16" s="601"/>
      <c r="P16" s="601"/>
      <c r="Q16" s="601"/>
    </row>
    <row r="17" spans="1:17" s="603" customFormat="1" x14ac:dyDescent="0.25">
      <c r="A17" s="168"/>
      <c r="B17" s="606"/>
      <c r="C17" s="169"/>
      <c r="D17" s="169"/>
      <c r="E17" s="722"/>
      <c r="F17" s="169"/>
      <c r="G17" s="169"/>
      <c r="H17" s="722"/>
      <c r="I17" s="169"/>
      <c r="J17" s="727"/>
      <c r="K17" s="169"/>
      <c r="L17" s="722"/>
      <c r="M17" s="606"/>
      <c r="N17" s="807"/>
      <c r="O17" s="808"/>
      <c r="P17" s="169"/>
      <c r="Q17" s="605"/>
    </row>
    <row r="18" spans="1:17" s="603" customFormat="1" x14ac:dyDescent="0.25">
      <c r="A18" s="1284" t="s">
        <v>512</v>
      </c>
      <c r="B18" s="1284"/>
      <c r="C18" s="1284"/>
      <c r="D18" s="1284"/>
      <c r="E18" s="1284"/>
      <c r="F18" s="1284"/>
      <c r="G18" s="1284"/>
    </row>
    <row r="19" spans="1:17" s="603" customFormat="1" x14ac:dyDescent="0.25">
      <c r="A19" s="1284" t="s">
        <v>270</v>
      </c>
      <c r="B19" s="1284"/>
      <c r="C19" s="1284"/>
      <c r="D19" s="1284"/>
      <c r="E19" s="1284"/>
      <c r="F19" s="1284"/>
      <c r="G19" s="1284"/>
    </row>
    <row r="20" spans="1:17" s="603" customFormat="1" x14ac:dyDescent="0.25">
      <c r="A20" s="1126" t="s">
        <v>1401</v>
      </c>
      <c r="B20" s="127"/>
      <c r="C20" s="127"/>
      <c r="D20" s="127"/>
      <c r="E20" s="127"/>
      <c r="F20" s="127"/>
      <c r="G20" s="127"/>
    </row>
  </sheetData>
  <mergeCells count="2">
    <mergeCell ref="A18:G18"/>
    <mergeCell ref="A19:G19"/>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0"/>
  <sheetViews>
    <sheetView zoomScaleNormal="100" workbookViewId="0">
      <selection activeCell="A19" sqref="A19"/>
    </sheetView>
  </sheetViews>
  <sheetFormatPr defaultColWidth="9.140625" defaultRowHeight="15" x14ac:dyDescent="0.25"/>
  <cols>
    <col min="1" max="1" width="14.42578125" style="127" customWidth="1"/>
    <col min="2" max="2" width="13.42578125" style="127" bestFit="1" customWidth="1"/>
    <col min="3" max="3" width="9.140625" style="127" bestFit="1" customWidth="1"/>
    <col min="4" max="4" width="9.7109375" style="127" bestFit="1" customWidth="1"/>
    <col min="5" max="5" width="16.28515625" style="127" bestFit="1" customWidth="1"/>
    <col min="6" max="6" width="11.7109375" style="127" bestFit="1" customWidth="1"/>
    <col min="7" max="7" width="11.42578125" style="127" bestFit="1" customWidth="1"/>
    <col min="8" max="8" width="14.140625" style="127" bestFit="1" customWidth="1"/>
    <col min="9" max="9" width="13.140625" style="127" bestFit="1" customWidth="1"/>
    <col min="10" max="10" width="17.28515625" style="127" bestFit="1" customWidth="1"/>
    <col min="11" max="11" width="13.140625" style="127" bestFit="1" customWidth="1"/>
    <col min="12" max="12" width="17.85546875" style="127" customWidth="1"/>
    <col min="13" max="13" width="12.85546875" style="127" bestFit="1" customWidth="1"/>
    <col min="14" max="14" width="14.42578125" style="127" bestFit="1" customWidth="1"/>
    <col min="15" max="15" width="13.5703125" style="127" bestFit="1" customWidth="1"/>
    <col min="16" max="17" width="14.5703125" style="127" bestFit="1" customWidth="1"/>
    <col min="18" max="16384" width="9.140625" style="127"/>
  </cols>
  <sheetData>
    <row r="1" spans="1:15" ht="14.25" customHeight="1" x14ac:dyDescent="0.25">
      <c r="A1" s="186" t="s">
        <v>513</v>
      </c>
      <c r="B1" s="186"/>
      <c r="C1" s="186"/>
    </row>
    <row r="2" spans="1:15" s="603" customFormat="1" ht="71.25" customHeight="1" x14ac:dyDescent="0.25">
      <c r="A2" s="787" t="s">
        <v>494</v>
      </c>
      <c r="B2" s="787" t="s">
        <v>495</v>
      </c>
      <c r="C2" s="787" t="s">
        <v>249</v>
      </c>
      <c r="D2" s="787" t="s">
        <v>497</v>
      </c>
      <c r="E2" s="787" t="s">
        <v>498</v>
      </c>
      <c r="F2" s="787" t="s">
        <v>273</v>
      </c>
      <c r="G2" s="787" t="s">
        <v>514</v>
      </c>
      <c r="H2" s="787" t="s">
        <v>500</v>
      </c>
      <c r="I2" s="787" t="s">
        <v>501</v>
      </c>
      <c r="J2" s="787" t="s">
        <v>502</v>
      </c>
      <c r="K2" s="787" t="s">
        <v>503</v>
      </c>
      <c r="L2" s="787" t="s">
        <v>504</v>
      </c>
      <c r="M2" s="787" t="s">
        <v>507</v>
      </c>
      <c r="N2" s="787" t="s">
        <v>508</v>
      </c>
      <c r="O2" s="787" t="s">
        <v>515</v>
      </c>
    </row>
    <row r="3" spans="1:15" s="603" customFormat="1" ht="18" customHeight="1" x14ac:dyDescent="0.25">
      <c r="A3" s="1157" t="s">
        <v>532</v>
      </c>
      <c r="B3" s="809" t="s">
        <v>225</v>
      </c>
      <c r="C3" s="810" t="s">
        <v>225</v>
      </c>
      <c r="D3" s="810" t="s">
        <v>225</v>
      </c>
      <c r="E3" s="811" t="s">
        <v>225</v>
      </c>
      <c r="F3" s="810" t="s">
        <v>225</v>
      </c>
      <c r="G3" s="810" t="s">
        <v>225</v>
      </c>
      <c r="H3" s="811" t="s">
        <v>225</v>
      </c>
      <c r="I3" s="810" t="s">
        <v>225</v>
      </c>
      <c r="J3" s="811" t="s">
        <v>225</v>
      </c>
      <c r="K3" s="810" t="s">
        <v>225</v>
      </c>
      <c r="L3" s="809" t="s">
        <v>225</v>
      </c>
      <c r="M3" s="810" t="s">
        <v>225</v>
      </c>
      <c r="N3" s="810" t="s">
        <v>225</v>
      </c>
      <c r="O3" s="810" t="s">
        <v>225</v>
      </c>
    </row>
    <row r="4" spans="1:15" s="603" customFormat="1" ht="18" customHeight="1" x14ac:dyDescent="0.25">
      <c r="A4" s="1158" t="s">
        <v>1413</v>
      </c>
      <c r="B4" s="809" t="s">
        <v>225</v>
      </c>
      <c r="C4" s="810" t="s">
        <v>225</v>
      </c>
      <c r="D4" s="810" t="s">
        <v>225</v>
      </c>
      <c r="E4" s="811" t="s">
        <v>225</v>
      </c>
      <c r="F4" s="810" t="s">
        <v>225</v>
      </c>
      <c r="G4" s="810" t="s">
        <v>225</v>
      </c>
      <c r="H4" s="811" t="s">
        <v>225</v>
      </c>
      <c r="I4" s="810" t="s">
        <v>225</v>
      </c>
      <c r="J4" s="811" t="s">
        <v>225</v>
      </c>
      <c r="K4" s="810" t="s">
        <v>225</v>
      </c>
      <c r="L4" s="809" t="s">
        <v>225</v>
      </c>
      <c r="M4" s="810" t="s">
        <v>225</v>
      </c>
      <c r="N4" s="810" t="s">
        <v>225</v>
      </c>
      <c r="O4" s="810" t="s">
        <v>225</v>
      </c>
    </row>
    <row r="5" spans="1:15" s="603" customFormat="1" ht="18" customHeight="1" x14ac:dyDescent="0.25">
      <c r="A5" s="221">
        <v>45383</v>
      </c>
      <c r="B5" s="274" t="s">
        <v>225</v>
      </c>
      <c r="C5" s="275" t="s">
        <v>225</v>
      </c>
      <c r="D5" s="275" t="s">
        <v>225</v>
      </c>
      <c r="E5" s="276" t="s">
        <v>225</v>
      </c>
      <c r="F5" s="275" t="s">
        <v>225</v>
      </c>
      <c r="G5" s="275" t="s">
        <v>225</v>
      </c>
      <c r="H5" s="276" t="s">
        <v>225</v>
      </c>
      <c r="I5" s="275" t="s">
        <v>225</v>
      </c>
      <c r="J5" s="276" t="s">
        <v>225</v>
      </c>
      <c r="K5" s="275" t="s">
        <v>225</v>
      </c>
      <c r="L5" s="274" t="s">
        <v>225</v>
      </c>
      <c r="M5" s="275" t="s">
        <v>225</v>
      </c>
      <c r="N5" s="275" t="s">
        <v>225</v>
      </c>
      <c r="O5" s="275" t="s">
        <v>225</v>
      </c>
    </row>
    <row r="6" spans="1:15" s="603" customFormat="1" ht="18" customHeight="1" x14ac:dyDescent="0.25">
      <c r="A6" s="221">
        <v>45413</v>
      </c>
      <c r="B6" s="274" t="s">
        <v>225</v>
      </c>
      <c r="C6" s="275" t="s">
        <v>225</v>
      </c>
      <c r="D6" s="275" t="s">
        <v>225</v>
      </c>
      <c r="E6" s="276" t="s">
        <v>225</v>
      </c>
      <c r="F6" s="275" t="s">
        <v>225</v>
      </c>
      <c r="G6" s="275" t="s">
        <v>225</v>
      </c>
      <c r="H6" s="276" t="s">
        <v>225</v>
      </c>
      <c r="I6" s="275" t="s">
        <v>225</v>
      </c>
      <c r="J6" s="276" t="s">
        <v>225</v>
      </c>
      <c r="K6" s="275" t="s">
        <v>225</v>
      </c>
      <c r="L6" s="274" t="s">
        <v>225</v>
      </c>
      <c r="M6" s="275" t="s">
        <v>225</v>
      </c>
      <c r="N6" s="275" t="s">
        <v>225</v>
      </c>
      <c r="O6" s="275" t="s">
        <v>225</v>
      </c>
    </row>
    <row r="7" spans="1:15" s="603" customFormat="1" ht="18" customHeight="1" x14ac:dyDescent="0.25">
      <c r="A7" s="221">
        <v>45444</v>
      </c>
      <c r="B7" s="274"/>
      <c r="C7" s="275"/>
      <c r="D7" s="275"/>
      <c r="E7" s="276"/>
      <c r="F7" s="275"/>
      <c r="G7" s="275"/>
      <c r="H7" s="276"/>
      <c r="I7" s="275"/>
      <c r="J7" s="276"/>
      <c r="K7" s="275"/>
      <c r="L7" s="274"/>
      <c r="M7" s="275"/>
      <c r="N7" s="275"/>
      <c r="O7" s="275"/>
    </row>
    <row r="8" spans="1:15" s="603" customFormat="1" ht="18" customHeight="1" x14ac:dyDescent="0.25">
      <c r="A8" s="221">
        <v>45474</v>
      </c>
      <c r="B8" s="274"/>
      <c r="C8" s="275"/>
      <c r="D8" s="275"/>
      <c r="E8" s="276"/>
      <c r="F8" s="275"/>
      <c r="G8" s="275"/>
      <c r="H8" s="276"/>
      <c r="I8" s="275"/>
      <c r="J8" s="276"/>
      <c r="K8" s="275"/>
      <c r="L8" s="274"/>
      <c r="M8" s="275"/>
      <c r="N8" s="275"/>
      <c r="O8" s="275"/>
    </row>
    <row r="9" spans="1:15" s="603" customFormat="1" ht="18" customHeight="1" x14ac:dyDescent="0.25">
      <c r="A9" s="221">
        <v>45505</v>
      </c>
      <c r="B9" s="274"/>
      <c r="C9" s="275"/>
      <c r="D9" s="275"/>
      <c r="E9" s="276"/>
      <c r="F9" s="275"/>
      <c r="G9" s="275"/>
      <c r="H9" s="276"/>
      <c r="I9" s="275"/>
      <c r="J9" s="276"/>
      <c r="K9" s="275"/>
      <c r="L9" s="274"/>
      <c r="M9" s="275"/>
      <c r="N9" s="275"/>
      <c r="O9" s="275"/>
    </row>
    <row r="10" spans="1:15" s="603" customFormat="1" ht="17.25" customHeight="1" x14ac:dyDescent="0.25">
      <c r="A10" s="221">
        <v>45536</v>
      </c>
      <c r="B10" s="274"/>
      <c r="C10" s="275"/>
      <c r="D10" s="275"/>
      <c r="E10" s="276"/>
      <c r="F10" s="275"/>
      <c r="G10" s="275"/>
      <c r="H10" s="276"/>
      <c r="I10" s="275"/>
      <c r="J10" s="276"/>
      <c r="K10" s="275"/>
      <c r="L10" s="274"/>
      <c r="M10" s="275"/>
      <c r="N10" s="275"/>
      <c r="O10" s="275"/>
    </row>
    <row r="11" spans="1:15" s="603" customFormat="1" x14ac:dyDescent="0.25">
      <c r="A11" s="221">
        <v>45566</v>
      </c>
      <c r="B11" s="274"/>
      <c r="C11" s="275"/>
      <c r="D11" s="275"/>
      <c r="E11" s="276"/>
      <c r="F11" s="275"/>
      <c r="G11" s="275"/>
      <c r="H11" s="276"/>
      <c r="I11" s="275"/>
      <c r="J11" s="276"/>
      <c r="K11" s="275"/>
      <c r="L11" s="274"/>
      <c r="M11" s="275"/>
      <c r="N11" s="275"/>
      <c r="O11" s="275"/>
    </row>
    <row r="12" spans="1:15" s="603" customFormat="1" x14ac:dyDescent="0.25">
      <c r="A12" s="221">
        <v>45597</v>
      </c>
      <c r="B12" s="600"/>
      <c r="C12" s="600"/>
      <c r="D12" s="600"/>
      <c r="E12" s="600"/>
      <c r="F12" s="594"/>
      <c r="G12" s="594"/>
      <c r="H12" s="590"/>
      <c r="I12" s="590"/>
      <c r="J12" s="590"/>
      <c r="K12" s="590"/>
      <c r="L12" s="590"/>
      <c r="M12" s="590"/>
      <c r="N12" s="590"/>
      <c r="O12" s="590"/>
    </row>
    <row r="13" spans="1:15" s="603" customFormat="1" x14ac:dyDescent="0.25">
      <c r="A13" s="221">
        <v>45627</v>
      </c>
      <c r="B13" s="600"/>
      <c r="C13" s="600"/>
      <c r="D13" s="600"/>
      <c r="E13" s="600"/>
      <c r="F13" s="594"/>
      <c r="G13" s="594"/>
      <c r="H13" s="600"/>
      <c r="I13" s="600"/>
      <c r="J13" s="600"/>
      <c r="K13" s="600"/>
      <c r="L13" s="594"/>
      <c r="M13" s="594"/>
      <c r="N13" s="600"/>
      <c r="O13" s="600"/>
    </row>
    <row r="14" spans="1:15" s="603" customFormat="1" x14ac:dyDescent="0.25">
      <c r="A14" s="221">
        <v>45658</v>
      </c>
      <c r="B14" s="600"/>
      <c r="C14" s="600"/>
      <c r="D14" s="600"/>
      <c r="E14" s="600"/>
      <c r="F14" s="594"/>
      <c r="G14" s="594"/>
      <c r="H14" s="590"/>
      <c r="I14" s="590"/>
      <c r="J14" s="600"/>
      <c r="K14" s="600"/>
      <c r="L14" s="594"/>
      <c r="M14" s="594"/>
      <c r="N14" s="600"/>
      <c r="O14" s="600"/>
    </row>
    <row r="15" spans="1:15" s="603" customFormat="1" x14ac:dyDescent="0.25">
      <c r="A15" s="221">
        <v>45689</v>
      </c>
      <c r="B15" s="600"/>
      <c r="C15" s="600"/>
      <c r="D15" s="600"/>
      <c r="E15" s="600"/>
      <c r="F15" s="594"/>
      <c r="G15" s="594"/>
      <c r="H15" s="590"/>
      <c r="I15" s="590"/>
      <c r="J15" s="600"/>
      <c r="K15" s="600"/>
      <c r="L15" s="594"/>
      <c r="M15" s="594"/>
      <c r="N15" s="600"/>
      <c r="O15" s="600"/>
    </row>
    <row r="16" spans="1:15" s="603" customFormat="1" x14ac:dyDescent="0.25">
      <c r="A16" s="221">
        <v>45717</v>
      </c>
      <c r="B16" s="600"/>
      <c r="C16" s="600"/>
      <c r="D16" s="600"/>
      <c r="E16" s="600"/>
      <c r="F16" s="594"/>
      <c r="G16" s="594"/>
      <c r="H16" s="590"/>
      <c r="I16" s="590"/>
      <c r="J16" s="600"/>
      <c r="K16" s="600"/>
      <c r="L16" s="594"/>
      <c r="M16" s="594"/>
      <c r="N16" s="600"/>
      <c r="O16" s="600"/>
    </row>
    <row r="17" spans="1:15" s="603" customFormat="1" x14ac:dyDescent="0.25">
      <c r="A17" s="168"/>
      <c r="B17" s="812"/>
      <c r="C17" s="813"/>
      <c r="D17" s="813"/>
      <c r="E17" s="814"/>
      <c r="F17" s="813"/>
      <c r="G17" s="813"/>
      <c r="H17" s="814"/>
      <c r="I17" s="813"/>
      <c r="J17" s="814"/>
      <c r="K17" s="813"/>
      <c r="L17" s="812"/>
      <c r="M17" s="813"/>
      <c r="N17" s="813"/>
      <c r="O17" s="813"/>
    </row>
    <row r="18" spans="1:15" s="603" customFormat="1" ht="15" customHeight="1" x14ac:dyDescent="0.25">
      <c r="A18" s="1351" t="s">
        <v>280</v>
      </c>
      <c r="B18" s="1351"/>
      <c r="C18" s="1351"/>
      <c r="D18" s="1351"/>
      <c r="E18" s="1351"/>
      <c r="F18" s="1351"/>
      <c r="G18" s="1351"/>
      <c r="H18" s="1351"/>
      <c r="I18" s="1351"/>
      <c r="J18" s="1351"/>
      <c r="K18" s="1351"/>
      <c r="L18" s="1351"/>
      <c r="M18" s="1351"/>
      <c r="N18" s="1351"/>
      <c r="O18" s="1351"/>
    </row>
    <row r="19" spans="1:15" s="603" customFormat="1" x14ac:dyDescent="0.25">
      <c r="A19" s="1126" t="s">
        <v>1401</v>
      </c>
    </row>
    <row r="20" spans="1:15" x14ac:dyDescent="0.25">
      <c r="D20" s="127" t="s">
        <v>1137</v>
      </c>
    </row>
  </sheetData>
  <mergeCells count="1">
    <mergeCell ref="A18:O18"/>
  </mergeCells>
  <printOptions horizontalCentered="1"/>
  <pageMargins left="0.78431372549019618" right="0.78431372549019618" top="0.98039215686274517" bottom="0.98039215686274517" header="0.50980392156862753" footer="0.50980392156862753"/>
  <pageSetup paperSize="9" scale="63" orientation="landscape"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6"/>
  <sheetViews>
    <sheetView zoomScaleNormal="100" workbookViewId="0">
      <selection activeCell="S13" sqref="S13"/>
    </sheetView>
  </sheetViews>
  <sheetFormatPr defaultColWidth="9.140625" defaultRowHeight="15" x14ac:dyDescent="0.25"/>
  <cols>
    <col min="1" max="1" width="14.7109375" style="127" bestFit="1" customWidth="1"/>
    <col min="2" max="2" width="9.85546875" style="127" bestFit="1" customWidth="1"/>
    <col min="3" max="3" width="10.85546875" style="127" bestFit="1" customWidth="1"/>
    <col min="4" max="4" width="10" style="127" bestFit="1" customWidth="1"/>
    <col min="5" max="5" width="10.85546875" style="127" bestFit="1" customWidth="1"/>
    <col min="6" max="6" width="10" style="127" bestFit="1" customWidth="1"/>
    <col min="7" max="7" width="15.85546875" style="127" customWidth="1"/>
    <col min="8" max="8" width="14.140625" style="127" customWidth="1"/>
    <col min="9" max="9" width="13.7109375" style="127" bestFit="1" customWidth="1"/>
    <col min="10" max="10" width="15.140625" style="127" customWidth="1"/>
    <col min="11" max="11" width="13.7109375" style="127" bestFit="1" customWidth="1"/>
    <col min="12" max="12" width="13.5703125" style="127" customWidth="1"/>
    <col min="13" max="13" width="9.85546875" style="127" bestFit="1" customWidth="1"/>
    <col min="14" max="14" width="10.85546875" style="127" bestFit="1" customWidth="1"/>
    <col min="15" max="15" width="14.7109375" style="127" bestFit="1" customWidth="1"/>
    <col min="16" max="16" width="12.85546875" style="127" customWidth="1"/>
    <col min="17" max="17" width="14.140625" style="127" customWidth="1"/>
    <col min="18" max="18" width="14.5703125" style="127" customWidth="1"/>
    <col min="19" max="19" width="15.42578125" style="127" customWidth="1"/>
    <col min="20" max="20" width="13.85546875" style="127" customWidth="1"/>
    <col min="21" max="21" width="13.5703125" style="127" customWidth="1"/>
    <col min="22" max="22" width="12" style="127" customWidth="1"/>
    <col min="23" max="23" width="10.5703125" style="127" customWidth="1"/>
    <col min="24" max="24" width="14" style="127" bestFit="1" customWidth="1"/>
    <col min="25" max="25" width="11.28515625" style="127" bestFit="1" customWidth="1"/>
    <col min="26" max="16384" width="9.140625" style="127"/>
  </cols>
  <sheetData>
    <row r="1" spans="1:25" ht="18" customHeight="1" x14ac:dyDescent="0.25">
      <c r="A1" s="186" t="s">
        <v>1126</v>
      </c>
      <c r="B1" s="186"/>
      <c r="C1" s="186"/>
      <c r="D1" s="186"/>
      <c r="E1" s="186"/>
      <c r="F1" s="186"/>
      <c r="G1" s="186"/>
      <c r="H1" s="186"/>
      <c r="I1" s="186"/>
      <c r="J1" s="186"/>
      <c r="K1" s="186"/>
      <c r="L1" s="186"/>
      <c r="M1" s="186"/>
      <c r="N1" s="186"/>
      <c r="O1" s="186"/>
      <c r="P1" s="186"/>
      <c r="Q1" s="186"/>
      <c r="R1" s="186"/>
    </row>
    <row r="2" spans="1:25" s="187" customFormat="1" ht="18" customHeight="1" x14ac:dyDescent="0.25">
      <c r="A2" s="1356" t="s">
        <v>516</v>
      </c>
      <c r="B2" s="1356" t="s">
        <v>247</v>
      </c>
      <c r="C2" s="1361" t="s">
        <v>517</v>
      </c>
      <c r="D2" s="1362"/>
      <c r="E2" s="1361" t="s">
        <v>518</v>
      </c>
      <c r="F2" s="1365"/>
      <c r="G2" s="1352" t="s">
        <v>519</v>
      </c>
      <c r="H2" s="1353"/>
      <c r="I2" s="1353"/>
      <c r="J2" s="1353"/>
      <c r="K2" s="1353"/>
      <c r="L2" s="1354"/>
      <c r="M2" s="1352" t="s">
        <v>520</v>
      </c>
      <c r="N2" s="1353"/>
      <c r="O2" s="1353"/>
      <c r="P2" s="1353"/>
      <c r="Q2" s="1353"/>
      <c r="R2" s="1354"/>
      <c r="S2" s="1352" t="s">
        <v>521</v>
      </c>
      <c r="T2" s="1353"/>
      <c r="U2" s="1353"/>
      <c r="V2" s="1361" t="s">
        <v>522</v>
      </c>
      <c r="W2" s="1367"/>
    </row>
    <row r="3" spans="1:25" s="187" customFormat="1" ht="18" customHeight="1" x14ac:dyDescent="0.25">
      <c r="A3" s="1360"/>
      <c r="B3" s="1360"/>
      <c r="C3" s="1363"/>
      <c r="D3" s="1364"/>
      <c r="E3" s="1363"/>
      <c r="F3" s="1366"/>
      <c r="G3" s="1370" t="s">
        <v>523</v>
      </c>
      <c r="H3" s="1370"/>
      <c r="I3" s="1370"/>
      <c r="J3" s="1370" t="s">
        <v>524</v>
      </c>
      <c r="K3" s="1370"/>
      <c r="L3" s="1370"/>
      <c r="M3" s="1370" t="s">
        <v>523</v>
      </c>
      <c r="N3" s="1370"/>
      <c r="O3" s="1370"/>
      <c r="P3" s="1370" t="s">
        <v>524</v>
      </c>
      <c r="Q3" s="1370"/>
      <c r="R3" s="1370"/>
      <c r="S3" s="1371" t="s">
        <v>525</v>
      </c>
      <c r="T3" s="1361" t="s">
        <v>273</v>
      </c>
      <c r="U3" s="1365"/>
      <c r="V3" s="1368"/>
      <c r="W3" s="1369"/>
    </row>
    <row r="4" spans="1:25" s="132" customFormat="1" ht="25.5" customHeight="1" x14ac:dyDescent="0.25">
      <c r="A4" s="1360"/>
      <c r="B4" s="1360"/>
      <c r="C4" s="1355" t="s">
        <v>526</v>
      </c>
      <c r="D4" s="1356" t="s">
        <v>273</v>
      </c>
      <c r="E4" s="1355" t="s">
        <v>527</v>
      </c>
      <c r="F4" s="1356" t="s">
        <v>273</v>
      </c>
      <c r="G4" s="1355" t="s">
        <v>528</v>
      </c>
      <c r="H4" s="1358" t="s">
        <v>273</v>
      </c>
      <c r="I4" s="1359"/>
      <c r="J4" s="1355" t="s">
        <v>528</v>
      </c>
      <c r="K4" s="1358" t="s">
        <v>273</v>
      </c>
      <c r="L4" s="1359"/>
      <c r="M4" s="1355" t="s">
        <v>528</v>
      </c>
      <c r="N4" s="1358" t="s">
        <v>273</v>
      </c>
      <c r="O4" s="1359"/>
      <c r="P4" s="1355" t="s">
        <v>525</v>
      </c>
      <c r="Q4" s="1358" t="s">
        <v>273</v>
      </c>
      <c r="R4" s="1359"/>
      <c r="S4" s="1372"/>
      <c r="T4" s="1374"/>
      <c r="U4" s="1375"/>
      <c r="V4" s="1355" t="s">
        <v>529</v>
      </c>
      <c r="W4" s="1355" t="s">
        <v>237</v>
      </c>
    </row>
    <row r="5" spans="1:25" s="132" customFormat="1" ht="13.5" customHeight="1" x14ac:dyDescent="0.25">
      <c r="A5" s="1357"/>
      <c r="B5" s="1357"/>
      <c r="C5" s="1355"/>
      <c r="D5" s="1357"/>
      <c r="E5" s="1355"/>
      <c r="F5" s="1357"/>
      <c r="G5" s="1355"/>
      <c r="H5" s="654" t="s">
        <v>530</v>
      </c>
      <c r="I5" s="654" t="s">
        <v>531</v>
      </c>
      <c r="J5" s="1355"/>
      <c r="K5" s="654" t="s">
        <v>530</v>
      </c>
      <c r="L5" s="654" t="s">
        <v>531</v>
      </c>
      <c r="M5" s="1355"/>
      <c r="N5" s="654" t="s">
        <v>530</v>
      </c>
      <c r="O5" s="654" t="s">
        <v>531</v>
      </c>
      <c r="P5" s="1355"/>
      <c r="Q5" s="654" t="s">
        <v>530</v>
      </c>
      <c r="R5" s="654" t="s">
        <v>531</v>
      </c>
      <c r="S5" s="1373"/>
      <c r="T5" s="654" t="s">
        <v>1127</v>
      </c>
      <c r="U5" s="654" t="s">
        <v>531</v>
      </c>
      <c r="V5" s="1370"/>
      <c r="W5" s="1355"/>
    </row>
    <row r="6" spans="1:25" s="132" customFormat="1" x14ac:dyDescent="0.25">
      <c r="A6" s="277">
        <v>1</v>
      </c>
      <c r="B6" s="278">
        <v>2</v>
      </c>
      <c r="C6" s="815">
        <v>3</v>
      </c>
      <c r="D6" s="278">
        <v>4</v>
      </c>
      <c r="E6" s="278">
        <v>6</v>
      </c>
      <c r="F6" s="278">
        <v>8</v>
      </c>
      <c r="G6" s="815">
        <v>9</v>
      </c>
      <c r="H6" s="278">
        <v>10</v>
      </c>
      <c r="I6" s="815">
        <v>11</v>
      </c>
      <c r="J6" s="278">
        <v>12</v>
      </c>
      <c r="K6" s="815">
        <v>13</v>
      </c>
      <c r="L6" s="278">
        <v>14</v>
      </c>
      <c r="M6" s="815">
        <v>15</v>
      </c>
      <c r="N6" s="278">
        <v>16</v>
      </c>
      <c r="O6" s="815">
        <v>17</v>
      </c>
      <c r="P6" s="278">
        <v>18</v>
      </c>
      <c r="Q6" s="815">
        <v>19</v>
      </c>
      <c r="R6" s="278">
        <v>20</v>
      </c>
      <c r="S6" s="815">
        <v>21</v>
      </c>
      <c r="T6" s="278">
        <v>22</v>
      </c>
      <c r="U6" s="278">
        <v>24</v>
      </c>
      <c r="V6" s="815">
        <v>25</v>
      </c>
      <c r="W6" s="815">
        <v>26</v>
      </c>
    </row>
    <row r="7" spans="1:25" s="132" customFormat="1" x14ac:dyDescent="0.25">
      <c r="A7" s="1157" t="s">
        <v>532</v>
      </c>
      <c r="B7" s="816">
        <v>246</v>
      </c>
      <c r="C7" s="279">
        <v>281532</v>
      </c>
      <c r="D7" s="279">
        <v>20247.138979424999</v>
      </c>
      <c r="E7" s="794">
        <v>1</v>
      </c>
      <c r="F7" s="794">
        <v>9.4170000000000004E-2</v>
      </c>
      <c r="G7" s="280">
        <v>5800012712</v>
      </c>
      <c r="H7" s="280">
        <v>259453.90862050003</v>
      </c>
      <c r="I7" s="280">
        <v>414316521.51317048</v>
      </c>
      <c r="J7" s="280">
        <v>5499653676</v>
      </c>
      <c r="K7" s="280">
        <v>233206.67681227502</v>
      </c>
      <c r="L7" s="280">
        <v>388498615.51731229</v>
      </c>
      <c r="M7" s="579">
        <v>0</v>
      </c>
      <c r="N7" s="579">
        <v>0</v>
      </c>
      <c r="O7" s="579">
        <v>0</v>
      </c>
      <c r="P7" s="579">
        <v>0</v>
      </c>
      <c r="Q7" s="579">
        <v>0</v>
      </c>
      <c r="R7" s="281">
        <v>0</v>
      </c>
      <c r="S7" s="280">
        <v>11299947921</v>
      </c>
      <c r="T7" s="282">
        <v>512907.81858219998</v>
      </c>
      <c r="U7" s="283">
        <v>802835384.2636323</v>
      </c>
      <c r="V7" s="280">
        <v>2183095.5</v>
      </c>
      <c r="W7" s="280">
        <v>161229.46758444002</v>
      </c>
      <c r="X7" s="188"/>
    </row>
    <row r="8" spans="1:25" s="132" customFormat="1" x14ac:dyDescent="0.25">
      <c r="A8" s="1158" t="s">
        <v>1413</v>
      </c>
      <c r="B8" s="796">
        <f>SUM(B9:B20)</f>
        <v>42</v>
      </c>
      <c r="C8" s="796">
        <f>SUM(C9:C20)</f>
        <v>77559</v>
      </c>
      <c r="D8" s="796">
        <f>SUM(D9:D20)</f>
        <v>5888.8019703249993</v>
      </c>
      <c r="E8" s="796">
        <f t="shared" ref="E8:U8" si="0">SUM(E9:E20)</f>
        <v>0</v>
      </c>
      <c r="F8" s="796">
        <f t="shared" si="0"/>
        <v>0</v>
      </c>
      <c r="G8" s="796">
        <f>SUM(G9:G20)</f>
        <v>2617357152</v>
      </c>
      <c r="H8" s="796">
        <f>SUM(H9:H20)</f>
        <v>137836.56491102499</v>
      </c>
      <c r="I8" s="796">
        <f t="shared" si="0"/>
        <v>200262514.86596078</v>
      </c>
      <c r="J8" s="796">
        <f t="shared" si="0"/>
        <v>2501835289</v>
      </c>
      <c r="K8" s="796">
        <f t="shared" si="0"/>
        <v>138411.34628267499</v>
      </c>
      <c r="L8" s="796">
        <f t="shared" si="0"/>
        <v>188972425.13623238</v>
      </c>
      <c r="M8" s="796">
        <f t="shared" si="0"/>
        <v>0</v>
      </c>
      <c r="N8" s="796">
        <f t="shared" si="0"/>
        <v>0</v>
      </c>
      <c r="O8" s="796">
        <f t="shared" si="0"/>
        <v>0</v>
      </c>
      <c r="P8" s="796">
        <f t="shared" si="0"/>
        <v>0</v>
      </c>
      <c r="Q8" s="796">
        <f t="shared" si="0"/>
        <v>0</v>
      </c>
      <c r="R8" s="796">
        <f t="shared" si="0"/>
        <v>0</v>
      </c>
      <c r="S8" s="796">
        <f>SUM(S9:S20)</f>
        <v>5119270000</v>
      </c>
      <c r="T8" s="796">
        <f>SUM(T9:T20)</f>
        <v>282136.71316402499</v>
      </c>
      <c r="U8" s="796">
        <f t="shared" si="0"/>
        <v>389240828.80416387</v>
      </c>
      <c r="V8" s="796">
        <v>150694</v>
      </c>
      <c r="W8" s="285">
        <v>12462.15</v>
      </c>
      <c r="X8" s="603"/>
      <c r="Y8" s="603"/>
    </row>
    <row r="9" spans="1:25" s="603" customFormat="1" x14ac:dyDescent="0.25">
      <c r="A9" s="221">
        <v>45383</v>
      </c>
      <c r="B9" s="416">
        <v>20</v>
      </c>
      <c r="C9" s="284">
        <v>43584</v>
      </c>
      <c r="D9" s="284">
        <v>3336.6670426249998</v>
      </c>
      <c r="E9" s="284">
        <v>0</v>
      </c>
      <c r="F9" s="284">
        <v>0</v>
      </c>
      <c r="G9" s="284">
        <v>1136394739</v>
      </c>
      <c r="H9" s="284">
        <v>59762.223941775002</v>
      </c>
      <c r="I9" s="284">
        <v>87127144.360391781</v>
      </c>
      <c r="J9" s="284">
        <v>1087904500</v>
      </c>
      <c r="K9" s="284">
        <v>57625.138691400003</v>
      </c>
      <c r="L9" s="284">
        <v>82368154.030341387</v>
      </c>
      <c r="M9" s="284">
        <v>0</v>
      </c>
      <c r="N9" s="284">
        <v>0</v>
      </c>
      <c r="O9" s="284">
        <v>0</v>
      </c>
      <c r="P9" s="284">
        <v>0</v>
      </c>
      <c r="Q9" s="284">
        <v>0</v>
      </c>
      <c r="R9" s="284">
        <v>0</v>
      </c>
      <c r="S9" s="284">
        <v>2224342823</v>
      </c>
      <c r="T9" s="284">
        <v>120724.0296758</v>
      </c>
      <c r="U9" s="284">
        <v>169498635.05777588</v>
      </c>
      <c r="V9" s="284">
        <v>293730</v>
      </c>
      <c r="W9" s="284">
        <v>22345.473455765401</v>
      </c>
      <c r="X9" s="1036"/>
    </row>
    <row r="10" spans="1:25" s="603" customFormat="1" x14ac:dyDescent="0.25">
      <c r="A10" s="221">
        <v>45413</v>
      </c>
      <c r="B10" s="294">
        <v>22</v>
      </c>
      <c r="C10" s="284">
        <v>33975</v>
      </c>
      <c r="D10" s="284">
        <v>2552.1349276999999</v>
      </c>
      <c r="E10" s="817">
        <v>0</v>
      </c>
      <c r="F10" s="817">
        <v>0</v>
      </c>
      <c r="G10" s="284">
        <v>1480962413</v>
      </c>
      <c r="H10" s="284">
        <v>78074.340969249999</v>
      </c>
      <c r="I10" s="284">
        <v>113135370.505569</v>
      </c>
      <c r="J10" s="284">
        <v>1413930789</v>
      </c>
      <c r="K10" s="284">
        <v>80786.207591275001</v>
      </c>
      <c r="L10" s="284">
        <v>106604271.105891</v>
      </c>
      <c r="M10" s="579">
        <v>0</v>
      </c>
      <c r="N10" s="579">
        <v>0</v>
      </c>
      <c r="O10" s="579">
        <v>0</v>
      </c>
      <c r="P10" s="579">
        <v>0</v>
      </c>
      <c r="Q10" s="579">
        <v>0</v>
      </c>
      <c r="R10" s="281">
        <v>0</v>
      </c>
      <c r="S10" s="284">
        <v>2894927177</v>
      </c>
      <c r="T10" s="285">
        <v>161412.68348822501</v>
      </c>
      <c r="U10" s="285">
        <v>219742193.74638799</v>
      </c>
      <c r="V10" s="285">
        <v>150694</v>
      </c>
      <c r="W10" s="285">
        <v>12462.15</v>
      </c>
      <c r="X10" s="1036"/>
    </row>
    <row r="11" spans="1:25" s="603" customFormat="1" x14ac:dyDescent="0.25">
      <c r="A11" s="221">
        <v>45444</v>
      </c>
      <c r="B11" s="294"/>
      <c r="C11" s="284"/>
      <c r="D11" s="284"/>
      <c r="E11" s="817"/>
      <c r="F11" s="817"/>
      <c r="G11" s="284"/>
      <c r="H11" s="284"/>
      <c r="I11" s="284"/>
      <c r="J11" s="284"/>
      <c r="K11" s="284"/>
      <c r="L11" s="284"/>
      <c r="M11" s="579"/>
      <c r="N11" s="579"/>
      <c r="O11" s="579"/>
      <c r="P11" s="579"/>
      <c r="Q11" s="579"/>
      <c r="R11" s="281"/>
      <c r="S11" s="284"/>
      <c r="T11" s="285"/>
      <c r="U11" s="285"/>
      <c r="V11" s="284"/>
      <c r="W11" s="284"/>
    </row>
    <row r="12" spans="1:25" s="603" customFormat="1" x14ac:dyDescent="0.25">
      <c r="A12" s="221">
        <v>45474</v>
      </c>
      <c r="B12" s="818"/>
      <c r="C12" s="819"/>
      <c r="D12" s="819"/>
      <c r="E12" s="820"/>
      <c r="F12" s="820"/>
      <c r="G12" s="819"/>
      <c r="H12" s="819"/>
      <c r="I12" s="819"/>
      <c r="J12" s="819"/>
      <c r="K12" s="819"/>
      <c r="L12" s="819"/>
      <c r="M12" s="821"/>
      <c r="N12" s="821"/>
      <c r="O12" s="821"/>
      <c r="P12" s="821"/>
      <c r="Q12" s="821"/>
      <c r="R12" s="822"/>
      <c r="S12" s="819"/>
      <c r="T12" s="285"/>
      <c r="U12" s="285"/>
      <c r="V12" s="819"/>
      <c r="W12" s="819"/>
    </row>
    <row r="13" spans="1:25" s="603" customFormat="1" x14ac:dyDescent="0.25">
      <c r="A13" s="221">
        <v>45505</v>
      </c>
      <c r="B13" s="294"/>
      <c r="C13" s="284"/>
      <c r="D13" s="284"/>
      <c r="E13" s="601"/>
      <c r="F13" s="601"/>
      <c r="G13" s="284"/>
      <c r="H13" s="284"/>
      <c r="I13" s="284"/>
      <c r="J13" s="284"/>
      <c r="K13" s="284"/>
      <c r="L13" s="284"/>
      <c r="M13" s="579"/>
      <c r="N13" s="579"/>
      <c r="O13" s="579"/>
      <c r="P13" s="579"/>
      <c r="Q13" s="821"/>
      <c r="R13" s="281"/>
      <c r="S13" s="284"/>
      <c r="T13" s="285"/>
      <c r="U13" s="285"/>
      <c r="V13" s="284"/>
      <c r="W13" s="284"/>
    </row>
    <row r="14" spans="1:25" s="603" customFormat="1" x14ac:dyDescent="0.25">
      <c r="A14" s="221">
        <v>45536</v>
      </c>
      <c r="B14" s="294"/>
      <c r="C14" s="284"/>
      <c r="D14" s="284"/>
      <c r="E14" s="601"/>
      <c r="F14" s="601"/>
      <c r="G14" s="284"/>
      <c r="H14" s="284"/>
      <c r="I14" s="284"/>
      <c r="J14" s="284"/>
      <c r="K14" s="284"/>
      <c r="L14" s="284"/>
      <c r="M14" s="579"/>
      <c r="N14" s="579"/>
      <c r="O14" s="579"/>
      <c r="P14" s="579"/>
      <c r="Q14" s="579"/>
      <c r="R14" s="281"/>
      <c r="S14" s="284"/>
      <c r="T14" s="285"/>
      <c r="U14" s="285"/>
      <c r="V14" s="284"/>
      <c r="W14" s="284"/>
    </row>
    <row r="15" spans="1:25" s="603" customFormat="1" x14ac:dyDescent="0.25">
      <c r="A15" s="221">
        <v>45566</v>
      </c>
      <c r="B15" s="294"/>
      <c r="C15" s="284"/>
      <c r="D15" s="284"/>
      <c r="E15" s="601"/>
      <c r="F15" s="601"/>
      <c r="G15" s="284"/>
      <c r="H15" s="284"/>
      <c r="I15" s="284"/>
      <c r="J15" s="284"/>
      <c r="K15" s="284"/>
      <c r="L15" s="284"/>
      <c r="M15" s="579"/>
      <c r="N15" s="579"/>
      <c r="O15" s="579"/>
      <c r="P15" s="579"/>
      <c r="Q15" s="579"/>
      <c r="R15" s="579"/>
      <c r="S15" s="284"/>
      <c r="T15" s="285"/>
      <c r="U15" s="285"/>
      <c r="V15" s="284"/>
      <c r="W15" s="284"/>
    </row>
    <row r="16" spans="1:25" s="603" customFormat="1" x14ac:dyDescent="0.25">
      <c r="A16" s="221">
        <v>45597</v>
      </c>
      <c r="B16" s="600"/>
      <c r="C16" s="600"/>
      <c r="D16" s="600"/>
      <c r="E16" s="600"/>
      <c r="F16" s="594"/>
      <c r="G16" s="284"/>
      <c r="H16" s="590"/>
      <c r="I16" s="590"/>
      <c r="J16" s="284"/>
      <c r="K16" s="284"/>
      <c r="L16" s="284"/>
      <c r="M16" s="591"/>
      <c r="N16" s="579"/>
      <c r="O16" s="591"/>
      <c r="P16" s="591"/>
      <c r="Q16" s="579"/>
      <c r="R16" s="591"/>
      <c r="S16" s="284"/>
      <c r="T16" s="285"/>
      <c r="U16" s="285"/>
      <c r="V16" s="284"/>
      <c r="W16" s="284"/>
    </row>
    <row r="17" spans="1:23" s="603" customFormat="1" x14ac:dyDescent="0.25">
      <c r="A17" s="221">
        <v>45627</v>
      </c>
      <c r="B17" s="600"/>
      <c r="C17" s="600"/>
      <c r="D17" s="600"/>
      <c r="E17" s="600"/>
      <c r="F17" s="594"/>
      <c r="G17" s="284"/>
      <c r="H17" s="590"/>
      <c r="I17" s="590"/>
      <c r="J17" s="284"/>
      <c r="K17" s="284"/>
      <c r="L17" s="284"/>
      <c r="M17" s="591"/>
      <c r="N17" s="579"/>
      <c r="O17" s="591"/>
      <c r="P17" s="591"/>
      <c r="Q17" s="579"/>
      <c r="R17" s="591"/>
      <c r="S17" s="284"/>
      <c r="T17" s="285"/>
      <c r="U17" s="285"/>
      <c r="V17" s="284"/>
      <c r="W17" s="284"/>
    </row>
    <row r="18" spans="1:23" s="603" customFormat="1" x14ac:dyDescent="0.25">
      <c r="A18" s="221">
        <v>45658</v>
      </c>
      <c r="B18" s="600"/>
      <c r="C18" s="600"/>
      <c r="D18" s="600"/>
      <c r="E18" s="600"/>
      <c r="F18" s="594"/>
      <c r="G18" s="284"/>
      <c r="H18" s="590"/>
      <c r="I18" s="590"/>
      <c r="J18" s="284"/>
      <c r="K18" s="284"/>
      <c r="L18" s="284"/>
      <c r="M18" s="591"/>
      <c r="N18" s="579"/>
      <c r="O18" s="591"/>
      <c r="P18" s="591"/>
      <c r="Q18" s="579"/>
      <c r="R18" s="591"/>
      <c r="S18" s="284"/>
      <c r="T18" s="285"/>
      <c r="U18" s="285"/>
      <c r="V18" s="284"/>
      <c r="W18" s="284"/>
    </row>
    <row r="19" spans="1:23" s="603" customFormat="1" x14ac:dyDescent="0.25">
      <c r="A19" s="221">
        <v>45689</v>
      </c>
      <c r="B19" s="600"/>
      <c r="C19" s="600"/>
      <c r="D19" s="600"/>
      <c r="E19" s="600"/>
      <c r="F19" s="594"/>
      <c r="G19" s="284"/>
      <c r="H19" s="590"/>
      <c r="I19" s="590"/>
      <c r="J19" s="284"/>
      <c r="K19" s="284"/>
      <c r="L19" s="284"/>
      <c r="M19" s="591"/>
      <c r="N19" s="579"/>
      <c r="O19" s="591"/>
      <c r="P19" s="591"/>
      <c r="Q19" s="579"/>
      <c r="R19" s="591"/>
      <c r="S19" s="284"/>
      <c r="T19" s="285"/>
      <c r="U19" s="285"/>
      <c r="V19" s="284"/>
      <c r="W19" s="284"/>
    </row>
    <row r="20" spans="1:23" s="603" customFormat="1" x14ac:dyDescent="0.25">
      <c r="A20" s="221">
        <v>45717</v>
      </c>
      <c r="B20" s="600"/>
      <c r="C20" s="600"/>
      <c r="D20" s="600"/>
      <c r="E20" s="600"/>
      <c r="F20" s="621"/>
      <c r="G20" s="284"/>
      <c r="H20" s="590"/>
      <c r="I20" s="590"/>
      <c r="J20" s="284"/>
      <c r="K20" s="284"/>
      <c r="L20" s="284"/>
      <c r="M20" s="591"/>
      <c r="N20" s="579"/>
      <c r="O20" s="591"/>
      <c r="P20" s="591"/>
      <c r="Q20" s="579"/>
      <c r="R20" s="591"/>
      <c r="S20" s="284"/>
      <c r="T20" s="285"/>
      <c r="U20" s="285"/>
      <c r="V20" s="284"/>
      <c r="W20" s="284"/>
    </row>
    <row r="21" spans="1:23" x14ac:dyDescent="0.25">
      <c r="A21" s="644"/>
      <c r="B21" s="644"/>
      <c r="C21" s="644"/>
      <c r="D21" s="644"/>
      <c r="E21" s="644"/>
      <c r="F21" s="644"/>
      <c r="G21" s="823"/>
      <c r="H21" s="823"/>
      <c r="I21" s="823"/>
      <c r="J21" s="644"/>
      <c r="K21" s="644"/>
      <c r="L21" s="644"/>
      <c r="M21" s="823"/>
      <c r="N21" s="823"/>
      <c r="O21" s="823"/>
      <c r="P21" s="644"/>
      <c r="Q21" s="644"/>
      <c r="R21" s="644"/>
    </row>
    <row r="22" spans="1:23" x14ac:dyDescent="0.25">
      <c r="A22" s="186" t="s">
        <v>533</v>
      </c>
      <c r="B22" s="186"/>
      <c r="C22" s="186"/>
      <c r="D22" s="186"/>
      <c r="E22" s="186"/>
      <c r="F22" s="186"/>
      <c r="G22" s="823"/>
      <c r="H22" s="823"/>
      <c r="I22" s="823"/>
      <c r="J22" s="644"/>
      <c r="K22" s="644"/>
      <c r="L22" s="644"/>
      <c r="M22" s="823"/>
      <c r="N22" s="823"/>
      <c r="O22" s="823"/>
      <c r="P22" s="603"/>
      <c r="Q22" s="603"/>
      <c r="R22" s="603"/>
      <c r="S22" s="603"/>
      <c r="T22" s="286"/>
      <c r="U22" s="286"/>
      <c r="V22" s="603"/>
      <c r="W22" s="603"/>
    </row>
    <row r="23" spans="1:23" x14ac:dyDescent="0.25">
      <c r="A23" s="644" t="s">
        <v>534</v>
      </c>
      <c r="B23" s="644"/>
      <c r="C23" s="644"/>
      <c r="D23" s="644"/>
      <c r="E23" s="644"/>
      <c r="F23" s="644"/>
      <c r="G23" s="644"/>
      <c r="H23" s="644"/>
      <c r="I23" s="644"/>
      <c r="J23" s="644"/>
      <c r="K23" s="603"/>
      <c r="L23" s="603"/>
      <c r="M23" s="603"/>
      <c r="N23" s="603"/>
      <c r="O23" s="603"/>
      <c r="P23" s="603"/>
      <c r="Q23" s="603"/>
      <c r="R23" s="603"/>
      <c r="S23" s="603"/>
      <c r="T23" s="286"/>
      <c r="U23" s="334"/>
      <c r="V23" s="603"/>
      <c r="W23" s="603"/>
    </row>
    <row r="24" spans="1:23" x14ac:dyDescent="0.25">
      <c r="A24" s="644" t="s">
        <v>1131</v>
      </c>
      <c r="B24" s="644"/>
      <c r="C24" s="644"/>
      <c r="D24" s="644"/>
      <c r="E24" s="644"/>
      <c r="F24" s="644"/>
      <c r="G24" s="644"/>
      <c r="H24" s="644"/>
      <c r="I24" s="644"/>
      <c r="J24" s="644"/>
      <c r="K24" s="603"/>
      <c r="L24" s="603"/>
      <c r="M24" s="603"/>
      <c r="N24" s="603"/>
      <c r="O24" s="603"/>
      <c r="P24" s="603"/>
      <c r="Q24" s="603"/>
      <c r="R24" s="603"/>
      <c r="S24" s="603"/>
      <c r="T24" s="286"/>
      <c r="U24" s="286"/>
      <c r="V24" s="603"/>
      <c r="W24" s="603"/>
    </row>
    <row r="25" spans="1:23" x14ac:dyDescent="0.25">
      <c r="A25" s="1284" t="s">
        <v>312</v>
      </c>
      <c r="B25" s="1284"/>
      <c r="C25" s="1284"/>
      <c r="D25" s="1284"/>
      <c r="E25" s="1284"/>
      <c r="F25" s="1284"/>
      <c r="G25" s="1284"/>
      <c r="H25" s="1284"/>
      <c r="I25" s="1284"/>
      <c r="J25" s="1284"/>
      <c r="K25" s="603"/>
      <c r="L25" s="603"/>
      <c r="M25" s="603"/>
      <c r="N25" s="603"/>
      <c r="O25" s="603"/>
      <c r="P25" s="603"/>
      <c r="Q25" s="603"/>
      <c r="R25" s="603"/>
      <c r="S25" s="603"/>
      <c r="T25" s="286"/>
      <c r="U25" s="286"/>
      <c r="V25" s="603"/>
      <c r="W25" s="603"/>
    </row>
    <row r="26" spans="1:23" x14ac:dyDescent="0.25">
      <c r="A26" s="1126" t="s">
        <v>1401</v>
      </c>
      <c r="K26" s="603"/>
      <c r="L26" s="603"/>
      <c r="M26" s="603"/>
      <c r="N26" s="603"/>
      <c r="O26" s="603"/>
      <c r="P26" s="603"/>
      <c r="Q26" s="603"/>
      <c r="R26" s="603"/>
      <c r="S26" s="603"/>
      <c r="T26" s="286"/>
      <c r="U26" s="286"/>
      <c r="V26" s="603"/>
      <c r="W26" s="603"/>
    </row>
  </sheetData>
  <mergeCells count="29">
    <mergeCell ref="A25:J25"/>
    <mergeCell ref="S2:U2"/>
    <mergeCell ref="V2:W3"/>
    <mergeCell ref="G3:I3"/>
    <mergeCell ref="J3:L3"/>
    <mergeCell ref="M3:O3"/>
    <mergeCell ref="P3:R3"/>
    <mergeCell ref="S3:S5"/>
    <mergeCell ref="T3:U4"/>
    <mergeCell ref="N4:O4"/>
    <mergeCell ref="P4:P5"/>
    <mergeCell ref="Q4:R4"/>
    <mergeCell ref="V4:V5"/>
    <mergeCell ref="W4:W5"/>
    <mergeCell ref="K4:L4"/>
    <mergeCell ref="M4:M5"/>
    <mergeCell ref="A2:A5"/>
    <mergeCell ref="B2:B5"/>
    <mergeCell ref="C2:D3"/>
    <mergeCell ref="E2:F3"/>
    <mergeCell ref="G2:L2"/>
    <mergeCell ref="M2:R2"/>
    <mergeCell ref="C4:C5"/>
    <mergeCell ref="D4:D5"/>
    <mergeCell ref="E4:E5"/>
    <mergeCell ref="F4:F5"/>
    <mergeCell ref="H4:I4"/>
    <mergeCell ref="J4:J5"/>
    <mergeCell ref="G4:G5"/>
  </mergeCells>
  <printOptions horizontalCentered="1"/>
  <pageMargins left="0.78431372549019618" right="0.78431372549019618" top="0.98039215686274517" bottom="0.98039215686274517" header="0.50980392156862753" footer="0.50980392156862753"/>
  <pageSetup paperSize="9" scale="84" fitToHeight="0" orientation="landscape" useFirstPageNumber="1" r:id="rId1"/>
  <headerFooter alignWithMargins="0"/>
  <colBreaks count="1" manualBreakCount="1">
    <brk id="12" max="26"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2"/>
  <sheetViews>
    <sheetView zoomScaleNormal="100" workbookViewId="0">
      <selection activeCell="G15" sqref="G15"/>
    </sheetView>
  </sheetViews>
  <sheetFormatPr defaultColWidth="9.140625" defaultRowHeight="15" x14ac:dyDescent="0.25"/>
  <cols>
    <col min="1" max="1" width="12.28515625" style="127" bestFit="1" customWidth="1"/>
    <col min="2" max="2" width="9.28515625" style="127" bestFit="1" customWidth="1"/>
    <col min="3" max="4" width="13.85546875" style="127" bestFit="1" customWidth="1"/>
    <col min="5" max="5" width="14" style="127" bestFit="1" customWidth="1"/>
    <col min="6" max="6" width="13.85546875" style="127" bestFit="1" customWidth="1"/>
    <col min="7" max="7" width="15.5703125" style="127" customWidth="1"/>
    <col min="8" max="8" width="13.85546875" style="127" bestFit="1" customWidth="1"/>
    <col min="9" max="9" width="15" style="127" bestFit="1" customWidth="1"/>
    <col min="10" max="10" width="16.5703125" style="127" bestFit="1" customWidth="1"/>
    <col min="11" max="11" width="13.85546875" style="127" bestFit="1" customWidth="1"/>
    <col min="12" max="12" width="15" style="127" bestFit="1" customWidth="1"/>
    <col min="13" max="13" width="14" style="127" bestFit="1" customWidth="1"/>
    <col min="14" max="14" width="13.85546875" style="127" bestFit="1" customWidth="1"/>
    <col min="15" max="15" width="15.5703125" style="127" customWidth="1"/>
    <col min="16" max="16" width="14" style="127" bestFit="1" customWidth="1"/>
    <col min="17" max="18" width="13.85546875" style="127" bestFit="1" customWidth="1"/>
    <col min="19" max="19" width="14.5703125" style="127" customWidth="1"/>
    <col min="20" max="20" width="11" style="127" customWidth="1"/>
    <col min="21" max="21" width="14.140625" style="127" customWidth="1"/>
    <col min="22" max="22" width="16.140625" style="127" bestFit="1" customWidth="1"/>
    <col min="23" max="23" width="10.42578125" style="127" customWidth="1"/>
    <col min="24" max="16384" width="9.140625" style="127"/>
  </cols>
  <sheetData>
    <row r="1" spans="1:25" x14ac:dyDescent="0.25">
      <c r="A1" s="293" t="s">
        <v>1128</v>
      </c>
      <c r="B1" s="293"/>
      <c r="C1" s="293"/>
      <c r="D1" s="293"/>
      <c r="E1" s="293"/>
      <c r="F1" s="293"/>
      <c r="G1" s="293"/>
      <c r="H1" s="293"/>
      <c r="I1" s="293"/>
      <c r="J1" s="293"/>
      <c r="K1" s="293"/>
      <c r="L1" s="293"/>
      <c r="M1" s="293"/>
      <c r="N1" s="293"/>
    </row>
    <row r="2" spans="1:25" s="187" customFormat="1" x14ac:dyDescent="0.25">
      <c r="A2" s="1356" t="s">
        <v>516</v>
      </c>
      <c r="B2" s="1356" t="s">
        <v>247</v>
      </c>
      <c r="C2" s="1361" t="s">
        <v>517</v>
      </c>
      <c r="D2" s="1362"/>
      <c r="E2" s="1361" t="s">
        <v>518</v>
      </c>
      <c r="F2" s="1365"/>
      <c r="G2" s="1352" t="s">
        <v>519</v>
      </c>
      <c r="H2" s="1353"/>
      <c r="I2" s="1353"/>
      <c r="J2" s="1353"/>
      <c r="K2" s="1353"/>
      <c r="L2" s="1354"/>
      <c r="M2" s="1352" t="s">
        <v>520</v>
      </c>
      <c r="N2" s="1353"/>
      <c r="O2" s="1353"/>
      <c r="P2" s="1353"/>
      <c r="Q2" s="1353"/>
      <c r="R2" s="1354"/>
      <c r="S2" s="1352" t="s">
        <v>521</v>
      </c>
      <c r="T2" s="1353"/>
      <c r="U2" s="1353"/>
      <c r="V2" s="1361" t="s">
        <v>522</v>
      </c>
      <c r="W2" s="1367"/>
    </row>
    <row r="3" spans="1:25" s="187" customFormat="1" x14ac:dyDescent="0.25">
      <c r="A3" s="1360"/>
      <c r="B3" s="1360"/>
      <c r="C3" s="1363"/>
      <c r="D3" s="1364"/>
      <c r="E3" s="1363"/>
      <c r="F3" s="1366"/>
      <c r="G3" s="1370" t="s">
        <v>523</v>
      </c>
      <c r="H3" s="1370"/>
      <c r="I3" s="1370"/>
      <c r="J3" s="1370" t="s">
        <v>524</v>
      </c>
      <c r="K3" s="1370"/>
      <c r="L3" s="1370"/>
      <c r="M3" s="1370" t="s">
        <v>523</v>
      </c>
      <c r="N3" s="1370"/>
      <c r="O3" s="1370"/>
      <c r="P3" s="1370" t="s">
        <v>524</v>
      </c>
      <c r="Q3" s="1370"/>
      <c r="R3" s="1370"/>
      <c r="S3" s="1371" t="s">
        <v>525</v>
      </c>
      <c r="T3" s="1361" t="s">
        <v>273</v>
      </c>
      <c r="U3" s="1365"/>
      <c r="V3" s="1368"/>
      <c r="W3" s="1369"/>
    </row>
    <row r="4" spans="1:25" s="132" customFormat="1" x14ac:dyDescent="0.25">
      <c r="A4" s="1360"/>
      <c r="B4" s="1360"/>
      <c r="C4" s="1355" t="s">
        <v>526</v>
      </c>
      <c r="D4" s="1356" t="s">
        <v>273</v>
      </c>
      <c r="E4" s="1355" t="s">
        <v>527</v>
      </c>
      <c r="F4" s="1356" t="s">
        <v>273</v>
      </c>
      <c r="G4" s="1355" t="s">
        <v>528</v>
      </c>
      <c r="H4" s="1358" t="s">
        <v>273</v>
      </c>
      <c r="I4" s="1359"/>
      <c r="J4" s="1355" t="s">
        <v>528</v>
      </c>
      <c r="K4" s="1358" t="s">
        <v>273</v>
      </c>
      <c r="L4" s="1359"/>
      <c r="M4" s="1355" t="s">
        <v>528</v>
      </c>
      <c r="N4" s="1358" t="s">
        <v>273</v>
      </c>
      <c r="O4" s="1359"/>
      <c r="P4" s="1355" t="s">
        <v>525</v>
      </c>
      <c r="Q4" s="1358" t="s">
        <v>273</v>
      </c>
      <c r="R4" s="1359"/>
      <c r="S4" s="1372"/>
      <c r="T4" s="1374"/>
      <c r="U4" s="1375"/>
      <c r="V4" s="1355" t="s">
        <v>529</v>
      </c>
      <c r="W4" s="1355" t="s">
        <v>535</v>
      </c>
    </row>
    <row r="5" spans="1:25" s="132" customFormat="1" x14ac:dyDescent="0.25">
      <c r="A5" s="1357"/>
      <c r="B5" s="1357"/>
      <c r="C5" s="1355"/>
      <c r="D5" s="1357"/>
      <c r="E5" s="1355"/>
      <c r="F5" s="1357"/>
      <c r="G5" s="1355"/>
      <c r="H5" s="654" t="s">
        <v>530</v>
      </c>
      <c r="I5" s="654" t="s">
        <v>531</v>
      </c>
      <c r="J5" s="1355"/>
      <c r="K5" s="654" t="s">
        <v>530</v>
      </c>
      <c r="L5" s="654" t="s">
        <v>531</v>
      </c>
      <c r="M5" s="1355"/>
      <c r="N5" s="654" t="s">
        <v>530</v>
      </c>
      <c r="O5" s="654" t="s">
        <v>531</v>
      </c>
      <c r="P5" s="1355"/>
      <c r="Q5" s="654" t="s">
        <v>530</v>
      </c>
      <c r="R5" s="654" t="s">
        <v>531</v>
      </c>
      <c r="S5" s="1373"/>
      <c r="T5" s="654" t="s">
        <v>1127</v>
      </c>
      <c r="U5" s="654" t="s">
        <v>531</v>
      </c>
      <c r="V5" s="1370"/>
      <c r="W5" s="1355"/>
    </row>
    <row r="6" spans="1:25" s="132" customFormat="1" x14ac:dyDescent="0.25">
      <c r="A6" s="277">
        <v>1</v>
      </c>
      <c r="B6" s="278">
        <v>2</v>
      </c>
      <c r="C6" s="815">
        <v>3</v>
      </c>
      <c r="D6" s="278">
        <v>4</v>
      </c>
      <c r="E6" s="278">
        <v>6</v>
      </c>
      <c r="F6" s="278">
        <v>8</v>
      </c>
      <c r="G6" s="815">
        <v>9</v>
      </c>
      <c r="H6" s="278">
        <v>10</v>
      </c>
      <c r="I6" s="815">
        <v>11</v>
      </c>
      <c r="J6" s="278">
        <v>12</v>
      </c>
      <c r="K6" s="815">
        <v>13</v>
      </c>
      <c r="L6" s="278">
        <v>14</v>
      </c>
      <c r="M6" s="815">
        <v>15</v>
      </c>
      <c r="N6" s="278">
        <v>16</v>
      </c>
      <c r="O6" s="815">
        <v>17</v>
      </c>
      <c r="P6" s="278">
        <v>18</v>
      </c>
      <c r="Q6" s="815">
        <v>19</v>
      </c>
      <c r="R6" s="278">
        <v>20</v>
      </c>
      <c r="S6" s="815">
        <v>21</v>
      </c>
      <c r="T6" s="815">
        <v>22</v>
      </c>
      <c r="U6" s="278">
        <v>23</v>
      </c>
      <c r="V6" s="278">
        <v>24</v>
      </c>
      <c r="W6" s="815">
        <v>25</v>
      </c>
    </row>
    <row r="7" spans="1:25" s="132" customFormat="1" x14ac:dyDescent="0.25">
      <c r="A7" s="1157" t="s">
        <v>532</v>
      </c>
      <c r="B7" s="287">
        <v>246</v>
      </c>
      <c r="C7" s="287">
        <v>85826189</v>
      </c>
      <c r="D7" s="287">
        <v>7417117.2654512748</v>
      </c>
      <c r="E7" s="287">
        <v>325399952</v>
      </c>
      <c r="F7" s="287">
        <v>25546966.490185678</v>
      </c>
      <c r="G7" s="287">
        <v>47921898390</v>
      </c>
      <c r="H7" s="287">
        <v>7126932.2513053035</v>
      </c>
      <c r="I7" s="287">
        <v>4061453032.6098547</v>
      </c>
      <c r="J7" s="287">
        <v>45730172862</v>
      </c>
      <c r="K7" s="287">
        <v>6692632.1376468912</v>
      </c>
      <c r="L7" s="287">
        <v>3806238245.1855206</v>
      </c>
      <c r="M7" s="287">
        <v>775801808</v>
      </c>
      <c r="N7" s="287">
        <v>1000523.2385264949</v>
      </c>
      <c r="O7" s="287">
        <v>64095047.148903705</v>
      </c>
      <c r="P7" s="287">
        <v>361845516</v>
      </c>
      <c r="Q7" s="287">
        <v>377506.70211367001</v>
      </c>
      <c r="R7" s="287">
        <v>28016743.730634663</v>
      </c>
      <c r="S7" s="287">
        <v>95200943894</v>
      </c>
      <c r="T7" s="287">
        <v>48161678.626625054</v>
      </c>
      <c r="U7" s="287">
        <v>7992767152.4305525</v>
      </c>
      <c r="V7" s="287">
        <v>15039231</v>
      </c>
      <c r="W7" s="287">
        <v>1304406.58</v>
      </c>
    </row>
    <row r="8" spans="1:25" s="132" customFormat="1" x14ac:dyDescent="0.25">
      <c r="A8" s="1158" t="s">
        <v>1413</v>
      </c>
      <c r="B8" s="796">
        <f>SUM(B9:B20)</f>
        <v>42</v>
      </c>
      <c r="C8" s="796">
        <f>SUM(C9:C20)</f>
        <v>20754728</v>
      </c>
      <c r="D8" s="796">
        <f t="shared" ref="D8:U8" si="0">SUM(D9:D20)</f>
        <v>1499716.1552094498</v>
      </c>
      <c r="E8" s="796">
        <f t="shared" si="0"/>
        <v>81599733</v>
      </c>
      <c r="F8" s="796">
        <f t="shared" si="0"/>
        <v>6623344.9461750705</v>
      </c>
      <c r="G8" s="796">
        <f t="shared" si="0"/>
        <v>9781897961</v>
      </c>
      <c r="H8" s="796">
        <f t="shared" si="0"/>
        <v>1211848.0564400638</v>
      </c>
      <c r="I8" s="796">
        <f t="shared" si="0"/>
        <v>739665929.4966656</v>
      </c>
      <c r="J8" s="796">
        <f t="shared" si="0"/>
        <v>9202332153</v>
      </c>
      <c r="K8" s="796">
        <f t="shared" si="0"/>
        <v>1157542.184464728</v>
      </c>
      <c r="L8" s="796">
        <f t="shared" si="0"/>
        <v>682927943.87222755</v>
      </c>
      <c r="M8" s="796">
        <f t="shared" si="0"/>
        <v>168055136</v>
      </c>
      <c r="N8" s="796">
        <f t="shared" si="0"/>
        <v>247946.64611768501</v>
      </c>
      <c r="O8" s="796">
        <f t="shared" si="0"/>
        <v>14665958.630095433</v>
      </c>
      <c r="P8" s="796">
        <f t="shared" si="0"/>
        <v>77733091</v>
      </c>
      <c r="Q8" s="796">
        <f t="shared" si="0"/>
        <v>94609.383299424982</v>
      </c>
      <c r="R8" s="796">
        <f t="shared" si="0"/>
        <v>6290080.1582641751</v>
      </c>
      <c r="S8" s="796">
        <f t="shared" si="0"/>
        <v>19332372802</v>
      </c>
      <c r="T8" s="796">
        <f t="shared" si="0"/>
        <v>10835007.371706419</v>
      </c>
      <c r="U8" s="796">
        <f t="shared" si="0"/>
        <v>1451672973.2586374</v>
      </c>
      <c r="V8" s="382">
        <f>INDEX(V9:V20,COUNT(V9:V20))</f>
        <v>21048035</v>
      </c>
      <c r="W8" s="382">
        <f>INDEX(W9:W20,COUNT(W9:W20))</f>
        <v>1403628.44</v>
      </c>
    </row>
    <row r="9" spans="1:25" s="603" customFormat="1" x14ac:dyDescent="0.25">
      <c r="A9" s="221">
        <v>45383</v>
      </c>
      <c r="B9" s="580">
        <v>20</v>
      </c>
      <c r="C9" s="580">
        <v>7887086</v>
      </c>
      <c r="D9" s="580">
        <v>693063.85423822491</v>
      </c>
      <c r="E9" s="580">
        <v>36869594</v>
      </c>
      <c r="F9" s="580">
        <v>3158915.0478069698</v>
      </c>
      <c r="G9" s="580">
        <v>4259527124</v>
      </c>
      <c r="H9" s="580">
        <v>573007.90278879297</v>
      </c>
      <c r="I9" s="580">
        <v>364371027.3625766</v>
      </c>
      <c r="J9" s="580">
        <v>4078207900</v>
      </c>
      <c r="K9" s="580">
        <v>511594.34244528605</v>
      </c>
      <c r="L9" s="580">
        <v>342866336.59797037</v>
      </c>
      <c r="M9" s="580">
        <v>76010605</v>
      </c>
      <c r="N9" s="580">
        <v>113516.09941545999</v>
      </c>
      <c r="O9" s="580">
        <v>6933926.9735477092</v>
      </c>
      <c r="P9" s="580">
        <v>35324034</v>
      </c>
      <c r="Q9" s="580">
        <v>42426.619812224999</v>
      </c>
      <c r="R9" s="580">
        <v>2987417.7592714746</v>
      </c>
      <c r="S9" s="580">
        <v>8493826343</v>
      </c>
      <c r="T9" s="580">
        <v>5092523.8665069584</v>
      </c>
      <c r="U9" s="580">
        <v>721010687.59541142</v>
      </c>
      <c r="V9" s="580">
        <v>25024548</v>
      </c>
      <c r="W9" s="580">
        <v>1610978.08</v>
      </c>
    </row>
    <row r="10" spans="1:25" s="603" customFormat="1" x14ac:dyDescent="0.25">
      <c r="A10" s="221">
        <v>45413</v>
      </c>
      <c r="B10" s="580">
        <v>22</v>
      </c>
      <c r="C10" s="580">
        <v>12867642</v>
      </c>
      <c r="D10" s="580">
        <v>806652.3009712249</v>
      </c>
      <c r="E10" s="580">
        <v>44730139</v>
      </c>
      <c r="F10" s="580">
        <v>3464429.8983681006</v>
      </c>
      <c r="G10" s="580">
        <v>5522370837</v>
      </c>
      <c r="H10" s="580">
        <v>638840.1536512709</v>
      </c>
      <c r="I10" s="580">
        <v>375294902.13408899</v>
      </c>
      <c r="J10" s="580">
        <v>5124124253</v>
      </c>
      <c r="K10" s="580">
        <v>645947.84201944189</v>
      </c>
      <c r="L10" s="580">
        <v>340061607.27425718</v>
      </c>
      <c r="M10" s="580">
        <v>92044531</v>
      </c>
      <c r="N10" s="580">
        <v>134430.54670222502</v>
      </c>
      <c r="O10" s="580">
        <v>7732031.6565477252</v>
      </c>
      <c r="P10" s="580">
        <v>42409057</v>
      </c>
      <c r="Q10" s="580">
        <v>52182.763487199984</v>
      </c>
      <c r="R10" s="580">
        <v>3302662.3989927</v>
      </c>
      <c r="S10" s="580">
        <v>10838546459</v>
      </c>
      <c r="T10" s="580">
        <v>5742483.5051994603</v>
      </c>
      <c r="U10" s="580">
        <v>730662285.66322601</v>
      </c>
      <c r="V10" s="580">
        <v>21048035</v>
      </c>
      <c r="W10" s="580">
        <v>1403628.44</v>
      </c>
      <c r="Y10" s="196"/>
    </row>
    <row r="11" spans="1:25" s="603" customFormat="1" x14ac:dyDescent="0.25">
      <c r="A11" s="221">
        <v>45444</v>
      </c>
      <c r="B11" s="580"/>
      <c r="C11" s="580"/>
      <c r="D11" s="580"/>
      <c r="E11" s="580"/>
      <c r="F11" s="580"/>
      <c r="G11" s="580"/>
      <c r="H11" s="580"/>
      <c r="I11" s="580"/>
      <c r="J11" s="580"/>
      <c r="K11" s="580"/>
      <c r="L11" s="580"/>
      <c r="M11" s="580"/>
      <c r="N11" s="580"/>
      <c r="O11" s="580"/>
      <c r="P11" s="580"/>
      <c r="Q11" s="580"/>
      <c r="R11" s="580"/>
      <c r="S11" s="580"/>
      <c r="T11" s="580"/>
      <c r="U11" s="580"/>
      <c r="V11" s="580"/>
      <c r="W11" s="580"/>
    </row>
    <row r="12" spans="1:25" s="603" customFormat="1" x14ac:dyDescent="0.25">
      <c r="A12" s="221">
        <v>45474</v>
      </c>
      <c r="B12" s="580"/>
      <c r="C12" s="580"/>
      <c r="D12" s="580"/>
      <c r="E12" s="580"/>
      <c r="F12" s="580"/>
      <c r="G12" s="580"/>
      <c r="H12" s="580"/>
      <c r="I12" s="580"/>
      <c r="J12" s="580"/>
      <c r="K12" s="580"/>
      <c r="L12" s="580"/>
      <c r="M12" s="580"/>
      <c r="N12" s="580"/>
      <c r="O12" s="580"/>
      <c r="P12" s="580"/>
      <c r="Q12" s="580"/>
      <c r="R12" s="580"/>
      <c r="S12" s="580"/>
      <c r="T12" s="580"/>
      <c r="U12" s="580"/>
      <c r="V12" s="580"/>
      <c r="W12" s="580"/>
    </row>
    <row r="13" spans="1:25" s="603" customFormat="1" x14ac:dyDescent="0.25">
      <c r="A13" s="221">
        <v>45505</v>
      </c>
      <c r="B13" s="580"/>
      <c r="C13" s="580"/>
      <c r="D13" s="580"/>
      <c r="E13" s="580"/>
      <c r="F13" s="580"/>
      <c r="G13" s="580"/>
      <c r="H13" s="580"/>
      <c r="I13" s="580"/>
      <c r="J13" s="580"/>
      <c r="K13" s="580"/>
      <c r="L13" s="580"/>
      <c r="M13" s="580"/>
      <c r="N13" s="580"/>
      <c r="O13" s="580"/>
      <c r="P13" s="580"/>
      <c r="Q13" s="580"/>
      <c r="R13" s="580"/>
      <c r="S13" s="580"/>
      <c r="T13" s="580"/>
      <c r="U13" s="580"/>
      <c r="V13" s="580"/>
      <c r="W13" s="580"/>
    </row>
    <row r="14" spans="1:25" s="603" customFormat="1" x14ac:dyDescent="0.25">
      <c r="A14" s="221">
        <v>45536</v>
      </c>
      <c r="B14" s="580"/>
      <c r="C14" s="580"/>
      <c r="D14" s="580"/>
      <c r="E14" s="580"/>
      <c r="F14" s="580"/>
      <c r="G14" s="580"/>
      <c r="H14" s="580"/>
      <c r="I14" s="580"/>
      <c r="J14" s="580"/>
      <c r="K14" s="580"/>
      <c r="L14" s="580"/>
      <c r="M14" s="580"/>
      <c r="N14" s="580"/>
      <c r="O14" s="580"/>
      <c r="P14" s="580"/>
      <c r="Q14" s="580"/>
      <c r="R14" s="580"/>
      <c r="S14" s="580"/>
      <c r="T14" s="580"/>
      <c r="U14" s="580"/>
      <c r="V14" s="580"/>
      <c r="W14" s="580"/>
    </row>
    <row r="15" spans="1:25" s="603" customFormat="1" x14ac:dyDescent="0.25">
      <c r="A15" s="221">
        <v>45566</v>
      </c>
      <c r="B15" s="580"/>
      <c r="C15" s="580"/>
      <c r="D15" s="580"/>
      <c r="E15" s="580"/>
      <c r="F15" s="580"/>
      <c r="G15" s="580"/>
      <c r="H15" s="580"/>
      <c r="I15" s="580"/>
      <c r="J15" s="580"/>
      <c r="K15" s="580"/>
      <c r="L15" s="580"/>
      <c r="M15" s="580"/>
      <c r="N15" s="580"/>
      <c r="O15" s="580"/>
      <c r="P15" s="580"/>
      <c r="Q15" s="580"/>
      <c r="R15" s="580"/>
      <c r="S15" s="580"/>
      <c r="T15" s="580"/>
      <c r="U15" s="580"/>
      <c r="V15" s="580"/>
      <c r="W15" s="580"/>
    </row>
    <row r="16" spans="1:25" s="603" customFormat="1" x14ac:dyDescent="0.25">
      <c r="A16" s="221">
        <v>45597</v>
      </c>
      <c r="B16" s="600"/>
      <c r="C16" s="600"/>
      <c r="D16" s="600"/>
      <c r="E16" s="600"/>
      <c r="F16" s="580"/>
      <c r="G16" s="580"/>
      <c r="H16" s="590"/>
      <c r="I16" s="590"/>
      <c r="J16" s="580"/>
      <c r="K16" s="580"/>
      <c r="L16" s="580"/>
      <c r="M16" s="580"/>
      <c r="N16" s="580"/>
      <c r="O16" s="580"/>
      <c r="P16" s="580"/>
      <c r="Q16" s="580"/>
      <c r="R16" s="580"/>
      <c r="S16" s="580"/>
      <c r="T16" s="580"/>
      <c r="U16" s="580"/>
      <c r="V16" s="580"/>
      <c r="W16" s="580"/>
    </row>
    <row r="17" spans="1:34" s="603" customFormat="1" x14ac:dyDescent="0.25">
      <c r="A17" s="221">
        <v>45627</v>
      </c>
      <c r="B17" s="600"/>
      <c r="C17" s="600"/>
      <c r="D17" s="600"/>
      <c r="E17" s="600"/>
      <c r="F17" s="580"/>
      <c r="G17" s="580"/>
      <c r="H17" s="590"/>
      <c r="I17" s="590"/>
      <c r="J17" s="580"/>
      <c r="K17" s="580"/>
      <c r="L17" s="580"/>
      <c r="M17" s="580"/>
      <c r="N17" s="580"/>
      <c r="O17" s="580"/>
      <c r="P17" s="580"/>
      <c r="Q17" s="580"/>
      <c r="R17" s="580"/>
      <c r="S17" s="580"/>
      <c r="T17" s="580"/>
      <c r="U17" s="580"/>
      <c r="V17" s="580"/>
      <c r="W17" s="580"/>
    </row>
    <row r="18" spans="1:34" s="603" customFormat="1" x14ac:dyDescent="0.25">
      <c r="A18" s="221">
        <v>45658</v>
      </c>
      <c r="B18" s="600"/>
      <c r="C18" s="600"/>
      <c r="D18" s="600"/>
      <c r="E18" s="600"/>
      <c r="F18" s="580"/>
      <c r="G18" s="580"/>
      <c r="H18" s="590"/>
      <c r="I18" s="590"/>
      <c r="J18" s="580"/>
      <c r="K18" s="580"/>
      <c r="L18" s="580"/>
      <c r="M18" s="580"/>
      <c r="N18" s="580"/>
      <c r="O18" s="580"/>
      <c r="P18" s="580"/>
      <c r="Q18" s="580"/>
      <c r="R18" s="580"/>
      <c r="S18" s="580"/>
      <c r="T18" s="580"/>
      <c r="U18" s="580"/>
      <c r="V18" s="580"/>
      <c r="W18" s="580"/>
    </row>
    <row r="19" spans="1:34" s="603" customFormat="1" x14ac:dyDescent="0.25">
      <c r="A19" s="221">
        <v>45689</v>
      </c>
      <c r="B19" s="600"/>
      <c r="C19" s="600"/>
      <c r="D19" s="600"/>
      <c r="E19" s="600"/>
      <c r="F19" s="580"/>
      <c r="G19" s="580"/>
      <c r="H19" s="590"/>
      <c r="I19" s="590"/>
      <c r="J19" s="580"/>
      <c r="K19" s="580"/>
      <c r="L19" s="580"/>
      <c r="M19" s="580"/>
      <c r="N19" s="580"/>
      <c r="O19" s="580"/>
      <c r="P19" s="580"/>
      <c r="Q19" s="580"/>
      <c r="R19" s="580"/>
      <c r="S19" s="580"/>
      <c r="T19" s="580"/>
      <c r="U19" s="580"/>
      <c r="V19" s="580"/>
      <c r="W19" s="580"/>
    </row>
    <row r="20" spans="1:34" s="603" customFormat="1" x14ac:dyDescent="0.25">
      <c r="A20" s="221">
        <v>45717</v>
      </c>
      <c r="B20" s="600"/>
      <c r="C20" s="600"/>
      <c r="D20" s="600"/>
      <c r="E20" s="600"/>
      <c r="F20" s="580"/>
      <c r="G20" s="580"/>
      <c r="H20" s="590"/>
      <c r="I20" s="590"/>
      <c r="J20" s="580"/>
      <c r="K20" s="580"/>
      <c r="L20" s="580"/>
      <c r="M20" s="580"/>
      <c r="N20" s="580"/>
      <c r="O20" s="580"/>
      <c r="P20" s="580"/>
      <c r="Q20" s="580"/>
      <c r="R20" s="580"/>
      <c r="S20" s="580"/>
      <c r="T20" s="580"/>
      <c r="U20" s="580"/>
      <c r="V20" s="580"/>
      <c r="W20" s="580"/>
    </row>
    <row r="21" spans="1:34" s="603" customFormat="1" x14ac:dyDescent="0.25">
      <c r="A21" s="644"/>
      <c r="B21" s="644"/>
      <c r="C21" s="644"/>
      <c r="D21" s="644"/>
      <c r="E21" s="644"/>
      <c r="F21" s="644"/>
      <c r="G21" s="823"/>
      <c r="H21" s="823"/>
      <c r="I21" s="823"/>
      <c r="J21" s="644"/>
      <c r="K21" s="644"/>
      <c r="L21" s="644"/>
      <c r="M21" s="823"/>
      <c r="N21" s="823"/>
      <c r="O21" s="823"/>
      <c r="T21" s="196"/>
    </row>
    <row r="22" spans="1:34" s="603" customFormat="1" x14ac:dyDescent="0.25">
      <c r="A22" s="644" t="s">
        <v>536</v>
      </c>
      <c r="B22" s="644"/>
      <c r="C22" s="644"/>
      <c r="D22" s="644"/>
      <c r="E22" s="644"/>
      <c r="F22" s="644"/>
      <c r="G22" s="823"/>
      <c r="H22" s="823"/>
      <c r="I22" s="823"/>
      <c r="J22" s="644"/>
      <c r="K22" s="644"/>
      <c r="L22" s="644"/>
      <c r="M22" s="823"/>
      <c r="N22" s="823"/>
      <c r="O22" s="823"/>
      <c r="T22" s="196"/>
    </row>
    <row r="23" spans="1:34" s="603" customFormat="1" x14ac:dyDescent="0.25">
      <c r="A23" s="644" t="s">
        <v>534</v>
      </c>
      <c r="B23" s="644"/>
      <c r="C23" s="644"/>
      <c r="D23" s="644"/>
      <c r="E23" s="644"/>
      <c r="F23" s="644"/>
      <c r="G23" s="644"/>
      <c r="H23" s="644"/>
      <c r="I23" s="644"/>
      <c r="J23" s="644"/>
      <c r="K23" s="644"/>
      <c r="L23" s="644"/>
      <c r="M23" s="644"/>
      <c r="N23" s="644"/>
      <c r="T23" s="196"/>
    </row>
    <row r="24" spans="1:34" x14ac:dyDescent="0.25">
      <c r="A24" s="644" t="s">
        <v>1131</v>
      </c>
      <c r="B24" s="644"/>
      <c r="C24" s="644"/>
      <c r="D24" s="644"/>
      <c r="E24" s="644"/>
      <c r="F24" s="644"/>
      <c r="G24" s="644"/>
      <c r="H24" s="644"/>
      <c r="I24" s="644"/>
      <c r="J24" s="644"/>
      <c r="K24" s="603"/>
      <c r="L24" s="603"/>
      <c r="M24" s="603"/>
      <c r="N24" s="603"/>
      <c r="O24" s="603"/>
      <c r="P24" s="603"/>
      <c r="Q24" s="603"/>
      <c r="R24" s="603"/>
      <c r="S24" s="603"/>
      <c r="T24" s="286"/>
      <c r="U24" s="286"/>
      <c r="V24" s="603"/>
      <c r="W24" s="603"/>
    </row>
    <row r="25" spans="1:34" x14ac:dyDescent="0.25">
      <c r="A25" s="1284" t="s">
        <v>314</v>
      </c>
      <c r="B25" s="1284"/>
      <c r="C25" s="1284"/>
      <c r="D25" s="1284"/>
      <c r="E25" s="1284"/>
      <c r="F25" s="1284"/>
      <c r="G25" s="1284"/>
      <c r="H25" s="1284"/>
      <c r="I25" s="1284"/>
      <c r="J25" s="1284"/>
      <c r="K25" s="1284"/>
      <c r="L25" s="1284"/>
      <c r="M25" s="1284"/>
      <c r="N25" s="1284"/>
      <c r="O25" s="1284"/>
      <c r="P25" s="1284"/>
      <c r="Q25" s="1284"/>
      <c r="R25" s="1284"/>
      <c r="S25" s="603"/>
      <c r="T25" s="603"/>
      <c r="U25" s="603"/>
      <c r="V25" s="603"/>
      <c r="W25" s="603"/>
      <c r="X25" s="603"/>
      <c r="Y25" s="603"/>
      <c r="Z25" s="603"/>
      <c r="AA25" s="603"/>
      <c r="AB25" s="603"/>
      <c r="AC25" s="603"/>
      <c r="AD25" s="603"/>
      <c r="AE25" s="603"/>
      <c r="AF25" s="603"/>
      <c r="AG25" s="603"/>
      <c r="AH25" s="603"/>
    </row>
    <row r="26" spans="1:34" x14ac:dyDescent="0.25">
      <c r="A26" s="1126" t="s">
        <v>1401</v>
      </c>
      <c r="S26" s="603"/>
      <c r="T26" s="603"/>
      <c r="U26" s="603"/>
      <c r="V26" s="603"/>
      <c r="W26" s="603"/>
      <c r="X26" s="603"/>
      <c r="Y26" s="603"/>
      <c r="Z26" s="603"/>
      <c r="AA26" s="603"/>
      <c r="AB26" s="603"/>
      <c r="AC26" s="603"/>
      <c r="AD26" s="603"/>
      <c r="AE26" s="603"/>
      <c r="AF26" s="603"/>
      <c r="AG26" s="603"/>
      <c r="AH26" s="603"/>
    </row>
    <row r="27" spans="1:34" x14ac:dyDescent="0.25">
      <c r="T27" s="150"/>
      <c r="U27" s="189"/>
    </row>
    <row r="28" spans="1:34" x14ac:dyDescent="0.25">
      <c r="U28" s="189"/>
    </row>
    <row r="29" spans="1:34" x14ac:dyDescent="0.25">
      <c r="U29" s="189"/>
    </row>
    <row r="30" spans="1:34" x14ac:dyDescent="0.25">
      <c r="U30" s="189"/>
    </row>
    <row r="31" spans="1:34" x14ac:dyDescent="0.25">
      <c r="U31" s="189"/>
    </row>
    <row r="32" spans="1:34" x14ac:dyDescent="0.25">
      <c r="U32" s="189"/>
    </row>
  </sheetData>
  <mergeCells count="29">
    <mergeCell ref="A25:R25"/>
    <mergeCell ref="S2:U2"/>
    <mergeCell ref="V2:W3"/>
    <mergeCell ref="G3:I3"/>
    <mergeCell ref="J3:L3"/>
    <mergeCell ref="M3:O3"/>
    <mergeCell ref="P3:R3"/>
    <mergeCell ref="S3:S5"/>
    <mergeCell ref="T3:U4"/>
    <mergeCell ref="N4:O4"/>
    <mergeCell ref="P4:P5"/>
    <mergeCell ref="Q4:R4"/>
    <mergeCell ref="V4:V5"/>
    <mergeCell ref="W4:W5"/>
    <mergeCell ref="G4:G5"/>
    <mergeCell ref="H4:I4"/>
    <mergeCell ref="A2:A5"/>
    <mergeCell ref="B2:B5"/>
    <mergeCell ref="C2:D3"/>
    <mergeCell ref="E2:F3"/>
    <mergeCell ref="G2:L2"/>
    <mergeCell ref="M2:R2"/>
    <mergeCell ref="C4:C5"/>
    <mergeCell ref="D4:D5"/>
    <mergeCell ref="E4:E5"/>
    <mergeCell ref="F4:F5"/>
    <mergeCell ref="K4:L4"/>
    <mergeCell ref="M4:M5"/>
    <mergeCell ref="J4:J5"/>
  </mergeCells>
  <printOptions horizontalCentered="1"/>
  <pageMargins left="0.78431372549019618" right="0.78431372549019618" top="0.98039215686274517" bottom="0.98039215686274517" header="0.50980392156862753" footer="0.50980392156862753"/>
  <pageSetup paperSize="9" scale="77" orientation="landscape" useFirstPageNumber="1" r:id="rId1"/>
  <headerFooter alignWithMargins="0"/>
  <colBreaks count="1" manualBreakCount="1">
    <brk id="12" max="2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2"/>
  <sheetViews>
    <sheetView zoomScaleNormal="100" workbookViewId="0">
      <selection activeCell="G10" sqref="G10"/>
    </sheetView>
  </sheetViews>
  <sheetFormatPr defaultColWidth="9.140625" defaultRowHeight="15" x14ac:dyDescent="0.25"/>
  <cols>
    <col min="1" max="1" width="13.42578125" style="127" bestFit="1" customWidth="1"/>
    <col min="2" max="3" width="10.5703125" style="127" bestFit="1" customWidth="1"/>
    <col min="4" max="4" width="10.5703125" style="127" customWidth="1"/>
    <col min="5" max="7" width="10.5703125" style="127" bestFit="1" customWidth="1"/>
    <col min="8" max="8" width="11.42578125" style="127" bestFit="1" customWidth="1"/>
    <col min="9" max="13" width="10.5703125" style="127" bestFit="1" customWidth="1"/>
    <col min="14" max="14" width="10.85546875" style="127" bestFit="1" customWidth="1"/>
    <col min="15" max="15" width="9.140625" style="127" customWidth="1"/>
    <col min="16" max="16384" width="9.140625" style="127"/>
  </cols>
  <sheetData>
    <row r="1" spans="1:14" ht="17.25" customHeight="1" x14ac:dyDescent="0.25">
      <c r="A1" s="293" t="s">
        <v>537</v>
      </c>
      <c r="B1" s="293"/>
      <c r="C1" s="293"/>
      <c r="D1" s="293"/>
      <c r="E1" s="293"/>
      <c r="F1" s="293"/>
      <c r="G1" s="293"/>
      <c r="H1" s="293"/>
      <c r="I1" s="293"/>
      <c r="J1" s="293"/>
      <c r="K1" s="293"/>
      <c r="L1" s="293"/>
      <c r="M1" s="293"/>
      <c r="N1" s="293"/>
    </row>
    <row r="2" spans="1:14" s="603" customFormat="1" ht="17.25" customHeight="1" x14ac:dyDescent="0.25">
      <c r="A2" s="1379" t="s">
        <v>538</v>
      </c>
      <c r="B2" s="1381" t="s">
        <v>73</v>
      </c>
      <c r="C2" s="1382"/>
      <c r="D2" s="1382"/>
      <c r="E2" s="1382"/>
      <c r="F2" s="1382"/>
      <c r="G2" s="1382"/>
      <c r="H2" s="1383"/>
      <c r="I2" s="1381" t="s">
        <v>74</v>
      </c>
      <c r="J2" s="1382"/>
      <c r="K2" s="1382"/>
      <c r="L2" s="1382"/>
      <c r="M2" s="1382"/>
      <c r="N2" s="1383"/>
    </row>
    <row r="3" spans="1:14" s="603" customFormat="1" ht="27" customHeight="1" x14ac:dyDescent="0.25">
      <c r="A3" s="1380"/>
      <c r="B3" s="1384" t="s">
        <v>539</v>
      </c>
      <c r="C3" s="1385"/>
      <c r="D3" s="1386"/>
      <c r="E3" s="1384" t="s">
        <v>540</v>
      </c>
      <c r="F3" s="1387"/>
      <c r="G3" s="1376" t="s">
        <v>96</v>
      </c>
      <c r="H3" s="1377" t="s">
        <v>541</v>
      </c>
      <c r="I3" s="1384" t="s">
        <v>539</v>
      </c>
      <c r="J3" s="1387"/>
      <c r="K3" s="1384" t="s">
        <v>540</v>
      </c>
      <c r="L3" s="1387"/>
      <c r="M3" s="1376" t="s">
        <v>96</v>
      </c>
      <c r="N3" s="1377" t="s">
        <v>541</v>
      </c>
    </row>
    <row r="4" spans="1:14" s="603" customFormat="1" ht="40.5" customHeight="1" x14ac:dyDescent="0.25">
      <c r="A4" s="1310"/>
      <c r="B4" s="824" t="s">
        <v>542</v>
      </c>
      <c r="C4" s="824" t="s">
        <v>543</v>
      </c>
      <c r="D4" s="824" t="s">
        <v>544</v>
      </c>
      <c r="E4" s="824" t="s">
        <v>545</v>
      </c>
      <c r="F4" s="824" t="s">
        <v>546</v>
      </c>
      <c r="G4" s="1324"/>
      <c r="H4" s="1378"/>
      <c r="I4" s="824" t="s">
        <v>542</v>
      </c>
      <c r="J4" s="824" t="s">
        <v>543</v>
      </c>
      <c r="K4" s="824" t="s">
        <v>545</v>
      </c>
      <c r="L4" s="824" t="s">
        <v>546</v>
      </c>
      <c r="M4" s="1324"/>
      <c r="N4" s="1378"/>
    </row>
    <row r="5" spans="1:14" s="132" customFormat="1" ht="18" customHeight="1" x14ac:dyDescent="0.25">
      <c r="A5" s="1157" t="s">
        <v>532</v>
      </c>
      <c r="B5" s="794">
        <v>63283.05</v>
      </c>
      <c r="C5" s="794">
        <v>1164.43</v>
      </c>
      <c r="D5" s="794" t="s">
        <v>238</v>
      </c>
      <c r="E5" s="794">
        <v>398056.44</v>
      </c>
      <c r="F5" s="794">
        <v>1176.52</v>
      </c>
      <c r="G5" s="794">
        <v>463680.44000000006</v>
      </c>
      <c r="H5" s="794">
        <v>100.92</v>
      </c>
      <c r="I5" s="790">
        <v>239700.49895134001</v>
      </c>
      <c r="J5" s="794">
        <v>3940.7345781600002</v>
      </c>
      <c r="K5" s="794">
        <v>112155.91993335501</v>
      </c>
      <c r="L5" s="794">
        <v>24024.773700040001</v>
      </c>
      <c r="M5" s="790">
        <v>379821.92716289504</v>
      </c>
      <c r="N5" s="794">
        <v>4264.49</v>
      </c>
    </row>
    <row r="6" spans="1:14" s="132" customFormat="1" ht="18" customHeight="1" x14ac:dyDescent="0.25">
      <c r="A6" s="1158" t="s">
        <v>1413</v>
      </c>
      <c r="B6" s="796">
        <f>SUM(B7:B18)</f>
        <v>15932</v>
      </c>
      <c r="C6" s="796">
        <f t="shared" ref="C6:G6" si="0">SUM(C7:C18)</f>
        <v>429.81</v>
      </c>
      <c r="D6" s="592" t="s">
        <v>238</v>
      </c>
      <c r="E6" s="796">
        <f t="shared" si="0"/>
        <v>32531.200000000004</v>
      </c>
      <c r="F6" s="796">
        <f t="shared" si="0"/>
        <v>65.319999999999993</v>
      </c>
      <c r="G6" s="796">
        <f t="shared" si="0"/>
        <v>48958.33</v>
      </c>
      <c r="H6" s="796">
        <f>INDEX(H7:H18,COUNT(H7:H18))</f>
        <v>104.35</v>
      </c>
      <c r="I6" s="796">
        <f t="shared" ref="I6:M6" si="1">SUM(I7:I18)</f>
        <v>62227.179032219996</v>
      </c>
      <c r="J6" s="796">
        <f t="shared" si="1"/>
        <v>1298.4330741150002</v>
      </c>
      <c r="K6" s="796">
        <f t="shared" si="1"/>
        <v>26308.962982415003</v>
      </c>
      <c r="L6" s="796">
        <f t="shared" si="1"/>
        <v>7260.6964725799999</v>
      </c>
      <c r="M6" s="796">
        <f t="shared" si="1"/>
        <v>97095.27156133001</v>
      </c>
      <c r="N6" s="796">
        <f>INDEX(N7:N18,COUNT(N7:N18))</f>
        <v>4379.67</v>
      </c>
    </row>
    <row r="7" spans="1:14" s="603" customFormat="1" ht="18" customHeight="1" x14ac:dyDescent="0.25">
      <c r="A7" s="221">
        <v>45383</v>
      </c>
      <c r="B7" s="601">
        <v>6939.29</v>
      </c>
      <c r="C7" s="601">
        <v>179.68</v>
      </c>
      <c r="D7" s="592">
        <v>0</v>
      </c>
      <c r="E7" s="601">
        <v>20803.850000000002</v>
      </c>
      <c r="F7" s="601">
        <v>65.319999999999993</v>
      </c>
      <c r="G7" s="601">
        <v>27988.14</v>
      </c>
      <c r="H7" s="601">
        <v>102.32</v>
      </c>
      <c r="I7" s="592">
        <v>24836.53903222</v>
      </c>
      <c r="J7" s="592">
        <v>435.98307411500002</v>
      </c>
      <c r="K7" s="592">
        <v>11915.182982415001</v>
      </c>
      <c r="L7" s="592">
        <v>3958.24647258</v>
      </c>
      <c r="M7" s="592">
        <v>41145.951561330003</v>
      </c>
      <c r="N7" s="592">
        <v>4293.95</v>
      </c>
    </row>
    <row r="8" spans="1:14" s="603" customFormat="1" ht="18" customHeight="1" x14ac:dyDescent="0.25">
      <c r="A8" s="221">
        <v>45413</v>
      </c>
      <c r="B8" s="601">
        <v>8992.7099999999991</v>
      </c>
      <c r="C8" s="601">
        <v>250.13</v>
      </c>
      <c r="D8" s="592">
        <v>0</v>
      </c>
      <c r="E8" s="601">
        <v>11727.35</v>
      </c>
      <c r="F8" s="601">
        <v>0</v>
      </c>
      <c r="G8" s="601">
        <v>20970.189999999999</v>
      </c>
      <c r="H8" s="601">
        <v>104.35</v>
      </c>
      <c r="I8" s="601">
        <v>37390.639999999999</v>
      </c>
      <c r="J8" s="601">
        <v>862.45</v>
      </c>
      <c r="K8" s="601">
        <v>14393.78</v>
      </c>
      <c r="L8" s="601">
        <v>3302.45</v>
      </c>
      <c r="M8" s="601">
        <v>55949.32</v>
      </c>
      <c r="N8" s="601">
        <v>4379.67</v>
      </c>
    </row>
    <row r="9" spans="1:14" s="603" customFormat="1" ht="18" customHeight="1" x14ac:dyDescent="0.25">
      <c r="A9" s="221">
        <v>45444</v>
      </c>
      <c r="B9" s="601"/>
      <c r="C9" s="601"/>
      <c r="D9" s="592"/>
      <c r="E9" s="601"/>
      <c r="F9" s="601"/>
      <c r="G9" s="601"/>
      <c r="H9" s="601"/>
      <c r="I9" s="601"/>
      <c r="J9" s="601"/>
      <c r="K9" s="601"/>
      <c r="L9" s="601"/>
      <c r="M9" s="601"/>
      <c r="N9" s="601"/>
    </row>
    <row r="10" spans="1:14" s="603" customFormat="1" ht="18" customHeight="1" x14ac:dyDescent="0.25">
      <c r="A10" s="221">
        <v>45474</v>
      </c>
      <c r="B10" s="601"/>
      <c r="C10" s="601"/>
      <c r="D10" s="592"/>
      <c r="E10" s="601"/>
      <c r="F10" s="601"/>
      <c r="G10" s="601"/>
      <c r="H10" s="601"/>
      <c r="I10" s="601"/>
      <c r="J10" s="601"/>
      <c r="K10" s="601"/>
      <c r="L10" s="601"/>
      <c r="M10" s="601"/>
      <c r="N10" s="601"/>
    </row>
    <row r="11" spans="1:14" s="603" customFormat="1" ht="18" customHeight="1" x14ac:dyDescent="0.25">
      <c r="A11" s="221">
        <v>45505</v>
      </c>
      <c r="B11" s="601"/>
      <c r="C11" s="601"/>
      <c r="D11" s="592"/>
      <c r="E11" s="601"/>
      <c r="F11" s="601"/>
      <c r="G11" s="601"/>
      <c r="H11" s="601"/>
      <c r="I11" s="601"/>
      <c r="J11" s="601"/>
      <c r="K11" s="601"/>
      <c r="L11" s="601"/>
      <c r="M11" s="601"/>
      <c r="N11" s="601"/>
    </row>
    <row r="12" spans="1:14" s="603" customFormat="1" ht="14.25" customHeight="1" x14ac:dyDescent="0.25">
      <c r="A12" s="221">
        <v>45536</v>
      </c>
      <c r="B12" s="601"/>
      <c r="C12" s="601"/>
      <c r="D12" s="592"/>
      <c r="E12" s="601"/>
      <c r="F12" s="601"/>
      <c r="G12" s="601"/>
      <c r="H12" s="601"/>
      <c r="I12" s="601"/>
      <c r="J12" s="601"/>
      <c r="K12" s="601"/>
      <c r="L12" s="601"/>
      <c r="M12" s="601"/>
      <c r="N12" s="601"/>
    </row>
    <row r="13" spans="1:14" s="603" customFormat="1" ht="12.75" customHeight="1" x14ac:dyDescent="0.25">
      <c r="A13" s="221">
        <v>45566</v>
      </c>
      <c r="B13" s="601"/>
      <c r="C13" s="601"/>
      <c r="D13" s="592"/>
      <c r="E13" s="601"/>
      <c r="F13" s="601"/>
      <c r="G13" s="601"/>
      <c r="H13" s="601"/>
      <c r="I13" s="601"/>
      <c r="J13" s="601"/>
      <c r="K13" s="601"/>
      <c r="L13" s="601"/>
      <c r="M13" s="601"/>
      <c r="N13" s="601"/>
    </row>
    <row r="14" spans="1:14" s="603" customFormat="1" x14ac:dyDescent="0.25">
      <c r="A14" s="221">
        <v>45597</v>
      </c>
      <c r="B14" s="601"/>
      <c r="C14" s="601"/>
      <c r="D14" s="592"/>
      <c r="E14" s="601"/>
      <c r="F14" s="601"/>
      <c r="G14" s="601"/>
      <c r="H14" s="601"/>
      <c r="I14" s="601"/>
      <c r="J14" s="601"/>
      <c r="K14" s="601"/>
      <c r="L14" s="601"/>
      <c r="M14" s="601"/>
      <c r="N14" s="601"/>
    </row>
    <row r="15" spans="1:14" s="603" customFormat="1" x14ac:dyDescent="0.25">
      <c r="A15" s="221">
        <v>45627</v>
      </c>
      <c r="B15" s="601"/>
      <c r="C15" s="601"/>
      <c r="D15" s="592"/>
      <c r="E15" s="601"/>
      <c r="F15" s="601"/>
      <c r="G15" s="601"/>
      <c r="H15" s="601"/>
      <c r="I15" s="601"/>
      <c r="J15" s="601"/>
      <c r="K15" s="601"/>
      <c r="L15" s="601"/>
      <c r="M15" s="601"/>
      <c r="N15" s="601"/>
    </row>
    <row r="16" spans="1:14" s="603" customFormat="1" x14ac:dyDescent="0.25">
      <c r="A16" s="221">
        <v>45658</v>
      </c>
      <c r="B16" s="601"/>
      <c r="C16" s="601"/>
      <c r="D16" s="592"/>
      <c r="E16" s="601"/>
      <c r="F16" s="601"/>
      <c r="G16" s="601"/>
      <c r="H16" s="601"/>
      <c r="I16" s="601"/>
      <c r="J16" s="601"/>
      <c r="K16" s="601"/>
      <c r="L16" s="601"/>
      <c r="M16" s="601"/>
      <c r="N16" s="601"/>
    </row>
    <row r="17" spans="1:14" s="603" customFormat="1" x14ac:dyDescent="0.25">
      <c r="A17" s="221">
        <v>45689</v>
      </c>
      <c r="B17" s="601"/>
      <c r="C17" s="601"/>
      <c r="D17" s="592"/>
      <c r="E17" s="601"/>
      <c r="F17" s="601"/>
      <c r="G17" s="601"/>
      <c r="H17" s="601"/>
      <c r="I17" s="601"/>
      <c r="J17" s="601"/>
      <c r="K17" s="601"/>
      <c r="L17" s="601"/>
      <c r="M17" s="601"/>
      <c r="N17" s="601"/>
    </row>
    <row r="18" spans="1:14" s="603" customFormat="1" x14ac:dyDescent="0.25">
      <c r="A18" s="221">
        <v>45717</v>
      </c>
      <c r="B18" s="601"/>
      <c r="C18" s="601"/>
      <c r="D18" s="592"/>
      <c r="E18" s="601"/>
      <c r="F18" s="601"/>
      <c r="G18" s="601"/>
      <c r="H18" s="601"/>
      <c r="I18" s="601"/>
      <c r="J18" s="601"/>
      <c r="K18" s="601"/>
      <c r="L18" s="601"/>
      <c r="M18" s="601"/>
      <c r="N18" s="601"/>
    </row>
    <row r="19" spans="1:14" s="603" customFormat="1" x14ac:dyDescent="0.25">
      <c r="A19" s="168"/>
      <c r="B19" s="605"/>
      <c r="C19" s="605"/>
      <c r="D19" s="751"/>
      <c r="E19" s="605"/>
      <c r="F19" s="605"/>
      <c r="G19" s="605"/>
      <c r="H19" s="605"/>
      <c r="I19" s="605"/>
      <c r="J19" s="605"/>
      <c r="K19" s="605"/>
      <c r="L19" s="605"/>
      <c r="M19" s="605"/>
      <c r="N19" s="605"/>
    </row>
    <row r="20" spans="1:14" s="603" customFormat="1" x14ac:dyDescent="0.25">
      <c r="A20" s="1284" t="s">
        <v>175</v>
      </c>
      <c r="B20" s="1284"/>
      <c r="C20" s="1284"/>
      <c r="D20" s="1284"/>
      <c r="E20" s="1284"/>
    </row>
    <row r="21" spans="1:14" s="603" customFormat="1" x14ac:dyDescent="0.25">
      <c r="A21" s="127" t="s">
        <v>1331</v>
      </c>
      <c r="B21" s="140"/>
      <c r="C21" s="140"/>
      <c r="D21" s="140"/>
      <c r="E21" s="140"/>
    </row>
    <row r="22" spans="1:14" x14ac:dyDescent="0.25">
      <c r="F22" s="140"/>
      <c r="G22" s="140"/>
      <c r="H22" s="140"/>
      <c r="I22" s="140"/>
      <c r="J22" s="140"/>
      <c r="K22" s="140"/>
      <c r="L22" s="140"/>
      <c r="M22" s="140"/>
    </row>
  </sheetData>
  <mergeCells count="12">
    <mergeCell ref="A20:E20"/>
    <mergeCell ref="M3:M4"/>
    <mergeCell ref="N3:N4"/>
    <mergeCell ref="A2:A4"/>
    <mergeCell ref="B2:H2"/>
    <mergeCell ref="I2:N2"/>
    <mergeCell ref="B3:D3"/>
    <mergeCell ref="E3:F3"/>
    <mergeCell ref="G3:G4"/>
    <mergeCell ref="H3:H4"/>
    <mergeCell ref="I3:J3"/>
    <mergeCell ref="K3:L3"/>
  </mergeCells>
  <printOptions horizontalCentered="1"/>
  <pageMargins left="0.78431372549019618" right="0.78431372549019618" top="0.98039215686274517" bottom="0.98039215686274517" header="0.50980392156862753" footer="0.50980392156862753"/>
  <pageSetup paperSize="9" scale="84" fitToHeight="0" orientation="landscape"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workbookViewId="0">
      <selection activeCell="B6" sqref="B6"/>
    </sheetView>
  </sheetViews>
  <sheetFormatPr defaultColWidth="9.140625" defaultRowHeight="15" x14ac:dyDescent="0.25"/>
  <cols>
    <col min="1" max="11" width="14.5703125" style="127" bestFit="1" customWidth="1"/>
    <col min="12" max="12" width="4.5703125" style="127" bestFit="1" customWidth="1"/>
    <col min="13" max="16384" width="9.140625" style="127"/>
  </cols>
  <sheetData>
    <row r="1" spans="1:11" x14ac:dyDescent="0.25">
      <c r="A1" s="293" t="s">
        <v>33</v>
      </c>
      <c r="B1" s="293"/>
      <c r="C1" s="293"/>
      <c r="D1" s="293"/>
      <c r="E1" s="293"/>
      <c r="F1" s="293"/>
      <c r="G1" s="293"/>
      <c r="H1" s="293"/>
      <c r="I1" s="293"/>
      <c r="J1" s="293"/>
      <c r="K1" s="293"/>
    </row>
    <row r="2" spans="1:11" s="603" customFormat="1" x14ac:dyDescent="0.25">
      <c r="A2" s="1376" t="s">
        <v>172</v>
      </c>
      <c r="B2" s="1381" t="s">
        <v>308</v>
      </c>
      <c r="C2" s="1382"/>
      <c r="D2" s="1382"/>
      <c r="E2" s="1382"/>
      <c r="F2" s="1383"/>
      <c r="G2" s="1381" t="s">
        <v>547</v>
      </c>
      <c r="H2" s="1382"/>
      <c r="I2" s="1382"/>
      <c r="J2" s="1382"/>
      <c r="K2" s="1383"/>
    </row>
    <row r="3" spans="1:11" s="603" customFormat="1" x14ac:dyDescent="0.25">
      <c r="A3" s="1324"/>
      <c r="B3" s="825" t="s">
        <v>548</v>
      </c>
      <c r="C3" s="825" t="s">
        <v>310</v>
      </c>
      <c r="D3" s="825" t="s">
        <v>80</v>
      </c>
      <c r="E3" s="825" t="s">
        <v>311</v>
      </c>
      <c r="F3" s="825" t="s">
        <v>306</v>
      </c>
      <c r="G3" s="825" t="s">
        <v>548</v>
      </c>
      <c r="H3" s="825" t="s">
        <v>310</v>
      </c>
      <c r="I3" s="825" t="s">
        <v>80</v>
      </c>
      <c r="J3" s="825" t="s">
        <v>311</v>
      </c>
      <c r="K3" s="825" t="s">
        <v>306</v>
      </c>
    </row>
    <row r="4" spans="1:11" s="603" customFormat="1" x14ac:dyDescent="0.25">
      <c r="A4" s="1157" t="s">
        <v>532</v>
      </c>
      <c r="B4" s="793">
        <v>68.718276651998536</v>
      </c>
      <c r="C4" s="793">
        <v>1.8481793310764119</v>
      </c>
      <c r="D4" s="793">
        <v>0</v>
      </c>
      <c r="E4" s="793">
        <v>0</v>
      </c>
      <c r="F4" s="793">
        <v>29.433544016925051</v>
      </c>
      <c r="G4" s="793">
        <v>18.311075544613018</v>
      </c>
      <c r="H4" s="793">
        <v>0</v>
      </c>
      <c r="I4" s="793">
        <v>0</v>
      </c>
      <c r="J4" s="793">
        <v>0</v>
      </c>
      <c r="K4" s="793">
        <v>81.688924455386967</v>
      </c>
    </row>
    <row r="5" spans="1:11" s="603" customFormat="1" x14ac:dyDescent="0.25">
      <c r="A5" s="1158" t="s">
        <v>1413</v>
      </c>
      <c r="B5" s="826">
        <f>AVERAGE(B6:B7)</f>
        <v>70.383469616487943</v>
      </c>
      <c r="C5" s="826">
        <f t="shared" ref="C5:F5" si="0">AVERAGE(C6:C7)</f>
        <v>1.27431067738158</v>
      </c>
      <c r="D5" s="826">
        <f t="shared" si="0"/>
        <v>0</v>
      </c>
      <c r="E5" s="826">
        <f t="shared" si="0"/>
        <v>0</v>
      </c>
      <c r="F5" s="826">
        <f t="shared" si="0"/>
        <v>28.342219706130486</v>
      </c>
      <c r="G5" s="827">
        <f>INDEX(G6:G17,COUNT(G6:G17))</f>
        <v>38.257287909554464</v>
      </c>
      <c r="H5" s="827">
        <f>INDEX(H6:H17,COUNT(H6:H17))</f>
        <v>0</v>
      </c>
      <c r="I5" s="827">
        <f>INDEX(I6:I17,COUNT(I6:I17))</f>
        <v>0</v>
      </c>
      <c r="J5" s="827">
        <f>INDEX(J6:J17,COUNT(J6:J17))</f>
        <v>0</v>
      </c>
      <c r="K5" s="827">
        <f>INDEX(K6:K17,COUNT(K6:K17))</f>
        <v>61.742712090445529</v>
      </c>
    </row>
    <row r="6" spans="1:11" s="603" customFormat="1" x14ac:dyDescent="0.25">
      <c r="A6" s="221">
        <v>45383</v>
      </c>
      <c r="B6" s="582">
        <v>70.756085780896157</v>
      </c>
      <c r="C6" s="582">
        <v>1.3804805299891896</v>
      </c>
      <c r="D6" s="582">
        <v>0</v>
      </c>
      <c r="E6" s="582">
        <v>0</v>
      </c>
      <c r="F6" s="582">
        <v>27.863433689114665</v>
      </c>
      <c r="G6" s="582">
        <v>33.470142878797262</v>
      </c>
      <c r="H6" s="582">
        <v>4.4074680334304752E-4</v>
      </c>
      <c r="I6" s="582">
        <v>0</v>
      </c>
      <c r="J6" s="582">
        <v>0</v>
      </c>
      <c r="K6" s="582">
        <v>66.529416374399403</v>
      </c>
    </row>
    <row r="7" spans="1:11" s="603" customFormat="1" x14ac:dyDescent="0.25">
      <c r="A7" s="221">
        <v>45413</v>
      </c>
      <c r="B7" s="582">
        <v>70.010853452079729</v>
      </c>
      <c r="C7" s="582">
        <v>1.1681408247739702</v>
      </c>
      <c r="D7" s="582">
        <v>0</v>
      </c>
      <c r="E7" s="582">
        <v>0</v>
      </c>
      <c r="F7" s="582">
        <v>28.821005723146303</v>
      </c>
      <c r="G7" s="582">
        <v>38.257287909554464</v>
      </c>
      <c r="H7" s="582">
        <v>0</v>
      </c>
      <c r="I7" s="582">
        <v>0</v>
      </c>
      <c r="J7" s="582">
        <v>0</v>
      </c>
      <c r="K7" s="582">
        <v>61.742712090445529</v>
      </c>
    </row>
    <row r="8" spans="1:11" s="603" customFormat="1" x14ac:dyDescent="0.25">
      <c r="A8" s="221">
        <v>45444</v>
      </c>
      <c r="B8" s="582"/>
      <c r="C8" s="582"/>
      <c r="D8" s="582"/>
      <c r="E8" s="582"/>
      <c r="F8" s="582"/>
      <c r="G8" s="582"/>
      <c r="H8" s="582"/>
      <c r="I8" s="582"/>
      <c r="J8" s="582"/>
      <c r="K8" s="582"/>
    </row>
    <row r="9" spans="1:11" s="603" customFormat="1" x14ac:dyDescent="0.25">
      <c r="A9" s="221">
        <v>45474</v>
      </c>
      <c r="B9" s="582"/>
      <c r="C9" s="582"/>
      <c r="D9" s="582"/>
      <c r="E9" s="582"/>
      <c r="F9" s="582"/>
      <c r="G9" s="582"/>
      <c r="H9" s="582"/>
      <c r="I9" s="582"/>
      <c r="J9" s="582"/>
      <c r="K9" s="582"/>
    </row>
    <row r="10" spans="1:11" s="603" customFormat="1" x14ac:dyDescent="0.25">
      <c r="A10" s="221">
        <v>45505</v>
      </c>
      <c r="B10" s="582"/>
      <c r="C10" s="582"/>
      <c r="D10" s="582"/>
      <c r="E10" s="582"/>
      <c r="F10" s="582"/>
      <c r="G10" s="582"/>
      <c r="H10" s="582"/>
      <c r="I10" s="582"/>
      <c r="J10" s="582"/>
      <c r="K10" s="582"/>
    </row>
    <row r="11" spans="1:11" s="603" customFormat="1" x14ac:dyDescent="0.25">
      <c r="A11" s="221">
        <v>45536</v>
      </c>
      <c r="B11" s="582"/>
      <c r="C11" s="582"/>
      <c r="D11" s="582"/>
      <c r="E11" s="582"/>
      <c r="F11" s="582"/>
      <c r="G11" s="582"/>
      <c r="H11" s="582"/>
      <c r="I11" s="582"/>
      <c r="J11" s="582"/>
      <c r="K11" s="582"/>
    </row>
    <row r="12" spans="1:11" s="603" customFormat="1" x14ac:dyDescent="0.25">
      <c r="A12" s="221">
        <v>45566</v>
      </c>
      <c r="B12" s="582"/>
      <c r="C12" s="582"/>
      <c r="D12" s="582"/>
      <c r="E12" s="582"/>
      <c r="F12" s="582"/>
      <c r="G12" s="582"/>
      <c r="H12" s="582"/>
      <c r="I12" s="582"/>
      <c r="J12" s="582"/>
      <c r="K12" s="582"/>
    </row>
    <row r="13" spans="1:11" s="603" customFormat="1" x14ac:dyDescent="0.25">
      <c r="A13" s="221">
        <v>45597</v>
      </c>
      <c r="B13" s="582"/>
      <c r="C13" s="582"/>
      <c r="D13" s="582"/>
      <c r="E13" s="582"/>
      <c r="F13" s="582"/>
      <c r="G13" s="582"/>
      <c r="H13" s="582"/>
      <c r="I13" s="582"/>
      <c r="J13" s="582"/>
      <c r="K13" s="582"/>
    </row>
    <row r="14" spans="1:11" s="603" customFormat="1" x14ac:dyDescent="0.25">
      <c r="A14" s="221">
        <v>45627</v>
      </c>
      <c r="B14" s="582"/>
      <c r="C14" s="582"/>
      <c r="D14" s="582"/>
      <c r="E14" s="582"/>
      <c r="F14" s="582"/>
      <c r="G14" s="582"/>
      <c r="H14" s="582"/>
      <c r="I14" s="582"/>
      <c r="J14" s="582"/>
      <c r="K14" s="582"/>
    </row>
    <row r="15" spans="1:11" s="603" customFormat="1" x14ac:dyDescent="0.25">
      <c r="A15" s="221">
        <v>45658</v>
      </c>
      <c r="B15" s="582"/>
      <c r="C15" s="582"/>
      <c r="D15" s="582"/>
      <c r="E15" s="582"/>
      <c r="F15" s="582"/>
      <c r="G15" s="582"/>
      <c r="H15" s="582"/>
      <c r="I15" s="582"/>
      <c r="J15" s="582"/>
      <c r="K15" s="582"/>
    </row>
    <row r="16" spans="1:11" s="603" customFormat="1" x14ac:dyDescent="0.25">
      <c r="A16" s="221">
        <v>45689</v>
      </c>
      <c r="B16" s="582"/>
      <c r="C16" s="582"/>
      <c r="D16" s="582"/>
      <c r="E16" s="582"/>
      <c r="F16" s="582"/>
      <c r="G16" s="582"/>
      <c r="H16" s="582"/>
      <c r="I16" s="582"/>
      <c r="J16" s="582"/>
      <c r="K16" s="582"/>
    </row>
    <row r="17" spans="1:11" s="603" customFormat="1" x14ac:dyDescent="0.25">
      <c r="A17" s="221">
        <v>45717</v>
      </c>
      <c r="B17" s="582"/>
      <c r="C17" s="582"/>
      <c r="D17" s="582"/>
      <c r="E17" s="582"/>
      <c r="F17" s="582"/>
      <c r="G17" s="582"/>
      <c r="H17" s="582"/>
      <c r="I17" s="582"/>
      <c r="J17" s="582"/>
      <c r="K17" s="582"/>
    </row>
    <row r="18" spans="1:11" s="603" customFormat="1" x14ac:dyDescent="0.25">
      <c r="A18" s="168"/>
      <c r="B18" s="288"/>
      <c r="C18" s="288"/>
      <c r="D18" s="288"/>
      <c r="E18" s="288"/>
      <c r="F18" s="288"/>
      <c r="G18" s="288"/>
      <c r="H18" s="288"/>
      <c r="I18" s="288"/>
      <c r="J18" s="288"/>
      <c r="K18" s="288"/>
    </row>
    <row r="19" spans="1:11" s="603" customFormat="1" x14ac:dyDescent="0.25">
      <c r="A19" s="1284" t="s">
        <v>312</v>
      </c>
      <c r="B19" s="1284"/>
      <c r="C19" s="1284"/>
      <c r="D19" s="1284"/>
      <c r="E19" s="1284"/>
      <c r="F19" s="1284"/>
      <c r="G19" s="1284"/>
      <c r="H19" s="1284"/>
      <c r="I19" s="1284"/>
      <c r="J19" s="1284"/>
      <c r="K19" s="1284"/>
    </row>
    <row r="20" spans="1:11" s="603" customFormat="1" x14ac:dyDescent="0.25">
      <c r="A20" s="1126" t="s">
        <v>1401</v>
      </c>
    </row>
    <row r="21" spans="1:11" s="603" customFormat="1" x14ac:dyDescent="0.25">
      <c r="A21" s="127"/>
      <c r="B21" s="127"/>
      <c r="C21" s="127"/>
      <c r="D21" s="127"/>
      <c r="E21" s="127"/>
      <c r="F21" s="127"/>
      <c r="G21" s="127"/>
      <c r="H21" s="127"/>
      <c r="I21" s="127"/>
      <c r="J21" s="127"/>
      <c r="K21" s="127"/>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workbookViewId="0">
      <selection activeCell="F11" sqref="F11"/>
    </sheetView>
  </sheetViews>
  <sheetFormatPr defaultColWidth="9.140625" defaultRowHeight="15" x14ac:dyDescent="0.25"/>
  <cols>
    <col min="1" max="11" width="14.5703125" style="127" bestFit="1" customWidth="1"/>
    <col min="12" max="12" width="5" style="127" bestFit="1" customWidth="1"/>
    <col min="13" max="16384" width="9.140625" style="127"/>
  </cols>
  <sheetData>
    <row r="1" spans="1:11" x14ac:dyDescent="0.25">
      <c r="A1" s="293" t="s">
        <v>34</v>
      </c>
      <c r="B1" s="293"/>
      <c r="C1" s="293"/>
      <c r="D1" s="293"/>
      <c r="E1" s="293"/>
      <c r="F1" s="293"/>
      <c r="G1" s="293"/>
      <c r="H1" s="293"/>
      <c r="I1" s="293"/>
      <c r="J1" s="293"/>
      <c r="K1" s="293"/>
    </row>
    <row r="2" spans="1:11" s="603" customFormat="1" x14ac:dyDescent="0.25">
      <c r="A2" s="1376" t="s">
        <v>172</v>
      </c>
      <c r="B2" s="1388" t="s">
        <v>308</v>
      </c>
      <c r="C2" s="1389"/>
      <c r="D2" s="1389"/>
      <c r="E2" s="1389"/>
      <c r="F2" s="1390"/>
      <c r="G2" s="1388" t="s">
        <v>547</v>
      </c>
      <c r="H2" s="1389"/>
      <c r="I2" s="1389"/>
      <c r="J2" s="1389"/>
      <c r="K2" s="1390"/>
    </row>
    <row r="3" spans="1:11" s="603" customFormat="1" x14ac:dyDescent="0.25">
      <c r="A3" s="1324"/>
      <c r="B3" s="828" t="s">
        <v>548</v>
      </c>
      <c r="C3" s="828" t="s">
        <v>310</v>
      </c>
      <c r="D3" s="828" t="s">
        <v>80</v>
      </c>
      <c r="E3" s="828" t="s">
        <v>311</v>
      </c>
      <c r="F3" s="828" t="s">
        <v>306</v>
      </c>
      <c r="G3" s="828" t="s">
        <v>548</v>
      </c>
      <c r="H3" s="828" t="s">
        <v>310</v>
      </c>
      <c r="I3" s="828" t="s">
        <v>80</v>
      </c>
      <c r="J3" s="828" t="s">
        <v>311</v>
      </c>
      <c r="K3" s="828" t="s">
        <v>306</v>
      </c>
    </row>
    <row r="4" spans="1:11" s="603" customFormat="1" x14ac:dyDescent="0.25">
      <c r="A4" s="1157" t="s">
        <v>532</v>
      </c>
      <c r="B4" s="793">
        <v>59.72</v>
      </c>
      <c r="C4" s="793">
        <v>6</v>
      </c>
      <c r="D4" s="793">
        <v>0.03</v>
      </c>
      <c r="E4" s="793">
        <v>0</v>
      </c>
      <c r="F4" s="793">
        <v>34.25</v>
      </c>
      <c r="G4" s="793">
        <v>22.74</v>
      </c>
      <c r="H4" s="793">
        <v>20.55</v>
      </c>
      <c r="I4" s="793">
        <v>8.4</v>
      </c>
      <c r="J4" s="793">
        <v>0</v>
      </c>
      <c r="K4" s="793">
        <v>48.31</v>
      </c>
    </row>
    <row r="5" spans="1:11" s="603" customFormat="1" x14ac:dyDescent="0.25">
      <c r="A5" s="1158" t="s">
        <v>1413</v>
      </c>
      <c r="B5" s="1063">
        <f>AVERAGE(B6:B7)</f>
        <v>59</v>
      </c>
      <c r="C5" s="1063">
        <f t="shared" ref="C5:F5" si="0">AVERAGE(C6:C7)</f>
        <v>7.3100000000000005</v>
      </c>
      <c r="D5" s="1063">
        <f t="shared" si="0"/>
        <v>0.04</v>
      </c>
      <c r="E5" s="1063">
        <f t="shared" si="0"/>
        <v>0</v>
      </c>
      <c r="F5" s="1063">
        <f t="shared" si="0"/>
        <v>33.64</v>
      </c>
      <c r="G5" s="797">
        <f>INDEX(G6:G17,COUNT(G6:G17))</f>
        <v>20.46</v>
      </c>
      <c r="H5" s="797">
        <f>INDEX(H6:H17,COUNT(H6:H17))</f>
        <v>23.88</v>
      </c>
      <c r="I5" s="797">
        <f>INDEX(I6:I17,COUNT(I6:I17))</f>
        <v>8.77</v>
      </c>
      <c r="J5" s="797">
        <f>INDEX(J6:J17,COUNT(J6:J17))</f>
        <v>0</v>
      </c>
      <c r="K5" s="797">
        <f>INDEX(K6:K17,COUNT(K6:K17))</f>
        <v>46.89</v>
      </c>
    </row>
    <row r="6" spans="1:11" s="603" customFormat="1" x14ac:dyDescent="0.25">
      <c r="A6" s="221">
        <v>45383</v>
      </c>
      <c r="B6" s="582">
        <v>58.53</v>
      </c>
      <c r="C6" s="582">
        <v>7.66</v>
      </c>
      <c r="D6" s="582">
        <v>0.04</v>
      </c>
      <c r="E6" s="582">
        <v>0</v>
      </c>
      <c r="F6" s="582">
        <v>33.76</v>
      </c>
      <c r="G6" s="582">
        <v>20.49</v>
      </c>
      <c r="H6" s="582">
        <v>18.71</v>
      </c>
      <c r="I6" s="582">
        <v>6.83</v>
      </c>
      <c r="J6" s="582">
        <v>0</v>
      </c>
      <c r="K6" s="582">
        <v>53.97</v>
      </c>
    </row>
    <row r="7" spans="1:11" s="603" customFormat="1" x14ac:dyDescent="0.25">
      <c r="A7" s="221">
        <v>45413</v>
      </c>
      <c r="B7" s="582">
        <v>59.47</v>
      </c>
      <c r="C7" s="582">
        <v>6.96</v>
      </c>
      <c r="D7" s="582">
        <v>0.04</v>
      </c>
      <c r="E7" s="582">
        <v>0</v>
      </c>
      <c r="F7" s="582">
        <v>33.520000000000003</v>
      </c>
      <c r="G7" s="582">
        <v>20.46</v>
      </c>
      <c r="H7" s="582">
        <v>23.88</v>
      </c>
      <c r="I7" s="582">
        <v>8.77</v>
      </c>
      <c r="J7" s="582">
        <v>0</v>
      </c>
      <c r="K7" s="582">
        <v>46.89</v>
      </c>
    </row>
    <row r="8" spans="1:11" s="603" customFormat="1" x14ac:dyDescent="0.25">
      <c r="A8" s="221">
        <v>45444</v>
      </c>
      <c r="B8" s="582"/>
      <c r="C8" s="582"/>
      <c r="D8" s="582"/>
      <c r="E8" s="582"/>
      <c r="F8" s="582"/>
      <c r="G8" s="582"/>
      <c r="H8" s="582"/>
      <c r="I8" s="582"/>
      <c r="J8" s="582"/>
      <c r="K8" s="582"/>
    </row>
    <row r="9" spans="1:11" s="603" customFormat="1" x14ac:dyDescent="0.25">
      <c r="A9" s="221">
        <v>45474</v>
      </c>
      <c r="B9" s="582"/>
      <c r="C9" s="582"/>
      <c r="D9" s="582"/>
      <c r="E9" s="582"/>
      <c r="F9" s="582"/>
      <c r="G9" s="582"/>
      <c r="H9" s="582"/>
      <c r="I9" s="582"/>
      <c r="J9" s="582"/>
      <c r="K9" s="582"/>
    </row>
    <row r="10" spans="1:11" s="603" customFormat="1" x14ac:dyDescent="0.25">
      <c r="A10" s="221">
        <v>45505</v>
      </c>
      <c r="B10" s="582"/>
      <c r="C10" s="582"/>
      <c r="D10" s="582"/>
      <c r="E10" s="582"/>
      <c r="F10" s="582"/>
      <c r="G10" s="582"/>
      <c r="H10" s="582"/>
      <c r="I10" s="582"/>
      <c r="J10" s="582"/>
      <c r="K10" s="582"/>
    </row>
    <row r="11" spans="1:11" s="603" customFormat="1" x14ac:dyDescent="0.25">
      <c r="A11" s="221">
        <v>45536</v>
      </c>
      <c r="B11" s="582"/>
      <c r="C11" s="582"/>
      <c r="D11" s="582"/>
      <c r="E11" s="582"/>
      <c r="F11" s="582"/>
      <c r="G11" s="582"/>
      <c r="H11" s="582"/>
      <c r="I11" s="582"/>
      <c r="J11" s="582"/>
      <c r="K11" s="582"/>
    </row>
    <row r="12" spans="1:11" s="603" customFormat="1" x14ac:dyDescent="0.25">
      <c r="A12" s="221">
        <v>45566</v>
      </c>
      <c r="B12" s="582"/>
      <c r="C12" s="582"/>
      <c r="D12" s="582"/>
      <c r="E12" s="582"/>
      <c r="F12" s="582"/>
      <c r="G12" s="582"/>
      <c r="H12" s="582"/>
      <c r="I12" s="582"/>
      <c r="J12" s="582"/>
      <c r="K12" s="582"/>
    </row>
    <row r="13" spans="1:11" s="603" customFormat="1" x14ac:dyDescent="0.25">
      <c r="A13" s="221">
        <v>45597</v>
      </c>
      <c r="B13" s="582"/>
      <c r="C13" s="582"/>
      <c r="D13" s="582"/>
      <c r="E13" s="582"/>
      <c r="F13" s="582"/>
      <c r="G13" s="582"/>
      <c r="H13" s="582"/>
      <c r="I13" s="582"/>
      <c r="J13" s="582"/>
      <c r="K13" s="582"/>
    </row>
    <row r="14" spans="1:11" s="603" customFormat="1" x14ac:dyDescent="0.25">
      <c r="A14" s="221">
        <v>45627</v>
      </c>
      <c r="B14" s="582"/>
      <c r="C14" s="582"/>
      <c r="D14" s="582"/>
      <c r="E14" s="582"/>
      <c r="F14" s="582"/>
      <c r="G14" s="582"/>
      <c r="H14" s="582"/>
      <c r="I14" s="582"/>
      <c r="J14" s="582"/>
      <c r="K14" s="582"/>
    </row>
    <row r="15" spans="1:11" s="603" customFormat="1" x14ac:dyDescent="0.25">
      <c r="A15" s="221">
        <v>45658</v>
      </c>
      <c r="B15" s="582"/>
      <c r="C15" s="582"/>
      <c r="D15" s="582"/>
      <c r="E15" s="582"/>
      <c r="F15" s="582"/>
      <c r="G15" s="582"/>
      <c r="H15" s="582"/>
      <c r="I15" s="582"/>
      <c r="J15" s="582"/>
      <c r="K15" s="582"/>
    </row>
    <row r="16" spans="1:11" s="603" customFormat="1" x14ac:dyDescent="0.25">
      <c r="A16" s="221">
        <v>45689</v>
      </c>
      <c r="B16" s="582"/>
      <c r="C16" s="582"/>
      <c r="D16" s="582"/>
      <c r="E16" s="582"/>
      <c r="F16" s="582"/>
      <c r="G16" s="582"/>
      <c r="H16" s="582"/>
      <c r="I16" s="582"/>
      <c r="J16" s="582"/>
      <c r="K16" s="582"/>
    </row>
    <row r="17" spans="1:11" s="603" customFormat="1" x14ac:dyDescent="0.25">
      <c r="A17" s="221">
        <v>45717</v>
      </c>
      <c r="B17" s="622"/>
      <c r="C17" s="622"/>
      <c r="D17" s="622"/>
      <c r="E17" s="622"/>
      <c r="F17" s="622"/>
      <c r="G17" s="622"/>
      <c r="H17" s="381"/>
      <c r="I17" s="381"/>
      <c r="J17" s="624"/>
      <c r="K17" s="624"/>
    </row>
    <row r="18" spans="1:11" s="603" customFormat="1" x14ac:dyDescent="0.25">
      <c r="A18" s="168"/>
      <c r="B18" s="722"/>
      <c r="C18" s="722"/>
      <c r="D18" s="722"/>
      <c r="E18" s="722"/>
      <c r="F18" s="722"/>
      <c r="G18" s="722"/>
      <c r="H18" s="722"/>
      <c r="I18" s="722"/>
      <c r="J18" s="722"/>
      <c r="K18" s="722"/>
    </row>
    <row r="19" spans="1:11" s="603" customFormat="1" ht="15" customHeight="1" x14ac:dyDescent="0.25">
      <c r="A19" s="1316" t="s">
        <v>314</v>
      </c>
      <c r="B19" s="1316"/>
      <c r="C19" s="1316"/>
      <c r="D19" s="1316"/>
      <c r="E19" s="1316"/>
      <c r="F19" s="1316"/>
      <c r="G19" s="1316"/>
      <c r="H19" s="1316"/>
      <c r="I19" s="1316"/>
      <c r="J19" s="1316"/>
      <c r="K19" s="1316"/>
    </row>
    <row r="20" spans="1:11" s="603" customFormat="1" x14ac:dyDescent="0.25">
      <c r="A20" s="1126" t="s">
        <v>1401</v>
      </c>
    </row>
    <row r="21" spans="1:11" s="603" customFormat="1" x14ac:dyDescent="0.25">
      <c r="A21" s="127"/>
      <c r="B21" s="127"/>
      <c r="C21" s="127"/>
      <c r="D21" s="127"/>
      <c r="E21" s="127"/>
      <c r="F21" s="127"/>
      <c r="G21" s="127"/>
      <c r="H21" s="127"/>
      <c r="I21" s="127"/>
      <c r="J21" s="127"/>
      <c r="K21" s="127"/>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workbookViewId="0">
      <selection activeCell="G11" sqref="G11"/>
    </sheetView>
  </sheetViews>
  <sheetFormatPr defaultColWidth="9.140625" defaultRowHeight="15" x14ac:dyDescent="0.25"/>
  <cols>
    <col min="1" max="7" width="14.5703125" style="127" bestFit="1" customWidth="1"/>
    <col min="8" max="8" width="15" style="127" bestFit="1" customWidth="1"/>
    <col min="9" max="9" width="14.42578125" style="127" bestFit="1" customWidth="1"/>
    <col min="10" max="11" width="14.5703125" style="127" bestFit="1" customWidth="1"/>
    <col min="12" max="12" width="4.5703125" style="127" bestFit="1" customWidth="1"/>
    <col min="13" max="16384" width="9.140625" style="127"/>
  </cols>
  <sheetData>
    <row r="1" spans="1:11" x14ac:dyDescent="0.25">
      <c r="A1" s="293" t="s">
        <v>35</v>
      </c>
      <c r="B1" s="293"/>
      <c r="C1" s="293"/>
      <c r="D1" s="293"/>
      <c r="E1" s="293"/>
      <c r="F1" s="293"/>
      <c r="G1" s="293"/>
      <c r="H1" s="293"/>
    </row>
    <row r="2" spans="1:11" s="603" customFormat="1" ht="18" customHeight="1" x14ac:dyDescent="0.25">
      <c r="A2" s="1388" t="s">
        <v>549</v>
      </c>
      <c r="B2" s="1389"/>
      <c r="C2" s="1389"/>
      <c r="D2" s="1389"/>
      <c r="E2" s="1389"/>
      <c r="F2" s="1389"/>
      <c r="G2" s="1389"/>
      <c r="H2" s="1389"/>
      <c r="I2" s="1389"/>
      <c r="J2" s="1389"/>
      <c r="K2" s="1390"/>
    </row>
    <row r="3" spans="1:11" s="603" customFormat="1" ht="27.75" customHeight="1" x14ac:dyDescent="0.25">
      <c r="A3" s="829" t="s">
        <v>172</v>
      </c>
      <c r="B3" s="787" t="s">
        <v>550</v>
      </c>
      <c r="C3" s="787" t="s">
        <v>551</v>
      </c>
      <c r="D3" s="787" t="s">
        <v>552</v>
      </c>
      <c r="E3" s="787" t="s">
        <v>553</v>
      </c>
      <c r="F3" s="787" t="s">
        <v>554</v>
      </c>
      <c r="G3" s="787" t="s">
        <v>476</v>
      </c>
      <c r="H3" s="787" t="s">
        <v>555</v>
      </c>
      <c r="I3" s="787" t="s">
        <v>556</v>
      </c>
      <c r="J3" s="787" t="s">
        <v>557</v>
      </c>
      <c r="K3" s="787" t="s">
        <v>558</v>
      </c>
    </row>
    <row r="4" spans="1:11" s="132" customFormat="1" ht="18" customHeight="1" x14ac:dyDescent="0.25">
      <c r="A4" s="1157" t="s">
        <v>532</v>
      </c>
      <c r="B4" s="830">
        <v>100</v>
      </c>
      <c r="C4" s="830">
        <v>1.2745228704333337E-4</v>
      </c>
      <c r="D4" s="793">
        <v>6.3109314694256465E-3</v>
      </c>
      <c r="E4" s="793">
        <v>0</v>
      </c>
      <c r="F4" s="793">
        <v>0</v>
      </c>
      <c r="G4" s="793">
        <v>0</v>
      </c>
      <c r="H4" s="793">
        <v>0</v>
      </c>
      <c r="I4" s="793">
        <v>0</v>
      </c>
      <c r="J4" s="793">
        <v>0</v>
      </c>
      <c r="K4" s="793">
        <v>0</v>
      </c>
    </row>
    <row r="5" spans="1:11" s="132" customFormat="1" ht="18" customHeight="1" x14ac:dyDescent="0.25">
      <c r="A5" s="1158" t="s">
        <v>1413</v>
      </c>
      <c r="B5" s="1063">
        <f>AVERAGE(B6:B7)</f>
        <v>71.399924642697414</v>
      </c>
      <c r="C5" s="1063">
        <f t="shared" ref="C5:K5" si="0">AVERAGE(C6:C7)</f>
        <v>0</v>
      </c>
      <c r="D5" s="1063">
        <f t="shared" si="0"/>
        <v>28.600075357302579</v>
      </c>
      <c r="E5" s="1063">
        <f t="shared" si="0"/>
        <v>0</v>
      </c>
      <c r="F5" s="1063">
        <f t="shared" si="0"/>
        <v>0</v>
      </c>
      <c r="G5" s="1063">
        <f t="shared" si="0"/>
        <v>0</v>
      </c>
      <c r="H5" s="1063">
        <f t="shared" si="0"/>
        <v>0</v>
      </c>
      <c r="I5" s="1063">
        <f t="shared" si="0"/>
        <v>0</v>
      </c>
      <c r="J5" s="1063">
        <f t="shared" si="0"/>
        <v>0</v>
      </c>
      <c r="K5" s="1063">
        <f t="shared" si="0"/>
        <v>0</v>
      </c>
    </row>
    <row r="6" spans="1:11" s="603" customFormat="1" ht="18" customHeight="1" x14ac:dyDescent="0.25">
      <c r="A6" s="221">
        <v>45383</v>
      </c>
      <c r="B6" s="581">
        <v>69.021602752768388</v>
      </c>
      <c r="C6" s="581">
        <v>0</v>
      </c>
      <c r="D6" s="582">
        <v>30.978397247231619</v>
      </c>
      <c r="E6" s="582">
        <v>0</v>
      </c>
      <c r="F6" s="582">
        <v>0</v>
      </c>
      <c r="G6" s="582">
        <v>0</v>
      </c>
      <c r="H6" s="582">
        <v>0</v>
      </c>
      <c r="I6" s="582">
        <v>0</v>
      </c>
      <c r="J6" s="582">
        <v>0</v>
      </c>
      <c r="K6" s="582">
        <v>0</v>
      </c>
    </row>
    <row r="7" spans="1:11" s="603" customFormat="1" ht="18" customHeight="1" x14ac:dyDescent="0.25">
      <c r="A7" s="221">
        <v>45413</v>
      </c>
      <c r="B7" s="581">
        <v>73.77824653262644</v>
      </c>
      <c r="C7" s="581">
        <v>0</v>
      </c>
      <c r="D7" s="582">
        <v>26.221753467373542</v>
      </c>
      <c r="E7" s="582">
        <v>0</v>
      </c>
      <c r="F7" s="582">
        <v>0</v>
      </c>
      <c r="G7" s="582">
        <v>0</v>
      </c>
      <c r="H7" s="582">
        <v>0</v>
      </c>
      <c r="I7" s="582">
        <v>0</v>
      </c>
      <c r="J7" s="582">
        <v>0</v>
      </c>
      <c r="K7" s="582">
        <v>0</v>
      </c>
    </row>
    <row r="8" spans="1:11" s="603" customFormat="1" ht="18" customHeight="1" x14ac:dyDescent="0.25">
      <c r="A8" s="221">
        <v>45444</v>
      </c>
      <c r="B8" s="581"/>
      <c r="C8" s="581"/>
      <c r="D8" s="582"/>
      <c r="E8" s="582"/>
      <c r="F8" s="582"/>
      <c r="G8" s="582"/>
      <c r="H8" s="582"/>
      <c r="I8" s="582"/>
      <c r="J8" s="582"/>
      <c r="K8" s="582"/>
    </row>
    <row r="9" spans="1:11" s="603" customFormat="1" ht="18" customHeight="1" x14ac:dyDescent="0.25">
      <c r="A9" s="221">
        <v>45474</v>
      </c>
      <c r="B9" s="581"/>
      <c r="C9" s="581"/>
      <c r="D9" s="582"/>
      <c r="E9" s="582"/>
      <c r="F9" s="582"/>
      <c r="G9" s="582"/>
      <c r="H9" s="582"/>
      <c r="I9" s="582"/>
      <c r="J9" s="582"/>
      <c r="K9" s="582"/>
    </row>
    <row r="10" spans="1:11" s="603" customFormat="1" ht="18" customHeight="1" x14ac:dyDescent="0.25">
      <c r="A10" s="221">
        <v>45505</v>
      </c>
      <c r="B10" s="581"/>
      <c r="C10" s="581"/>
      <c r="D10" s="582"/>
      <c r="E10" s="582"/>
      <c r="F10" s="582"/>
      <c r="G10" s="582"/>
      <c r="H10" s="582"/>
      <c r="I10" s="582"/>
      <c r="J10" s="582"/>
      <c r="K10" s="582"/>
    </row>
    <row r="11" spans="1:11" s="603" customFormat="1" ht="14.25" customHeight="1" x14ac:dyDescent="0.25">
      <c r="A11" s="221">
        <v>45536</v>
      </c>
      <c r="B11" s="581"/>
      <c r="C11" s="581"/>
      <c r="D11" s="582"/>
      <c r="E11" s="582"/>
      <c r="F11" s="582"/>
      <c r="G11" s="582"/>
      <c r="H11" s="582"/>
      <c r="I11" s="582"/>
      <c r="J11" s="582"/>
      <c r="K11" s="582"/>
    </row>
    <row r="12" spans="1:11" s="603" customFormat="1" ht="13.5" customHeight="1" x14ac:dyDescent="0.25">
      <c r="A12" s="221">
        <v>45566</v>
      </c>
      <c r="B12" s="581"/>
      <c r="C12" s="581"/>
      <c r="D12" s="582"/>
      <c r="E12" s="582"/>
      <c r="F12" s="582"/>
      <c r="G12" s="582"/>
      <c r="H12" s="582"/>
      <c r="I12" s="582"/>
      <c r="J12" s="582"/>
      <c r="K12" s="582"/>
    </row>
    <row r="13" spans="1:11" s="603" customFormat="1" x14ac:dyDescent="0.25">
      <c r="A13" s="221">
        <v>45597</v>
      </c>
      <c r="B13" s="581"/>
      <c r="C13" s="581"/>
      <c r="D13" s="582"/>
      <c r="E13" s="582"/>
      <c r="F13" s="582"/>
      <c r="G13" s="582"/>
      <c r="H13" s="582"/>
      <c r="I13" s="582"/>
      <c r="J13" s="582"/>
      <c r="K13" s="582"/>
    </row>
    <row r="14" spans="1:11" s="603" customFormat="1" x14ac:dyDescent="0.25">
      <c r="A14" s="221">
        <v>45627</v>
      </c>
      <c r="B14" s="581"/>
      <c r="C14" s="581"/>
      <c r="D14" s="582"/>
      <c r="E14" s="582"/>
      <c r="F14" s="582"/>
      <c r="G14" s="582"/>
      <c r="H14" s="582"/>
      <c r="I14" s="582"/>
      <c r="J14" s="582"/>
      <c r="K14" s="582"/>
    </row>
    <row r="15" spans="1:11" s="603" customFormat="1" x14ac:dyDescent="0.25">
      <c r="A15" s="221">
        <v>45658</v>
      </c>
      <c r="B15" s="581"/>
      <c r="C15" s="581"/>
      <c r="D15" s="582"/>
      <c r="E15" s="582"/>
      <c r="F15" s="582"/>
      <c r="G15" s="582"/>
      <c r="H15" s="582"/>
      <c r="I15" s="582"/>
      <c r="J15" s="582"/>
      <c r="K15" s="582"/>
    </row>
    <row r="16" spans="1:11" s="603" customFormat="1" x14ac:dyDescent="0.25">
      <c r="A16" s="221">
        <v>45689</v>
      </c>
      <c r="B16" s="581"/>
      <c r="C16" s="581"/>
      <c r="D16" s="582"/>
      <c r="E16" s="582"/>
      <c r="F16" s="582"/>
      <c r="G16" s="582"/>
      <c r="H16" s="582"/>
      <c r="I16" s="582"/>
      <c r="J16" s="582"/>
      <c r="K16" s="582"/>
    </row>
    <row r="17" spans="1:11" s="603" customFormat="1" x14ac:dyDescent="0.25">
      <c r="A17" s="221">
        <v>45717</v>
      </c>
      <c r="B17" s="581"/>
      <c r="C17" s="581"/>
      <c r="D17" s="582"/>
      <c r="E17" s="582"/>
      <c r="F17" s="582"/>
      <c r="G17" s="582"/>
      <c r="H17" s="582"/>
      <c r="I17" s="582"/>
      <c r="J17" s="582"/>
      <c r="K17" s="582"/>
    </row>
    <row r="18" spans="1:11" s="603" customFormat="1" x14ac:dyDescent="0.25">
      <c r="A18" s="168"/>
      <c r="B18" s="722"/>
      <c r="C18" s="722"/>
      <c r="D18" s="722"/>
      <c r="E18" s="722"/>
      <c r="F18" s="722"/>
      <c r="G18" s="722"/>
      <c r="H18" s="722"/>
      <c r="I18" s="722"/>
      <c r="J18" s="722"/>
      <c r="K18" s="722"/>
    </row>
    <row r="19" spans="1:11" s="603" customFormat="1" x14ac:dyDescent="0.25">
      <c r="A19" s="1284" t="s">
        <v>312</v>
      </c>
      <c r="B19" s="1284"/>
      <c r="C19" s="1284"/>
      <c r="D19" s="1284"/>
      <c r="E19" s="1284"/>
      <c r="F19" s="1284"/>
    </row>
    <row r="20" spans="1:11" s="603" customFormat="1" x14ac:dyDescent="0.25">
      <c r="A20" s="1126" t="s">
        <v>1401</v>
      </c>
    </row>
    <row r="21" spans="1:11" s="603" customFormat="1" x14ac:dyDescent="0.25">
      <c r="A21" s="127"/>
      <c r="B21" s="127"/>
      <c r="C21" s="127"/>
      <c r="D21" s="127"/>
      <c r="E21" s="127"/>
      <c r="F21" s="127"/>
    </row>
  </sheetData>
  <mergeCells count="2">
    <mergeCell ref="A2:K2"/>
    <mergeCell ref="A19:F19"/>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5"/>
  <sheetViews>
    <sheetView zoomScaleNormal="100" workbookViewId="0">
      <selection activeCell="J6" sqref="J6"/>
    </sheetView>
  </sheetViews>
  <sheetFormatPr defaultColWidth="9.140625" defaultRowHeight="15" x14ac:dyDescent="0.25"/>
  <cols>
    <col min="1" max="5" width="14.5703125" style="127" bestFit="1" customWidth="1"/>
    <col min="6" max="6" width="7.85546875" style="127" customWidth="1"/>
    <col min="7" max="16384" width="9.140625" style="127"/>
  </cols>
  <sheetData>
    <row r="1" spans="1:11" x14ac:dyDescent="0.25">
      <c r="A1" s="293" t="s">
        <v>36</v>
      </c>
      <c r="B1" s="293"/>
      <c r="C1" s="293"/>
      <c r="D1" s="293"/>
      <c r="E1" s="293"/>
    </row>
    <row r="2" spans="1:11" s="603" customFormat="1" x14ac:dyDescent="0.25">
      <c r="A2" s="1391" t="s">
        <v>172</v>
      </c>
      <c r="B2" s="1392" t="s">
        <v>549</v>
      </c>
      <c r="C2" s="1392"/>
      <c r="D2" s="1392"/>
      <c r="E2" s="1393"/>
    </row>
    <row r="3" spans="1:11" s="603" customFormat="1" x14ac:dyDescent="0.25">
      <c r="A3" s="1391"/>
      <c r="B3" s="646" t="s">
        <v>559</v>
      </c>
      <c r="C3" s="649" t="s">
        <v>560</v>
      </c>
      <c r="D3" s="649" t="s">
        <v>561</v>
      </c>
      <c r="E3" s="886" t="s">
        <v>562</v>
      </c>
    </row>
    <row r="4" spans="1:11" s="132" customFormat="1" x14ac:dyDescent="0.25">
      <c r="A4" s="1157" t="s">
        <v>532</v>
      </c>
      <c r="B4" s="793">
        <v>33.43</v>
      </c>
      <c r="C4" s="793">
        <v>45.18</v>
      </c>
      <c r="D4" s="793">
        <v>17.600000000000001</v>
      </c>
      <c r="E4" s="793">
        <v>3.79</v>
      </c>
    </row>
    <row r="5" spans="1:11" s="132" customFormat="1" x14ac:dyDescent="0.25">
      <c r="A5" s="1158" t="s">
        <v>1413</v>
      </c>
      <c r="B5" s="1153">
        <v>37.630000000000003</v>
      </c>
      <c r="C5" s="1153">
        <v>40.159999999999997</v>
      </c>
      <c r="D5" s="1153">
        <v>15.77</v>
      </c>
      <c r="E5" s="1153">
        <v>6.43</v>
      </c>
    </row>
    <row r="6" spans="1:11" s="603" customFormat="1" x14ac:dyDescent="0.25">
      <c r="A6" s="221">
        <v>45383</v>
      </c>
      <c r="B6" s="582">
        <v>36.08</v>
      </c>
      <c r="C6" s="582">
        <v>41.13</v>
      </c>
      <c r="D6" s="582">
        <v>16.36</v>
      </c>
      <c r="E6" s="582">
        <v>6.44</v>
      </c>
    </row>
    <row r="7" spans="1:11" s="603" customFormat="1" x14ac:dyDescent="0.25">
      <c r="A7" s="221">
        <v>45413</v>
      </c>
      <c r="B7" s="582">
        <v>39.17</v>
      </c>
      <c r="C7" s="582">
        <v>39.200000000000003</v>
      </c>
      <c r="D7" s="582">
        <v>15.19</v>
      </c>
      <c r="E7" s="582">
        <v>6.42</v>
      </c>
    </row>
    <row r="8" spans="1:11" s="603" customFormat="1" x14ac:dyDescent="0.25">
      <c r="A8" s="221">
        <v>45444</v>
      </c>
      <c r="B8" s="582"/>
      <c r="C8" s="582"/>
      <c r="D8" s="582"/>
      <c r="E8" s="582"/>
    </row>
    <row r="9" spans="1:11" s="603" customFormat="1" x14ac:dyDescent="0.25">
      <c r="A9" s="221">
        <v>45474</v>
      </c>
      <c r="B9" s="582"/>
      <c r="C9" s="582"/>
      <c r="D9" s="582"/>
      <c r="E9" s="582"/>
    </row>
    <row r="10" spans="1:11" s="603" customFormat="1" x14ac:dyDescent="0.25">
      <c r="A10" s="221">
        <v>45505</v>
      </c>
      <c r="B10" s="582"/>
      <c r="C10" s="582"/>
      <c r="D10" s="582"/>
      <c r="E10" s="582"/>
    </row>
    <row r="11" spans="1:11" s="603" customFormat="1" x14ac:dyDescent="0.25">
      <c r="A11" s="221">
        <v>45536</v>
      </c>
      <c r="B11" s="582"/>
      <c r="C11" s="582"/>
      <c r="D11" s="582"/>
      <c r="E11" s="582"/>
    </row>
    <row r="12" spans="1:11" s="603" customFormat="1" x14ac:dyDescent="0.25">
      <c r="A12" s="221">
        <v>45566</v>
      </c>
      <c r="B12" s="582"/>
      <c r="C12" s="582"/>
      <c r="D12" s="582"/>
      <c r="E12" s="582"/>
      <c r="H12" s="1083"/>
      <c r="I12" s="1083"/>
      <c r="J12" s="1083"/>
      <c r="K12" s="1083"/>
    </row>
    <row r="13" spans="1:11" s="603" customFormat="1" x14ac:dyDescent="0.25">
      <c r="A13" s="221">
        <v>45597</v>
      </c>
      <c r="B13" s="582"/>
      <c r="C13" s="582"/>
      <c r="D13" s="582"/>
      <c r="E13" s="582"/>
      <c r="F13" s="166"/>
      <c r="G13" s="166"/>
      <c r="H13" s="1084"/>
      <c r="I13" s="1084"/>
      <c r="J13" s="1083"/>
      <c r="K13" s="1083"/>
    </row>
    <row r="14" spans="1:11" s="603" customFormat="1" x14ac:dyDescent="0.25">
      <c r="A14" s="221">
        <v>45627</v>
      </c>
      <c r="B14" s="582"/>
      <c r="C14" s="582"/>
      <c r="D14" s="582"/>
      <c r="E14" s="582"/>
      <c r="F14" s="166"/>
      <c r="G14" s="166"/>
      <c r="H14" s="1084"/>
      <c r="I14" s="1084"/>
      <c r="J14" s="1083"/>
      <c r="K14" s="1083"/>
    </row>
    <row r="15" spans="1:11" s="603" customFormat="1" x14ac:dyDescent="0.25">
      <c r="A15" s="221">
        <v>45658</v>
      </c>
      <c r="B15" s="582"/>
      <c r="C15" s="582"/>
      <c r="D15" s="582"/>
      <c r="E15" s="582"/>
      <c r="F15" s="166"/>
      <c r="G15" s="166"/>
      <c r="H15" s="1084"/>
      <c r="I15" s="1084"/>
      <c r="J15" s="1083"/>
      <c r="K15" s="1083"/>
    </row>
    <row r="16" spans="1:11" s="603" customFormat="1" x14ac:dyDescent="0.25">
      <c r="A16" s="221">
        <v>45689</v>
      </c>
      <c r="B16" s="582"/>
      <c r="C16" s="582"/>
      <c r="D16" s="582"/>
      <c r="E16" s="582"/>
      <c r="F16" s="166"/>
      <c r="G16" s="166"/>
      <c r="H16" s="1084"/>
      <c r="I16" s="1084"/>
      <c r="J16" s="1083"/>
      <c r="K16" s="1083"/>
    </row>
    <row r="17" spans="1:11" s="603" customFormat="1" x14ac:dyDescent="0.25">
      <c r="A17" s="221">
        <v>45717</v>
      </c>
      <c r="B17" s="582"/>
      <c r="C17" s="582"/>
      <c r="D17" s="582"/>
      <c r="E17" s="582"/>
      <c r="F17" s="166"/>
      <c r="G17" s="166"/>
      <c r="H17" s="1084"/>
      <c r="I17" s="1084"/>
      <c r="J17" s="1083"/>
      <c r="K17" s="1083"/>
    </row>
    <row r="18" spans="1:11" s="603" customFormat="1" x14ac:dyDescent="0.25">
      <c r="A18" s="168"/>
      <c r="B18" s="722"/>
      <c r="C18" s="722"/>
      <c r="D18" s="722"/>
      <c r="E18" s="722"/>
      <c r="H18" s="1083"/>
      <c r="I18" s="1083"/>
      <c r="J18" s="1083"/>
      <c r="K18" s="1083"/>
    </row>
    <row r="19" spans="1:11" s="603" customFormat="1" ht="15" customHeight="1" x14ac:dyDescent="0.25">
      <c r="A19" s="1316" t="s">
        <v>314</v>
      </c>
      <c r="B19" s="1316"/>
      <c r="C19" s="1316"/>
      <c r="D19" s="1316"/>
      <c r="H19" s="1083"/>
      <c r="I19" s="1083"/>
      <c r="J19" s="1083"/>
      <c r="K19" s="1083"/>
    </row>
    <row r="20" spans="1:11" s="603" customFormat="1" x14ac:dyDescent="0.25">
      <c r="A20" s="1126" t="s">
        <v>1401</v>
      </c>
      <c r="H20" s="1083"/>
      <c r="I20" s="1083"/>
      <c r="J20" s="1083"/>
      <c r="K20" s="1083"/>
    </row>
    <row r="21" spans="1:11" s="603" customFormat="1" x14ac:dyDescent="0.25">
      <c r="A21" s="127"/>
      <c r="B21" s="127"/>
      <c r="C21" s="127"/>
      <c r="D21" s="127"/>
    </row>
    <row r="22" spans="1:11" x14ac:dyDescent="0.25">
      <c r="B22" s="604"/>
      <c r="C22" s="604"/>
    </row>
    <row r="23" spans="1:11" x14ac:dyDescent="0.25">
      <c r="B23" s="604"/>
      <c r="C23" s="604"/>
    </row>
    <row r="24" spans="1:11" x14ac:dyDescent="0.25">
      <c r="B24" s="604"/>
      <c r="C24" s="604"/>
    </row>
    <row r="25" spans="1:11" x14ac:dyDescent="0.25">
      <c r="B25" s="604"/>
      <c r="C25" s="604"/>
    </row>
  </sheetData>
  <mergeCells count="3">
    <mergeCell ref="A2:A3"/>
    <mergeCell ref="B2:E2"/>
    <mergeCell ref="A19:D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8"/>
  <sheetViews>
    <sheetView topLeftCell="A3" zoomScaleNormal="100" workbookViewId="0">
      <selection activeCell="A22" sqref="A22"/>
    </sheetView>
  </sheetViews>
  <sheetFormatPr defaultColWidth="9.140625" defaultRowHeight="15" x14ac:dyDescent="0.25"/>
  <cols>
    <col min="1" max="11" width="14.5703125" style="180" bestFit="1" customWidth="1"/>
    <col min="12" max="12" width="15" style="180" bestFit="1" customWidth="1"/>
    <col min="13" max="13" width="4.5703125" style="180" bestFit="1" customWidth="1"/>
    <col min="14" max="16384" width="9.140625" style="180"/>
  </cols>
  <sheetData>
    <row r="1" spans="1:12" x14ac:dyDescent="0.25">
      <c r="A1" s="293" t="s">
        <v>37</v>
      </c>
      <c r="B1" s="293"/>
      <c r="C1" s="293"/>
      <c r="D1" s="293"/>
      <c r="E1" s="293"/>
      <c r="F1" s="293"/>
      <c r="G1" s="293"/>
      <c r="H1" s="293"/>
      <c r="I1" s="293"/>
      <c r="J1" s="293"/>
      <c r="K1" s="293"/>
      <c r="L1" s="293"/>
    </row>
    <row r="2" spans="1:12" s="550" customFormat="1" x14ac:dyDescent="0.25">
      <c r="A2" s="1376" t="s">
        <v>143</v>
      </c>
      <c r="B2" s="1379" t="s">
        <v>247</v>
      </c>
      <c r="C2" s="1394" t="s">
        <v>563</v>
      </c>
      <c r="D2" s="1395"/>
      <c r="E2" s="1381" t="s">
        <v>564</v>
      </c>
      <c r="F2" s="1382"/>
      <c r="G2" s="1382"/>
      <c r="H2" s="1383"/>
      <c r="I2" s="1394" t="s">
        <v>96</v>
      </c>
      <c r="J2" s="1395"/>
      <c r="K2" s="1396" t="s">
        <v>565</v>
      </c>
      <c r="L2" s="1397"/>
    </row>
    <row r="3" spans="1:12" s="550" customFormat="1" x14ac:dyDescent="0.25">
      <c r="A3" s="1295"/>
      <c r="B3" s="1380"/>
      <c r="C3" s="1303"/>
      <c r="D3" s="1304"/>
      <c r="E3" s="1381" t="s">
        <v>566</v>
      </c>
      <c r="F3" s="1383"/>
      <c r="G3" s="1381" t="s">
        <v>567</v>
      </c>
      <c r="H3" s="1383"/>
      <c r="I3" s="1303"/>
      <c r="J3" s="1304"/>
      <c r="K3" s="1398"/>
      <c r="L3" s="1399"/>
    </row>
    <row r="4" spans="1:12" s="550" customFormat="1" ht="30" x14ac:dyDescent="0.25">
      <c r="A4" s="1324"/>
      <c r="B4" s="1310"/>
      <c r="C4" s="787" t="s">
        <v>528</v>
      </c>
      <c r="D4" s="787" t="s">
        <v>273</v>
      </c>
      <c r="E4" s="787" t="s">
        <v>528</v>
      </c>
      <c r="F4" s="787" t="s">
        <v>273</v>
      </c>
      <c r="G4" s="787" t="s">
        <v>528</v>
      </c>
      <c r="H4" s="787" t="s">
        <v>273</v>
      </c>
      <c r="I4" s="787" t="s">
        <v>528</v>
      </c>
      <c r="J4" s="787" t="s">
        <v>273</v>
      </c>
      <c r="K4" s="787" t="s">
        <v>526</v>
      </c>
      <c r="L4" s="824" t="s">
        <v>568</v>
      </c>
    </row>
    <row r="5" spans="1:12" s="552" customFormat="1" x14ac:dyDescent="0.25">
      <c r="A5" s="1157" t="s">
        <v>532</v>
      </c>
      <c r="B5" s="831">
        <v>241</v>
      </c>
      <c r="C5" s="832">
        <v>264230072</v>
      </c>
      <c r="D5" s="833">
        <v>2189493.6302000005</v>
      </c>
      <c r="E5" s="832">
        <v>10072828</v>
      </c>
      <c r="F5" s="833">
        <v>83584.349700000021</v>
      </c>
      <c r="G5" s="832">
        <v>8811787</v>
      </c>
      <c r="H5" s="833">
        <v>72737.362100000013</v>
      </c>
      <c r="I5" s="832">
        <v>283114687</v>
      </c>
      <c r="J5" s="833">
        <v>2345815.3420000002</v>
      </c>
      <c r="K5" s="833">
        <v>1158785</v>
      </c>
      <c r="L5" s="834">
        <v>9668.9115424100019</v>
      </c>
    </row>
    <row r="6" spans="1:12" s="552" customFormat="1" x14ac:dyDescent="0.25">
      <c r="A6" s="1158" t="s">
        <v>1413</v>
      </c>
      <c r="B6" s="796">
        <f>SUM(B7:B18)</f>
        <v>38</v>
      </c>
      <c r="C6" s="796">
        <f t="shared" ref="C6:J6" si="0">SUM(C7:C18)</f>
        <v>3391756</v>
      </c>
      <c r="D6" s="796">
        <f t="shared" si="0"/>
        <v>28321.907199999998</v>
      </c>
      <c r="E6" s="796">
        <f t="shared" si="0"/>
        <v>20623</v>
      </c>
      <c r="F6" s="796">
        <f t="shared" si="0"/>
        <v>172.30069999999998</v>
      </c>
      <c r="G6" s="796">
        <f t="shared" si="0"/>
        <v>22107</v>
      </c>
      <c r="H6" s="796">
        <f t="shared" si="0"/>
        <v>183.59569999999997</v>
      </c>
      <c r="I6" s="796">
        <f t="shared" si="0"/>
        <v>3434486</v>
      </c>
      <c r="J6" s="796">
        <f t="shared" si="0"/>
        <v>28677.803599999999</v>
      </c>
      <c r="K6" s="796">
        <f>INDEX(K7:K18,COUNT(K7:K18))</f>
        <v>9076</v>
      </c>
      <c r="L6" s="796">
        <f>INDEX(L7:L18,COUNT(L7:L18))</f>
        <v>75.601990879999988</v>
      </c>
    </row>
    <row r="7" spans="1:12" s="550" customFormat="1" x14ac:dyDescent="0.25">
      <c r="A7" s="221">
        <v>45383</v>
      </c>
      <c r="B7" s="289">
        <v>18</v>
      </c>
      <c r="C7" s="584">
        <v>3150904</v>
      </c>
      <c r="D7" s="584">
        <v>26310.400999999998</v>
      </c>
      <c r="E7" s="584">
        <v>20623</v>
      </c>
      <c r="F7" s="584">
        <v>172.30069999999998</v>
      </c>
      <c r="G7" s="584">
        <v>22107</v>
      </c>
      <c r="H7" s="584">
        <v>183.59569999999997</v>
      </c>
      <c r="I7" s="584">
        <v>3193634</v>
      </c>
      <c r="J7" s="584">
        <v>26666.297399999999</v>
      </c>
      <c r="K7" s="583">
        <v>252685</v>
      </c>
      <c r="L7" s="584">
        <v>2111.52940683</v>
      </c>
    </row>
    <row r="8" spans="1:12" s="550" customFormat="1" x14ac:dyDescent="0.25">
      <c r="A8" s="221">
        <v>45413</v>
      </c>
      <c r="B8" s="289">
        <v>20</v>
      </c>
      <c r="C8" s="584">
        <v>240852</v>
      </c>
      <c r="D8" s="584">
        <v>2011.5062</v>
      </c>
      <c r="E8" s="583">
        <v>0</v>
      </c>
      <c r="F8" s="584">
        <v>0</v>
      </c>
      <c r="G8" s="583">
        <v>0</v>
      </c>
      <c r="H8" s="584">
        <v>0</v>
      </c>
      <c r="I8" s="584">
        <v>240852</v>
      </c>
      <c r="J8" s="584">
        <v>2011.5062</v>
      </c>
      <c r="K8" s="584">
        <v>9076</v>
      </c>
      <c r="L8" s="584">
        <v>75.601990879999988</v>
      </c>
    </row>
    <row r="9" spans="1:12" s="550" customFormat="1" x14ac:dyDescent="0.25">
      <c r="A9" s="221">
        <v>45444</v>
      </c>
      <c r="B9" s="289"/>
      <c r="C9" s="290"/>
      <c r="D9" s="583"/>
      <c r="E9" s="583"/>
      <c r="F9" s="584"/>
      <c r="G9" s="583"/>
      <c r="H9" s="584"/>
      <c r="I9" s="290"/>
      <c r="J9" s="583"/>
      <c r="K9" s="583"/>
      <c r="L9" s="584"/>
    </row>
    <row r="10" spans="1:12" s="550" customFormat="1" x14ac:dyDescent="0.25">
      <c r="A10" s="221">
        <v>45474</v>
      </c>
      <c r="B10" s="289"/>
      <c r="C10" s="290"/>
      <c r="D10" s="583"/>
      <c r="E10" s="583"/>
      <c r="F10" s="584"/>
      <c r="G10" s="583"/>
      <c r="H10" s="584"/>
      <c r="I10" s="290"/>
      <c r="J10" s="583"/>
      <c r="K10" s="583"/>
      <c r="L10" s="584"/>
    </row>
    <row r="11" spans="1:12" s="550" customFormat="1" x14ac:dyDescent="0.25">
      <c r="A11" s="221">
        <v>45505</v>
      </c>
      <c r="B11" s="289"/>
      <c r="C11" s="290"/>
      <c r="D11" s="583"/>
      <c r="E11" s="583"/>
      <c r="F11" s="584"/>
      <c r="G11" s="583"/>
      <c r="H11" s="584"/>
      <c r="I11" s="290"/>
      <c r="J11" s="583"/>
      <c r="K11" s="583"/>
      <c r="L11" s="584"/>
    </row>
    <row r="12" spans="1:12" s="550" customFormat="1" x14ac:dyDescent="0.25">
      <c r="A12" s="221">
        <v>45536</v>
      </c>
      <c r="B12" s="289"/>
      <c r="C12" s="290"/>
      <c r="D12" s="583"/>
      <c r="E12" s="583"/>
      <c r="F12" s="584"/>
      <c r="G12" s="583"/>
      <c r="H12" s="584"/>
      <c r="I12" s="290"/>
      <c r="J12" s="583"/>
      <c r="K12" s="583"/>
      <c r="L12" s="584"/>
    </row>
    <row r="13" spans="1:12" s="550" customFormat="1" x14ac:dyDescent="0.25">
      <c r="A13" s="221">
        <v>45566</v>
      </c>
      <c r="B13" s="289"/>
      <c r="C13" s="290"/>
      <c r="D13" s="583"/>
      <c r="E13" s="583"/>
      <c r="F13" s="584"/>
      <c r="G13" s="583"/>
      <c r="H13" s="584"/>
      <c r="I13" s="290"/>
      <c r="J13" s="583"/>
      <c r="K13" s="583"/>
      <c r="L13" s="584"/>
    </row>
    <row r="14" spans="1:12" s="603" customFormat="1" x14ac:dyDescent="0.25">
      <c r="A14" s="221">
        <v>45597</v>
      </c>
      <c r="B14" s="600"/>
      <c r="C14" s="600"/>
      <c r="D14" s="600"/>
      <c r="E14" s="600"/>
      <c r="F14" s="584"/>
      <c r="G14" s="583"/>
      <c r="H14" s="590"/>
      <c r="I14" s="590"/>
      <c r="J14" s="583"/>
      <c r="K14" s="583"/>
      <c r="L14" s="584"/>
    </row>
    <row r="15" spans="1:12" s="603" customFormat="1" x14ac:dyDescent="0.25">
      <c r="A15" s="221">
        <v>45627</v>
      </c>
      <c r="B15" s="600"/>
      <c r="C15" s="600"/>
      <c r="D15" s="600"/>
      <c r="E15" s="600"/>
      <c r="F15" s="584"/>
      <c r="G15" s="583"/>
      <c r="H15" s="590"/>
      <c r="I15" s="590"/>
      <c r="J15" s="583"/>
      <c r="K15" s="583"/>
      <c r="L15" s="584"/>
    </row>
    <row r="16" spans="1:12" s="603" customFormat="1" x14ac:dyDescent="0.25">
      <c r="A16" s="221">
        <v>45658</v>
      </c>
      <c r="B16" s="600"/>
      <c r="C16" s="600"/>
      <c r="D16" s="600"/>
      <c r="E16" s="600"/>
      <c r="F16" s="584"/>
      <c r="G16" s="583"/>
      <c r="H16" s="590"/>
      <c r="I16" s="590"/>
      <c r="J16" s="583"/>
      <c r="K16" s="583"/>
      <c r="L16" s="584"/>
    </row>
    <row r="17" spans="1:12" s="603" customFormat="1" x14ac:dyDescent="0.25">
      <c r="A17" s="221">
        <v>45689</v>
      </c>
      <c r="B17" s="600"/>
      <c r="C17" s="600"/>
      <c r="D17" s="600"/>
      <c r="E17" s="600"/>
      <c r="F17" s="584"/>
      <c r="G17" s="583"/>
      <c r="H17" s="590"/>
      <c r="I17" s="590"/>
      <c r="J17" s="583"/>
      <c r="K17" s="583"/>
      <c r="L17" s="584"/>
    </row>
    <row r="18" spans="1:12" s="603" customFormat="1" x14ac:dyDescent="0.25">
      <c r="A18" s="221">
        <v>45717</v>
      </c>
      <c r="B18" s="600"/>
      <c r="C18" s="600"/>
      <c r="D18" s="600"/>
      <c r="E18" s="600"/>
      <c r="F18" s="600"/>
      <c r="G18" s="600"/>
      <c r="H18" s="590"/>
      <c r="I18" s="590"/>
      <c r="J18" s="625"/>
      <c r="K18" s="625"/>
      <c r="L18" s="625"/>
    </row>
    <row r="19" spans="1:12" s="550" customFormat="1" x14ac:dyDescent="0.25">
      <c r="A19" s="835"/>
      <c r="B19" s="836"/>
      <c r="C19" s="837"/>
      <c r="D19" s="838"/>
      <c r="E19" s="838"/>
      <c r="F19" s="839"/>
      <c r="G19" s="838"/>
      <c r="H19" s="840"/>
      <c r="I19" s="841"/>
      <c r="J19" s="838"/>
      <c r="K19" s="838"/>
      <c r="L19" s="840"/>
    </row>
    <row r="20" spans="1:12" s="550" customFormat="1" x14ac:dyDescent="0.25">
      <c r="A20" s="1297" t="s">
        <v>262</v>
      </c>
      <c r="B20" s="1297"/>
      <c r="C20" s="1297"/>
      <c r="D20" s="1297"/>
      <c r="E20" s="1297"/>
      <c r="F20" s="1297"/>
      <c r="G20" s="1297"/>
      <c r="H20" s="1297"/>
      <c r="I20" s="1297"/>
      <c r="J20" s="1297"/>
      <c r="K20" s="1297"/>
      <c r="L20" s="1297"/>
    </row>
    <row r="21" spans="1:12" s="550" customFormat="1" x14ac:dyDescent="0.25">
      <c r="A21" s="550" t="s">
        <v>1331</v>
      </c>
    </row>
    <row r="22" spans="1:12" s="550" customFormat="1" x14ac:dyDescent="0.25">
      <c r="A22" s="180"/>
      <c r="B22" s="180"/>
      <c r="C22" s="180"/>
      <c r="D22" s="180"/>
      <c r="E22" s="190"/>
      <c r="F22" s="190"/>
      <c r="G22" s="190"/>
      <c r="H22" s="190"/>
      <c r="I22" s="190"/>
      <c r="J22" s="190"/>
      <c r="K22" s="180"/>
      <c r="L22" s="180"/>
    </row>
    <row r="23" spans="1:12" x14ac:dyDescent="0.25">
      <c r="E23" s="190"/>
      <c r="F23" s="190"/>
      <c r="G23" s="190"/>
      <c r="H23" s="190"/>
      <c r="I23" s="190"/>
      <c r="J23" s="190"/>
    </row>
    <row r="24" spans="1:12" x14ac:dyDescent="0.25">
      <c r="E24" s="190"/>
      <c r="F24" s="190"/>
      <c r="G24" s="190"/>
      <c r="H24" s="190"/>
      <c r="I24" s="190"/>
      <c r="J24" s="190"/>
    </row>
    <row r="25" spans="1:12" x14ac:dyDescent="0.25">
      <c r="E25" s="190"/>
      <c r="F25" s="190"/>
      <c r="G25" s="190"/>
      <c r="H25" s="190"/>
      <c r="I25" s="190"/>
      <c r="J25" s="190"/>
    </row>
    <row r="26" spans="1:12" x14ac:dyDescent="0.25">
      <c r="E26" s="190"/>
      <c r="F26" s="190"/>
      <c r="G26" s="190"/>
      <c r="H26" s="190"/>
      <c r="I26" s="190"/>
      <c r="J26" s="190"/>
    </row>
    <row r="27" spans="1:12" x14ac:dyDescent="0.25">
      <c r="I27" s="191"/>
      <c r="J27" s="191"/>
    </row>
    <row r="28" spans="1:12" x14ac:dyDescent="0.25">
      <c r="I28" s="191"/>
      <c r="J28" s="191"/>
    </row>
  </sheetData>
  <mergeCells count="9">
    <mergeCell ref="A20:L20"/>
    <mergeCell ref="A2:A4"/>
    <mergeCell ref="B2:B4"/>
    <mergeCell ref="C2:D3"/>
    <mergeCell ref="E2:H2"/>
    <mergeCell ref="I2:J3"/>
    <mergeCell ref="K2:L3"/>
    <mergeCell ref="E3:F3"/>
    <mergeCell ref="G3:H3"/>
  </mergeCells>
  <printOptions horizontalCentered="1"/>
  <pageMargins left="0.78431372549019618" right="0.78431372549019618" top="0.98039215686274517" bottom="0.98039215686274517" header="0.50980392156862753" footer="0.50980392156862753"/>
  <pageSetup paperSize="9" scale="73"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8"/>
  <sheetViews>
    <sheetView topLeftCell="A3" zoomScaleNormal="100" workbookViewId="0">
      <selection activeCell="A22" sqref="A22"/>
    </sheetView>
  </sheetViews>
  <sheetFormatPr defaultColWidth="9.140625" defaultRowHeight="15" x14ac:dyDescent="0.25"/>
  <cols>
    <col min="1" max="1" width="9.42578125" style="127" bestFit="1" customWidth="1"/>
    <col min="2" max="2" width="14.5703125" style="127" bestFit="1" customWidth="1"/>
    <col min="3" max="4" width="12.42578125" style="127" bestFit="1" customWidth="1"/>
    <col min="5" max="5" width="14.7109375" style="127" customWidth="1"/>
    <col min="6" max="6" width="12.42578125" style="127" bestFit="1" customWidth="1"/>
    <col min="7" max="7" width="13.140625" style="127" customWidth="1"/>
    <col min="8" max="8" width="12.42578125" style="127" bestFit="1" customWidth="1"/>
    <col min="9" max="9" width="14.5703125" style="127" customWidth="1"/>
    <col min="10" max="10" width="13.42578125" style="127" bestFit="1" customWidth="1"/>
    <col min="11" max="11" width="12.42578125" style="127" customWidth="1"/>
    <col min="12" max="12" width="10.85546875" style="127" bestFit="1" customWidth="1"/>
    <col min="13" max="13" width="9.85546875" style="127" customWidth="1"/>
    <col min="14" max="16384" width="9.140625" style="127"/>
  </cols>
  <sheetData>
    <row r="1" spans="1:12" x14ac:dyDescent="0.25">
      <c r="A1" s="293" t="s">
        <v>38</v>
      </c>
      <c r="B1" s="293"/>
      <c r="C1" s="293"/>
      <c r="D1" s="293"/>
      <c r="E1" s="293"/>
      <c r="F1" s="293"/>
      <c r="G1" s="293"/>
      <c r="H1" s="293"/>
      <c r="I1" s="293"/>
      <c r="J1" s="293"/>
      <c r="K1" s="293"/>
      <c r="L1" s="293"/>
    </row>
    <row r="2" spans="1:12" s="603" customFormat="1" x14ac:dyDescent="0.25">
      <c r="A2" s="1379" t="s">
        <v>538</v>
      </c>
      <c r="B2" s="1379" t="s">
        <v>569</v>
      </c>
      <c r="C2" s="1381" t="s">
        <v>563</v>
      </c>
      <c r="D2" s="1383"/>
      <c r="E2" s="1381" t="s">
        <v>570</v>
      </c>
      <c r="F2" s="1382"/>
      <c r="G2" s="1382"/>
      <c r="H2" s="1383"/>
      <c r="I2" s="1381" t="s">
        <v>96</v>
      </c>
      <c r="J2" s="1383"/>
      <c r="K2" s="1384" t="s">
        <v>571</v>
      </c>
      <c r="L2" s="1387"/>
    </row>
    <row r="3" spans="1:12" s="603" customFormat="1" x14ac:dyDescent="0.25">
      <c r="A3" s="1380"/>
      <c r="B3" s="1380"/>
      <c r="C3" s="1377" t="s">
        <v>572</v>
      </c>
      <c r="D3" s="1377" t="s">
        <v>573</v>
      </c>
      <c r="E3" s="1381" t="s">
        <v>566</v>
      </c>
      <c r="F3" s="1383"/>
      <c r="G3" s="1381" t="s">
        <v>567</v>
      </c>
      <c r="H3" s="1383"/>
      <c r="I3" s="1400" t="s">
        <v>528</v>
      </c>
      <c r="J3" s="1400" t="s">
        <v>273</v>
      </c>
      <c r="K3" s="1377" t="s">
        <v>572</v>
      </c>
      <c r="L3" s="1377" t="s">
        <v>574</v>
      </c>
    </row>
    <row r="4" spans="1:12" s="603" customFormat="1" ht="30" x14ac:dyDescent="0.25">
      <c r="A4" s="1310"/>
      <c r="B4" s="1310"/>
      <c r="C4" s="1378"/>
      <c r="D4" s="1378"/>
      <c r="E4" s="842" t="s">
        <v>528</v>
      </c>
      <c r="F4" s="842" t="s">
        <v>273</v>
      </c>
      <c r="G4" s="842" t="s">
        <v>528</v>
      </c>
      <c r="H4" s="842" t="s">
        <v>273</v>
      </c>
      <c r="I4" s="1401"/>
      <c r="J4" s="1401"/>
      <c r="K4" s="1378"/>
      <c r="L4" s="1378"/>
    </row>
    <row r="5" spans="1:12" s="132" customFormat="1" x14ac:dyDescent="0.25">
      <c r="A5" s="788" t="s">
        <v>532</v>
      </c>
      <c r="B5" s="843">
        <v>241</v>
      </c>
      <c r="C5" s="844">
        <v>851902719</v>
      </c>
      <c r="D5" s="790">
        <v>7201741.9799999986</v>
      </c>
      <c r="E5" s="845">
        <v>1738285961</v>
      </c>
      <c r="F5" s="790">
        <v>14436935.25999999</v>
      </c>
      <c r="G5" s="844">
        <v>1632032548</v>
      </c>
      <c r="H5" s="790">
        <v>13505360.920000002</v>
      </c>
      <c r="I5" s="845">
        <v>4222221228</v>
      </c>
      <c r="J5" s="844">
        <v>35144038.149999999</v>
      </c>
      <c r="K5" s="844">
        <v>17804703</v>
      </c>
      <c r="L5" s="794">
        <v>165247.0914</v>
      </c>
    </row>
    <row r="6" spans="1:12" s="132" customFormat="1" x14ac:dyDescent="0.25">
      <c r="A6" s="305" t="s">
        <v>1237</v>
      </c>
      <c r="B6" s="796">
        <f>SUM(B7:B18)</f>
        <v>38</v>
      </c>
      <c r="C6" s="796">
        <f t="shared" ref="C6:J6" si="0">SUM(C7:C18)</f>
        <v>38458149</v>
      </c>
      <c r="D6" s="796">
        <f t="shared" si="0"/>
        <v>322588.8707194046</v>
      </c>
      <c r="E6" s="796">
        <f t="shared" si="0"/>
        <v>10030120</v>
      </c>
      <c r="F6" s="796">
        <f t="shared" si="0"/>
        <v>84117.235660999999</v>
      </c>
      <c r="G6" s="796">
        <f t="shared" si="0"/>
        <v>9124780</v>
      </c>
      <c r="H6" s="796">
        <f t="shared" si="0"/>
        <v>75892.109298500014</v>
      </c>
      <c r="I6" s="796">
        <f t="shared" si="0"/>
        <v>57613049</v>
      </c>
      <c r="J6" s="796">
        <f t="shared" si="0"/>
        <v>482598.20567890455</v>
      </c>
      <c r="K6" s="796">
        <v>3064185</v>
      </c>
      <c r="L6" s="796">
        <v>25354.244500000001</v>
      </c>
    </row>
    <row r="7" spans="1:12" s="603" customFormat="1" x14ac:dyDescent="0.25">
      <c r="A7" s="221">
        <v>45383</v>
      </c>
      <c r="B7" s="846">
        <v>18</v>
      </c>
      <c r="C7" s="847">
        <v>25887006</v>
      </c>
      <c r="D7" s="589">
        <v>217438.37</v>
      </c>
      <c r="E7" s="589">
        <v>9600292</v>
      </c>
      <c r="F7" s="592">
        <v>80511.67</v>
      </c>
      <c r="G7" s="589">
        <v>8858247</v>
      </c>
      <c r="H7" s="592">
        <v>73676.570000000007</v>
      </c>
      <c r="I7" s="848">
        <v>44345545</v>
      </c>
      <c r="J7" s="589">
        <v>371626.6</v>
      </c>
      <c r="K7" s="592">
        <v>4205161</v>
      </c>
      <c r="L7" s="592">
        <v>34682.299599999998</v>
      </c>
    </row>
    <row r="8" spans="1:12" s="603" customFormat="1" x14ac:dyDescent="0.25">
      <c r="A8" s="221">
        <v>45413</v>
      </c>
      <c r="B8" s="587">
        <v>20</v>
      </c>
      <c r="C8" s="588">
        <v>12571143</v>
      </c>
      <c r="D8" s="602">
        <v>105150.50071940459</v>
      </c>
      <c r="E8" s="589">
        <v>429828</v>
      </c>
      <c r="F8" s="592">
        <v>3605.5656609999996</v>
      </c>
      <c r="G8" s="589">
        <v>266533</v>
      </c>
      <c r="H8" s="592">
        <v>2215.5392985000003</v>
      </c>
      <c r="I8" s="848">
        <v>13267504</v>
      </c>
      <c r="J8" s="602">
        <v>110971.6056789046</v>
      </c>
      <c r="K8" s="602">
        <v>3064185</v>
      </c>
      <c r="L8" s="592">
        <v>25354.244500000001</v>
      </c>
    </row>
    <row r="9" spans="1:12" s="603" customFormat="1" x14ac:dyDescent="0.25">
      <c r="A9" s="221">
        <v>45444</v>
      </c>
      <c r="B9" s="587"/>
      <c r="C9" s="588"/>
      <c r="D9" s="602"/>
      <c r="E9" s="588"/>
      <c r="F9" s="602"/>
      <c r="G9" s="588"/>
      <c r="H9" s="602"/>
      <c r="I9" s="588"/>
      <c r="J9" s="602"/>
      <c r="K9" s="588"/>
      <c r="L9" s="601"/>
    </row>
    <row r="10" spans="1:12" s="603" customFormat="1" x14ac:dyDescent="0.25">
      <c r="A10" s="221">
        <v>45474</v>
      </c>
      <c r="B10" s="587"/>
      <c r="C10" s="588"/>
      <c r="D10" s="602"/>
      <c r="E10" s="588"/>
      <c r="F10" s="602"/>
      <c r="G10" s="588"/>
      <c r="H10" s="602"/>
      <c r="I10" s="588"/>
      <c r="J10" s="602"/>
      <c r="K10" s="588"/>
      <c r="L10" s="601"/>
    </row>
    <row r="11" spans="1:12" s="603" customFormat="1" x14ac:dyDescent="0.25">
      <c r="A11" s="221">
        <v>45505</v>
      </c>
      <c r="B11" s="587"/>
      <c r="C11" s="588"/>
      <c r="D11" s="602"/>
      <c r="E11" s="588"/>
      <c r="F11" s="602"/>
      <c r="G11" s="588"/>
      <c r="H11" s="602"/>
      <c r="I11" s="588"/>
      <c r="J11" s="602"/>
      <c r="K11" s="588"/>
      <c r="L11" s="601"/>
    </row>
    <row r="12" spans="1:12" s="603" customFormat="1" x14ac:dyDescent="0.25">
      <c r="A12" s="221">
        <v>45536</v>
      </c>
      <c r="B12" s="587"/>
      <c r="C12" s="588"/>
      <c r="D12" s="602"/>
      <c r="E12" s="588"/>
      <c r="F12" s="602"/>
      <c r="G12" s="588"/>
      <c r="H12" s="602"/>
      <c r="I12" s="588"/>
      <c r="J12" s="602"/>
      <c r="K12" s="588"/>
      <c r="L12" s="601"/>
    </row>
    <row r="13" spans="1:12" s="603" customFormat="1" x14ac:dyDescent="0.25">
      <c r="A13" s="221">
        <v>45566</v>
      </c>
      <c r="B13" s="587"/>
      <c r="C13" s="588"/>
      <c r="D13" s="602"/>
      <c r="E13" s="588"/>
      <c r="F13" s="602"/>
      <c r="G13" s="588"/>
      <c r="H13" s="602"/>
      <c r="I13" s="588"/>
      <c r="J13" s="602"/>
      <c r="K13" s="588"/>
      <c r="L13" s="601"/>
    </row>
    <row r="14" spans="1:12" s="603" customFormat="1" x14ac:dyDescent="0.25">
      <c r="A14" s="221">
        <v>45597</v>
      </c>
      <c r="B14" s="587"/>
      <c r="C14" s="588"/>
      <c r="D14" s="602"/>
      <c r="E14" s="588"/>
      <c r="F14" s="602"/>
      <c r="G14" s="588"/>
      <c r="H14" s="602"/>
      <c r="I14" s="588"/>
      <c r="J14" s="602"/>
      <c r="K14" s="588"/>
      <c r="L14" s="601"/>
    </row>
    <row r="15" spans="1:12" s="603" customFormat="1" x14ac:dyDescent="0.25">
      <c r="A15" s="221">
        <v>45627</v>
      </c>
      <c r="B15" s="587"/>
      <c r="C15" s="588"/>
      <c r="D15" s="602"/>
      <c r="E15" s="588"/>
      <c r="F15" s="602"/>
      <c r="G15" s="588"/>
      <c r="H15" s="602"/>
      <c r="I15" s="588"/>
      <c r="J15" s="602"/>
      <c r="K15" s="588"/>
      <c r="L15" s="601"/>
    </row>
    <row r="16" spans="1:12" s="603" customFormat="1" x14ac:dyDescent="0.25">
      <c r="A16" s="221">
        <v>45658</v>
      </c>
      <c r="B16" s="587"/>
      <c r="C16" s="588"/>
      <c r="D16" s="602"/>
      <c r="E16" s="588"/>
      <c r="F16" s="602"/>
      <c r="G16" s="588"/>
      <c r="H16" s="602"/>
      <c r="I16" s="588"/>
      <c r="J16" s="602"/>
      <c r="K16" s="588"/>
      <c r="L16" s="601"/>
    </row>
    <row r="17" spans="1:12" s="603" customFormat="1" x14ac:dyDescent="0.25">
      <c r="A17" s="221">
        <v>45689</v>
      </c>
      <c r="B17" s="587"/>
      <c r="C17" s="588"/>
      <c r="D17" s="602"/>
      <c r="E17" s="588"/>
      <c r="F17" s="602"/>
      <c r="G17" s="588"/>
      <c r="H17" s="602"/>
      <c r="I17" s="588"/>
      <c r="J17" s="602"/>
      <c r="K17" s="588"/>
      <c r="L17" s="601"/>
    </row>
    <row r="18" spans="1:12" s="603" customFormat="1" x14ac:dyDescent="0.25">
      <c r="A18" s="221">
        <v>45717</v>
      </c>
      <c r="B18" s="600"/>
      <c r="C18" s="600"/>
      <c r="D18" s="600"/>
      <c r="E18" s="600"/>
      <c r="F18" s="600"/>
      <c r="G18" s="600"/>
      <c r="H18" s="590"/>
      <c r="I18" s="590"/>
      <c r="J18" s="625"/>
      <c r="K18" s="625"/>
      <c r="L18" s="625"/>
    </row>
    <row r="19" spans="1:12" s="603" customFormat="1" ht="13.5" customHeight="1" x14ac:dyDescent="0.25">
      <c r="A19" s="168"/>
      <c r="B19" s="708"/>
      <c r="C19" s="709"/>
      <c r="D19" s="169"/>
      <c r="E19" s="709"/>
      <c r="F19" s="169"/>
      <c r="G19" s="709"/>
      <c r="H19" s="169"/>
      <c r="I19" s="709"/>
      <c r="J19" s="169"/>
      <c r="K19" s="709"/>
      <c r="L19" s="605"/>
    </row>
    <row r="20" spans="1:12" s="603" customFormat="1" ht="15" customHeight="1" x14ac:dyDescent="0.25">
      <c r="A20" s="1316" t="s">
        <v>575</v>
      </c>
      <c r="B20" s="1316"/>
      <c r="C20" s="1316"/>
      <c r="D20" s="1316"/>
      <c r="E20" s="1316"/>
      <c r="F20" s="1316"/>
      <c r="G20" s="1316"/>
      <c r="H20" s="1316"/>
      <c r="I20" s="1316"/>
      <c r="J20" s="1316"/>
      <c r="K20" s="1316"/>
      <c r="L20" s="1316"/>
    </row>
    <row r="21" spans="1:12" s="603" customFormat="1" ht="15" customHeight="1" x14ac:dyDescent="0.25">
      <c r="A21" s="1316" t="s">
        <v>314</v>
      </c>
      <c r="B21" s="1316"/>
      <c r="C21" s="1316"/>
      <c r="D21" s="1316"/>
      <c r="E21" s="1316"/>
      <c r="F21" s="1316"/>
      <c r="G21" s="1316"/>
      <c r="H21" s="1316"/>
      <c r="I21" s="1316"/>
      <c r="J21" s="1316"/>
      <c r="K21" s="1316"/>
      <c r="L21" s="1316"/>
    </row>
    <row r="22" spans="1:12" s="603" customFormat="1" ht="15" customHeight="1" x14ac:dyDescent="0.25">
      <c r="A22" s="603" t="s">
        <v>1331</v>
      </c>
    </row>
    <row r="23" spans="1:12" s="603" customFormat="1" x14ac:dyDescent="0.25">
      <c r="A23" s="127"/>
      <c r="B23" s="127"/>
      <c r="C23" s="127"/>
      <c r="D23" s="127"/>
      <c r="E23" s="189"/>
      <c r="F23" s="189"/>
      <c r="G23" s="189"/>
      <c r="H23" s="189"/>
      <c r="I23" s="189"/>
      <c r="J23" s="189"/>
      <c r="K23" s="127"/>
      <c r="L23" s="127"/>
    </row>
    <row r="24" spans="1:12" x14ac:dyDescent="0.25">
      <c r="E24" s="189"/>
      <c r="F24" s="189"/>
      <c r="G24" s="189"/>
      <c r="H24" s="189"/>
      <c r="I24" s="189"/>
      <c r="J24" s="189"/>
    </row>
    <row r="25" spans="1:12" x14ac:dyDescent="0.25">
      <c r="E25" s="189"/>
      <c r="F25" s="189"/>
      <c r="G25" s="189"/>
      <c r="H25" s="189"/>
      <c r="I25" s="189"/>
      <c r="J25" s="189"/>
    </row>
    <row r="26" spans="1:12" x14ac:dyDescent="0.25">
      <c r="E26" s="189"/>
      <c r="F26" s="189"/>
      <c r="G26" s="189"/>
      <c r="H26" s="189"/>
      <c r="I26" s="189"/>
      <c r="J26" s="189"/>
    </row>
    <row r="27" spans="1:12" x14ac:dyDescent="0.25">
      <c r="E27" s="189"/>
      <c r="F27" s="189"/>
      <c r="G27" s="189"/>
      <c r="H27" s="189"/>
      <c r="I27" s="189"/>
      <c r="J27" s="189"/>
    </row>
    <row r="28" spans="1:12" x14ac:dyDescent="0.25">
      <c r="J28" s="175"/>
    </row>
  </sheetData>
  <mergeCells count="16">
    <mergeCell ref="A21:L21"/>
    <mergeCell ref="A20:L20"/>
    <mergeCell ref="L3:L4"/>
    <mergeCell ref="A2:A4"/>
    <mergeCell ref="B2:B4"/>
    <mergeCell ref="C2:D2"/>
    <mergeCell ref="E2:H2"/>
    <mergeCell ref="I2:J2"/>
    <mergeCell ref="K2:L2"/>
    <mergeCell ref="C3:C4"/>
    <mergeCell ref="D3:D4"/>
    <mergeCell ref="E3:F3"/>
    <mergeCell ref="G3:H3"/>
    <mergeCell ref="I3:I4"/>
    <mergeCell ref="J3:J4"/>
    <mergeCell ref="K3:K4"/>
  </mergeCells>
  <printOptions horizontalCentered="1"/>
  <pageMargins left="0.78431372549019618" right="0.78431372549019618" top="0.98039215686274517" bottom="0.98039215686274517" header="0.50980392156862753" footer="0.50980392156862753"/>
  <pageSetup paperSize="9" scale="84"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topLeftCell="A4" zoomScaleNormal="100" workbookViewId="0">
      <selection activeCell="A21" sqref="A21"/>
    </sheetView>
  </sheetViews>
  <sheetFormatPr defaultColWidth="9.140625" defaultRowHeight="15" x14ac:dyDescent="0.25"/>
  <cols>
    <col min="1" max="1" width="9.42578125" style="127" bestFit="1" customWidth="1"/>
    <col min="2" max="2" width="14.5703125" style="127" bestFit="1" customWidth="1"/>
    <col min="3" max="9" width="12.140625" style="127" bestFit="1" customWidth="1"/>
    <col min="10" max="10" width="10" style="127" bestFit="1" customWidth="1"/>
    <col min="11" max="11" width="14.140625" style="127" bestFit="1" customWidth="1"/>
    <col min="12" max="12" width="12.5703125" style="127" customWidth="1"/>
    <col min="13" max="13" width="7.5703125" style="127" bestFit="1" customWidth="1"/>
    <col min="14" max="16384" width="9.140625" style="127"/>
  </cols>
  <sheetData>
    <row r="1" spans="1:12" ht="15.75" customHeight="1" x14ac:dyDescent="0.25">
      <c r="A1" s="293" t="s">
        <v>39</v>
      </c>
      <c r="B1" s="293"/>
      <c r="C1" s="293"/>
      <c r="D1" s="293"/>
      <c r="E1" s="293"/>
      <c r="F1" s="293"/>
      <c r="G1" s="293"/>
      <c r="H1" s="293"/>
      <c r="I1" s="293"/>
      <c r="J1" s="293"/>
      <c r="K1" s="293"/>
      <c r="L1" s="293"/>
    </row>
    <row r="2" spans="1:12" s="603" customFormat="1" ht="41.25" customHeight="1" x14ac:dyDescent="0.25">
      <c r="A2" s="1379" t="s">
        <v>538</v>
      </c>
      <c r="B2" s="1379" t="s">
        <v>569</v>
      </c>
      <c r="C2" s="1381" t="s">
        <v>563</v>
      </c>
      <c r="D2" s="1383"/>
      <c r="E2" s="1405" t="s">
        <v>570</v>
      </c>
      <c r="F2" s="1405"/>
      <c r="G2" s="1405"/>
      <c r="H2" s="1405"/>
      <c r="I2" s="1381" t="s">
        <v>96</v>
      </c>
      <c r="J2" s="1383"/>
      <c r="K2" s="1402" t="s">
        <v>571</v>
      </c>
      <c r="L2" s="1403"/>
    </row>
    <row r="3" spans="1:12" s="603" customFormat="1" ht="18" customHeight="1" x14ac:dyDescent="0.25">
      <c r="A3" s="1380"/>
      <c r="B3" s="1380"/>
      <c r="C3" s="1377" t="s">
        <v>572</v>
      </c>
      <c r="D3" s="1377" t="s">
        <v>573</v>
      </c>
      <c r="E3" s="1381" t="s">
        <v>566</v>
      </c>
      <c r="F3" s="1383"/>
      <c r="G3" s="1381" t="s">
        <v>567</v>
      </c>
      <c r="H3" s="1383"/>
      <c r="I3" s="1379" t="s">
        <v>526</v>
      </c>
      <c r="J3" s="1404" t="s">
        <v>576</v>
      </c>
      <c r="K3" s="1377" t="s">
        <v>572</v>
      </c>
      <c r="L3" s="1377" t="s">
        <v>574</v>
      </c>
    </row>
    <row r="4" spans="1:12" s="603" customFormat="1" ht="39" customHeight="1" x14ac:dyDescent="0.25">
      <c r="A4" s="1310"/>
      <c r="B4" s="1310"/>
      <c r="C4" s="1378"/>
      <c r="D4" s="1378"/>
      <c r="E4" s="824" t="s">
        <v>572</v>
      </c>
      <c r="F4" s="824" t="s">
        <v>577</v>
      </c>
      <c r="G4" s="824" t="s">
        <v>572</v>
      </c>
      <c r="H4" s="824" t="s">
        <v>573</v>
      </c>
      <c r="I4" s="1310"/>
      <c r="J4" s="1404"/>
      <c r="K4" s="1378"/>
      <c r="L4" s="1378"/>
    </row>
    <row r="5" spans="1:12" s="132" customFormat="1" ht="18" customHeight="1" x14ac:dyDescent="0.25">
      <c r="A5" s="1157" t="s">
        <v>532</v>
      </c>
      <c r="B5" s="843">
        <v>241</v>
      </c>
      <c r="C5" s="844">
        <v>29862428</v>
      </c>
      <c r="D5" s="794">
        <v>247738.04429925</v>
      </c>
      <c r="E5" s="794">
        <v>0</v>
      </c>
      <c r="F5" s="794">
        <v>0</v>
      </c>
      <c r="G5" s="794">
        <v>0</v>
      </c>
      <c r="H5" s="794">
        <v>0</v>
      </c>
      <c r="I5" s="844">
        <v>29862428</v>
      </c>
      <c r="J5" s="794">
        <v>247738.04429924997</v>
      </c>
      <c r="K5" s="794">
        <v>103180</v>
      </c>
      <c r="L5" s="794">
        <v>861.50116824999998</v>
      </c>
    </row>
    <row r="6" spans="1:12" s="132" customFormat="1" ht="18" customHeight="1" x14ac:dyDescent="0.25">
      <c r="A6" s="1158" t="s">
        <v>1413</v>
      </c>
      <c r="B6" s="796">
        <f>SUM(B7:B18)</f>
        <v>38</v>
      </c>
      <c r="C6" s="796">
        <f t="shared" ref="C6:J6" si="0">SUM(C7:C18)</f>
        <v>756475</v>
      </c>
      <c r="D6" s="796">
        <f t="shared" si="0"/>
        <v>6313.7762929999999</v>
      </c>
      <c r="E6" s="796">
        <f t="shared" si="0"/>
        <v>0</v>
      </c>
      <c r="F6" s="796">
        <f t="shared" si="0"/>
        <v>0</v>
      </c>
      <c r="G6" s="796">
        <f t="shared" si="0"/>
        <v>0</v>
      </c>
      <c r="H6" s="796">
        <f t="shared" si="0"/>
        <v>0</v>
      </c>
      <c r="I6" s="796">
        <f t="shared" si="0"/>
        <v>756475</v>
      </c>
      <c r="J6" s="796">
        <f t="shared" si="0"/>
        <v>6313.7762929999999</v>
      </c>
      <c r="K6" s="796">
        <f>INDEX(K7:K18,COUNT(K7:K18))</f>
        <v>4</v>
      </c>
      <c r="L6" s="796">
        <f>INDEX(L7:L18,COUNT(L7:L18))</f>
        <v>3.3413999999999999E-2</v>
      </c>
    </row>
    <row r="7" spans="1:12" s="603" customFormat="1" ht="18" customHeight="1" x14ac:dyDescent="0.25">
      <c r="A7" s="221">
        <v>45383</v>
      </c>
      <c r="B7" s="587">
        <v>18</v>
      </c>
      <c r="C7" s="602">
        <v>636475</v>
      </c>
      <c r="D7" s="601">
        <v>5312.0762930000001</v>
      </c>
      <c r="E7" s="601">
        <v>0</v>
      </c>
      <c r="F7" s="601">
        <v>0</v>
      </c>
      <c r="G7" s="601">
        <v>0</v>
      </c>
      <c r="H7" s="585">
        <v>0</v>
      </c>
      <c r="I7" s="602">
        <v>636475</v>
      </c>
      <c r="J7" s="601">
        <v>5312.0762930000001</v>
      </c>
      <c r="K7" s="601">
        <v>40175</v>
      </c>
      <c r="L7" s="601">
        <v>335.53159025000002</v>
      </c>
    </row>
    <row r="8" spans="1:12" s="603" customFormat="1" ht="18" customHeight="1" x14ac:dyDescent="0.25">
      <c r="A8" s="221">
        <v>45413</v>
      </c>
      <c r="B8" s="587">
        <v>20</v>
      </c>
      <c r="C8" s="602">
        <v>120000</v>
      </c>
      <c r="D8" s="601">
        <v>1001.7</v>
      </c>
      <c r="E8" s="601">
        <v>0</v>
      </c>
      <c r="F8" s="601">
        <v>0</v>
      </c>
      <c r="G8" s="601">
        <v>0</v>
      </c>
      <c r="H8" s="585">
        <v>0</v>
      </c>
      <c r="I8" s="602">
        <v>120000</v>
      </c>
      <c r="J8" s="601">
        <v>1001.7</v>
      </c>
      <c r="K8" s="601">
        <v>4</v>
      </c>
      <c r="L8" s="601">
        <v>3.3413999999999999E-2</v>
      </c>
    </row>
    <row r="9" spans="1:12" s="603" customFormat="1" ht="18" customHeight="1" x14ac:dyDescent="0.25">
      <c r="A9" s="221">
        <v>45444</v>
      </c>
      <c r="B9" s="587"/>
      <c r="C9" s="602"/>
      <c r="D9" s="601"/>
      <c r="E9" s="601"/>
      <c r="F9" s="601"/>
      <c r="G9" s="601"/>
      <c r="H9" s="585"/>
      <c r="I9" s="602"/>
      <c r="J9" s="601"/>
      <c r="K9" s="601"/>
      <c r="L9" s="601"/>
    </row>
    <row r="10" spans="1:12" s="603" customFormat="1" ht="18" customHeight="1" x14ac:dyDescent="0.25">
      <c r="A10" s="221">
        <v>45474</v>
      </c>
      <c r="B10" s="587"/>
      <c r="C10" s="602"/>
      <c r="D10" s="601"/>
      <c r="E10" s="601"/>
      <c r="F10" s="601"/>
      <c r="G10" s="601"/>
      <c r="H10" s="585"/>
      <c r="I10" s="602"/>
      <c r="J10" s="601"/>
      <c r="K10" s="601"/>
      <c r="L10" s="601"/>
    </row>
    <row r="11" spans="1:12" s="603" customFormat="1" ht="18" customHeight="1" x14ac:dyDescent="0.25">
      <c r="A11" s="221">
        <v>45505</v>
      </c>
      <c r="B11" s="587"/>
      <c r="C11" s="602"/>
      <c r="D11" s="601"/>
      <c r="E11" s="601"/>
      <c r="F11" s="601"/>
      <c r="G11" s="601"/>
      <c r="H11" s="585"/>
      <c r="I11" s="602"/>
      <c r="J11" s="601"/>
      <c r="K11" s="601"/>
      <c r="L11" s="601"/>
    </row>
    <row r="12" spans="1:12" s="603" customFormat="1" ht="14.25" customHeight="1" x14ac:dyDescent="0.25">
      <c r="A12" s="221">
        <v>45536</v>
      </c>
      <c r="B12" s="587"/>
      <c r="C12" s="602"/>
      <c r="D12" s="601"/>
      <c r="E12" s="601"/>
      <c r="F12" s="601"/>
      <c r="G12" s="601"/>
      <c r="H12" s="585"/>
      <c r="I12" s="602"/>
      <c r="J12" s="601"/>
      <c r="K12" s="601"/>
      <c r="L12" s="601"/>
    </row>
    <row r="13" spans="1:12" s="603" customFormat="1" ht="13.5" customHeight="1" x14ac:dyDescent="0.25">
      <c r="A13" s="221">
        <v>45566</v>
      </c>
      <c r="B13" s="587"/>
      <c r="C13" s="602"/>
      <c r="D13" s="601"/>
      <c r="E13" s="601"/>
      <c r="F13" s="601"/>
      <c r="G13" s="601"/>
      <c r="H13" s="585"/>
      <c r="I13" s="602"/>
      <c r="J13" s="601"/>
      <c r="K13" s="601"/>
      <c r="L13" s="601"/>
    </row>
    <row r="14" spans="1:12" s="603" customFormat="1" x14ac:dyDescent="0.25">
      <c r="A14" s="221">
        <v>45597</v>
      </c>
      <c r="B14" s="587"/>
      <c r="C14" s="602"/>
      <c r="D14" s="601"/>
      <c r="E14" s="601"/>
      <c r="F14" s="601"/>
      <c r="G14" s="601"/>
      <c r="H14" s="585"/>
      <c r="I14" s="602"/>
      <c r="J14" s="601"/>
      <c r="K14" s="601"/>
      <c r="L14" s="601"/>
    </row>
    <row r="15" spans="1:12" s="603" customFormat="1" x14ac:dyDescent="0.25">
      <c r="A15" s="221">
        <v>45627</v>
      </c>
      <c r="B15" s="587"/>
      <c r="C15" s="602"/>
      <c r="D15" s="601"/>
      <c r="E15" s="601"/>
      <c r="F15" s="601"/>
      <c r="G15" s="601"/>
      <c r="H15" s="585"/>
      <c r="I15" s="602"/>
      <c r="J15" s="601"/>
      <c r="K15" s="601"/>
      <c r="L15" s="601"/>
    </row>
    <row r="16" spans="1:12" s="603" customFormat="1" x14ac:dyDescent="0.25">
      <c r="A16" s="221">
        <v>45658</v>
      </c>
      <c r="B16" s="587"/>
      <c r="C16" s="602"/>
      <c r="D16" s="601"/>
      <c r="E16" s="601"/>
      <c r="F16" s="601"/>
      <c r="G16" s="601"/>
      <c r="H16" s="585"/>
      <c r="I16" s="602"/>
      <c r="J16" s="601"/>
      <c r="K16" s="601"/>
      <c r="L16" s="601"/>
    </row>
    <row r="17" spans="1:12" s="603" customFormat="1" x14ac:dyDescent="0.25">
      <c r="A17" s="221">
        <v>45689</v>
      </c>
      <c r="B17" s="587"/>
      <c r="C17" s="602"/>
      <c r="D17" s="601"/>
      <c r="E17" s="601"/>
      <c r="F17" s="601"/>
      <c r="G17" s="601"/>
      <c r="H17" s="585"/>
      <c r="I17" s="602"/>
      <c r="J17" s="601"/>
      <c r="K17" s="601"/>
      <c r="L17" s="601"/>
    </row>
    <row r="18" spans="1:12" s="603" customFormat="1" x14ac:dyDescent="0.25">
      <c r="A18" s="221">
        <v>45717</v>
      </c>
      <c r="B18" s="587"/>
      <c r="C18" s="602"/>
      <c r="D18" s="601"/>
      <c r="E18" s="601"/>
      <c r="F18" s="601"/>
      <c r="G18" s="601"/>
      <c r="H18" s="585"/>
      <c r="I18" s="602"/>
      <c r="J18" s="601"/>
      <c r="K18" s="601"/>
      <c r="L18" s="601"/>
    </row>
    <row r="19" spans="1:12" s="603" customFormat="1" x14ac:dyDescent="0.25">
      <c r="A19" s="168"/>
      <c r="B19" s="708"/>
      <c r="C19" s="169"/>
      <c r="D19" s="605"/>
      <c r="E19" s="605"/>
      <c r="F19" s="605"/>
      <c r="G19" s="605"/>
      <c r="H19" s="596"/>
      <c r="I19" s="169"/>
      <c r="J19" s="605"/>
      <c r="K19" s="605"/>
      <c r="L19" s="605"/>
    </row>
    <row r="20" spans="1:12" s="603" customFormat="1" ht="15" customHeight="1" x14ac:dyDescent="0.25">
      <c r="A20" s="1316" t="s">
        <v>280</v>
      </c>
      <c r="B20" s="1316"/>
      <c r="C20" s="1316"/>
      <c r="D20" s="1316"/>
      <c r="E20" s="1316"/>
      <c r="F20" s="1316"/>
      <c r="G20" s="1316"/>
      <c r="H20" s="1316"/>
      <c r="I20" s="1316"/>
      <c r="J20" s="1316"/>
    </row>
    <row r="21" spans="1:12" s="603" customFormat="1" ht="15" customHeight="1" x14ac:dyDescent="0.25">
      <c r="A21" s="603" t="s">
        <v>1331</v>
      </c>
    </row>
    <row r="22" spans="1:12" s="603" customFormat="1" x14ac:dyDescent="0.25">
      <c r="A22" s="127"/>
      <c r="B22" s="127"/>
      <c r="C22" s="127"/>
      <c r="D22" s="127"/>
      <c r="E22" s="127"/>
      <c r="F22" s="127"/>
      <c r="G22" s="127"/>
      <c r="H22" s="127"/>
      <c r="I22" s="127"/>
      <c r="J22" s="127"/>
    </row>
  </sheetData>
  <mergeCells count="15">
    <mergeCell ref="A20:J20"/>
    <mergeCell ref="K2:L2"/>
    <mergeCell ref="C3:C4"/>
    <mergeCell ref="D3:D4"/>
    <mergeCell ref="E3:F3"/>
    <mergeCell ref="G3:H3"/>
    <mergeCell ref="I3:I4"/>
    <mergeCell ref="J3:J4"/>
    <mergeCell ref="K3:K4"/>
    <mergeCell ref="L3:L4"/>
    <mergeCell ref="A2:A4"/>
    <mergeCell ref="B2:B4"/>
    <mergeCell ref="C2:D2"/>
    <mergeCell ref="E2:H2"/>
    <mergeCell ref="I2:J2"/>
  </mergeCells>
  <printOptions horizontalCentered="1"/>
  <pageMargins left="0.78431372549019618" right="0.78431372549019618" top="0.98039215686274517" bottom="0.98039215686274517" header="0.50980392156862753" footer="0.50980392156862753"/>
  <pageSetup paperSize="9" scale="90"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4"/>
  <sheetViews>
    <sheetView zoomScaleNormal="100" workbookViewId="0">
      <selection activeCell="A23" sqref="A23"/>
    </sheetView>
  </sheetViews>
  <sheetFormatPr defaultColWidth="9.140625" defaultRowHeight="15" x14ac:dyDescent="0.25"/>
  <cols>
    <col min="1" max="1" width="13.5703125" style="127" bestFit="1" customWidth="1"/>
    <col min="2" max="5" width="12.140625" style="127" bestFit="1" customWidth="1"/>
    <col min="6" max="6" width="9.42578125" style="127" bestFit="1" customWidth="1"/>
    <col min="7" max="7" width="12.42578125" style="127" bestFit="1" customWidth="1"/>
    <col min="8" max="8" width="12.28515625" style="127" bestFit="1" customWidth="1"/>
    <col min="9" max="9" width="12.42578125" style="127" bestFit="1" customWidth="1"/>
    <col min="10" max="10" width="12.28515625" style="127" bestFit="1" customWidth="1"/>
    <col min="11" max="11" width="11" style="127" customWidth="1"/>
    <col min="12" max="15" width="12.140625" style="127" bestFit="1" customWidth="1"/>
    <col min="16" max="16" width="9.42578125" style="127" bestFit="1" customWidth="1"/>
    <col min="17" max="17" width="4.5703125" style="127" bestFit="1" customWidth="1"/>
    <col min="18" max="16384" width="9.140625" style="127"/>
  </cols>
  <sheetData>
    <row r="1" spans="1:16" ht="18" customHeight="1" x14ac:dyDescent="0.25">
      <c r="A1" s="293" t="s">
        <v>578</v>
      </c>
      <c r="B1" s="293"/>
      <c r="C1" s="293"/>
      <c r="D1" s="293"/>
      <c r="E1" s="293"/>
      <c r="F1" s="293"/>
      <c r="G1" s="293"/>
      <c r="H1" s="293"/>
      <c r="I1" s="293"/>
      <c r="J1" s="293"/>
      <c r="K1" s="293"/>
      <c r="L1" s="293"/>
      <c r="M1" s="293"/>
      <c r="N1" s="293"/>
      <c r="O1" s="293"/>
    </row>
    <row r="2" spans="1:16" s="603" customFormat="1" ht="18" customHeight="1" x14ac:dyDescent="0.25">
      <c r="A2" s="1379" t="s">
        <v>538</v>
      </c>
      <c r="B2" s="1381" t="s">
        <v>73</v>
      </c>
      <c r="C2" s="1382"/>
      <c r="D2" s="1382"/>
      <c r="E2" s="1383"/>
      <c r="F2" s="1376" t="s">
        <v>96</v>
      </c>
      <c r="G2" s="1381" t="s">
        <v>74</v>
      </c>
      <c r="H2" s="1382"/>
      <c r="I2" s="1382"/>
      <c r="J2" s="1383"/>
      <c r="K2" s="1379" t="s">
        <v>96</v>
      </c>
      <c r="L2" s="1381" t="s">
        <v>75</v>
      </c>
      <c r="M2" s="1382"/>
      <c r="N2" s="1382"/>
      <c r="O2" s="1383"/>
      <c r="P2" s="1376" t="s">
        <v>96</v>
      </c>
    </row>
    <row r="3" spans="1:16" s="603" customFormat="1" ht="27" customHeight="1" x14ac:dyDescent="0.25">
      <c r="A3" s="1380"/>
      <c r="B3" s="1384" t="s">
        <v>563</v>
      </c>
      <c r="C3" s="1387"/>
      <c r="D3" s="1381" t="s">
        <v>570</v>
      </c>
      <c r="E3" s="1383"/>
      <c r="F3" s="1295"/>
      <c r="G3" s="1384" t="s">
        <v>563</v>
      </c>
      <c r="H3" s="1387"/>
      <c r="I3" s="1381" t="s">
        <v>570</v>
      </c>
      <c r="J3" s="1383"/>
      <c r="K3" s="1380"/>
      <c r="L3" s="1384" t="s">
        <v>579</v>
      </c>
      <c r="M3" s="1387"/>
      <c r="N3" s="1381" t="s">
        <v>570</v>
      </c>
      <c r="O3" s="1383"/>
      <c r="P3" s="1295"/>
    </row>
    <row r="4" spans="1:16" s="603" customFormat="1" ht="27" customHeight="1" x14ac:dyDescent="0.25">
      <c r="A4" s="1310"/>
      <c r="B4" s="824" t="s">
        <v>542</v>
      </c>
      <c r="C4" s="824" t="s">
        <v>543</v>
      </c>
      <c r="D4" s="824" t="s">
        <v>545</v>
      </c>
      <c r="E4" s="824" t="s">
        <v>546</v>
      </c>
      <c r="F4" s="1324"/>
      <c r="G4" s="824" t="s">
        <v>542</v>
      </c>
      <c r="H4" s="824" t="s">
        <v>543</v>
      </c>
      <c r="I4" s="824" t="s">
        <v>545</v>
      </c>
      <c r="J4" s="824" t="s">
        <v>546</v>
      </c>
      <c r="K4" s="1310"/>
      <c r="L4" s="824" t="s">
        <v>542</v>
      </c>
      <c r="M4" s="824" t="s">
        <v>543</v>
      </c>
      <c r="N4" s="824" t="s">
        <v>545</v>
      </c>
      <c r="O4" s="824" t="s">
        <v>546</v>
      </c>
      <c r="P4" s="1324"/>
    </row>
    <row r="5" spans="1:16" s="132" customFormat="1" ht="18" customHeight="1" x14ac:dyDescent="0.25">
      <c r="A5" s="788" t="s">
        <v>532</v>
      </c>
      <c r="B5" s="794">
        <v>6550.62</v>
      </c>
      <c r="C5" s="849">
        <v>194.57000000000002</v>
      </c>
      <c r="D5" s="794">
        <v>9296.52</v>
      </c>
      <c r="E5" s="849">
        <v>381.98000000000008</v>
      </c>
      <c r="F5" s="794">
        <v>16423.689999999999</v>
      </c>
      <c r="G5" s="794">
        <v>6645.7642925999999</v>
      </c>
      <c r="H5" s="849">
        <v>209.98746928</v>
      </c>
      <c r="I5" s="794">
        <v>2068.4298365000004</v>
      </c>
      <c r="J5" s="849">
        <v>745.28976819000002</v>
      </c>
      <c r="K5" s="794">
        <v>9669.4713665699983</v>
      </c>
      <c r="L5" s="849" t="s">
        <v>225</v>
      </c>
      <c r="M5" s="849" t="s">
        <v>225</v>
      </c>
      <c r="N5" s="849" t="s">
        <v>225</v>
      </c>
      <c r="O5" s="849" t="s">
        <v>225</v>
      </c>
      <c r="P5" s="794" t="s">
        <v>225</v>
      </c>
    </row>
    <row r="6" spans="1:16" s="132" customFormat="1" ht="18" customHeight="1" x14ac:dyDescent="0.25">
      <c r="A6" s="305" t="s">
        <v>1237</v>
      </c>
      <c r="B6" s="796">
        <f>SUM(B7:B18)</f>
        <v>745.04</v>
      </c>
      <c r="C6" s="796">
        <f t="shared" ref="C6:K6" si="0">SUM(C7:C18)</f>
        <v>23.5</v>
      </c>
      <c r="D6" s="796">
        <f t="shared" si="0"/>
        <v>149.60000000000002</v>
      </c>
      <c r="E6" s="796">
        <f t="shared" si="0"/>
        <v>17.559999999999999</v>
      </c>
      <c r="F6" s="796">
        <f t="shared" si="0"/>
        <v>935.7</v>
      </c>
      <c r="G6" s="796">
        <f t="shared" si="0"/>
        <v>593.79473546000008</v>
      </c>
      <c r="H6" s="796">
        <f t="shared" si="0"/>
        <v>19.956023509999998</v>
      </c>
      <c r="I6" s="796">
        <f t="shared" si="0"/>
        <v>149.61334400000001</v>
      </c>
      <c r="J6" s="796">
        <f t="shared" si="0"/>
        <v>21.708723499999998</v>
      </c>
      <c r="K6" s="796">
        <f t="shared" si="0"/>
        <v>785.07282647</v>
      </c>
      <c r="L6" s="850" t="s">
        <v>225</v>
      </c>
      <c r="M6" s="850" t="s">
        <v>225</v>
      </c>
      <c r="N6" s="850" t="s">
        <v>225</v>
      </c>
      <c r="O6" s="850" t="s">
        <v>225</v>
      </c>
      <c r="P6" s="851" t="s">
        <v>225</v>
      </c>
    </row>
    <row r="7" spans="1:16" s="603" customFormat="1" ht="18" customHeight="1" x14ac:dyDescent="0.25">
      <c r="A7" s="221">
        <v>45383</v>
      </c>
      <c r="B7" s="586">
        <v>399.36</v>
      </c>
      <c r="C7" s="586">
        <v>2.65</v>
      </c>
      <c r="D7" s="586">
        <v>147.27000000000001</v>
      </c>
      <c r="E7" s="586">
        <v>16.29</v>
      </c>
      <c r="F7" s="601">
        <v>565.57000000000005</v>
      </c>
      <c r="G7" s="852">
        <v>290.54980611000002</v>
      </c>
      <c r="H7" s="852">
        <v>1.2335245100000001</v>
      </c>
      <c r="I7" s="852">
        <v>146.26018450000001</v>
      </c>
      <c r="J7" s="852">
        <v>17.952041999999999</v>
      </c>
      <c r="K7" s="592">
        <v>455.99555712</v>
      </c>
      <c r="L7" s="586" t="s">
        <v>225</v>
      </c>
      <c r="M7" s="586" t="s">
        <v>225</v>
      </c>
      <c r="N7" s="586" t="s">
        <v>225</v>
      </c>
      <c r="O7" s="586" t="s">
        <v>225</v>
      </c>
      <c r="P7" s="586" t="s">
        <v>225</v>
      </c>
    </row>
    <row r="8" spans="1:16" s="603" customFormat="1" ht="18" customHeight="1" x14ac:dyDescent="0.25">
      <c r="A8" s="221">
        <v>45413</v>
      </c>
      <c r="B8" s="586">
        <v>345.68</v>
      </c>
      <c r="C8" s="586">
        <v>20.85</v>
      </c>
      <c r="D8" s="586">
        <v>2.33</v>
      </c>
      <c r="E8" s="586">
        <v>1.27</v>
      </c>
      <c r="F8" s="601">
        <v>370.13</v>
      </c>
      <c r="G8" s="586">
        <v>303.24492935000001</v>
      </c>
      <c r="H8" s="586">
        <v>18.722498999999999</v>
      </c>
      <c r="I8" s="586">
        <v>3.3531594999999998</v>
      </c>
      <c r="J8" s="586">
        <v>3.7566815</v>
      </c>
      <c r="K8" s="601">
        <v>329.07726934999999</v>
      </c>
      <c r="L8" s="586" t="s">
        <v>225</v>
      </c>
      <c r="M8" s="586" t="s">
        <v>225</v>
      </c>
      <c r="N8" s="586" t="s">
        <v>225</v>
      </c>
      <c r="O8" s="586" t="s">
        <v>225</v>
      </c>
      <c r="P8" s="586" t="s">
        <v>225</v>
      </c>
    </row>
    <row r="9" spans="1:16" s="603" customFormat="1" ht="18" customHeight="1" x14ac:dyDescent="0.25">
      <c r="A9" s="221">
        <v>45444</v>
      </c>
      <c r="B9" s="586"/>
      <c r="C9" s="586"/>
      <c r="D9" s="586"/>
      <c r="E9" s="586"/>
      <c r="F9" s="601"/>
      <c r="G9" s="586"/>
      <c r="H9" s="586"/>
      <c r="I9" s="586"/>
      <c r="J9" s="586"/>
      <c r="K9" s="601"/>
      <c r="L9" s="586"/>
      <c r="M9" s="586"/>
      <c r="N9" s="586"/>
      <c r="O9" s="586"/>
      <c r="P9" s="586"/>
    </row>
    <row r="10" spans="1:16" s="603" customFormat="1" ht="18" customHeight="1" x14ac:dyDescent="0.25">
      <c r="A10" s="221">
        <v>45474</v>
      </c>
      <c r="B10" s="586"/>
      <c r="C10" s="586"/>
      <c r="D10" s="586"/>
      <c r="E10" s="586"/>
      <c r="F10" s="601"/>
      <c r="G10" s="586"/>
      <c r="H10" s="586"/>
      <c r="I10" s="586"/>
      <c r="J10" s="586"/>
      <c r="K10" s="601"/>
      <c r="L10" s="586"/>
      <c r="M10" s="586"/>
      <c r="N10" s="586"/>
      <c r="O10" s="586"/>
      <c r="P10" s="586"/>
    </row>
    <row r="11" spans="1:16" s="603" customFormat="1" ht="18" customHeight="1" x14ac:dyDescent="0.25">
      <c r="A11" s="221">
        <v>45505</v>
      </c>
      <c r="B11" s="586"/>
      <c r="C11" s="586"/>
      <c r="D11" s="586"/>
      <c r="E11" s="586"/>
      <c r="F11" s="601"/>
      <c r="G11" s="586"/>
      <c r="H11" s="586"/>
      <c r="I11" s="586"/>
      <c r="J11" s="586"/>
      <c r="K11" s="601"/>
      <c r="L11" s="586"/>
      <c r="M11" s="586"/>
      <c r="N11" s="586"/>
      <c r="O11" s="586"/>
      <c r="P11" s="586"/>
    </row>
    <row r="12" spans="1:16" s="603" customFormat="1" x14ac:dyDescent="0.25">
      <c r="A12" s="221">
        <v>45536</v>
      </c>
      <c r="B12" s="586"/>
      <c r="C12" s="586"/>
      <c r="D12" s="586"/>
      <c r="E12" s="586"/>
      <c r="F12" s="601"/>
      <c r="G12" s="586"/>
      <c r="H12" s="586"/>
      <c r="I12" s="586"/>
      <c r="J12" s="586"/>
      <c r="K12" s="601"/>
      <c r="L12" s="586"/>
      <c r="M12" s="586"/>
      <c r="N12" s="586"/>
      <c r="O12" s="586"/>
      <c r="P12" s="586"/>
    </row>
    <row r="13" spans="1:16" s="603" customFormat="1" ht="13.5" customHeight="1" x14ac:dyDescent="0.25">
      <c r="A13" s="221">
        <v>45566</v>
      </c>
      <c r="B13" s="586"/>
      <c r="C13" s="586"/>
      <c r="D13" s="586"/>
      <c r="E13" s="586"/>
      <c r="F13" s="601"/>
      <c r="G13" s="586"/>
      <c r="H13" s="586"/>
      <c r="I13" s="586"/>
      <c r="J13" s="586"/>
      <c r="K13" s="601"/>
      <c r="L13" s="586"/>
      <c r="M13" s="586"/>
      <c r="N13" s="586"/>
      <c r="O13" s="586"/>
      <c r="P13" s="586"/>
    </row>
    <row r="14" spans="1:16" s="603" customFormat="1" x14ac:dyDescent="0.25">
      <c r="A14" s="221">
        <v>45597</v>
      </c>
      <c r="B14" s="586"/>
      <c r="C14" s="586"/>
      <c r="D14" s="586"/>
      <c r="E14" s="586"/>
      <c r="F14" s="601"/>
      <c r="G14" s="586"/>
      <c r="H14" s="586"/>
      <c r="I14" s="586"/>
      <c r="J14" s="586"/>
      <c r="K14" s="601"/>
      <c r="L14" s="586"/>
      <c r="M14" s="586"/>
      <c r="N14" s="586"/>
      <c r="O14" s="586"/>
      <c r="P14" s="586"/>
    </row>
    <row r="15" spans="1:16" s="603" customFormat="1" x14ac:dyDescent="0.25">
      <c r="A15" s="221">
        <v>45627</v>
      </c>
      <c r="B15" s="586"/>
      <c r="C15" s="586"/>
      <c r="D15" s="586"/>
      <c r="E15" s="586"/>
      <c r="F15" s="601"/>
      <c r="G15" s="586"/>
      <c r="H15" s="586"/>
      <c r="I15" s="586"/>
      <c r="J15" s="586"/>
      <c r="K15" s="601"/>
      <c r="L15" s="586"/>
      <c r="M15" s="586"/>
      <c r="N15" s="586"/>
      <c r="O15" s="586"/>
      <c r="P15" s="586"/>
    </row>
    <row r="16" spans="1:16" s="603" customFormat="1" x14ac:dyDescent="0.25">
      <c r="A16" s="221">
        <v>45658</v>
      </c>
      <c r="B16" s="586"/>
      <c r="C16" s="586"/>
      <c r="D16" s="586"/>
      <c r="E16" s="586"/>
      <c r="F16" s="601"/>
      <c r="G16" s="586"/>
      <c r="H16" s="586"/>
      <c r="I16" s="586"/>
      <c r="J16" s="586"/>
      <c r="K16" s="601"/>
      <c r="L16" s="586"/>
      <c r="M16" s="586"/>
      <c r="N16" s="586"/>
      <c r="O16" s="586"/>
      <c r="P16" s="586"/>
    </row>
    <row r="17" spans="1:17" s="603" customFormat="1" x14ac:dyDescent="0.25">
      <c r="A17" s="221">
        <v>45689</v>
      </c>
      <c r="B17" s="586"/>
      <c r="C17" s="586"/>
      <c r="D17" s="586"/>
      <c r="E17" s="586"/>
      <c r="F17" s="601"/>
      <c r="G17" s="586"/>
      <c r="H17" s="586"/>
      <c r="I17" s="586"/>
      <c r="J17" s="586"/>
      <c r="K17" s="601"/>
      <c r="L17" s="586"/>
      <c r="M17" s="586"/>
      <c r="N17" s="586"/>
      <c r="O17" s="586"/>
      <c r="P17" s="586"/>
    </row>
    <row r="18" spans="1:17" s="603" customFormat="1" x14ac:dyDescent="0.25">
      <c r="A18" s="221">
        <v>45717</v>
      </c>
      <c r="B18" s="600"/>
      <c r="C18" s="600"/>
      <c r="D18" s="600"/>
      <c r="E18" s="600"/>
      <c r="F18" s="626"/>
      <c r="G18" s="627"/>
      <c r="H18" s="628"/>
      <c r="I18" s="628"/>
      <c r="J18" s="629"/>
      <c r="K18" s="629"/>
      <c r="L18" s="586"/>
      <c r="M18" s="586"/>
      <c r="N18" s="586"/>
      <c r="O18" s="586"/>
      <c r="P18" s="586"/>
    </row>
    <row r="19" spans="1:17" s="603" customFormat="1" x14ac:dyDescent="0.25">
      <c r="A19" s="168"/>
      <c r="B19" s="177"/>
      <c r="C19" s="177"/>
      <c r="D19" s="177"/>
      <c r="E19" s="177"/>
      <c r="F19" s="605"/>
      <c r="G19" s="177"/>
      <c r="H19" s="177"/>
      <c r="I19" s="177"/>
      <c r="J19" s="177"/>
      <c r="K19" s="605"/>
      <c r="L19" s="177"/>
      <c r="M19" s="177"/>
      <c r="N19" s="177"/>
      <c r="O19" s="177"/>
      <c r="P19" s="177"/>
    </row>
    <row r="20" spans="1:17" s="603" customFormat="1" ht="15" customHeight="1" x14ac:dyDescent="0.25">
      <c r="A20" s="1316" t="s">
        <v>171</v>
      </c>
      <c r="B20" s="1316"/>
      <c r="C20" s="1316"/>
      <c r="D20" s="1316"/>
      <c r="E20" s="1316"/>
      <c r="F20" s="1316"/>
      <c r="G20" s="1316"/>
      <c r="H20" s="1316"/>
      <c r="I20" s="1316"/>
      <c r="J20" s="1316"/>
      <c r="K20" s="1316"/>
      <c r="L20" s="1316"/>
      <c r="M20" s="1316"/>
      <c r="N20" s="1316"/>
      <c r="O20" s="1316"/>
    </row>
    <row r="21" spans="1:17" s="603" customFormat="1" ht="15" customHeight="1" x14ac:dyDescent="0.25">
      <c r="A21" s="127" t="s">
        <v>1383</v>
      </c>
      <c r="B21" s="595"/>
      <c r="C21" s="595"/>
      <c r="D21" s="595"/>
      <c r="E21" s="595"/>
      <c r="F21" s="595"/>
      <c r="G21" s="595"/>
      <c r="H21" s="595"/>
      <c r="I21" s="595"/>
      <c r="J21" s="595"/>
      <c r="K21" s="595"/>
      <c r="L21" s="595"/>
      <c r="M21" s="595"/>
      <c r="N21" s="595"/>
      <c r="O21" s="595"/>
    </row>
    <row r="22" spans="1:17" x14ac:dyDescent="0.25">
      <c r="A22" s="127" t="s">
        <v>1331</v>
      </c>
      <c r="P22" s="595"/>
    </row>
    <row r="23" spans="1:17" x14ac:dyDescent="0.25">
      <c r="B23" s="595"/>
      <c r="C23" s="595"/>
      <c r="D23" s="595"/>
      <c r="E23" s="595"/>
      <c r="F23" s="595"/>
      <c r="G23" s="595"/>
      <c r="H23" s="595"/>
      <c r="I23" s="595"/>
      <c r="J23" s="595"/>
      <c r="K23" s="595"/>
      <c r="L23" s="595"/>
      <c r="M23" s="595"/>
      <c r="N23" s="595"/>
      <c r="O23" s="595"/>
    </row>
    <row r="24" spans="1:17" x14ac:dyDescent="0.25">
      <c r="P24" s="595"/>
      <c r="Q24" s="595"/>
    </row>
  </sheetData>
  <mergeCells count="14">
    <mergeCell ref="A20:O20"/>
    <mergeCell ref="P2:P4"/>
    <mergeCell ref="B3:C3"/>
    <mergeCell ref="D3:E3"/>
    <mergeCell ref="G3:H3"/>
    <mergeCell ref="I3:J3"/>
    <mergeCell ref="L3:M3"/>
    <mergeCell ref="N3:O3"/>
    <mergeCell ref="A2:A4"/>
    <mergeCell ref="B2:E2"/>
    <mergeCell ref="F2:F4"/>
    <mergeCell ref="G2:J2"/>
    <mergeCell ref="K2:K4"/>
    <mergeCell ref="L2:O2"/>
  </mergeCells>
  <printOptions horizontalCentered="1"/>
  <pageMargins left="0.78431372549019618" right="0.78431372549019618" top="0.98039215686274517" bottom="0.98039215686274517" header="0.50980392156862753" footer="0.50980392156862753"/>
  <pageSetup paperSize="9" scale="65"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zoomScaleNormal="100" workbookViewId="0">
      <selection activeCell="A20" sqref="A20"/>
    </sheetView>
  </sheetViews>
  <sheetFormatPr defaultColWidth="9.140625" defaultRowHeight="15" x14ac:dyDescent="0.25"/>
  <cols>
    <col min="1" max="9" width="12.140625" style="127" customWidth="1"/>
    <col min="10" max="15" width="12.140625" style="127" bestFit="1" customWidth="1"/>
    <col min="16" max="16" width="4.5703125" style="127" bestFit="1" customWidth="1"/>
    <col min="17" max="16384" width="9.140625" style="127"/>
  </cols>
  <sheetData>
    <row r="1" spans="1:15" x14ac:dyDescent="0.25">
      <c r="A1" s="293" t="s">
        <v>580</v>
      </c>
      <c r="B1" s="293"/>
      <c r="C1" s="293"/>
      <c r="D1" s="293"/>
      <c r="E1" s="293"/>
      <c r="F1" s="293"/>
      <c r="G1" s="293"/>
      <c r="H1" s="293"/>
      <c r="I1" s="293"/>
    </row>
    <row r="2" spans="1:15" s="603" customFormat="1" ht="18" customHeight="1" x14ac:dyDescent="0.25">
      <c r="A2" s="1376" t="s">
        <v>172</v>
      </c>
      <c r="B2" s="1388" t="s">
        <v>576</v>
      </c>
      <c r="C2" s="1389"/>
      <c r="D2" s="1389"/>
      <c r="E2" s="1389"/>
      <c r="F2" s="1389"/>
      <c r="G2" s="1389"/>
      <c r="H2" s="1390"/>
      <c r="I2" s="1388" t="s">
        <v>581</v>
      </c>
      <c r="J2" s="1389"/>
      <c r="K2" s="1389"/>
      <c r="L2" s="1389"/>
      <c r="M2" s="1389"/>
      <c r="N2" s="1389"/>
      <c r="O2" s="1390"/>
    </row>
    <row r="3" spans="1:15" s="603" customFormat="1" ht="18" customHeight="1" x14ac:dyDescent="0.25">
      <c r="A3" s="1324"/>
      <c r="B3" s="828" t="s">
        <v>582</v>
      </c>
      <c r="C3" s="828" t="s">
        <v>583</v>
      </c>
      <c r="D3" s="828" t="s">
        <v>584</v>
      </c>
      <c r="E3" s="828" t="s">
        <v>585</v>
      </c>
      <c r="F3" s="828" t="s">
        <v>586</v>
      </c>
      <c r="G3" s="828" t="s">
        <v>587</v>
      </c>
      <c r="H3" s="828" t="s">
        <v>588</v>
      </c>
      <c r="I3" s="828" t="s">
        <v>582</v>
      </c>
      <c r="J3" s="828" t="s">
        <v>583</v>
      </c>
      <c r="K3" s="828" t="s">
        <v>584</v>
      </c>
      <c r="L3" s="828" t="s">
        <v>585</v>
      </c>
      <c r="M3" s="828" t="s">
        <v>586</v>
      </c>
      <c r="N3" s="828" t="s">
        <v>587</v>
      </c>
      <c r="O3" s="828" t="s">
        <v>588</v>
      </c>
    </row>
    <row r="4" spans="1:15" s="132" customFormat="1" ht="18" customHeight="1" x14ac:dyDescent="0.25">
      <c r="A4" s="1157" t="s">
        <v>532</v>
      </c>
      <c r="B4" s="790">
        <v>2288114.5998154995</v>
      </c>
      <c r="C4" s="794">
        <v>14552.657838250001</v>
      </c>
      <c r="D4" s="794">
        <v>34351.92843475</v>
      </c>
      <c r="E4" s="794">
        <v>8795.9715429999997</v>
      </c>
      <c r="F4" s="794">
        <v>8.7103064999999993E-2</v>
      </c>
      <c r="G4" s="794">
        <v>0</v>
      </c>
      <c r="H4" s="794">
        <v>8.4343625000000005E-2</v>
      </c>
      <c r="I4" s="853">
        <v>1146547</v>
      </c>
      <c r="J4" s="854">
        <v>1361</v>
      </c>
      <c r="K4" s="854">
        <v>7470</v>
      </c>
      <c r="L4" s="854">
        <v>3407</v>
      </c>
      <c r="M4" s="855">
        <v>0</v>
      </c>
      <c r="N4" s="855">
        <v>0</v>
      </c>
      <c r="O4" s="855">
        <v>0</v>
      </c>
    </row>
    <row r="5" spans="1:15" s="132" customFormat="1" ht="18" customHeight="1" x14ac:dyDescent="0.25">
      <c r="A5" s="1158" t="s">
        <v>1413</v>
      </c>
      <c r="B5" s="856">
        <f>SUM(B6:B17)</f>
        <v>28395.257776499999</v>
      </c>
      <c r="C5" s="856">
        <f t="shared" ref="C5:H5" si="0">SUM(C6:C17)</f>
        <v>109.8955505</v>
      </c>
      <c r="D5" s="856">
        <f t="shared" si="0"/>
        <v>130.21486200000001</v>
      </c>
      <c r="E5" s="856">
        <f t="shared" si="0"/>
        <v>42.435428000000002</v>
      </c>
      <c r="F5" s="370">
        <f t="shared" si="0"/>
        <v>0</v>
      </c>
      <c r="G5" s="370">
        <f t="shared" si="0"/>
        <v>0</v>
      </c>
      <c r="H5" s="370">
        <f t="shared" si="0"/>
        <v>0</v>
      </c>
      <c r="I5" s="370">
        <f t="shared" ref="I5:O5" si="1">INDEX(I6:I17,COUNT(I6:I17))</f>
        <v>9076</v>
      </c>
      <c r="J5" s="370">
        <f t="shared" si="1"/>
        <v>0</v>
      </c>
      <c r="K5" s="370">
        <f t="shared" si="1"/>
        <v>0</v>
      </c>
      <c r="L5" s="370">
        <f t="shared" si="1"/>
        <v>0</v>
      </c>
      <c r="M5" s="370">
        <f t="shared" si="1"/>
        <v>0</v>
      </c>
      <c r="N5" s="370">
        <f t="shared" si="1"/>
        <v>0</v>
      </c>
      <c r="O5" s="370">
        <f t="shared" si="1"/>
        <v>0</v>
      </c>
    </row>
    <row r="6" spans="1:15" s="603" customFormat="1" x14ac:dyDescent="0.25">
      <c r="A6" s="221">
        <v>45383</v>
      </c>
      <c r="B6" s="601">
        <v>26383.751637249999</v>
      </c>
      <c r="C6" s="601">
        <v>109.8955505</v>
      </c>
      <c r="D6" s="601">
        <v>130.21486200000001</v>
      </c>
      <c r="E6" s="601">
        <v>42.435428000000002</v>
      </c>
      <c r="F6" s="601">
        <v>0</v>
      </c>
      <c r="G6" s="601">
        <v>0</v>
      </c>
      <c r="H6" s="601">
        <v>0</v>
      </c>
      <c r="I6" s="602">
        <v>252110</v>
      </c>
      <c r="J6" s="601">
        <v>17</v>
      </c>
      <c r="K6" s="601">
        <v>548</v>
      </c>
      <c r="L6" s="601">
        <v>10</v>
      </c>
      <c r="M6" s="587">
        <v>0</v>
      </c>
      <c r="N6" s="587">
        <v>0</v>
      </c>
      <c r="O6" s="587">
        <v>0</v>
      </c>
    </row>
    <row r="7" spans="1:15" s="603" customFormat="1" x14ac:dyDescent="0.25">
      <c r="A7" s="221">
        <v>45413</v>
      </c>
      <c r="B7" s="601">
        <v>2011.5061392499999</v>
      </c>
      <c r="C7" s="601">
        <v>0</v>
      </c>
      <c r="D7" s="601">
        <v>0</v>
      </c>
      <c r="E7" s="601">
        <v>0</v>
      </c>
      <c r="F7" s="601">
        <v>0</v>
      </c>
      <c r="G7" s="601">
        <v>0</v>
      </c>
      <c r="H7" s="601">
        <v>0</v>
      </c>
      <c r="I7" s="601">
        <v>9076</v>
      </c>
      <c r="J7" s="601">
        <v>0</v>
      </c>
      <c r="K7" s="601">
        <v>0</v>
      </c>
      <c r="L7" s="601">
        <v>0</v>
      </c>
      <c r="M7" s="587">
        <v>0</v>
      </c>
      <c r="N7" s="587">
        <v>0</v>
      </c>
      <c r="O7" s="587">
        <v>0</v>
      </c>
    </row>
    <row r="8" spans="1:15" s="603" customFormat="1" x14ac:dyDescent="0.25">
      <c r="A8" s="221">
        <v>45444</v>
      </c>
      <c r="B8" s="602"/>
      <c r="C8" s="601"/>
      <c r="D8" s="601"/>
      <c r="E8" s="601"/>
      <c r="F8" s="601"/>
      <c r="G8" s="601"/>
      <c r="H8" s="601"/>
      <c r="I8" s="602"/>
      <c r="J8" s="601"/>
      <c r="K8" s="601"/>
      <c r="L8" s="601"/>
      <c r="M8" s="587"/>
      <c r="N8" s="587"/>
      <c r="O8" s="587"/>
    </row>
    <row r="9" spans="1:15" s="603" customFormat="1" x14ac:dyDescent="0.25">
      <c r="A9" s="221">
        <v>45474</v>
      </c>
      <c r="B9" s="602"/>
      <c r="C9" s="601"/>
      <c r="D9" s="601"/>
      <c r="E9" s="601"/>
      <c r="F9" s="601"/>
      <c r="G9" s="601"/>
      <c r="H9" s="601"/>
      <c r="I9" s="602"/>
      <c r="J9" s="601"/>
      <c r="K9" s="601"/>
      <c r="L9" s="601"/>
      <c r="M9" s="587"/>
      <c r="N9" s="587"/>
      <c r="O9" s="587"/>
    </row>
    <row r="10" spans="1:15" s="603" customFormat="1" x14ac:dyDescent="0.25">
      <c r="A10" s="221">
        <v>45505</v>
      </c>
      <c r="B10" s="602"/>
      <c r="C10" s="601"/>
      <c r="D10" s="601"/>
      <c r="E10" s="601"/>
      <c r="F10" s="601"/>
      <c r="G10" s="601"/>
      <c r="H10" s="601"/>
      <c r="I10" s="602"/>
      <c r="J10" s="601"/>
      <c r="K10" s="601"/>
      <c r="L10" s="601"/>
      <c r="M10" s="587"/>
      <c r="N10" s="587"/>
      <c r="O10" s="587"/>
    </row>
    <row r="11" spans="1:15" s="603" customFormat="1" x14ac:dyDescent="0.25">
      <c r="A11" s="221">
        <v>45536</v>
      </c>
      <c r="B11" s="602"/>
      <c r="C11" s="601"/>
      <c r="D11" s="601"/>
      <c r="E11" s="601"/>
      <c r="F11" s="601"/>
      <c r="G11" s="601"/>
      <c r="H11" s="601"/>
      <c r="I11" s="602"/>
      <c r="J11" s="601"/>
      <c r="K11" s="601"/>
      <c r="L11" s="601"/>
      <c r="M11" s="587"/>
      <c r="N11" s="587"/>
      <c r="O11" s="587"/>
    </row>
    <row r="12" spans="1:15" s="603" customFormat="1" x14ac:dyDescent="0.25">
      <c r="A12" s="221">
        <v>45566</v>
      </c>
      <c r="B12" s="602"/>
      <c r="C12" s="601"/>
      <c r="D12" s="601"/>
      <c r="E12" s="601"/>
      <c r="F12" s="601"/>
      <c r="G12" s="601"/>
      <c r="H12" s="601"/>
      <c r="I12" s="602"/>
      <c r="J12" s="601"/>
      <c r="K12" s="601"/>
      <c r="L12" s="601"/>
      <c r="M12" s="587"/>
      <c r="N12" s="587"/>
      <c r="O12" s="587"/>
    </row>
    <row r="13" spans="1:15" s="603" customFormat="1" x14ac:dyDescent="0.25">
      <c r="A13" s="221">
        <v>45597</v>
      </c>
      <c r="B13" s="503"/>
      <c r="C13" s="601"/>
      <c r="D13" s="601"/>
      <c r="E13" s="601"/>
      <c r="F13" s="601"/>
      <c r="G13" s="601"/>
      <c r="H13" s="601"/>
      <c r="I13" s="602"/>
      <c r="J13" s="601"/>
      <c r="K13" s="601"/>
      <c r="L13" s="601"/>
      <c r="M13" s="587"/>
      <c r="N13" s="587"/>
      <c r="O13" s="587"/>
    </row>
    <row r="14" spans="1:15" s="603" customFormat="1" x14ac:dyDescent="0.25">
      <c r="A14" s="221">
        <v>45627</v>
      </c>
      <c r="B14" s="602"/>
      <c r="C14" s="601"/>
      <c r="D14" s="601"/>
      <c r="E14" s="601"/>
      <c r="F14" s="601"/>
      <c r="G14" s="601"/>
      <c r="H14" s="601"/>
      <c r="I14" s="602"/>
      <c r="J14" s="601"/>
      <c r="K14" s="601"/>
      <c r="L14" s="601"/>
      <c r="M14" s="587"/>
      <c r="N14" s="587"/>
      <c r="O14" s="587"/>
    </row>
    <row r="15" spans="1:15" s="603" customFormat="1" x14ac:dyDescent="0.25">
      <c r="A15" s="221">
        <v>45658</v>
      </c>
      <c r="B15" s="602"/>
      <c r="C15" s="601"/>
      <c r="D15" s="601"/>
      <c r="E15" s="601"/>
      <c r="F15" s="601"/>
      <c r="G15" s="601"/>
      <c r="H15" s="601"/>
      <c r="I15" s="602"/>
      <c r="J15" s="601"/>
      <c r="K15" s="601"/>
      <c r="L15" s="601"/>
      <c r="M15" s="587"/>
      <c r="N15" s="587"/>
      <c r="O15" s="587"/>
    </row>
    <row r="16" spans="1:15" s="603" customFormat="1" x14ac:dyDescent="0.25">
      <c r="A16" s="221">
        <v>45689</v>
      </c>
      <c r="B16" s="602"/>
      <c r="C16" s="601"/>
      <c r="D16" s="601"/>
      <c r="E16" s="601"/>
      <c r="F16" s="601"/>
      <c r="G16" s="601"/>
      <c r="H16" s="601"/>
      <c r="I16" s="602"/>
      <c r="J16" s="601"/>
      <c r="K16" s="601"/>
      <c r="L16" s="601"/>
      <c r="M16" s="587"/>
      <c r="N16" s="587"/>
      <c r="O16" s="587"/>
    </row>
    <row r="17" spans="1:15" s="603" customFormat="1" x14ac:dyDescent="0.25">
      <c r="A17" s="221">
        <v>45717</v>
      </c>
      <c r="B17" s="602"/>
      <c r="C17" s="601"/>
      <c r="D17" s="601"/>
      <c r="E17" s="601"/>
      <c r="F17" s="601"/>
      <c r="G17" s="601"/>
      <c r="H17" s="601"/>
      <c r="I17" s="602"/>
      <c r="J17" s="601"/>
      <c r="K17" s="601"/>
      <c r="L17" s="601"/>
      <c r="M17" s="587"/>
      <c r="N17" s="587"/>
      <c r="O17" s="587"/>
    </row>
    <row r="18" spans="1:15" s="603" customFormat="1" x14ac:dyDescent="0.25">
      <c r="A18" s="647"/>
      <c r="B18" s="647"/>
      <c r="C18" s="647"/>
      <c r="D18" s="647"/>
      <c r="E18" s="647"/>
      <c r="F18" s="647"/>
      <c r="G18" s="647"/>
      <c r="H18" s="647"/>
      <c r="I18" s="647"/>
    </row>
    <row r="19" spans="1:15" s="603" customFormat="1" ht="15" customHeight="1" x14ac:dyDescent="0.25">
      <c r="A19" s="1316" t="s">
        <v>262</v>
      </c>
      <c r="B19" s="1316"/>
      <c r="C19" s="1316"/>
      <c r="D19" s="1316"/>
      <c r="E19" s="1316"/>
      <c r="F19" s="1316"/>
      <c r="G19" s="1316"/>
      <c r="H19" s="1316"/>
      <c r="I19" s="1316"/>
    </row>
    <row r="20" spans="1:15" s="603" customFormat="1" ht="15" customHeight="1" x14ac:dyDescent="0.25">
      <c r="A20" s="1126" t="s">
        <v>1401</v>
      </c>
      <c r="B20" s="171"/>
      <c r="C20" s="171"/>
      <c r="D20" s="171"/>
      <c r="E20" s="171"/>
      <c r="F20" s="171"/>
      <c r="G20" s="171"/>
      <c r="H20" s="171"/>
      <c r="I20" s="171"/>
    </row>
    <row r="21" spans="1:15" s="603" customFormat="1" x14ac:dyDescent="0.25">
      <c r="A21" s="127"/>
      <c r="B21" s="175"/>
      <c r="C21" s="175"/>
      <c r="D21" s="175"/>
      <c r="E21" s="127"/>
      <c r="F21" s="175"/>
      <c r="G21" s="175"/>
      <c r="H21" s="175"/>
      <c r="I21" s="175"/>
      <c r="J21" s="171"/>
      <c r="K21" s="171"/>
      <c r="L21" s="171"/>
      <c r="M21" s="171"/>
      <c r="N21" s="171"/>
      <c r="O21" s="171"/>
    </row>
    <row r="22" spans="1:15" x14ac:dyDescent="0.25">
      <c r="B22" s="175"/>
      <c r="C22" s="175"/>
      <c r="D22" s="175"/>
      <c r="E22" s="175"/>
      <c r="F22" s="175"/>
      <c r="G22" s="175"/>
      <c r="J22" s="175"/>
      <c r="K22" s="175"/>
      <c r="L22" s="175"/>
      <c r="M22" s="175"/>
      <c r="N22" s="175"/>
      <c r="O22" s="175"/>
    </row>
    <row r="23" spans="1:15" x14ac:dyDescent="0.25">
      <c r="G23" s="175"/>
    </row>
  </sheetData>
  <mergeCells count="4">
    <mergeCell ref="A2:A3"/>
    <mergeCell ref="B2:H2"/>
    <mergeCell ref="I2:O2"/>
    <mergeCell ref="A19:I19"/>
  </mergeCells>
  <printOptions horizontalCentered="1"/>
  <pageMargins left="0.78431372549019618" right="0.78431372549019618" top="0.98039215686274517" bottom="0.98039215686274517" header="0.50980392156862753" footer="0.50980392156862753"/>
  <pageSetup paperSize="9" scale="70" fitToHeight="0" orientation="landscape"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5"/>
  <sheetViews>
    <sheetView zoomScaleNormal="100" workbookViewId="0">
      <selection activeCell="A20" sqref="A20"/>
    </sheetView>
  </sheetViews>
  <sheetFormatPr defaultColWidth="9.140625" defaultRowHeight="15" x14ac:dyDescent="0.25"/>
  <cols>
    <col min="1" max="15" width="14.5703125" style="127" bestFit="1" customWidth="1"/>
    <col min="16" max="16" width="4.5703125" style="127" bestFit="1" customWidth="1"/>
    <col min="17" max="16384" width="9.140625" style="127"/>
  </cols>
  <sheetData>
    <row r="1" spans="1:15" ht="18.75" customHeight="1" x14ac:dyDescent="0.25">
      <c r="A1" s="293" t="s">
        <v>589</v>
      </c>
      <c r="B1" s="293"/>
      <c r="C1" s="293"/>
      <c r="D1" s="293"/>
      <c r="E1" s="293"/>
      <c r="F1" s="293"/>
      <c r="G1" s="293"/>
    </row>
    <row r="2" spans="1:15" s="603" customFormat="1" ht="18" customHeight="1" x14ac:dyDescent="0.25">
      <c r="A2" s="1376" t="s">
        <v>172</v>
      </c>
      <c r="B2" s="1388" t="s">
        <v>590</v>
      </c>
      <c r="C2" s="1389"/>
      <c r="D2" s="1389"/>
      <c r="E2" s="1389"/>
      <c r="F2" s="1389"/>
      <c r="G2" s="1389"/>
      <c r="H2" s="1390"/>
      <c r="I2" s="1388" t="s">
        <v>591</v>
      </c>
      <c r="J2" s="1389"/>
      <c r="K2" s="1389"/>
      <c r="L2" s="1389"/>
      <c r="M2" s="1389"/>
      <c r="N2" s="1389"/>
      <c r="O2" s="1390"/>
    </row>
    <row r="3" spans="1:15" s="603" customFormat="1" ht="18" customHeight="1" x14ac:dyDescent="0.25">
      <c r="A3" s="1324"/>
      <c r="B3" s="828" t="s">
        <v>582</v>
      </c>
      <c r="C3" s="828" t="s">
        <v>583</v>
      </c>
      <c r="D3" s="828" t="s">
        <v>584</v>
      </c>
      <c r="E3" s="828" t="s">
        <v>585</v>
      </c>
      <c r="F3" s="828" t="s">
        <v>586</v>
      </c>
      <c r="G3" s="828" t="s">
        <v>587</v>
      </c>
      <c r="H3" s="828" t="s">
        <v>588</v>
      </c>
      <c r="I3" s="828" t="s">
        <v>582</v>
      </c>
      <c r="J3" s="828" t="s">
        <v>583</v>
      </c>
      <c r="K3" s="828" t="s">
        <v>584</v>
      </c>
      <c r="L3" s="828" t="s">
        <v>585</v>
      </c>
      <c r="M3" s="828" t="s">
        <v>586</v>
      </c>
      <c r="N3" s="828" t="s">
        <v>587</v>
      </c>
      <c r="O3" s="828" t="s">
        <v>588</v>
      </c>
    </row>
    <row r="4" spans="1:15" s="132" customFormat="1" ht="18" customHeight="1" x14ac:dyDescent="0.25">
      <c r="A4" s="1157" t="s">
        <v>532</v>
      </c>
      <c r="B4" s="844">
        <v>33624479.010000005</v>
      </c>
      <c r="C4" s="790">
        <v>482803.10000000003</v>
      </c>
      <c r="D4" s="790">
        <v>887082.6</v>
      </c>
      <c r="E4" s="790">
        <v>142697.10999999999</v>
      </c>
      <c r="F4" s="794">
        <v>3473.4500000000003</v>
      </c>
      <c r="G4" s="794">
        <v>2765.37</v>
      </c>
      <c r="H4" s="794">
        <v>737.5100000000001</v>
      </c>
      <c r="I4" s="844">
        <v>17252112</v>
      </c>
      <c r="J4" s="790">
        <v>158115</v>
      </c>
      <c r="K4" s="790">
        <v>260489</v>
      </c>
      <c r="L4" s="794">
        <v>133270</v>
      </c>
      <c r="M4" s="794">
        <v>306</v>
      </c>
      <c r="N4" s="794">
        <v>373</v>
      </c>
      <c r="O4" s="794">
        <v>38</v>
      </c>
    </row>
    <row r="5" spans="1:15" s="132" customFormat="1" ht="18" customHeight="1" x14ac:dyDescent="0.25">
      <c r="A5" s="1158" t="s">
        <v>1413</v>
      </c>
      <c r="B5" s="856">
        <f>SUM(B6:B17)</f>
        <v>462829.19</v>
      </c>
      <c r="C5" s="856">
        <f t="shared" ref="C5:H5" si="0">SUM(C6:C17)</f>
        <v>6462.78</v>
      </c>
      <c r="D5" s="856">
        <f t="shared" si="0"/>
        <v>10250.61</v>
      </c>
      <c r="E5" s="856">
        <f t="shared" si="0"/>
        <v>1964.75</v>
      </c>
      <c r="F5" s="856">
        <f>SUM(F6:F17)</f>
        <v>246.2</v>
      </c>
      <c r="G5" s="856">
        <f t="shared" si="0"/>
        <v>820.68000000000006</v>
      </c>
      <c r="H5" s="856">
        <f t="shared" si="0"/>
        <v>23.990000000000002</v>
      </c>
      <c r="I5" s="370">
        <f t="shared" ref="I5:M5" si="1">INDEX(I6:I17,COUNT(I6:I17))</f>
        <v>3018383</v>
      </c>
      <c r="J5" s="370">
        <f>INDEX(J6:J17,COUNT(J6:J17))</f>
        <v>18716</v>
      </c>
      <c r="K5" s="370">
        <f t="shared" si="1"/>
        <v>17914</v>
      </c>
      <c r="L5" s="370">
        <f t="shared" si="1"/>
        <v>5104</v>
      </c>
      <c r="M5" s="370">
        <f t="shared" si="1"/>
        <v>2907</v>
      </c>
      <c r="N5" s="370">
        <f>INDEX(N6:N17,COUNT(N6:N17))</f>
        <v>941</v>
      </c>
      <c r="O5" s="370">
        <f>INDEX(O6:O17,COUNT(O6:O17))</f>
        <v>220</v>
      </c>
    </row>
    <row r="6" spans="1:15" s="603" customFormat="1" x14ac:dyDescent="0.25">
      <c r="A6" s="221">
        <v>45383</v>
      </c>
      <c r="B6" s="602">
        <v>354714.26</v>
      </c>
      <c r="C6" s="601">
        <v>5457.25</v>
      </c>
      <c r="D6" s="601">
        <v>9130.51</v>
      </c>
      <c r="E6" s="601">
        <v>1761.07</v>
      </c>
      <c r="F6" s="601">
        <v>120.69</v>
      </c>
      <c r="G6" s="601">
        <v>427.2</v>
      </c>
      <c r="H6" s="601">
        <v>15.61</v>
      </c>
      <c r="I6" s="601">
        <v>4135879</v>
      </c>
      <c r="J6" s="601">
        <v>22073</v>
      </c>
      <c r="K6" s="601">
        <v>15433</v>
      </c>
      <c r="L6" s="601">
        <v>10464</v>
      </c>
      <c r="M6" s="601">
        <v>1904</v>
      </c>
      <c r="N6" s="601">
        <v>19090</v>
      </c>
      <c r="O6" s="601">
        <v>318</v>
      </c>
    </row>
    <row r="7" spans="1:15" s="603" customFormat="1" x14ac:dyDescent="0.25">
      <c r="A7" s="221">
        <v>45413</v>
      </c>
      <c r="B7" s="602">
        <v>108114.93</v>
      </c>
      <c r="C7" s="601">
        <v>1005.53</v>
      </c>
      <c r="D7" s="601">
        <v>1120.0999999999999</v>
      </c>
      <c r="E7" s="601">
        <v>203.68</v>
      </c>
      <c r="F7" s="601">
        <v>125.51</v>
      </c>
      <c r="G7" s="601">
        <v>393.48</v>
      </c>
      <c r="H7" s="601">
        <v>8.3800000000000008</v>
      </c>
      <c r="I7" s="601">
        <v>3018383</v>
      </c>
      <c r="J7" s="601">
        <v>18716</v>
      </c>
      <c r="K7" s="601">
        <v>17914</v>
      </c>
      <c r="L7" s="601">
        <v>5104</v>
      </c>
      <c r="M7" s="601">
        <v>2907</v>
      </c>
      <c r="N7" s="601">
        <v>941</v>
      </c>
      <c r="O7" s="601">
        <v>220</v>
      </c>
    </row>
    <row r="8" spans="1:15" s="603" customFormat="1" x14ac:dyDescent="0.25">
      <c r="A8" s="221">
        <v>45444</v>
      </c>
      <c r="B8" s="602"/>
      <c r="C8" s="601"/>
      <c r="D8" s="601"/>
      <c r="E8" s="601"/>
      <c r="F8" s="601"/>
      <c r="G8" s="601"/>
      <c r="H8" s="601"/>
      <c r="I8" s="588"/>
      <c r="J8" s="602"/>
      <c r="K8" s="602"/>
      <c r="L8" s="801"/>
      <c r="M8" s="601"/>
      <c r="N8" s="601"/>
      <c r="O8" s="601"/>
    </row>
    <row r="9" spans="1:15" s="603" customFormat="1" x14ac:dyDescent="0.25">
      <c r="A9" s="221">
        <v>45474</v>
      </c>
      <c r="B9" s="602"/>
      <c r="C9" s="601"/>
      <c r="D9" s="601"/>
      <c r="E9" s="601"/>
      <c r="F9" s="601"/>
      <c r="G9" s="601"/>
      <c r="H9" s="601"/>
      <c r="I9" s="588"/>
      <c r="J9" s="602"/>
      <c r="K9" s="602"/>
      <c r="L9" s="801"/>
      <c r="M9" s="601"/>
      <c r="N9" s="601"/>
      <c r="O9" s="601"/>
    </row>
    <row r="10" spans="1:15" s="603" customFormat="1" x14ac:dyDescent="0.25">
      <c r="A10" s="221">
        <v>45505</v>
      </c>
      <c r="B10" s="602"/>
      <c r="C10" s="601"/>
      <c r="D10" s="601"/>
      <c r="E10" s="601"/>
      <c r="F10" s="601"/>
      <c r="G10" s="601"/>
      <c r="H10" s="601"/>
      <c r="I10" s="588"/>
      <c r="J10" s="602"/>
      <c r="K10" s="602"/>
      <c r="L10" s="801"/>
      <c r="M10" s="601"/>
      <c r="N10" s="601"/>
      <c r="O10" s="601"/>
    </row>
    <row r="11" spans="1:15" s="603" customFormat="1" x14ac:dyDescent="0.25">
      <c r="A11" s="221">
        <v>45536</v>
      </c>
      <c r="B11" s="602"/>
      <c r="C11" s="601"/>
      <c r="D11" s="601"/>
      <c r="E11" s="601"/>
      <c r="F11" s="601"/>
      <c r="G11" s="601"/>
      <c r="H11" s="601"/>
      <c r="I11" s="588"/>
      <c r="J11" s="602"/>
      <c r="K11" s="602"/>
      <c r="L11" s="801"/>
      <c r="M11" s="601"/>
      <c r="N11" s="601"/>
      <c r="O11" s="601"/>
    </row>
    <row r="12" spans="1:15" s="603" customFormat="1" x14ac:dyDescent="0.25">
      <c r="A12" s="221">
        <v>45566</v>
      </c>
      <c r="B12" s="602"/>
      <c r="C12" s="601"/>
      <c r="D12" s="601"/>
      <c r="E12" s="601"/>
      <c r="F12" s="601"/>
      <c r="G12" s="601"/>
      <c r="H12" s="601"/>
      <c r="I12" s="588"/>
      <c r="J12" s="602"/>
      <c r="K12" s="602"/>
      <c r="L12" s="801"/>
      <c r="M12" s="601"/>
      <c r="N12" s="601"/>
      <c r="O12" s="601"/>
    </row>
    <row r="13" spans="1:15" s="603" customFormat="1" x14ac:dyDescent="0.25">
      <c r="A13" s="221">
        <v>45597</v>
      </c>
      <c r="B13" s="602"/>
      <c r="C13" s="601"/>
      <c r="D13" s="601"/>
      <c r="E13" s="601"/>
      <c r="F13" s="601"/>
      <c r="G13" s="601"/>
      <c r="H13" s="601"/>
      <c r="I13" s="588"/>
      <c r="J13" s="602"/>
      <c r="K13" s="602"/>
      <c r="L13" s="801"/>
      <c r="M13" s="601"/>
      <c r="N13" s="601"/>
      <c r="O13" s="601"/>
    </row>
    <row r="14" spans="1:15" s="603" customFormat="1" x14ac:dyDescent="0.25">
      <c r="A14" s="221">
        <v>45627</v>
      </c>
      <c r="B14" s="602"/>
      <c r="C14" s="601"/>
      <c r="D14" s="601"/>
      <c r="E14" s="601"/>
      <c r="F14" s="601"/>
      <c r="G14" s="601"/>
      <c r="H14" s="601"/>
      <c r="I14" s="588"/>
      <c r="J14" s="602"/>
      <c r="K14" s="602"/>
      <c r="L14" s="801"/>
      <c r="M14" s="601"/>
      <c r="N14" s="601"/>
      <c r="O14" s="601"/>
    </row>
    <row r="15" spans="1:15" s="603" customFormat="1" x14ac:dyDescent="0.25">
      <c r="A15" s="221">
        <v>45658</v>
      </c>
      <c r="B15" s="602"/>
      <c r="C15" s="601"/>
      <c r="D15" s="601"/>
      <c r="E15" s="601"/>
      <c r="F15" s="601"/>
      <c r="G15" s="601"/>
      <c r="H15" s="601"/>
      <c r="I15" s="588"/>
      <c r="J15" s="602"/>
      <c r="K15" s="602"/>
      <c r="L15" s="801"/>
      <c r="M15" s="601"/>
      <c r="N15" s="601"/>
      <c r="O15" s="601"/>
    </row>
    <row r="16" spans="1:15" s="603" customFormat="1" x14ac:dyDescent="0.25">
      <c r="A16" s="221">
        <v>45689</v>
      </c>
      <c r="B16" s="602"/>
      <c r="C16" s="601"/>
      <c r="D16" s="601"/>
      <c r="E16" s="601"/>
      <c r="F16" s="601"/>
      <c r="G16" s="601"/>
      <c r="H16" s="601"/>
      <c r="I16" s="588"/>
      <c r="J16" s="602"/>
      <c r="K16" s="602"/>
      <c r="L16" s="801"/>
      <c r="M16" s="601"/>
      <c r="N16" s="601"/>
      <c r="O16" s="601"/>
    </row>
    <row r="17" spans="1:15" s="603" customFormat="1" x14ac:dyDescent="0.25">
      <c r="A17" s="221">
        <v>45717</v>
      </c>
      <c r="B17" s="602"/>
      <c r="C17" s="601"/>
      <c r="D17" s="601"/>
      <c r="E17" s="601"/>
      <c r="F17" s="601"/>
      <c r="G17" s="601"/>
      <c r="H17" s="601"/>
      <c r="I17" s="588"/>
      <c r="J17" s="602"/>
      <c r="K17" s="602"/>
      <c r="L17" s="801"/>
      <c r="M17" s="601"/>
      <c r="N17" s="601"/>
      <c r="O17" s="601"/>
    </row>
    <row r="18" spans="1:15" s="603" customFormat="1" x14ac:dyDescent="0.25">
      <c r="A18" s="644"/>
      <c r="B18" s="644"/>
      <c r="C18" s="644"/>
      <c r="D18" s="644"/>
      <c r="E18" s="644"/>
      <c r="F18" s="644"/>
      <c r="G18" s="644"/>
      <c r="H18" s="644"/>
      <c r="I18" s="644"/>
    </row>
    <row r="19" spans="1:15" s="603" customFormat="1" x14ac:dyDescent="0.25">
      <c r="A19" s="1284" t="s">
        <v>314</v>
      </c>
      <c r="B19" s="1284"/>
      <c r="C19" s="1284"/>
      <c r="D19" s="1284"/>
      <c r="E19" s="1284"/>
      <c r="F19" s="1284"/>
      <c r="G19" s="1284"/>
      <c r="H19" s="1284"/>
      <c r="I19" s="1284"/>
    </row>
    <row r="20" spans="1:15" s="603" customFormat="1" x14ac:dyDescent="0.25">
      <c r="A20" s="1126" t="s">
        <v>1401</v>
      </c>
      <c r="B20" s="175"/>
      <c r="C20" s="175"/>
      <c r="D20" s="175"/>
      <c r="E20" s="175"/>
      <c r="F20" s="175"/>
      <c r="G20" s="175"/>
      <c r="H20" s="175"/>
      <c r="I20" s="127"/>
    </row>
    <row r="25" spans="1:15" x14ac:dyDescent="0.25">
      <c r="D25" s="192"/>
    </row>
  </sheetData>
  <mergeCells count="4">
    <mergeCell ref="A2:A3"/>
    <mergeCell ref="B2:H2"/>
    <mergeCell ref="I2:O2"/>
    <mergeCell ref="A19:I19"/>
  </mergeCells>
  <printOptions horizontalCentered="1"/>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
  <sheetViews>
    <sheetView topLeftCell="A2" zoomScaleNormal="100" workbookViewId="0">
      <selection activeCell="A20" sqref="A20"/>
    </sheetView>
  </sheetViews>
  <sheetFormatPr defaultColWidth="9.140625" defaultRowHeight="15" x14ac:dyDescent="0.25"/>
  <cols>
    <col min="1" max="9" width="14.5703125" style="127" bestFit="1" customWidth="1"/>
    <col min="10" max="16384" width="9.140625" style="127"/>
  </cols>
  <sheetData>
    <row r="1" spans="1:9" ht="18.75" customHeight="1" x14ac:dyDescent="0.25">
      <c r="A1" s="652" t="s">
        <v>592</v>
      </c>
      <c r="B1" s="652"/>
      <c r="C1" s="652"/>
      <c r="D1" s="652"/>
      <c r="E1" s="652"/>
      <c r="F1" s="652"/>
      <c r="G1" s="652"/>
    </row>
    <row r="2" spans="1:9" s="603" customFormat="1" ht="27" customHeight="1" x14ac:dyDescent="0.25">
      <c r="A2" s="1376" t="s">
        <v>172</v>
      </c>
      <c r="B2" s="1381" t="s">
        <v>273</v>
      </c>
      <c r="C2" s="1382"/>
      <c r="D2" s="1382"/>
      <c r="E2" s="1383"/>
      <c r="F2" s="1406" t="s">
        <v>593</v>
      </c>
      <c r="G2" s="1407"/>
      <c r="H2" s="1407"/>
      <c r="I2" s="1408"/>
    </row>
    <row r="3" spans="1:9" s="603" customFormat="1" ht="18" customHeight="1" x14ac:dyDescent="0.25">
      <c r="A3" s="1324"/>
      <c r="B3" s="828" t="s">
        <v>582</v>
      </c>
      <c r="C3" s="828" t="s">
        <v>583</v>
      </c>
      <c r="D3" s="828" t="s">
        <v>584</v>
      </c>
      <c r="E3" s="828" t="s">
        <v>585</v>
      </c>
      <c r="F3" s="828" t="s">
        <v>582</v>
      </c>
      <c r="G3" s="828" t="s">
        <v>583</v>
      </c>
      <c r="H3" s="828" t="s">
        <v>584</v>
      </c>
      <c r="I3" s="828" t="s">
        <v>585</v>
      </c>
    </row>
    <row r="4" spans="1:9" s="132" customFormat="1" ht="18" customHeight="1" x14ac:dyDescent="0.25">
      <c r="A4" s="1157" t="s">
        <v>532</v>
      </c>
      <c r="B4" s="794">
        <v>247087.80125950006</v>
      </c>
      <c r="C4" s="794">
        <v>41.063919250000005</v>
      </c>
      <c r="D4" s="794">
        <v>553.48741949999999</v>
      </c>
      <c r="E4" s="794">
        <v>55.695217749999998</v>
      </c>
      <c r="F4" s="794">
        <v>103178</v>
      </c>
      <c r="G4" s="794">
        <v>0</v>
      </c>
      <c r="H4" s="794">
        <v>8</v>
      </c>
      <c r="I4" s="794">
        <v>0</v>
      </c>
    </row>
    <row r="5" spans="1:9" s="132" customFormat="1" ht="18" customHeight="1" x14ac:dyDescent="0.25">
      <c r="A5" s="1158" t="s">
        <v>1413</v>
      </c>
      <c r="B5" s="796">
        <f>SUM(B6:B17)</f>
        <v>6313.7762930000008</v>
      </c>
      <c r="C5" s="796">
        <f t="shared" ref="C5:E5" si="0">SUM(C6:C17)</f>
        <v>0</v>
      </c>
      <c r="D5" s="796">
        <f t="shared" si="0"/>
        <v>0</v>
      </c>
      <c r="E5" s="796">
        <f t="shared" si="0"/>
        <v>0</v>
      </c>
      <c r="F5" s="370">
        <f>INDEX(F6:F17,COUNT(F6:F17))</f>
        <v>4</v>
      </c>
      <c r="G5" s="370" t="str">
        <f>IFERROR(INDEX(G6:G16,COUNT(G6:G16)), "0")</f>
        <v>-</v>
      </c>
      <c r="H5" s="370" t="str">
        <f t="shared" ref="H5:I5" si="1">IFERROR(INDEX(H6:H16,COUNT(H6:H16)), "0")</f>
        <v>-</v>
      </c>
      <c r="I5" s="370" t="str">
        <f t="shared" si="1"/>
        <v>-</v>
      </c>
    </row>
    <row r="6" spans="1:9" s="603" customFormat="1" x14ac:dyDescent="0.25">
      <c r="A6" s="221">
        <v>45383</v>
      </c>
      <c r="B6" s="601">
        <v>5312.076293000001</v>
      </c>
      <c r="C6" s="601">
        <v>0</v>
      </c>
      <c r="D6" s="601">
        <v>0</v>
      </c>
      <c r="E6" s="601">
        <v>0</v>
      </c>
      <c r="F6" s="601">
        <v>40175</v>
      </c>
      <c r="G6" s="601" t="s">
        <v>238</v>
      </c>
      <c r="H6" s="601" t="s">
        <v>238</v>
      </c>
      <c r="I6" s="601" t="s">
        <v>238</v>
      </c>
    </row>
    <row r="7" spans="1:9" s="603" customFormat="1" x14ac:dyDescent="0.25">
      <c r="A7" s="221">
        <v>45413</v>
      </c>
      <c r="B7" s="601">
        <v>1001.7</v>
      </c>
      <c r="C7" s="601">
        <v>0</v>
      </c>
      <c r="D7" s="601">
        <v>0</v>
      </c>
      <c r="E7" s="601">
        <v>0</v>
      </c>
      <c r="F7" s="601">
        <v>4</v>
      </c>
      <c r="G7" s="601">
        <v>0</v>
      </c>
      <c r="H7" s="601">
        <v>0</v>
      </c>
      <c r="I7" s="601">
        <v>0</v>
      </c>
    </row>
    <row r="8" spans="1:9" s="603" customFormat="1" x14ac:dyDescent="0.25">
      <c r="A8" s="221">
        <v>45444</v>
      </c>
      <c r="B8" s="601"/>
      <c r="C8" s="601"/>
      <c r="D8" s="601"/>
      <c r="E8" s="601"/>
      <c r="F8" s="601"/>
      <c r="G8" s="601"/>
      <c r="H8" s="601"/>
      <c r="I8" s="601"/>
    </row>
    <row r="9" spans="1:9" s="603" customFormat="1" x14ac:dyDescent="0.25">
      <c r="A9" s="221">
        <v>45474</v>
      </c>
      <c r="B9" s="601"/>
      <c r="C9" s="601"/>
      <c r="D9" s="601"/>
      <c r="E9" s="601"/>
      <c r="F9" s="601"/>
      <c r="G9" s="601"/>
      <c r="H9" s="601"/>
      <c r="I9" s="601"/>
    </row>
    <row r="10" spans="1:9" s="603" customFormat="1" x14ac:dyDescent="0.25">
      <c r="A10" s="221">
        <v>45505</v>
      </c>
      <c r="B10" s="601"/>
      <c r="C10" s="601"/>
      <c r="D10" s="601"/>
      <c r="E10" s="601"/>
      <c r="F10" s="601"/>
      <c r="G10" s="601"/>
      <c r="H10" s="601"/>
      <c r="I10" s="601"/>
    </row>
    <row r="11" spans="1:9" s="603" customFormat="1" x14ac:dyDescent="0.25">
      <c r="A11" s="221">
        <v>45536</v>
      </c>
      <c r="B11" s="601"/>
      <c r="C11" s="601"/>
      <c r="D11" s="601"/>
      <c r="E11" s="601"/>
      <c r="F11" s="601"/>
      <c r="G11" s="601"/>
      <c r="H11" s="601"/>
      <c r="I11" s="601"/>
    </row>
    <row r="12" spans="1:9" s="603" customFormat="1" x14ac:dyDescent="0.25">
      <c r="A12" s="221">
        <v>45566</v>
      </c>
      <c r="B12" s="601"/>
      <c r="C12" s="601"/>
      <c r="D12" s="601"/>
      <c r="E12" s="601"/>
      <c r="F12" s="601"/>
      <c r="G12" s="601"/>
      <c r="H12" s="601"/>
      <c r="I12" s="601"/>
    </row>
    <row r="13" spans="1:9" s="603" customFormat="1" x14ac:dyDescent="0.25">
      <c r="A13" s="221">
        <v>45597</v>
      </c>
      <c r="B13" s="601"/>
      <c r="C13" s="601"/>
      <c r="D13" s="601"/>
      <c r="E13" s="601"/>
      <c r="F13" s="601"/>
      <c r="G13" s="601"/>
      <c r="H13" s="601"/>
      <c r="I13" s="601"/>
    </row>
    <row r="14" spans="1:9" s="603" customFormat="1" x14ac:dyDescent="0.25">
      <c r="A14" s="221">
        <v>45627</v>
      </c>
      <c r="B14" s="601"/>
      <c r="C14" s="601"/>
      <c r="D14" s="601"/>
      <c r="E14" s="601"/>
      <c r="F14" s="601"/>
      <c r="G14" s="601"/>
      <c r="H14" s="601"/>
      <c r="I14" s="601"/>
    </row>
    <row r="15" spans="1:9" s="603" customFormat="1" x14ac:dyDescent="0.25">
      <c r="A15" s="221">
        <v>45658</v>
      </c>
      <c r="B15" s="601"/>
      <c r="C15" s="601"/>
      <c r="D15" s="601"/>
      <c r="E15" s="601"/>
      <c r="F15" s="601"/>
      <c r="G15" s="601"/>
      <c r="H15" s="601"/>
      <c r="I15" s="601"/>
    </row>
    <row r="16" spans="1:9" s="603" customFormat="1" x14ac:dyDescent="0.25">
      <c r="A16" s="221">
        <v>45689</v>
      </c>
      <c r="B16" s="601"/>
      <c r="C16" s="601"/>
      <c r="D16" s="601"/>
      <c r="E16" s="601"/>
      <c r="F16" s="601"/>
      <c r="G16" s="601"/>
      <c r="H16" s="601"/>
      <c r="I16" s="601"/>
    </row>
    <row r="17" spans="1:9" s="603" customFormat="1" x14ac:dyDescent="0.25">
      <c r="A17" s="221">
        <v>45717</v>
      </c>
      <c r="B17" s="601"/>
      <c r="C17" s="601"/>
      <c r="D17" s="601"/>
      <c r="E17" s="601"/>
      <c r="F17" s="601"/>
      <c r="G17" s="601"/>
      <c r="H17" s="601"/>
      <c r="I17" s="601"/>
    </row>
    <row r="18" spans="1:9" s="603" customFormat="1" x14ac:dyDescent="0.25">
      <c r="A18" s="644"/>
      <c r="B18" s="644"/>
      <c r="C18" s="644"/>
      <c r="D18" s="644"/>
      <c r="E18" s="644"/>
      <c r="F18" s="644"/>
      <c r="G18" s="644"/>
      <c r="H18" s="644"/>
      <c r="I18" s="644"/>
    </row>
    <row r="19" spans="1:9" s="603" customFormat="1" x14ac:dyDescent="0.25">
      <c r="A19" s="644" t="s">
        <v>280</v>
      </c>
      <c r="B19" s="644"/>
      <c r="C19" s="644"/>
      <c r="D19" s="644"/>
      <c r="E19" s="644"/>
      <c r="F19" s="644"/>
      <c r="G19" s="644"/>
      <c r="H19" s="644"/>
      <c r="I19" s="644"/>
    </row>
    <row r="20" spans="1:9" s="603" customFormat="1" x14ac:dyDescent="0.25">
      <c r="A20" s="1126" t="s">
        <v>1401</v>
      </c>
      <c r="B20" s="644"/>
      <c r="C20" s="644"/>
      <c r="D20" s="644"/>
      <c r="E20" s="644"/>
      <c r="F20" s="644"/>
      <c r="G20" s="644"/>
      <c r="H20" s="644"/>
      <c r="I20" s="644"/>
    </row>
    <row r="21" spans="1:9" s="603" customFormat="1" x14ac:dyDescent="0.25">
      <c r="A21" s="127"/>
      <c r="B21" s="139"/>
      <c r="C21" s="139"/>
      <c r="D21" s="139"/>
      <c r="E21" s="139"/>
      <c r="F21" s="139"/>
      <c r="G21" s="139"/>
      <c r="H21" s="139"/>
      <c r="I21" s="139"/>
    </row>
    <row r="22" spans="1:9" x14ac:dyDescent="0.25">
      <c r="B22" s="140"/>
      <c r="C22" s="140"/>
      <c r="D22" s="140"/>
      <c r="E22" s="140"/>
    </row>
    <row r="23" spans="1:9" x14ac:dyDescent="0.25">
      <c r="B23" s="140"/>
      <c r="C23" s="140"/>
      <c r="D23" s="140"/>
      <c r="E23" s="140"/>
    </row>
  </sheetData>
  <mergeCells count="3">
    <mergeCell ref="A2:A3"/>
    <mergeCell ref="B2:E2"/>
    <mergeCell ref="F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zoomScaleNormal="100" workbookViewId="0">
      <selection activeCell="A20" sqref="A20"/>
    </sheetView>
  </sheetViews>
  <sheetFormatPr defaultColWidth="9.140625" defaultRowHeight="15" x14ac:dyDescent="0.25"/>
  <cols>
    <col min="1" max="1" width="12.140625" style="127" bestFit="1" customWidth="1"/>
    <col min="2" max="2" width="12.140625" style="127" customWidth="1"/>
    <col min="3" max="6" width="12.140625" style="127" bestFit="1" customWidth="1"/>
    <col min="7" max="7" width="12.140625" style="127" customWidth="1"/>
    <col min="8" max="11" width="12.140625" style="127" bestFit="1" customWidth="1"/>
    <col min="12" max="12" width="22.42578125" style="127" bestFit="1" customWidth="1"/>
    <col min="13" max="13" width="4.5703125" style="127" bestFit="1" customWidth="1"/>
    <col min="14" max="16384" width="9.140625" style="127"/>
  </cols>
  <sheetData>
    <row r="1" spans="1:12" ht="15.75" customHeight="1" x14ac:dyDescent="0.25">
      <c r="A1" s="652" t="s">
        <v>594</v>
      </c>
      <c r="B1" s="652"/>
      <c r="C1" s="652"/>
      <c r="D1" s="652"/>
      <c r="E1" s="652"/>
      <c r="F1" s="652"/>
      <c r="G1" s="652"/>
      <c r="H1" s="652"/>
      <c r="I1" s="652"/>
      <c r="J1" s="652"/>
      <c r="K1" s="652"/>
      <c r="L1" s="652"/>
    </row>
    <row r="2" spans="1:12" s="603" customFormat="1" ht="19.5" customHeight="1" x14ac:dyDescent="0.25">
      <c r="A2" s="1394" t="s">
        <v>172</v>
      </c>
      <c r="B2" s="1409" t="s">
        <v>563</v>
      </c>
      <c r="C2" s="1410"/>
      <c r="D2" s="1410"/>
      <c r="E2" s="1410"/>
      <c r="F2" s="1411"/>
      <c r="G2" s="1388" t="s">
        <v>570</v>
      </c>
      <c r="H2" s="1389"/>
      <c r="I2" s="1389"/>
      <c r="J2" s="1389"/>
      <c r="K2" s="1390"/>
    </row>
    <row r="3" spans="1:12" s="603" customFormat="1" x14ac:dyDescent="0.25">
      <c r="A3" s="1303"/>
      <c r="B3" s="655" t="s">
        <v>595</v>
      </c>
      <c r="C3" s="857" t="s">
        <v>596</v>
      </c>
      <c r="D3" s="828" t="s">
        <v>597</v>
      </c>
      <c r="E3" s="828" t="s">
        <v>598</v>
      </c>
      <c r="F3" s="828" t="s">
        <v>599</v>
      </c>
      <c r="G3" s="828" t="s">
        <v>595</v>
      </c>
      <c r="H3" s="828" t="s">
        <v>596</v>
      </c>
      <c r="I3" s="828" t="s">
        <v>597</v>
      </c>
      <c r="J3" s="828" t="s">
        <v>598</v>
      </c>
      <c r="K3" s="828" t="s">
        <v>599</v>
      </c>
    </row>
    <row r="4" spans="1:12" s="132" customFormat="1" ht="17.25" customHeight="1" x14ac:dyDescent="0.25">
      <c r="A4" s="1157" t="s">
        <v>532</v>
      </c>
      <c r="B4" s="193">
        <v>265155.58940524998</v>
      </c>
      <c r="C4" s="790">
        <v>1582715.4185500001</v>
      </c>
      <c r="D4" s="790">
        <v>323528.36560299998</v>
      </c>
      <c r="E4" s="794">
        <v>14354.014708000001</v>
      </c>
      <c r="F4" s="794">
        <v>3740.2410360000022</v>
      </c>
      <c r="G4" s="794">
        <v>87232.275318500004</v>
      </c>
      <c r="H4" s="794">
        <v>51139.150599250024</v>
      </c>
      <c r="I4" s="794">
        <v>16606.64022175</v>
      </c>
      <c r="J4" s="794">
        <v>1343.6427497500003</v>
      </c>
      <c r="K4" s="794">
        <v>0</v>
      </c>
    </row>
    <row r="5" spans="1:12" s="132" customFormat="1" ht="17.25" customHeight="1" x14ac:dyDescent="0.25">
      <c r="A5" s="1158" t="s">
        <v>1413</v>
      </c>
      <c r="B5" s="796">
        <f>SUM(B6:B17)</f>
        <v>425.11490000000003</v>
      </c>
      <c r="C5" s="796">
        <f>SUM(C6:C17)</f>
        <v>221126.87190000003</v>
      </c>
      <c r="D5" s="796">
        <f>SUM(D6:D17)</f>
        <v>5554.8362999999999</v>
      </c>
      <c r="E5" s="796">
        <f>SUM(E6:E17)</f>
        <v>186.73869999999999</v>
      </c>
      <c r="F5" s="796">
        <f>SUM(F6:F17)</f>
        <v>167.45919999999998</v>
      </c>
      <c r="G5" s="796">
        <f t="shared" ref="G5:K5" si="0">SUM(G6:G17)</f>
        <v>91.471999999999994</v>
      </c>
      <c r="H5" s="796">
        <f t="shared" si="0"/>
        <v>264.4076</v>
      </c>
      <c r="I5" s="796">
        <f t="shared" si="0"/>
        <v>1.6799999999999999E-2</v>
      </c>
      <c r="J5" s="796">
        <f t="shared" si="0"/>
        <v>0</v>
      </c>
      <c r="K5" s="796">
        <f t="shared" si="0"/>
        <v>0</v>
      </c>
      <c r="L5" s="603"/>
    </row>
    <row r="6" spans="1:12" s="603" customFormat="1" x14ac:dyDescent="0.25">
      <c r="A6" s="221">
        <v>45383</v>
      </c>
      <c r="B6" s="601">
        <v>425.11490000000003</v>
      </c>
      <c r="C6" s="601">
        <v>24202.961899999998</v>
      </c>
      <c r="D6" s="601">
        <v>1328.1263000000001</v>
      </c>
      <c r="E6" s="601">
        <v>186.73869999999999</v>
      </c>
      <c r="F6" s="601">
        <v>167.45919999999998</v>
      </c>
      <c r="G6" s="601">
        <v>91.471999999999994</v>
      </c>
      <c r="H6" s="601">
        <v>264.4076</v>
      </c>
      <c r="I6" s="601">
        <v>1.6799999999999999E-2</v>
      </c>
      <c r="J6" s="601">
        <v>0</v>
      </c>
      <c r="K6" s="601">
        <v>0</v>
      </c>
    </row>
    <row r="7" spans="1:12" s="603" customFormat="1" x14ac:dyDescent="0.25">
      <c r="A7" s="221">
        <v>45413</v>
      </c>
      <c r="B7" s="601">
        <v>0</v>
      </c>
      <c r="C7" s="602">
        <v>196923.91000000003</v>
      </c>
      <c r="D7" s="601">
        <v>4226.71</v>
      </c>
      <c r="E7" s="601">
        <v>0</v>
      </c>
      <c r="F7" s="601">
        <v>0</v>
      </c>
      <c r="G7" s="601">
        <v>0</v>
      </c>
      <c r="H7" s="601">
        <v>0</v>
      </c>
      <c r="I7" s="601">
        <v>0</v>
      </c>
      <c r="J7" s="601">
        <v>0</v>
      </c>
      <c r="K7" s="601">
        <v>0</v>
      </c>
    </row>
    <row r="8" spans="1:12" s="603" customFormat="1" x14ac:dyDescent="0.25">
      <c r="A8" s="221">
        <v>45444</v>
      </c>
      <c r="B8" s="601"/>
      <c r="C8" s="602"/>
      <c r="D8" s="601"/>
      <c r="E8" s="601"/>
      <c r="F8" s="601"/>
      <c r="G8" s="601"/>
      <c r="H8" s="601"/>
      <c r="I8" s="601"/>
      <c r="J8" s="601"/>
      <c r="K8" s="601"/>
    </row>
    <row r="9" spans="1:12" s="603" customFormat="1" x14ac:dyDescent="0.25">
      <c r="A9" s="221">
        <v>45474</v>
      </c>
      <c r="B9" s="601"/>
      <c r="C9" s="602"/>
      <c r="D9" s="601"/>
      <c r="E9" s="601"/>
      <c r="F9" s="601"/>
      <c r="G9" s="601"/>
      <c r="H9" s="601"/>
      <c r="I9" s="601"/>
      <c r="J9" s="601"/>
      <c r="K9" s="601"/>
    </row>
    <row r="10" spans="1:12" s="603" customFormat="1" x14ac:dyDescent="0.25">
      <c r="A10" s="221">
        <v>45505</v>
      </c>
      <c r="B10" s="601"/>
      <c r="C10" s="602"/>
      <c r="D10" s="601"/>
      <c r="E10" s="601"/>
      <c r="F10" s="601"/>
      <c r="G10" s="601"/>
      <c r="H10" s="601"/>
      <c r="I10" s="601"/>
      <c r="J10" s="601"/>
      <c r="K10" s="601"/>
    </row>
    <row r="11" spans="1:12" s="603" customFormat="1" x14ac:dyDescent="0.25">
      <c r="A11" s="221">
        <v>45536</v>
      </c>
      <c r="B11" s="601"/>
      <c r="C11" s="602"/>
      <c r="D11" s="601"/>
      <c r="E11" s="601"/>
      <c r="F11" s="601"/>
      <c r="G11" s="601"/>
      <c r="H11" s="601"/>
      <c r="I11" s="601"/>
      <c r="J11" s="601"/>
      <c r="K11" s="601"/>
    </row>
    <row r="12" spans="1:12" s="603" customFormat="1" x14ac:dyDescent="0.25">
      <c r="A12" s="221">
        <v>45566</v>
      </c>
      <c r="B12" s="601"/>
      <c r="C12" s="503"/>
      <c r="D12" s="601"/>
      <c r="E12" s="601"/>
      <c r="F12" s="601"/>
      <c r="G12" s="601"/>
      <c r="H12" s="601"/>
      <c r="I12" s="601"/>
      <c r="J12" s="601"/>
      <c r="K12" s="601"/>
    </row>
    <row r="13" spans="1:12" s="603" customFormat="1" x14ac:dyDescent="0.25">
      <c r="A13" s="221">
        <v>45597</v>
      </c>
      <c r="B13" s="601"/>
      <c r="C13" s="503"/>
      <c r="D13" s="601"/>
      <c r="E13" s="601"/>
      <c r="F13" s="601"/>
      <c r="G13" s="601"/>
      <c r="H13" s="601"/>
      <c r="I13" s="601"/>
      <c r="J13" s="601"/>
      <c r="K13" s="601"/>
    </row>
    <row r="14" spans="1:12" s="603" customFormat="1" x14ac:dyDescent="0.25">
      <c r="A14" s="221">
        <v>45627</v>
      </c>
      <c r="B14" s="601"/>
      <c r="C14" s="503"/>
      <c r="D14" s="601"/>
      <c r="E14" s="601"/>
      <c r="F14" s="601"/>
      <c r="G14" s="601"/>
      <c r="H14" s="601"/>
      <c r="I14" s="601"/>
      <c r="J14" s="601"/>
      <c r="K14" s="601"/>
    </row>
    <row r="15" spans="1:12" s="603" customFormat="1" x14ac:dyDescent="0.25">
      <c r="A15" s="221">
        <v>45658</v>
      </c>
      <c r="B15" s="601"/>
      <c r="C15" s="602"/>
      <c r="D15" s="601"/>
      <c r="E15" s="601"/>
      <c r="F15" s="601"/>
      <c r="G15" s="601"/>
      <c r="H15" s="601"/>
      <c r="I15" s="601"/>
      <c r="J15" s="601"/>
      <c r="K15" s="601"/>
    </row>
    <row r="16" spans="1:12" s="603" customFormat="1" x14ac:dyDescent="0.25">
      <c r="A16" s="221">
        <v>45689</v>
      </c>
      <c r="B16" s="601"/>
      <c r="C16" s="503"/>
      <c r="D16" s="601"/>
      <c r="E16" s="601"/>
      <c r="F16" s="601"/>
      <c r="G16" s="601"/>
      <c r="H16" s="601"/>
      <c r="I16" s="601"/>
      <c r="J16" s="601"/>
      <c r="K16" s="601"/>
    </row>
    <row r="17" spans="1:11" s="603" customFormat="1" x14ac:dyDescent="0.25">
      <c r="A17" s="221">
        <v>45717</v>
      </c>
      <c r="B17" s="601"/>
      <c r="C17" s="503"/>
      <c r="D17" s="601"/>
      <c r="E17" s="601"/>
      <c r="F17" s="601"/>
      <c r="G17" s="601"/>
      <c r="H17" s="601"/>
      <c r="I17" s="601"/>
      <c r="J17" s="601"/>
      <c r="K17" s="601"/>
    </row>
    <row r="18" spans="1:11" s="603" customFormat="1" x14ac:dyDescent="0.25">
      <c r="A18" s="168"/>
      <c r="B18" s="605"/>
      <c r="C18" s="169"/>
      <c r="D18" s="605"/>
      <c r="E18" s="605"/>
      <c r="F18" s="605"/>
      <c r="G18" s="605"/>
      <c r="H18" s="605"/>
      <c r="I18" s="605"/>
      <c r="J18" s="605"/>
      <c r="K18" s="605"/>
    </row>
    <row r="19" spans="1:11" s="603" customFormat="1" ht="15" customHeight="1" x14ac:dyDescent="0.25">
      <c r="A19" s="1316" t="s">
        <v>262</v>
      </c>
      <c r="B19" s="1316"/>
      <c r="C19" s="1316"/>
      <c r="D19" s="1316"/>
      <c r="E19" s="1316"/>
      <c r="F19" s="1316"/>
      <c r="G19" s="1316"/>
      <c r="H19" s="1316"/>
      <c r="I19" s="1316"/>
      <c r="J19" s="1316"/>
      <c r="K19" s="1316"/>
    </row>
    <row r="20" spans="1:11" s="603" customFormat="1" ht="15" customHeight="1" x14ac:dyDescent="0.25">
      <c r="A20" s="1126" t="s">
        <v>1401</v>
      </c>
      <c r="B20" s="139"/>
      <c r="C20" s="139"/>
      <c r="D20" s="139"/>
      <c r="E20" s="139"/>
      <c r="F20" s="139"/>
      <c r="G20" s="139"/>
      <c r="H20" s="139"/>
      <c r="I20" s="139"/>
      <c r="J20" s="139"/>
      <c r="K20" s="139"/>
    </row>
    <row r="21" spans="1:11" x14ac:dyDescent="0.25">
      <c r="B21" s="140"/>
      <c r="C21" s="140"/>
      <c r="D21" s="140"/>
      <c r="E21" s="140"/>
      <c r="F21" s="140"/>
      <c r="G21" s="140"/>
      <c r="H21" s="140"/>
      <c r="I21" s="140"/>
      <c r="J21" s="140"/>
      <c r="K21" s="140"/>
    </row>
    <row r="22" spans="1:11" x14ac:dyDescent="0.25">
      <c r="B22" s="194"/>
      <c r="C22" s="194"/>
      <c r="F22" s="140"/>
      <c r="K22" s="140"/>
    </row>
    <row r="23" spans="1:11" x14ac:dyDescent="0.25">
      <c r="B23" s="194"/>
      <c r="C23" s="194"/>
      <c r="F23" s="140"/>
      <c r="K23" s="140"/>
    </row>
    <row r="24" spans="1:11" x14ac:dyDescent="0.25">
      <c r="B24" s="194"/>
      <c r="C24" s="194"/>
      <c r="F24" s="140"/>
      <c r="K24" s="140"/>
    </row>
    <row r="25" spans="1:11" x14ac:dyDescent="0.25">
      <c r="B25" s="150"/>
      <c r="C25" s="150"/>
      <c r="F25" s="140"/>
      <c r="K25" s="140"/>
    </row>
    <row r="26" spans="1:11" x14ac:dyDescent="0.25">
      <c r="F26" s="140"/>
      <c r="K26" s="140"/>
    </row>
    <row r="27" spans="1:11" x14ac:dyDescent="0.25">
      <c r="F27" s="140"/>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82" fitToHeight="0" orientation="landscape"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8"/>
  <sheetViews>
    <sheetView topLeftCell="A2" zoomScaleNormal="100" workbookViewId="0">
      <selection activeCell="A21" sqref="A21"/>
    </sheetView>
  </sheetViews>
  <sheetFormatPr defaultColWidth="9.140625" defaultRowHeight="15" x14ac:dyDescent="0.25"/>
  <cols>
    <col min="1" max="1" width="12.42578125" style="127" bestFit="1" customWidth="1"/>
    <col min="2" max="2" width="12.42578125" style="127" customWidth="1"/>
    <col min="3" max="6" width="12.42578125" style="127" bestFit="1" customWidth="1"/>
    <col min="7" max="7" width="12.42578125" style="127" customWidth="1"/>
    <col min="8" max="10" width="12.140625" style="127" bestFit="1" customWidth="1"/>
    <col min="11" max="11" width="12.42578125" style="127" bestFit="1" customWidth="1"/>
    <col min="12" max="13" width="9.140625" style="127"/>
    <col min="14" max="14" width="10.5703125" style="127" bestFit="1" customWidth="1"/>
    <col min="15" max="15" width="10.28515625" style="127" bestFit="1" customWidth="1"/>
    <col min="16" max="16384" width="9.140625" style="127"/>
  </cols>
  <sheetData>
    <row r="1" spans="1:15" ht="17.25" customHeight="1" x14ac:dyDescent="0.25">
      <c r="A1" s="369" t="s">
        <v>600</v>
      </c>
      <c r="B1" s="383"/>
      <c r="C1" s="383"/>
      <c r="D1" s="383"/>
      <c r="E1" s="383"/>
      <c r="F1" s="383"/>
      <c r="G1" s="383"/>
      <c r="H1" s="383"/>
      <c r="I1" s="383"/>
      <c r="J1" s="383"/>
      <c r="K1" s="383"/>
    </row>
    <row r="2" spans="1:15" s="603" customFormat="1" ht="18" customHeight="1" x14ac:dyDescent="0.25">
      <c r="A2" s="1412" t="s">
        <v>172</v>
      </c>
      <c r="B2" s="1414" t="s">
        <v>563</v>
      </c>
      <c r="C2" s="1415"/>
      <c r="D2" s="1415"/>
      <c r="E2" s="1415"/>
      <c r="F2" s="1416"/>
      <c r="G2" s="1417" t="s">
        <v>570</v>
      </c>
      <c r="H2" s="1418"/>
      <c r="I2" s="1418"/>
      <c r="J2" s="1418"/>
      <c r="K2" s="1419"/>
    </row>
    <row r="3" spans="1:15" s="603" customFormat="1" ht="18" customHeight="1" x14ac:dyDescent="0.25">
      <c r="A3" s="1413"/>
      <c r="B3" s="308" t="s">
        <v>595</v>
      </c>
      <c r="C3" s="858" t="s">
        <v>596</v>
      </c>
      <c r="D3" s="859" t="s">
        <v>601</v>
      </c>
      <c r="E3" s="859" t="s">
        <v>598</v>
      </c>
      <c r="F3" s="859" t="s">
        <v>599</v>
      </c>
      <c r="G3" s="859" t="s">
        <v>595</v>
      </c>
      <c r="H3" s="859" t="s">
        <v>596</v>
      </c>
      <c r="I3" s="859" t="s">
        <v>597</v>
      </c>
      <c r="J3" s="859" t="s">
        <v>598</v>
      </c>
      <c r="K3" s="859" t="s">
        <v>599</v>
      </c>
    </row>
    <row r="4" spans="1:15" s="132" customFormat="1" ht="16.5" customHeight="1" x14ac:dyDescent="0.25">
      <c r="A4" s="1157" t="s">
        <v>532</v>
      </c>
      <c r="B4" s="417">
        <v>619188.15919525002</v>
      </c>
      <c r="C4" s="860">
        <v>4685370.8459481057</v>
      </c>
      <c r="D4" s="860">
        <v>1501948.9385291443</v>
      </c>
      <c r="E4" s="860">
        <v>222220.96535619488</v>
      </c>
      <c r="F4" s="860">
        <v>173012.63311431001</v>
      </c>
      <c r="G4" s="291">
        <v>19093760.92444725</v>
      </c>
      <c r="H4" s="860">
        <v>7358692.7990452508</v>
      </c>
      <c r="I4" s="860">
        <v>1360063.1282590001</v>
      </c>
      <c r="J4" s="860">
        <v>122684.10330375</v>
      </c>
      <c r="K4" s="860">
        <v>7094.0754217499998</v>
      </c>
    </row>
    <row r="5" spans="1:15" s="132" customFormat="1" ht="16.5" customHeight="1" x14ac:dyDescent="0.25">
      <c r="A5" s="1158" t="s">
        <v>1413</v>
      </c>
      <c r="B5" s="796">
        <f t="shared" ref="B5:K5" si="0">SUM(B6:B17)</f>
        <v>31835.647326018498</v>
      </c>
      <c r="C5" s="796">
        <f t="shared" si="0"/>
        <v>235720.05484186031</v>
      </c>
      <c r="D5" s="796">
        <f t="shared" si="0"/>
        <v>45644.218074379816</v>
      </c>
      <c r="E5" s="796">
        <f t="shared" si="0"/>
        <v>3448.8126272499994</v>
      </c>
      <c r="F5" s="796">
        <f t="shared" si="0"/>
        <v>5940.139399000007</v>
      </c>
      <c r="G5" s="796">
        <f t="shared" si="0"/>
        <v>57154.209281749987</v>
      </c>
      <c r="H5" s="796">
        <f t="shared" si="0"/>
        <v>85645.193186249991</v>
      </c>
      <c r="I5" s="796">
        <f t="shared" si="0"/>
        <v>13265.001724250002</v>
      </c>
      <c r="J5" s="796">
        <f t="shared" si="0"/>
        <v>3541.6720505000003</v>
      </c>
      <c r="K5" s="796">
        <f t="shared" si="0"/>
        <v>403.25926325</v>
      </c>
      <c r="M5" s="195"/>
      <c r="N5" s="195"/>
      <c r="O5" s="196"/>
    </row>
    <row r="6" spans="1:15" s="603" customFormat="1" ht="16.5" customHeight="1" x14ac:dyDescent="0.25">
      <c r="A6" s="221">
        <v>45383</v>
      </c>
      <c r="B6" s="593">
        <v>2881.8392305000002</v>
      </c>
      <c r="C6" s="593">
        <v>160682.56208672433</v>
      </c>
      <c r="D6" s="593">
        <v>45518.748263879817</v>
      </c>
      <c r="E6" s="593">
        <v>2917.7947239999994</v>
      </c>
      <c r="F6" s="593">
        <v>5437.4272440000068</v>
      </c>
      <c r="G6" s="593">
        <v>54900.824904749985</v>
      </c>
      <c r="H6" s="593">
        <v>82105.088391749989</v>
      </c>
      <c r="I6" s="593">
        <v>13265.001724250002</v>
      </c>
      <c r="J6" s="593">
        <v>3541.6720505000003</v>
      </c>
      <c r="K6" s="592">
        <v>375.64347524999999</v>
      </c>
      <c r="L6" s="139"/>
      <c r="M6" s="195"/>
      <c r="N6" s="195"/>
      <c r="O6" s="196"/>
    </row>
    <row r="7" spans="1:15" s="603" customFormat="1" ht="16.5" customHeight="1" x14ac:dyDescent="0.25">
      <c r="A7" s="221">
        <v>45413</v>
      </c>
      <c r="B7" s="593">
        <v>28953.808095518496</v>
      </c>
      <c r="C7" s="593">
        <v>75037.492755135987</v>
      </c>
      <c r="D7" s="593">
        <v>125.46981049999999</v>
      </c>
      <c r="E7" s="593">
        <v>531.01790325000002</v>
      </c>
      <c r="F7" s="593">
        <v>502.71215499999994</v>
      </c>
      <c r="G7" s="593">
        <v>2253.3843769999999</v>
      </c>
      <c r="H7" s="593">
        <v>3540.1047944999996</v>
      </c>
      <c r="I7" s="593">
        <v>0</v>
      </c>
      <c r="J7" s="593">
        <v>0</v>
      </c>
      <c r="K7" s="592">
        <v>27.615787999999998</v>
      </c>
      <c r="L7" s="139"/>
      <c r="M7" s="195"/>
      <c r="N7" s="195"/>
      <c r="O7" s="196"/>
    </row>
    <row r="8" spans="1:15" s="603" customFormat="1" ht="16.5" customHeight="1" x14ac:dyDescent="0.25">
      <c r="A8" s="221">
        <v>45444</v>
      </c>
      <c r="B8" s="593"/>
      <c r="C8" s="593"/>
      <c r="D8" s="593"/>
      <c r="E8" s="593"/>
      <c r="F8" s="593"/>
      <c r="G8" s="593"/>
      <c r="H8" s="589"/>
      <c r="I8" s="593"/>
      <c r="J8" s="593"/>
      <c r="K8" s="592"/>
      <c r="L8" s="139"/>
      <c r="M8" s="195"/>
      <c r="N8" s="195"/>
      <c r="O8" s="196"/>
    </row>
    <row r="9" spans="1:15" s="603" customFormat="1" ht="16.5" customHeight="1" x14ac:dyDescent="0.25">
      <c r="A9" s="221">
        <v>45474</v>
      </c>
      <c r="B9" s="593"/>
      <c r="C9" s="593"/>
      <c r="D9" s="593"/>
      <c r="E9" s="593"/>
      <c r="F9" s="593"/>
      <c r="G9" s="593"/>
      <c r="H9" s="589"/>
      <c r="I9" s="593"/>
      <c r="J9" s="593"/>
      <c r="K9" s="592"/>
      <c r="L9" s="139"/>
      <c r="M9" s="195"/>
      <c r="N9" s="195"/>
      <c r="O9" s="196"/>
    </row>
    <row r="10" spans="1:15" s="603" customFormat="1" ht="16.5" customHeight="1" x14ac:dyDescent="0.25">
      <c r="A10" s="221">
        <v>45505</v>
      </c>
      <c r="B10" s="593"/>
      <c r="C10" s="593"/>
      <c r="D10" s="593"/>
      <c r="E10" s="593"/>
      <c r="F10" s="593"/>
      <c r="G10" s="593"/>
      <c r="H10" s="589"/>
      <c r="I10" s="593"/>
      <c r="J10" s="593"/>
      <c r="K10" s="592"/>
      <c r="L10" s="139"/>
      <c r="M10" s="195"/>
      <c r="N10" s="195"/>
      <c r="O10" s="196"/>
    </row>
    <row r="11" spans="1:15" s="603" customFormat="1" x14ac:dyDescent="0.25">
      <c r="A11" s="221">
        <v>45536</v>
      </c>
      <c r="B11" s="593"/>
      <c r="C11" s="593"/>
      <c r="D11" s="593"/>
      <c r="E11" s="593"/>
      <c r="F11" s="593"/>
      <c r="G11" s="593"/>
      <c r="H11" s="589"/>
      <c r="I11" s="593"/>
      <c r="J11" s="593"/>
      <c r="K11" s="592"/>
      <c r="L11" s="139"/>
      <c r="M11" s="195"/>
      <c r="N11" s="195"/>
      <c r="O11" s="196"/>
    </row>
    <row r="12" spans="1:15" s="603" customFormat="1" x14ac:dyDescent="0.25">
      <c r="A12" s="221">
        <v>45566</v>
      </c>
      <c r="B12" s="593"/>
      <c r="C12" s="593"/>
      <c r="D12" s="593"/>
      <c r="E12" s="593"/>
      <c r="F12" s="593"/>
      <c r="G12" s="593"/>
      <c r="H12" s="589"/>
      <c r="I12" s="593"/>
      <c r="J12" s="593"/>
      <c r="K12" s="592"/>
      <c r="L12" s="139"/>
      <c r="M12" s="195"/>
      <c r="N12" s="195"/>
      <c r="O12" s="196"/>
    </row>
    <row r="13" spans="1:15" s="603" customFormat="1" x14ac:dyDescent="0.25">
      <c r="A13" s="221">
        <v>45597</v>
      </c>
      <c r="B13" s="593"/>
      <c r="C13" s="593"/>
      <c r="D13" s="593"/>
      <c r="E13" s="593"/>
      <c r="F13" s="593"/>
      <c r="G13" s="593"/>
      <c r="H13" s="589"/>
      <c r="I13" s="593"/>
      <c r="J13" s="593"/>
      <c r="K13" s="592"/>
    </row>
    <row r="14" spans="1:15" s="603" customFormat="1" x14ac:dyDescent="0.25">
      <c r="A14" s="221">
        <v>45627</v>
      </c>
      <c r="B14" s="593"/>
      <c r="C14" s="593"/>
      <c r="D14" s="593"/>
      <c r="E14" s="593"/>
      <c r="F14" s="593"/>
      <c r="G14" s="593"/>
      <c r="H14" s="589"/>
      <c r="I14" s="593"/>
      <c r="J14" s="593"/>
      <c r="K14" s="592"/>
    </row>
    <row r="15" spans="1:15" s="603" customFormat="1" x14ac:dyDescent="0.25">
      <c r="A15" s="221">
        <v>45658</v>
      </c>
      <c r="B15" s="593"/>
      <c r="C15" s="593"/>
      <c r="D15" s="593"/>
      <c r="E15" s="593"/>
      <c r="F15" s="593"/>
      <c r="G15" s="593"/>
      <c r="H15" s="589"/>
      <c r="I15" s="593"/>
      <c r="J15" s="593"/>
      <c r="K15" s="592"/>
    </row>
    <row r="16" spans="1:15" s="603" customFormat="1" x14ac:dyDescent="0.25">
      <c r="A16" s="221">
        <v>45689</v>
      </c>
      <c r="B16" s="593"/>
      <c r="C16" s="593"/>
      <c r="D16" s="593"/>
      <c r="E16" s="593"/>
      <c r="F16" s="593"/>
      <c r="G16" s="593"/>
      <c r="H16" s="589"/>
      <c r="I16" s="593"/>
      <c r="J16" s="593"/>
      <c r="K16" s="592"/>
    </row>
    <row r="17" spans="1:15" s="603" customFormat="1" x14ac:dyDescent="0.25">
      <c r="A17" s="221">
        <v>45717</v>
      </c>
      <c r="B17" s="600"/>
      <c r="C17" s="600"/>
      <c r="D17" s="600"/>
      <c r="E17" s="600"/>
      <c r="F17" s="600"/>
      <c r="G17" s="600"/>
      <c r="H17" s="590"/>
      <c r="I17" s="590"/>
      <c r="J17" s="625"/>
      <c r="K17" s="625"/>
    </row>
    <row r="18" spans="1:15" s="603" customFormat="1" x14ac:dyDescent="0.25">
      <c r="L18" s="139"/>
      <c r="M18" s="195"/>
      <c r="N18" s="195"/>
      <c r="O18" s="196"/>
    </row>
    <row r="19" spans="1:15" s="603" customFormat="1" ht="15" customHeight="1" x14ac:dyDescent="0.25">
      <c r="A19" s="1420" t="s">
        <v>602</v>
      </c>
      <c r="B19" s="1420"/>
      <c r="C19" s="1420"/>
      <c r="D19" s="1420"/>
      <c r="E19" s="1420"/>
      <c r="F19" s="1420"/>
      <c r="G19" s="1420"/>
      <c r="H19" s="1420"/>
      <c r="I19" s="1420"/>
      <c r="J19" s="1420"/>
      <c r="K19" s="1420"/>
      <c r="L19" s="139"/>
    </row>
    <row r="20" spans="1:15" s="603" customFormat="1" x14ac:dyDescent="0.25">
      <c r="A20" s="603" t="s">
        <v>314</v>
      </c>
    </row>
    <row r="21" spans="1:15" s="603" customFormat="1" x14ac:dyDescent="0.25">
      <c r="A21" s="1126" t="s">
        <v>1401</v>
      </c>
    </row>
    <row r="22" spans="1:15" s="603" customFormat="1" x14ac:dyDescent="0.25">
      <c r="A22" s="127"/>
      <c r="B22" s="196"/>
      <c r="C22" s="196"/>
      <c r="D22" s="196"/>
      <c r="E22" s="196"/>
      <c r="F22" s="196"/>
      <c r="G22" s="196"/>
      <c r="H22" s="196"/>
      <c r="J22" s="196"/>
      <c r="K22" s="196"/>
    </row>
    <row r="23" spans="1:15" x14ac:dyDescent="0.25">
      <c r="F23" s="150"/>
      <c r="K23" s="150"/>
    </row>
    <row r="24" spans="1:15" x14ac:dyDescent="0.25">
      <c r="F24" s="150"/>
      <c r="K24" s="150"/>
    </row>
    <row r="25" spans="1:15" x14ac:dyDescent="0.25">
      <c r="F25" s="150"/>
      <c r="K25" s="150"/>
    </row>
    <row r="26" spans="1:15" x14ac:dyDescent="0.25">
      <c r="F26" s="150"/>
      <c r="K26" s="150"/>
    </row>
    <row r="27" spans="1:15" x14ac:dyDescent="0.25">
      <c r="E27" s="150"/>
      <c r="F27" s="150"/>
      <c r="K27" s="150"/>
    </row>
    <row r="28" spans="1:15" x14ac:dyDescent="0.25">
      <c r="F28" s="150"/>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topLeftCell="A2" zoomScaleNormal="100" workbookViewId="0">
      <selection activeCell="A20" sqref="A20"/>
    </sheetView>
  </sheetViews>
  <sheetFormatPr defaultColWidth="9.140625" defaultRowHeight="15" x14ac:dyDescent="0.25"/>
  <cols>
    <col min="1" max="1" width="12.140625" style="127" bestFit="1" customWidth="1"/>
    <col min="2" max="2" width="12.140625" style="127" customWidth="1"/>
    <col min="3" max="6" width="12.140625" style="127" bestFit="1" customWidth="1"/>
    <col min="7" max="7" width="12.140625" style="127" customWidth="1"/>
    <col min="8" max="11" width="12.140625" style="127" bestFit="1" customWidth="1"/>
    <col min="12" max="12" width="4.5703125" style="127" bestFit="1" customWidth="1"/>
    <col min="13" max="16384" width="9.140625" style="127"/>
  </cols>
  <sheetData>
    <row r="1" spans="1:11" ht="18" customHeight="1" x14ac:dyDescent="0.25">
      <c r="A1" s="369" t="s">
        <v>603</v>
      </c>
      <c r="B1" s="369"/>
      <c r="C1" s="369"/>
      <c r="D1" s="369"/>
      <c r="E1" s="369"/>
      <c r="F1" s="369"/>
      <c r="G1" s="369"/>
      <c r="H1" s="369"/>
      <c r="I1" s="369"/>
      <c r="J1" s="369"/>
      <c r="K1" s="369"/>
    </row>
    <row r="2" spans="1:11" s="603" customFormat="1" ht="18" customHeight="1" x14ac:dyDescent="0.25">
      <c r="A2" s="1412" t="s">
        <v>172</v>
      </c>
      <c r="B2" s="1414" t="s">
        <v>563</v>
      </c>
      <c r="C2" s="1415"/>
      <c r="D2" s="1415"/>
      <c r="E2" s="1415"/>
      <c r="F2" s="1416"/>
      <c r="G2" s="1417" t="s">
        <v>570</v>
      </c>
      <c r="H2" s="1418"/>
      <c r="I2" s="1418"/>
      <c r="J2" s="1418"/>
      <c r="K2" s="1419"/>
    </row>
    <row r="3" spans="1:11" s="603" customFormat="1" ht="18" customHeight="1" x14ac:dyDescent="0.25">
      <c r="A3" s="1413"/>
      <c r="B3" s="308" t="s">
        <v>595</v>
      </c>
      <c r="C3" s="858" t="s">
        <v>596</v>
      </c>
      <c r="D3" s="859" t="s">
        <v>601</v>
      </c>
      <c r="E3" s="859" t="s">
        <v>598</v>
      </c>
      <c r="F3" s="859" t="s">
        <v>599</v>
      </c>
      <c r="G3" s="859" t="s">
        <v>595</v>
      </c>
      <c r="H3" s="859" t="s">
        <v>596</v>
      </c>
      <c r="I3" s="859" t="s">
        <v>597</v>
      </c>
      <c r="J3" s="859" t="s">
        <v>598</v>
      </c>
      <c r="K3" s="859" t="s">
        <v>599</v>
      </c>
    </row>
    <row r="4" spans="1:11" s="132" customFormat="1" ht="17.25" customHeight="1" x14ac:dyDescent="0.25">
      <c r="A4" s="1157" t="s">
        <v>532</v>
      </c>
      <c r="B4" s="417">
        <v>14.802290500000003</v>
      </c>
      <c r="C4" s="860">
        <v>145944.96059725003</v>
      </c>
      <c r="D4" s="860">
        <v>72897.092392749997</v>
      </c>
      <c r="E4" s="860">
        <v>28876.607645249998</v>
      </c>
      <c r="F4" s="860">
        <v>4.5848877499999992</v>
      </c>
      <c r="G4" s="291">
        <v>0</v>
      </c>
      <c r="H4" s="860">
        <v>0</v>
      </c>
      <c r="I4" s="860">
        <v>0</v>
      </c>
      <c r="J4" s="860">
        <v>0</v>
      </c>
      <c r="K4" s="860">
        <v>0</v>
      </c>
    </row>
    <row r="5" spans="1:11" s="132" customFormat="1" ht="17.25" customHeight="1" x14ac:dyDescent="0.25">
      <c r="A5" s="1158" t="s">
        <v>1413</v>
      </c>
      <c r="B5" s="796">
        <f t="shared" ref="B5:K5" si="0">SUM(B6:B17)</f>
        <v>0.78358949999999994</v>
      </c>
      <c r="C5" s="796">
        <f t="shared" si="0"/>
        <v>4390.9969875000006</v>
      </c>
      <c r="D5" s="796">
        <f t="shared" si="0"/>
        <v>1921.8953980000001</v>
      </c>
      <c r="E5" s="796">
        <f t="shared" si="0"/>
        <v>0.10031799999999999</v>
      </c>
      <c r="F5" s="796">
        <f t="shared" si="0"/>
        <v>0</v>
      </c>
      <c r="G5" s="796">
        <f t="shared" si="0"/>
        <v>0</v>
      </c>
      <c r="H5" s="796">
        <f t="shared" si="0"/>
        <v>0</v>
      </c>
      <c r="I5" s="796">
        <f t="shared" si="0"/>
        <v>0</v>
      </c>
      <c r="J5" s="796">
        <f t="shared" si="0"/>
        <v>0</v>
      </c>
      <c r="K5" s="796">
        <f t="shared" si="0"/>
        <v>0</v>
      </c>
    </row>
    <row r="6" spans="1:11" s="603" customFormat="1" ht="17.25" customHeight="1" x14ac:dyDescent="0.25">
      <c r="A6" s="221">
        <v>45383</v>
      </c>
      <c r="B6" s="593">
        <v>0.78358949999999994</v>
      </c>
      <c r="C6" s="593">
        <v>3389.2969875000008</v>
      </c>
      <c r="D6" s="593">
        <v>1921.8953980000001</v>
      </c>
      <c r="E6" s="593">
        <v>0.10031799999999999</v>
      </c>
      <c r="F6" s="593">
        <v>0</v>
      </c>
      <c r="G6" s="593">
        <v>0</v>
      </c>
      <c r="H6" s="589">
        <v>0</v>
      </c>
      <c r="I6" s="593">
        <v>0</v>
      </c>
      <c r="J6" s="593">
        <v>0</v>
      </c>
      <c r="K6" s="592">
        <v>0</v>
      </c>
    </row>
    <row r="7" spans="1:11" s="603" customFormat="1" ht="17.25" customHeight="1" x14ac:dyDescent="0.25">
      <c r="A7" s="221">
        <v>45413</v>
      </c>
      <c r="B7" s="593">
        <v>0</v>
      </c>
      <c r="C7" s="593">
        <v>1001.7</v>
      </c>
      <c r="D7" s="593">
        <v>0</v>
      </c>
      <c r="E7" s="593">
        <v>0</v>
      </c>
      <c r="F7" s="593">
        <v>0</v>
      </c>
      <c r="G7" s="593">
        <v>0</v>
      </c>
      <c r="H7" s="589">
        <v>0</v>
      </c>
      <c r="I7" s="593">
        <v>0</v>
      </c>
      <c r="J7" s="593">
        <v>0</v>
      </c>
      <c r="K7" s="592">
        <v>0</v>
      </c>
    </row>
    <row r="8" spans="1:11" s="603" customFormat="1" ht="17.25" customHeight="1" x14ac:dyDescent="0.25">
      <c r="A8" s="221">
        <v>45444</v>
      </c>
      <c r="B8" s="593"/>
      <c r="C8" s="593"/>
      <c r="D8" s="593"/>
      <c r="E8" s="593"/>
      <c r="F8" s="593"/>
      <c r="G8" s="593"/>
      <c r="H8" s="589"/>
      <c r="I8" s="593"/>
      <c r="J8" s="593"/>
      <c r="K8" s="592"/>
    </row>
    <row r="9" spans="1:11" s="603" customFormat="1" ht="17.25" customHeight="1" x14ac:dyDescent="0.25">
      <c r="A9" s="221">
        <v>45474</v>
      </c>
      <c r="B9" s="593"/>
      <c r="C9" s="593"/>
      <c r="D9" s="593"/>
      <c r="E9" s="593"/>
      <c r="F9" s="593"/>
      <c r="G9" s="593"/>
      <c r="H9" s="589"/>
      <c r="I9" s="593"/>
      <c r="J9" s="593"/>
      <c r="K9" s="592"/>
    </row>
    <row r="10" spans="1:11" s="603" customFormat="1" ht="17.25" customHeight="1" x14ac:dyDescent="0.25">
      <c r="A10" s="221">
        <v>45505</v>
      </c>
      <c r="B10" s="593"/>
      <c r="C10" s="593"/>
      <c r="D10" s="593"/>
      <c r="E10" s="593"/>
      <c r="F10" s="593"/>
      <c r="G10" s="593"/>
      <c r="H10" s="589"/>
      <c r="I10" s="593"/>
      <c r="J10" s="593"/>
      <c r="K10" s="592"/>
    </row>
    <row r="11" spans="1:11" s="603" customFormat="1" x14ac:dyDescent="0.25">
      <c r="A11" s="221">
        <v>45536</v>
      </c>
      <c r="B11" s="593"/>
      <c r="C11" s="593"/>
      <c r="D11" s="593"/>
      <c r="E11" s="593"/>
      <c r="F11" s="593"/>
      <c r="G11" s="593"/>
      <c r="H11" s="589"/>
      <c r="I11" s="593"/>
      <c r="J11" s="593"/>
      <c r="K11" s="592"/>
    </row>
    <row r="12" spans="1:11" s="603" customFormat="1" ht="13.5" customHeight="1" x14ac:dyDescent="0.25">
      <c r="A12" s="221">
        <v>45566</v>
      </c>
      <c r="B12" s="593"/>
      <c r="C12" s="593"/>
      <c r="D12" s="593"/>
      <c r="E12" s="593"/>
      <c r="F12" s="593"/>
      <c r="G12" s="593"/>
      <c r="H12" s="589"/>
      <c r="I12" s="593"/>
      <c r="J12" s="593"/>
      <c r="K12" s="592"/>
    </row>
    <row r="13" spans="1:11" s="603" customFormat="1" x14ac:dyDescent="0.25">
      <c r="A13" s="221">
        <v>45597</v>
      </c>
      <c r="B13" s="600"/>
      <c r="C13" s="600"/>
      <c r="D13" s="600"/>
      <c r="E13" s="600"/>
      <c r="F13" s="594"/>
      <c r="G13" s="594"/>
      <c r="H13" s="590"/>
      <c r="I13" s="590"/>
      <c r="J13" s="591"/>
      <c r="K13" s="591"/>
    </row>
    <row r="14" spans="1:11" s="603" customFormat="1" x14ac:dyDescent="0.25">
      <c r="A14" s="221">
        <v>45627</v>
      </c>
      <c r="B14" s="600"/>
      <c r="C14" s="600"/>
      <c r="D14" s="600"/>
      <c r="E14" s="600"/>
      <c r="F14" s="594"/>
      <c r="G14" s="594"/>
      <c r="H14" s="590"/>
      <c r="I14" s="590"/>
      <c r="J14" s="591"/>
      <c r="K14" s="591"/>
    </row>
    <row r="15" spans="1:11" s="603" customFormat="1" x14ac:dyDescent="0.25">
      <c r="A15" s="221">
        <v>45658</v>
      </c>
      <c r="B15" s="600"/>
      <c r="C15" s="600"/>
      <c r="D15" s="600"/>
      <c r="E15" s="600"/>
      <c r="F15" s="594"/>
      <c r="G15" s="594"/>
      <c r="H15" s="590"/>
      <c r="I15" s="590"/>
      <c r="J15" s="591"/>
      <c r="K15" s="591"/>
    </row>
    <row r="16" spans="1:11" s="603" customFormat="1" x14ac:dyDescent="0.25">
      <c r="A16" s="221">
        <v>45689</v>
      </c>
      <c r="B16" s="600"/>
      <c r="C16" s="600"/>
      <c r="D16" s="600"/>
      <c r="E16" s="600"/>
      <c r="F16" s="593"/>
      <c r="G16" s="594"/>
      <c r="H16" s="590"/>
      <c r="I16" s="590"/>
      <c r="J16" s="591"/>
      <c r="K16" s="591"/>
    </row>
    <row r="17" spans="1:11" s="603" customFormat="1" x14ac:dyDescent="0.25">
      <c r="A17" s="221">
        <v>45717</v>
      </c>
      <c r="B17" s="600"/>
      <c r="C17" s="600"/>
      <c r="D17" s="600"/>
      <c r="E17" s="600"/>
      <c r="F17" s="627"/>
      <c r="G17" s="594"/>
      <c r="H17" s="590"/>
      <c r="I17" s="590"/>
      <c r="J17" s="591"/>
      <c r="K17" s="591"/>
    </row>
    <row r="18" spans="1:11" s="603" customFormat="1" x14ac:dyDescent="0.25">
      <c r="A18" s="168"/>
      <c r="B18" s="198"/>
      <c r="C18" s="199"/>
      <c r="D18" s="199"/>
      <c r="E18" s="198"/>
      <c r="F18" s="198"/>
      <c r="G18" s="198"/>
      <c r="H18" s="200"/>
      <c r="I18" s="200"/>
      <c r="J18" s="200"/>
      <c r="K18" s="198"/>
    </row>
    <row r="19" spans="1:11" s="603" customFormat="1" ht="15" customHeight="1" x14ac:dyDescent="0.25">
      <c r="A19" s="1316" t="s">
        <v>280</v>
      </c>
      <c r="B19" s="1316"/>
      <c r="C19" s="1316"/>
      <c r="D19" s="1316"/>
      <c r="E19" s="1316"/>
      <c r="F19" s="1316"/>
      <c r="G19" s="1316"/>
      <c r="H19" s="1316"/>
      <c r="I19" s="1316"/>
      <c r="J19" s="1316"/>
      <c r="K19" s="1316"/>
    </row>
    <row r="20" spans="1:11" s="603" customFormat="1" ht="15" customHeight="1" x14ac:dyDescent="0.25">
      <c r="A20" s="1126" t="s">
        <v>1401</v>
      </c>
      <c r="B20" s="196"/>
      <c r="C20" s="196"/>
      <c r="D20" s="196"/>
      <c r="E20" s="196"/>
      <c r="F20" s="196"/>
    </row>
    <row r="21" spans="1:11" s="603" customFormat="1" x14ac:dyDescent="0.25">
      <c r="A21" s="127"/>
      <c r="B21" s="150"/>
      <c r="C21" s="150"/>
      <c r="D21" s="150"/>
      <c r="E21" s="150"/>
      <c r="F21" s="150"/>
      <c r="G21" s="150"/>
      <c r="H21" s="150"/>
      <c r="I21" s="150"/>
      <c r="J21" s="150"/>
      <c r="K21" s="150"/>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2"/>
  <sheetViews>
    <sheetView topLeftCell="A3" zoomScaleNormal="100" workbookViewId="0">
      <selection activeCell="A21" sqref="A21"/>
    </sheetView>
  </sheetViews>
  <sheetFormatPr defaultColWidth="9.140625" defaultRowHeight="15" x14ac:dyDescent="0.25"/>
  <cols>
    <col min="1" max="1" width="12.140625" style="127" bestFit="1" customWidth="1"/>
    <col min="2" max="2" width="13.42578125" style="127" customWidth="1"/>
    <col min="3" max="14" width="13.7109375" style="127" customWidth="1"/>
    <col min="15" max="15" width="6.140625" style="127" bestFit="1" customWidth="1"/>
    <col min="16" max="16384" width="9.140625" style="127"/>
  </cols>
  <sheetData>
    <row r="1" spans="1:14" x14ac:dyDescent="0.25">
      <c r="A1" s="369" t="s">
        <v>47</v>
      </c>
      <c r="B1" s="369"/>
      <c r="C1" s="369"/>
      <c r="D1" s="369"/>
      <c r="E1" s="369"/>
      <c r="F1" s="369"/>
      <c r="G1" s="369"/>
      <c r="H1" s="369"/>
      <c r="I1" s="369"/>
      <c r="J1" s="369"/>
      <c r="K1" s="369"/>
      <c r="L1" s="369"/>
      <c r="M1" s="369"/>
      <c r="N1" s="369"/>
    </row>
    <row r="2" spans="1:14" s="603" customFormat="1" x14ac:dyDescent="0.25">
      <c r="A2" s="1379" t="s">
        <v>143</v>
      </c>
      <c r="B2" s="1379" t="s">
        <v>247</v>
      </c>
      <c r="C2" s="1381" t="s">
        <v>73</v>
      </c>
      <c r="D2" s="1382"/>
      <c r="E2" s="1382"/>
      <c r="F2" s="1383"/>
      <c r="G2" s="1381" t="s">
        <v>74</v>
      </c>
      <c r="H2" s="1382"/>
      <c r="I2" s="1382"/>
      <c r="J2" s="1383"/>
      <c r="K2" s="1381" t="s">
        <v>75</v>
      </c>
      <c r="L2" s="1382"/>
      <c r="M2" s="1382"/>
      <c r="N2" s="1383"/>
    </row>
    <row r="3" spans="1:14" s="603" customFormat="1" x14ac:dyDescent="0.25">
      <c r="A3" s="1380"/>
      <c r="B3" s="1380"/>
      <c r="C3" s="1381" t="s">
        <v>604</v>
      </c>
      <c r="D3" s="1383"/>
      <c r="E3" s="1384" t="s">
        <v>605</v>
      </c>
      <c r="F3" s="1387"/>
      <c r="G3" s="1381" t="s">
        <v>604</v>
      </c>
      <c r="H3" s="1383"/>
      <c r="I3" s="1384" t="s">
        <v>605</v>
      </c>
      <c r="J3" s="1387"/>
      <c r="K3" s="1381" t="s">
        <v>606</v>
      </c>
      <c r="L3" s="1383"/>
      <c r="M3" s="1381" t="s">
        <v>607</v>
      </c>
      <c r="N3" s="1383"/>
    </row>
    <row r="4" spans="1:14" s="603" customFormat="1" ht="30" x14ac:dyDescent="0.25">
      <c r="A4" s="1310"/>
      <c r="B4" s="1310"/>
      <c r="C4" s="787" t="s">
        <v>528</v>
      </c>
      <c r="D4" s="824" t="s">
        <v>608</v>
      </c>
      <c r="E4" s="787" t="s">
        <v>528</v>
      </c>
      <c r="F4" s="824" t="s">
        <v>568</v>
      </c>
      <c r="G4" s="787" t="s">
        <v>528</v>
      </c>
      <c r="H4" s="824" t="s">
        <v>608</v>
      </c>
      <c r="I4" s="787" t="s">
        <v>528</v>
      </c>
      <c r="J4" s="824" t="s">
        <v>568</v>
      </c>
      <c r="K4" s="787" t="s">
        <v>528</v>
      </c>
      <c r="L4" s="824" t="s">
        <v>608</v>
      </c>
      <c r="M4" s="787" t="s">
        <v>528</v>
      </c>
      <c r="N4" s="824" t="s">
        <v>568</v>
      </c>
    </row>
    <row r="5" spans="1:14" s="132" customFormat="1" x14ac:dyDescent="0.25">
      <c r="A5" s="1157" t="s">
        <v>532</v>
      </c>
      <c r="B5" s="417">
        <v>240</v>
      </c>
      <c r="C5" s="860">
        <v>1443270</v>
      </c>
      <c r="D5" s="860">
        <v>28700.029499999997</v>
      </c>
      <c r="E5" s="860">
        <v>1000</v>
      </c>
      <c r="F5" s="860">
        <v>20.143139999999999</v>
      </c>
      <c r="G5" s="291">
        <v>1471765</v>
      </c>
      <c r="H5" s="860">
        <v>29570.77</v>
      </c>
      <c r="I5" s="860">
        <v>36097</v>
      </c>
      <c r="J5" s="860">
        <v>720.77629999999999</v>
      </c>
      <c r="K5" s="592" t="s">
        <v>238</v>
      </c>
      <c r="L5" s="592" t="s">
        <v>238</v>
      </c>
      <c r="M5" s="292" t="s">
        <v>238</v>
      </c>
      <c r="N5" s="292" t="s">
        <v>238</v>
      </c>
    </row>
    <row r="6" spans="1:14" s="132" customFormat="1" x14ac:dyDescent="0.25">
      <c r="A6" s="1158" t="s">
        <v>1413</v>
      </c>
      <c r="B6" s="796">
        <f>SUM(B7:B18)</f>
        <v>38</v>
      </c>
      <c r="C6" s="796">
        <f t="shared" ref="C6:D6" si="0">SUM(C7:C18)</f>
        <v>0</v>
      </c>
      <c r="D6" s="796">
        <f t="shared" si="0"/>
        <v>0</v>
      </c>
      <c r="E6" s="796">
        <f>INDEX(E7:E18,COUNT(E7:E18))</f>
        <v>0</v>
      </c>
      <c r="F6" s="796">
        <f>INDEX(F7:F18,COUNT(F7:F18))</f>
        <v>0</v>
      </c>
      <c r="G6" s="796">
        <f t="shared" ref="G6:H6" si="1">SUM(G7:G18)</f>
        <v>199898</v>
      </c>
      <c r="H6" s="796">
        <f t="shared" si="1"/>
        <v>4011.12</v>
      </c>
      <c r="I6" s="796">
        <f>INDEX(I7:I18,COUNT(I7:I18))</f>
        <v>39430</v>
      </c>
      <c r="J6" s="796">
        <f>INDEX(J7:J18,COUNT(J7:J18))</f>
        <v>787.33489999999995</v>
      </c>
      <c r="K6" s="592" t="s">
        <v>238</v>
      </c>
      <c r="L6" s="592" t="s">
        <v>238</v>
      </c>
      <c r="M6" s="292" t="s">
        <v>238</v>
      </c>
      <c r="N6" s="292" t="s">
        <v>238</v>
      </c>
    </row>
    <row r="7" spans="1:14" s="603" customFormat="1" x14ac:dyDescent="0.25">
      <c r="A7" s="221">
        <v>45383</v>
      </c>
      <c r="B7" s="593">
        <v>18</v>
      </c>
      <c r="C7" s="861">
        <v>0</v>
      </c>
      <c r="D7" s="862">
        <v>0</v>
      </c>
      <c r="E7" s="593">
        <v>0</v>
      </c>
      <c r="F7" s="593">
        <v>0</v>
      </c>
      <c r="G7" s="593">
        <v>88690</v>
      </c>
      <c r="H7" s="593">
        <v>1772.13</v>
      </c>
      <c r="I7" s="593">
        <v>39210</v>
      </c>
      <c r="J7" s="593">
        <v>775.52210000000002</v>
      </c>
      <c r="K7" s="592"/>
      <c r="L7" s="592"/>
      <c r="M7" s="592"/>
      <c r="N7" s="592"/>
    </row>
    <row r="8" spans="1:14" s="603" customFormat="1" x14ac:dyDescent="0.25">
      <c r="A8" s="221">
        <v>45413</v>
      </c>
      <c r="B8" s="593">
        <v>20</v>
      </c>
      <c r="C8" s="593">
        <v>0</v>
      </c>
      <c r="D8" s="593">
        <v>0</v>
      </c>
      <c r="E8" s="593">
        <v>0</v>
      </c>
      <c r="F8" s="593">
        <v>0</v>
      </c>
      <c r="G8" s="593">
        <v>111208</v>
      </c>
      <c r="H8" s="593">
        <v>2238.9899999999998</v>
      </c>
      <c r="I8" s="593">
        <v>39430</v>
      </c>
      <c r="J8" s="593">
        <v>787.33489999999995</v>
      </c>
      <c r="K8" s="592"/>
      <c r="L8" s="592"/>
      <c r="M8" s="592"/>
      <c r="N8" s="592"/>
    </row>
    <row r="9" spans="1:14" s="603" customFormat="1" x14ac:dyDescent="0.25">
      <c r="A9" s="221">
        <v>45444</v>
      </c>
      <c r="B9" s="593"/>
      <c r="C9" s="593"/>
      <c r="D9" s="593"/>
      <c r="E9" s="593"/>
      <c r="F9" s="593"/>
      <c r="G9" s="593"/>
      <c r="H9" s="593"/>
      <c r="I9" s="593"/>
      <c r="J9" s="593"/>
      <c r="K9" s="592"/>
      <c r="L9" s="592"/>
      <c r="M9" s="592"/>
      <c r="N9" s="592"/>
    </row>
    <row r="10" spans="1:14" s="603" customFormat="1" x14ac:dyDescent="0.25">
      <c r="A10" s="221">
        <v>45474</v>
      </c>
      <c r="B10" s="593"/>
      <c r="C10" s="593"/>
      <c r="D10" s="593"/>
      <c r="E10" s="593"/>
      <c r="F10" s="593"/>
      <c r="G10" s="593"/>
      <c r="H10" s="593"/>
      <c r="I10" s="593"/>
      <c r="J10" s="593"/>
      <c r="K10" s="592"/>
      <c r="L10" s="592"/>
      <c r="M10" s="592"/>
      <c r="N10" s="592"/>
    </row>
    <row r="11" spans="1:14" s="603" customFormat="1" x14ac:dyDescent="0.25">
      <c r="A11" s="221">
        <v>45505</v>
      </c>
      <c r="B11" s="593"/>
      <c r="C11" s="593"/>
      <c r="D11" s="593"/>
      <c r="E11" s="593"/>
      <c r="F11" s="593"/>
      <c r="G11" s="593"/>
      <c r="H11" s="593"/>
      <c r="I11" s="593"/>
      <c r="J11" s="593"/>
      <c r="K11" s="592"/>
      <c r="L11" s="592"/>
      <c r="M11" s="592"/>
      <c r="N11" s="592"/>
    </row>
    <row r="12" spans="1:14" s="603" customFormat="1" x14ac:dyDescent="0.25">
      <c r="A12" s="221">
        <v>45536</v>
      </c>
      <c r="B12" s="593"/>
      <c r="C12" s="593"/>
      <c r="D12" s="593"/>
      <c r="E12" s="593"/>
      <c r="F12" s="593"/>
      <c r="G12" s="593"/>
      <c r="H12" s="593"/>
      <c r="I12" s="593"/>
      <c r="J12" s="593"/>
      <c r="K12" s="592"/>
      <c r="L12" s="592"/>
      <c r="M12" s="592"/>
      <c r="N12" s="592"/>
    </row>
    <row r="13" spans="1:14" s="603" customFormat="1" x14ac:dyDescent="0.25">
      <c r="A13" s="221">
        <v>45566</v>
      </c>
      <c r="B13" s="593"/>
      <c r="C13" s="593"/>
      <c r="D13" s="593"/>
      <c r="E13" s="593"/>
      <c r="F13" s="593"/>
      <c r="G13" s="593"/>
      <c r="H13" s="593"/>
      <c r="I13" s="593"/>
      <c r="J13" s="593"/>
      <c r="K13" s="592"/>
      <c r="L13" s="592"/>
      <c r="M13" s="592"/>
      <c r="N13" s="592"/>
    </row>
    <row r="14" spans="1:14" s="603" customFormat="1" x14ac:dyDescent="0.25">
      <c r="A14" s="221">
        <v>45597</v>
      </c>
      <c r="B14" s="600"/>
      <c r="C14" s="600"/>
      <c r="D14" s="600"/>
      <c r="E14" s="600"/>
      <c r="F14" s="594"/>
      <c r="G14" s="593"/>
      <c r="H14" s="593"/>
      <c r="I14" s="593"/>
      <c r="J14" s="593"/>
      <c r="K14" s="592"/>
      <c r="L14" s="592"/>
      <c r="M14" s="592"/>
      <c r="N14" s="592"/>
    </row>
    <row r="15" spans="1:14" s="603" customFormat="1" x14ac:dyDescent="0.25">
      <c r="A15" s="221">
        <v>45627</v>
      </c>
      <c r="B15" s="600"/>
      <c r="C15" s="600"/>
      <c r="D15" s="600"/>
      <c r="E15" s="600"/>
      <c r="F15" s="593"/>
      <c r="G15" s="593"/>
      <c r="H15" s="593"/>
      <c r="I15" s="593"/>
      <c r="J15" s="593"/>
      <c r="K15" s="592"/>
      <c r="L15" s="592"/>
      <c r="M15" s="592"/>
      <c r="N15" s="592"/>
    </row>
    <row r="16" spans="1:14" s="603" customFormat="1" x14ac:dyDescent="0.25">
      <c r="A16" s="221">
        <v>45658</v>
      </c>
      <c r="B16" s="600"/>
      <c r="C16" s="600"/>
      <c r="D16" s="600"/>
      <c r="E16" s="600"/>
      <c r="F16" s="593"/>
      <c r="G16" s="593"/>
      <c r="H16" s="593"/>
      <c r="I16" s="593"/>
      <c r="J16" s="593"/>
      <c r="K16" s="592"/>
      <c r="L16" s="592"/>
      <c r="M16" s="592"/>
      <c r="N16" s="592"/>
    </row>
    <row r="17" spans="1:14" s="603" customFormat="1" x14ac:dyDescent="0.25">
      <c r="A17" s="221">
        <v>45689</v>
      </c>
      <c r="B17" s="600"/>
      <c r="C17" s="600"/>
      <c r="D17" s="600"/>
      <c r="E17" s="600"/>
      <c r="F17" s="594"/>
      <c r="G17" s="593"/>
      <c r="H17" s="593"/>
      <c r="I17" s="593"/>
      <c r="J17" s="593"/>
      <c r="K17" s="592"/>
      <c r="L17" s="592"/>
      <c r="M17" s="592"/>
      <c r="N17" s="592"/>
    </row>
    <row r="18" spans="1:14" s="603" customFormat="1" x14ac:dyDescent="0.25">
      <c r="A18" s="221">
        <v>45717</v>
      </c>
      <c r="B18" s="600"/>
      <c r="C18" s="600"/>
      <c r="D18" s="600"/>
      <c r="E18" s="600"/>
      <c r="F18" s="594"/>
      <c r="G18" s="594"/>
      <c r="H18" s="590"/>
      <c r="I18" s="590"/>
      <c r="J18" s="629"/>
      <c r="K18" s="592"/>
      <c r="L18" s="592"/>
      <c r="M18" s="592"/>
      <c r="N18" s="592"/>
    </row>
    <row r="19" spans="1:14" s="603" customFormat="1" x14ac:dyDescent="0.25">
      <c r="A19" s="835"/>
      <c r="B19" s="863"/>
      <c r="C19" s="840"/>
      <c r="D19" s="840"/>
      <c r="E19" s="864"/>
      <c r="F19" s="840"/>
      <c r="G19" s="840"/>
      <c r="H19" s="840"/>
      <c r="I19" s="840"/>
      <c r="J19" s="840"/>
      <c r="K19" s="840"/>
      <c r="L19" s="840"/>
      <c r="M19" s="840"/>
      <c r="N19" s="840"/>
    </row>
    <row r="20" spans="1:14" s="603" customFormat="1" ht="15" customHeight="1" x14ac:dyDescent="0.25">
      <c r="A20" s="1316" t="s">
        <v>609</v>
      </c>
      <c r="B20" s="1316"/>
      <c r="C20" s="1316"/>
      <c r="D20" s="1316"/>
      <c r="E20" s="1316"/>
      <c r="F20" s="1316"/>
      <c r="G20" s="1316"/>
      <c r="H20" s="1316"/>
      <c r="I20" s="1316"/>
      <c r="J20" s="1316"/>
      <c r="K20" s="1316"/>
      <c r="L20" s="1316"/>
      <c r="M20" s="1316"/>
      <c r="N20" s="1316"/>
    </row>
    <row r="21" spans="1:14" s="603" customFormat="1" ht="23.25" customHeight="1" x14ac:dyDescent="0.25">
      <c r="A21" s="1126" t="s">
        <v>1401</v>
      </c>
      <c r="B21" s="150"/>
      <c r="C21" s="150"/>
      <c r="D21" s="150"/>
      <c r="E21" s="150"/>
      <c r="F21" s="150"/>
      <c r="G21" s="150"/>
      <c r="H21" s="150"/>
      <c r="I21" s="150"/>
      <c r="J21" s="150"/>
      <c r="K21" s="150"/>
      <c r="L21" s="150"/>
      <c r="M21" s="150"/>
      <c r="N21" s="150"/>
    </row>
    <row r="22" spans="1:14" x14ac:dyDescent="0.25">
      <c r="B22" s="150"/>
      <c r="C22" s="150"/>
      <c r="D22" s="150"/>
      <c r="E22" s="150"/>
      <c r="F22" s="150"/>
      <c r="G22" s="150"/>
      <c r="H22" s="150"/>
      <c r="I22" s="150"/>
      <c r="J22" s="150"/>
      <c r="K22" s="150"/>
      <c r="L22" s="150"/>
      <c r="M22" s="150"/>
    </row>
  </sheetData>
  <mergeCells count="12">
    <mergeCell ref="A20:N20"/>
    <mergeCell ref="K3:L3"/>
    <mergeCell ref="M3:N3"/>
    <mergeCell ref="A2:A4"/>
    <mergeCell ref="B2:B4"/>
    <mergeCell ref="C2:F2"/>
    <mergeCell ref="G2:J2"/>
    <mergeCell ref="K2:N2"/>
    <mergeCell ref="C3:D3"/>
    <mergeCell ref="E3:F3"/>
    <mergeCell ref="G3:H3"/>
    <mergeCell ref="I3:J3"/>
  </mergeCells>
  <printOptions horizontalCentered="1"/>
  <pageMargins left="0.78431372549019618" right="0.78431372549019618" top="0.98039215686274517" bottom="0.98039215686274517" header="0.50980392156862753" footer="0.50980392156862753"/>
  <pageSetup paperSize="9" scale="67"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topLeftCell="A4" zoomScaleNormal="100" workbookViewId="0">
      <selection activeCell="A20" sqref="A20"/>
    </sheetView>
  </sheetViews>
  <sheetFormatPr defaultColWidth="9.140625" defaultRowHeight="15" x14ac:dyDescent="0.25"/>
  <cols>
    <col min="1" max="1" width="14.5703125" style="127" bestFit="1" customWidth="1"/>
    <col min="2" max="2" width="16.5703125" style="127" bestFit="1" customWidth="1"/>
    <col min="3" max="6" width="12.140625" style="127" bestFit="1" customWidth="1"/>
    <col min="7" max="7" width="14.5703125" style="127" customWidth="1"/>
    <col min="8" max="8" width="22.140625" style="127" bestFit="1" customWidth="1"/>
    <col min="9" max="9" width="4.5703125" style="127" bestFit="1" customWidth="1"/>
    <col min="10" max="16384" width="9.140625" style="127"/>
  </cols>
  <sheetData>
    <row r="1" spans="1:9" ht="18" customHeight="1" x14ac:dyDescent="0.25">
      <c r="A1" s="373" t="s">
        <v>610</v>
      </c>
      <c r="B1" s="373"/>
      <c r="C1" s="373"/>
      <c r="D1" s="373"/>
      <c r="E1" s="373"/>
      <c r="F1" s="373"/>
      <c r="G1" s="373"/>
      <c r="H1" s="293"/>
    </row>
    <row r="2" spans="1:9" s="603" customFormat="1" ht="18" customHeight="1" x14ac:dyDescent="0.25">
      <c r="A2" s="1376" t="s">
        <v>143</v>
      </c>
      <c r="B2" s="1381" t="s">
        <v>73</v>
      </c>
      <c r="C2" s="1383"/>
      <c r="D2" s="1381" t="s">
        <v>74</v>
      </c>
      <c r="E2" s="1383"/>
      <c r="F2" s="1381" t="s">
        <v>75</v>
      </c>
      <c r="G2" s="1383"/>
    </row>
    <row r="3" spans="1:9" s="603" customFormat="1" ht="43.5" customHeight="1" x14ac:dyDescent="0.25">
      <c r="A3" s="1324"/>
      <c r="B3" s="824" t="s">
        <v>542</v>
      </c>
      <c r="C3" s="865" t="s">
        <v>611</v>
      </c>
      <c r="D3" s="824" t="s">
        <v>542</v>
      </c>
      <c r="E3" s="787" t="s">
        <v>611</v>
      </c>
      <c r="F3" s="787" t="s">
        <v>612</v>
      </c>
      <c r="G3" s="787" t="s">
        <v>611</v>
      </c>
    </row>
    <row r="4" spans="1:9" s="132" customFormat="1" ht="18" customHeight="1" x14ac:dyDescent="0.25">
      <c r="A4" s="1157" t="s">
        <v>532</v>
      </c>
      <c r="B4" s="849">
        <v>135.67188899999996</v>
      </c>
      <c r="C4" s="849">
        <v>2.0217879999999999</v>
      </c>
      <c r="D4" s="849">
        <v>388.70098350000001</v>
      </c>
      <c r="E4" s="849">
        <v>5.0480749399999993</v>
      </c>
      <c r="F4" s="866">
        <v>0</v>
      </c>
      <c r="G4" s="866">
        <v>0</v>
      </c>
    </row>
    <row r="5" spans="1:9" s="132" customFormat="1" ht="18" customHeight="1" x14ac:dyDescent="0.25">
      <c r="A5" s="1158" t="s">
        <v>1413</v>
      </c>
      <c r="B5" s="796">
        <f t="shared" ref="B5:G5" si="0">SUM(B6:B17)</f>
        <v>2.5423960000000001</v>
      </c>
      <c r="C5" s="796">
        <f t="shared" si="0"/>
        <v>0</v>
      </c>
      <c r="D5" s="796">
        <f t="shared" si="0"/>
        <v>34.319336</v>
      </c>
      <c r="E5" s="796">
        <f t="shared" si="0"/>
        <v>0.12077598</v>
      </c>
      <c r="F5" s="796">
        <f t="shared" si="0"/>
        <v>0</v>
      </c>
      <c r="G5" s="796">
        <f t="shared" si="0"/>
        <v>0</v>
      </c>
      <c r="H5" s="201"/>
      <c r="I5" s="201"/>
    </row>
    <row r="6" spans="1:9" s="603" customFormat="1" ht="18" customHeight="1" x14ac:dyDescent="0.25">
      <c r="A6" s="221">
        <v>45383</v>
      </c>
      <c r="B6" s="586">
        <v>0.51230799999999999</v>
      </c>
      <c r="C6" s="586">
        <v>0</v>
      </c>
      <c r="D6" s="852">
        <v>16.1061415</v>
      </c>
      <c r="E6" s="852">
        <v>9.5859180000000002E-2</v>
      </c>
      <c r="F6" s="384">
        <v>0</v>
      </c>
      <c r="G6" s="384">
        <v>0</v>
      </c>
    </row>
    <row r="7" spans="1:9" s="603" customFormat="1" ht="18" customHeight="1" x14ac:dyDescent="0.25">
      <c r="A7" s="221">
        <v>45413</v>
      </c>
      <c r="B7" s="586">
        <v>2.0300880000000001</v>
      </c>
      <c r="C7" s="586">
        <v>0</v>
      </c>
      <c r="D7" s="586">
        <v>18.2131945</v>
      </c>
      <c r="E7" s="586">
        <v>2.4916799999999999E-2</v>
      </c>
      <c r="F7" s="384">
        <v>0</v>
      </c>
      <c r="G7" s="384">
        <v>0</v>
      </c>
    </row>
    <row r="8" spans="1:9" s="603" customFormat="1" ht="18" customHeight="1" x14ac:dyDescent="0.25">
      <c r="A8" s="221">
        <v>45444</v>
      </c>
      <c r="B8" s="586"/>
      <c r="C8" s="586"/>
      <c r="D8" s="586"/>
      <c r="E8" s="586"/>
      <c r="F8" s="384"/>
      <c r="G8" s="384"/>
    </row>
    <row r="9" spans="1:9" s="603" customFormat="1" ht="18" customHeight="1" x14ac:dyDescent="0.25">
      <c r="A9" s="221">
        <v>45474</v>
      </c>
      <c r="B9" s="586"/>
      <c r="C9" s="586"/>
      <c r="D9" s="586"/>
      <c r="E9" s="586"/>
      <c r="F9" s="384"/>
      <c r="G9" s="384"/>
    </row>
    <row r="10" spans="1:9" s="603" customFormat="1" ht="18" customHeight="1" x14ac:dyDescent="0.25">
      <c r="A10" s="221">
        <v>45505</v>
      </c>
      <c r="B10" s="586"/>
      <c r="C10" s="586"/>
      <c r="D10" s="586"/>
      <c r="E10" s="586"/>
      <c r="F10" s="384"/>
      <c r="G10" s="384"/>
    </row>
    <row r="11" spans="1:9" s="603" customFormat="1" ht="19.5" customHeight="1" x14ac:dyDescent="0.25">
      <c r="A11" s="221">
        <v>45536</v>
      </c>
      <c r="B11" s="586"/>
      <c r="C11" s="586"/>
      <c r="D11" s="586"/>
      <c r="E11" s="586"/>
      <c r="F11" s="384"/>
      <c r="G11" s="384"/>
    </row>
    <row r="12" spans="1:9" s="603" customFormat="1" ht="18" customHeight="1" x14ac:dyDescent="0.25">
      <c r="A12" s="221">
        <v>45566</v>
      </c>
      <c r="B12" s="586"/>
      <c r="C12" s="586"/>
      <c r="D12" s="586"/>
      <c r="E12" s="586"/>
      <c r="F12" s="384"/>
      <c r="G12" s="384"/>
    </row>
    <row r="13" spans="1:9" s="603" customFormat="1" x14ac:dyDescent="0.25">
      <c r="A13" s="221">
        <v>45597</v>
      </c>
      <c r="B13" s="600"/>
      <c r="C13" s="600"/>
      <c r="D13" s="600"/>
      <c r="E13" s="600"/>
      <c r="F13" s="384"/>
      <c r="G13" s="384"/>
      <c r="H13" s="167"/>
      <c r="I13" s="167"/>
    </row>
    <row r="14" spans="1:9" s="603" customFormat="1" x14ac:dyDescent="0.25">
      <c r="A14" s="221">
        <v>45627</v>
      </c>
      <c r="B14" s="600"/>
      <c r="C14" s="600"/>
      <c r="D14" s="600"/>
      <c r="E14" s="600"/>
      <c r="F14" s="594"/>
      <c r="G14" s="594"/>
      <c r="H14" s="167"/>
      <c r="I14" s="167"/>
    </row>
    <row r="15" spans="1:9" s="603" customFormat="1" x14ac:dyDescent="0.25">
      <c r="A15" s="221">
        <v>45658</v>
      </c>
      <c r="B15" s="600"/>
      <c r="C15" s="600"/>
      <c r="D15" s="600"/>
      <c r="E15" s="600"/>
      <c r="F15" s="594"/>
      <c r="G15" s="594"/>
      <c r="H15" s="167"/>
      <c r="I15" s="167"/>
    </row>
    <row r="16" spans="1:9" s="603" customFormat="1" x14ac:dyDescent="0.25">
      <c r="A16" s="221">
        <v>45689</v>
      </c>
      <c r="B16" s="600"/>
      <c r="C16" s="600"/>
      <c r="D16" s="600"/>
      <c r="E16" s="600"/>
      <c r="F16" s="594"/>
      <c r="G16" s="594"/>
      <c r="H16" s="167"/>
      <c r="I16" s="167"/>
    </row>
    <row r="17" spans="1:9" s="603" customFormat="1" x14ac:dyDescent="0.25">
      <c r="A17" s="221">
        <v>45717</v>
      </c>
      <c r="B17" s="600"/>
      <c r="C17" s="600"/>
      <c r="D17" s="600"/>
      <c r="E17" s="600"/>
      <c r="F17" s="594"/>
      <c r="G17" s="594"/>
      <c r="H17" s="167"/>
      <c r="I17" s="167"/>
    </row>
    <row r="18" spans="1:9" s="603" customFormat="1" x14ac:dyDescent="0.25">
      <c r="A18" s="168"/>
      <c r="B18" s="177"/>
      <c r="C18" s="177"/>
      <c r="D18" s="177"/>
      <c r="E18" s="177"/>
      <c r="F18" s="867"/>
      <c r="G18" s="867"/>
    </row>
    <row r="19" spans="1:9" s="603" customFormat="1" x14ac:dyDescent="0.25">
      <c r="A19" s="1284" t="s">
        <v>613</v>
      </c>
      <c r="B19" s="1284"/>
      <c r="C19" s="1284"/>
      <c r="D19" s="1284"/>
      <c r="E19" s="1284"/>
      <c r="F19" s="1284"/>
      <c r="G19" s="1284"/>
    </row>
    <row r="20" spans="1:9" s="603" customFormat="1" x14ac:dyDescent="0.25">
      <c r="A20" s="1126" t="s">
        <v>1401</v>
      </c>
      <c r="B20" s="595"/>
      <c r="C20" s="595"/>
      <c r="D20" s="595"/>
      <c r="E20" s="595"/>
      <c r="F20" s="595"/>
      <c r="G20" s="595"/>
    </row>
    <row r="21" spans="1:9" x14ac:dyDescent="0.25">
      <c r="B21" s="595"/>
      <c r="C21" s="595"/>
      <c r="D21" s="595"/>
      <c r="E21" s="595"/>
      <c r="F21" s="595"/>
      <c r="G21" s="595"/>
    </row>
  </sheetData>
  <mergeCells count="5">
    <mergeCell ref="A19:G19"/>
    <mergeCell ref="A2:A3"/>
    <mergeCell ref="B2:C2"/>
    <mergeCell ref="D2:E2"/>
    <mergeCell ref="F2:G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zoomScaleNormal="100" workbookViewId="0">
      <selection activeCell="A18" sqref="A18"/>
    </sheetView>
  </sheetViews>
  <sheetFormatPr defaultRowHeight="15" x14ac:dyDescent="0.25"/>
  <cols>
    <col min="1" max="1" width="14.42578125" style="610" bestFit="1" customWidth="1"/>
    <col min="2" max="3" width="16.28515625" style="610" bestFit="1" customWidth="1"/>
    <col min="4" max="4" width="15.85546875" style="610" bestFit="1" customWidth="1"/>
    <col min="5" max="5" width="13.85546875" style="610" bestFit="1" customWidth="1"/>
    <col min="6" max="6" width="16.28515625" style="610" bestFit="1" customWidth="1"/>
    <col min="7" max="7" width="9.140625" style="610"/>
    <col min="8" max="8" width="9.7109375" style="610" bestFit="1" customWidth="1"/>
    <col min="9" max="9" width="9.85546875" style="610" customWidth="1"/>
    <col min="10" max="16384" width="9.140625" style="610"/>
  </cols>
  <sheetData>
    <row r="1" spans="1:9" s="502" customFormat="1" ht="15" customHeight="1" x14ac:dyDescent="0.25">
      <c r="A1" s="1421" t="s">
        <v>49</v>
      </c>
      <c r="B1" s="1421"/>
      <c r="C1" s="1421"/>
      <c r="D1" s="1421"/>
      <c r="E1" s="1421"/>
      <c r="F1" s="1421"/>
    </row>
    <row r="2" spans="1:9" ht="45" x14ac:dyDescent="0.25">
      <c r="A2" s="890" t="s">
        <v>116</v>
      </c>
      <c r="B2" s="890" t="s">
        <v>956</v>
      </c>
      <c r="C2" s="890" t="s">
        <v>957</v>
      </c>
      <c r="D2" s="890" t="s">
        <v>958</v>
      </c>
      <c r="E2" s="890" t="s">
        <v>959</v>
      </c>
      <c r="F2" s="890" t="s">
        <v>960</v>
      </c>
    </row>
    <row r="3" spans="1:9" x14ac:dyDescent="0.25">
      <c r="A3" s="1157" t="s">
        <v>532</v>
      </c>
      <c r="B3" s="897">
        <v>3617496.66</v>
      </c>
      <c r="C3" s="897">
        <v>3278432.04</v>
      </c>
      <c r="D3" s="897">
        <v>339064.62</v>
      </c>
      <c r="E3" s="897">
        <v>41044.090000000004</v>
      </c>
      <c r="F3" s="897">
        <v>300808.43000000005</v>
      </c>
      <c r="G3" s="68"/>
      <c r="H3" s="630"/>
    </row>
    <row r="4" spans="1:9" x14ac:dyDescent="0.25">
      <c r="A4" s="1158" t="s">
        <v>1413</v>
      </c>
      <c r="B4" s="898">
        <f>SUM(B5:B16)</f>
        <v>732335.24</v>
      </c>
      <c r="C4" s="898">
        <f t="shared" ref="C4:D4" si="0">SUM(C5:C16)</f>
        <v>761506.12</v>
      </c>
      <c r="D4" s="898">
        <f t="shared" si="0"/>
        <v>-29170.880000000001</v>
      </c>
      <c r="E4" s="898">
        <f>SUM(E5:E16)</f>
        <v>-3485.54</v>
      </c>
      <c r="F4" s="898">
        <f>F3+E4</f>
        <v>297322.89000000007</v>
      </c>
      <c r="G4" s="68"/>
      <c r="H4" s="630"/>
      <c r="I4" s="68"/>
    </row>
    <row r="5" spans="1:9" x14ac:dyDescent="0.25">
      <c r="A5" s="221">
        <v>45383</v>
      </c>
      <c r="B5" s="503">
        <v>360879.1</v>
      </c>
      <c r="C5" s="503">
        <v>377139.12</v>
      </c>
      <c r="D5" s="503">
        <v>-16260.02</v>
      </c>
      <c r="E5" s="503">
        <v>-1944.68</v>
      </c>
      <c r="F5" s="503">
        <f>F3+E5</f>
        <v>298863.75000000006</v>
      </c>
      <c r="G5" s="68"/>
      <c r="H5" s="630"/>
    </row>
    <row r="6" spans="1:9" x14ac:dyDescent="0.25">
      <c r="A6" s="221">
        <v>45413</v>
      </c>
      <c r="B6" s="503">
        <v>371456.14</v>
      </c>
      <c r="C6" s="503">
        <v>384367</v>
      </c>
      <c r="D6" s="503">
        <v>-12910.86</v>
      </c>
      <c r="E6" s="503">
        <v>-1540.86</v>
      </c>
      <c r="F6" s="503">
        <v>297322.89</v>
      </c>
      <c r="G6" s="68"/>
      <c r="H6" s="630"/>
      <c r="I6" s="68"/>
    </row>
    <row r="7" spans="1:9" ht="15" customHeight="1" x14ac:dyDescent="0.25">
      <c r="A7" s="221">
        <v>45444</v>
      </c>
      <c r="B7" s="894"/>
      <c r="C7" s="894"/>
      <c r="D7" s="894"/>
      <c r="E7" s="894"/>
      <c r="F7" s="894"/>
      <c r="G7" s="68"/>
      <c r="H7" s="630"/>
    </row>
    <row r="8" spans="1:9" x14ac:dyDescent="0.25">
      <c r="A8" s="221">
        <v>45474</v>
      </c>
      <c r="B8" s="895"/>
      <c r="C8" s="896"/>
      <c r="D8" s="896"/>
      <c r="E8" s="896"/>
      <c r="F8" s="896"/>
    </row>
    <row r="9" spans="1:9" x14ac:dyDescent="0.25">
      <c r="A9" s="221">
        <v>45505</v>
      </c>
      <c r="B9" s="895"/>
      <c r="C9" s="896"/>
      <c r="D9" s="896"/>
      <c r="E9" s="896"/>
      <c r="F9" s="896"/>
    </row>
    <row r="10" spans="1:9" x14ac:dyDescent="0.25">
      <c r="A10" s="221">
        <v>45536</v>
      </c>
      <c r="B10" s="895"/>
      <c r="C10" s="896"/>
      <c r="D10" s="896"/>
      <c r="E10" s="896"/>
      <c r="F10" s="896"/>
    </row>
    <row r="11" spans="1:9" x14ac:dyDescent="0.25">
      <c r="A11" s="221">
        <v>45566</v>
      </c>
      <c r="B11" s="895"/>
      <c r="C11" s="896"/>
      <c r="D11" s="896"/>
      <c r="E11" s="896"/>
      <c r="F11" s="896"/>
    </row>
    <row r="12" spans="1:9" x14ac:dyDescent="0.25">
      <c r="A12" s="221">
        <v>45597</v>
      </c>
      <c r="B12" s="895"/>
      <c r="C12" s="896"/>
      <c r="D12" s="896"/>
      <c r="E12" s="896"/>
      <c r="F12" s="896"/>
    </row>
    <row r="13" spans="1:9" x14ac:dyDescent="0.25">
      <c r="A13" s="221">
        <v>45627</v>
      </c>
      <c r="B13" s="895"/>
      <c r="C13" s="896"/>
      <c r="D13" s="896"/>
      <c r="E13" s="896"/>
      <c r="F13" s="896"/>
    </row>
    <row r="14" spans="1:9" x14ac:dyDescent="0.25">
      <c r="A14" s="221">
        <v>45658</v>
      </c>
      <c r="B14" s="895"/>
      <c r="C14" s="896"/>
      <c r="D14" s="896"/>
      <c r="E14" s="896"/>
      <c r="F14" s="896"/>
    </row>
    <row r="15" spans="1:9" x14ac:dyDescent="0.25">
      <c r="A15" s="221">
        <v>45689</v>
      </c>
      <c r="B15" s="895"/>
      <c r="C15" s="896"/>
      <c r="D15" s="896"/>
      <c r="E15" s="896"/>
      <c r="F15" s="896"/>
    </row>
    <row r="16" spans="1:9" x14ac:dyDescent="0.25">
      <c r="A16" s="221">
        <v>45717</v>
      </c>
      <c r="B16" s="895"/>
      <c r="C16" s="896"/>
      <c r="D16" s="896"/>
      <c r="E16" s="896"/>
      <c r="F16" s="896"/>
    </row>
    <row r="17" spans="1:6" ht="15" customHeight="1" x14ac:dyDescent="0.25">
      <c r="A17" s="1422" t="s">
        <v>961</v>
      </c>
      <c r="B17" s="1422"/>
      <c r="C17" s="1422"/>
      <c r="D17" s="1422"/>
      <c r="E17" s="1422"/>
      <c r="F17" s="1422"/>
    </row>
    <row r="18" spans="1:6" x14ac:dyDescent="0.25">
      <c r="A18" s="1126" t="s">
        <v>1401</v>
      </c>
      <c r="B18" s="67"/>
      <c r="C18" s="67"/>
      <c r="D18" s="67"/>
      <c r="E18" s="67"/>
      <c r="F18" s="67"/>
    </row>
    <row r="21" spans="1:6" s="631" customFormat="1" ht="11.25" x14ac:dyDescent="0.2">
      <c r="B21" s="632"/>
      <c r="C21" s="632"/>
      <c r="D21" s="632"/>
      <c r="E21" s="632"/>
    </row>
  </sheetData>
  <mergeCells count="2">
    <mergeCell ref="A1:F1"/>
    <mergeCell ref="A17:F17"/>
  </mergeCells>
  <printOptions horizontalCentered="1"/>
  <pageMargins left="0.7" right="0.7" top="0.75" bottom="0.75" header="0.3" footer="0.3"/>
  <pageSetup paperSize="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Views>
    <sheetView workbookViewId="0">
      <selection activeCell="E9" sqref="E9"/>
    </sheetView>
  </sheetViews>
  <sheetFormatPr defaultRowHeight="15" x14ac:dyDescent="0.25"/>
  <cols>
    <col min="1" max="1" width="14.42578125" style="212" bestFit="1" customWidth="1"/>
    <col min="2" max="6" width="23.85546875" style="212" customWidth="1"/>
    <col min="7" max="16384" width="9.140625" style="212"/>
  </cols>
  <sheetData>
    <row r="1" spans="1:11" s="214" customFormat="1" ht="15" customHeight="1" x14ac:dyDescent="0.25">
      <c r="A1" s="1421" t="s">
        <v>962</v>
      </c>
      <c r="B1" s="1421"/>
      <c r="C1" s="1421"/>
      <c r="D1" s="1421"/>
      <c r="E1" s="1421"/>
      <c r="F1" s="1421"/>
      <c r="G1" s="213"/>
      <c r="H1" s="213"/>
      <c r="I1" s="213"/>
      <c r="J1" s="213"/>
      <c r="K1" s="213"/>
    </row>
    <row r="2" spans="1:11" ht="90" x14ac:dyDescent="0.25">
      <c r="A2" s="899" t="s">
        <v>116</v>
      </c>
      <c r="B2" s="899" t="s">
        <v>963</v>
      </c>
      <c r="C2" s="899" t="s">
        <v>964</v>
      </c>
      <c r="D2" s="899" t="s">
        <v>965</v>
      </c>
      <c r="E2" s="899" t="s">
        <v>966</v>
      </c>
      <c r="F2" s="890" t="s">
        <v>967</v>
      </c>
    </row>
    <row r="3" spans="1:11" x14ac:dyDescent="0.25">
      <c r="A3" s="900" t="s">
        <v>71</v>
      </c>
      <c r="B3" s="901">
        <v>88600.120784090221</v>
      </c>
      <c r="C3" s="901">
        <v>88600.120784090221</v>
      </c>
      <c r="D3" s="901">
        <v>4870792</v>
      </c>
      <c r="E3" s="902">
        <v>1.82</v>
      </c>
      <c r="F3" s="902">
        <v>1.82</v>
      </c>
    </row>
    <row r="4" spans="1:11" x14ac:dyDescent="0.25">
      <c r="A4" s="900" t="s">
        <v>532</v>
      </c>
      <c r="B4" s="905">
        <f>INDEX(B5:B16,COUNT(B5:B16))</f>
        <v>149119.91718537293</v>
      </c>
      <c r="C4" s="905">
        <f t="shared" ref="C4:F4" si="0">INDEX(C5:C16,COUNT(C5:C16))</f>
        <v>149119.91718537293</v>
      </c>
      <c r="D4" s="905">
        <f t="shared" si="0"/>
        <v>6953988</v>
      </c>
      <c r="E4" s="906">
        <f t="shared" si="0"/>
        <v>2.1443798462892505</v>
      </c>
      <c r="F4" s="906">
        <f t="shared" si="0"/>
        <v>2.1443798462892505</v>
      </c>
    </row>
    <row r="5" spans="1:11" x14ac:dyDescent="0.25">
      <c r="A5" s="892">
        <v>45017</v>
      </c>
      <c r="B5" s="903">
        <v>95911.056225809152</v>
      </c>
      <c r="C5" s="903">
        <v>95911.056225809152</v>
      </c>
      <c r="D5" s="903">
        <v>5084725.2082388252</v>
      </c>
      <c r="E5" s="904">
        <v>1.8862583974135601</v>
      </c>
      <c r="F5" s="904">
        <v>1.8862583974135601</v>
      </c>
    </row>
    <row r="6" spans="1:11" x14ac:dyDescent="0.25">
      <c r="A6" s="892">
        <v>45047</v>
      </c>
      <c r="B6" s="903">
        <v>104584.82</v>
      </c>
      <c r="C6" s="903">
        <v>104584.82</v>
      </c>
      <c r="D6" s="903">
        <v>5295743.5977545604</v>
      </c>
      <c r="E6" s="904">
        <v>1.9748845099740999</v>
      </c>
      <c r="F6" s="904">
        <v>1.9748845099740999</v>
      </c>
    </row>
    <row r="7" spans="1:11" x14ac:dyDescent="0.25">
      <c r="A7" s="892">
        <v>45078</v>
      </c>
      <c r="B7" s="903">
        <v>113290.99670231827</v>
      </c>
      <c r="C7" s="903">
        <v>113286.42468431826</v>
      </c>
      <c r="D7" s="903">
        <v>5563382</v>
      </c>
      <c r="E7" s="904">
        <f>(B7/D7)*100</f>
        <v>2.0363691851884029</v>
      </c>
      <c r="F7" s="904">
        <f>(C7/D7)*100</f>
        <v>2.0362870046370762</v>
      </c>
    </row>
    <row r="8" spans="1:11" x14ac:dyDescent="0.25">
      <c r="A8" s="892">
        <v>45108</v>
      </c>
      <c r="B8" s="903">
        <v>122805</v>
      </c>
      <c r="C8" s="903">
        <v>122730</v>
      </c>
      <c r="D8" s="903">
        <v>5753354</v>
      </c>
      <c r="E8" s="904">
        <f>(B8/D8)*100</f>
        <v>2.1344940707628974</v>
      </c>
      <c r="F8" s="904">
        <f>(C8/D8)*100</f>
        <v>2.1331904833250306</v>
      </c>
    </row>
    <row r="9" spans="1:11" ht="15" customHeight="1" x14ac:dyDescent="0.25">
      <c r="A9" s="892">
        <v>45139</v>
      </c>
      <c r="B9" s="903">
        <v>128249</v>
      </c>
      <c r="C9" s="903">
        <v>128249</v>
      </c>
      <c r="D9" s="903">
        <v>5763446</v>
      </c>
      <c r="E9" s="904">
        <f>(B9/D9)*100</f>
        <v>2.2252138737831499</v>
      </c>
      <c r="F9" s="904">
        <f>(C9/D9)*100</f>
        <v>2.2252138737831499</v>
      </c>
    </row>
    <row r="10" spans="1:11" ht="15" customHeight="1" x14ac:dyDescent="0.25">
      <c r="A10" s="892">
        <v>45170</v>
      </c>
      <c r="B10" s="903">
        <v>133284.24941066504</v>
      </c>
      <c r="C10" s="903">
        <v>133284.24941066504</v>
      </c>
      <c r="D10" s="903">
        <v>5845760</v>
      </c>
      <c r="E10" s="904">
        <f t="shared" ref="E10:E16" si="1">(B10/D10)*100</f>
        <v>2.2800157620337655</v>
      </c>
      <c r="F10" s="904">
        <f t="shared" ref="F10:F16" si="2">(C10/D10)*100</f>
        <v>2.2800157620337655</v>
      </c>
    </row>
    <row r="11" spans="1:11" ht="15" customHeight="1" x14ac:dyDescent="0.25">
      <c r="A11" s="892">
        <v>45200</v>
      </c>
      <c r="B11" s="903">
        <v>126320.05697322608</v>
      </c>
      <c r="C11" s="903">
        <v>126320.05697322608</v>
      </c>
      <c r="D11" s="903">
        <v>5679629</v>
      </c>
      <c r="E11" s="904">
        <f t="shared" si="1"/>
        <v>2.2240899356846384</v>
      </c>
      <c r="F11" s="904">
        <f t="shared" si="2"/>
        <v>2.2240899356846384</v>
      </c>
    </row>
    <row r="12" spans="1:11" ht="15" customHeight="1" x14ac:dyDescent="0.25">
      <c r="A12" s="892">
        <v>45231</v>
      </c>
      <c r="B12" s="903">
        <v>131663.96709632801</v>
      </c>
      <c r="C12" s="903">
        <v>131663.96709632766</v>
      </c>
      <c r="D12" s="903">
        <v>6080067</v>
      </c>
      <c r="E12" s="904">
        <f t="shared" si="1"/>
        <v>2.1655019113494638</v>
      </c>
      <c r="F12" s="904">
        <f t="shared" si="2"/>
        <v>2.1655019113494585</v>
      </c>
    </row>
    <row r="13" spans="1:11" ht="15" customHeight="1" x14ac:dyDescent="0.25">
      <c r="A13" s="892">
        <v>45261</v>
      </c>
      <c r="B13" s="903">
        <v>149447</v>
      </c>
      <c r="C13" s="903">
        <v>149447</v>
      </c>
      <c r="D13" s="903">
        <v>6609378</v>
      </c>
      <c r="E13" s="904">
        <f t="shared" si="1"/>
        <v>2.2611356166949448</v>
      </c>
      <c r="F13" s="904">
        <f t="shared" si="2"/>
        <v>2.2611356166949448</v>
      </c>
    </row>
    <row r="14" spans="1:11" ht="15" customHeight="1" x14ac:dyDescent="0.25">
      <c r="A14" s="892">
        <v>45292</v>
      </c>
      <c r="B14" s="903">
        <v>143010.86349560946</v>
      </c>
      <c r="C14" s="903">
        <v>143010.86349560946</v>
      </c>
      <c r="D14" s="903">
        <v>6696994</v>
      </c>
      <c r="E14" s="904">
        <f t="shared" si="1"/>
        <v>2.1354485832839254</v>
      </c>
      <c r="F14" s="904">
        <f t="shared" si="2"/>
        <v>2.1354485832839254</v>
      </c>
    </row>
    <row r="15" spans="1:11" s="610" customFormat="1" ht="15" customHeight="1" x14ac:dyDescent="0.25">
      <c r="A15" s="892">
        <v>45323</v>
      </c>
      <c r="B15" s="903">
        <v>149517.08570834671</v>
      </c>
      <c r="C15" s="903">
        <v>149517.08570834671</v>
      </c>
      <c r="D15" s="903">
        <v>6855019</v>
      </c>
      <c r="E15" s="904">
        <f t="shared" si="1"/>
        <v>2.1811330604385883</v>
      </c>
      <c r="F15" s="904">
        <f t="shared" si="2"/>
        <v>2.1811330604385883</v>
      </c>
    </row>
    <row r="16" spans="1:11" s="610" customFormat="1" ht="15" customHeight="1" x14ac:dyDescent="0.25">
      <c r="A16" s="892">
        <v>45352</v>
      </c>
      <c r="B16" s="903">
        <v>149119.91718537293</v>
      </c>
      <c r="C16" s="903">
        <v>149119.91718537293</v>
      </c>
      <c r="D16" s="903">
        <v>6953988</v>
      </c>
      <c r="E16" s="904">
        <f t="shared" si="1"/>
        <v>2.1443798462892505</v>
      </c>
      <c r="F16" s="904">
        <f t="shared" si="2"/>
        <v>2.1443798462892505</v>
      </c>
    </row>
    <row r="17" spans="1:6" ht="53.25" customHeight="1" x14ac:dyDescent="0.25">
      <c r="A17" s="1423" t="s">
        <v>1246</v>
      </c>
      <c r="B17" s="1423"/>
      <c r="C17" s="1423"/>
      <c r="D17" s="1423"/>
      <c r="E17" s="1423"/>
      <c r="F17" s="1423"/>
    </row>
    <row r="18" spans="1:6" ht="15" customHeight="1" x14ac:dyDescent="0.25">
      <c r="A18" s="1422" t="s">
        <v>1214</v>
      </c>
      <c r="B18" s="1422"/>
      <c r="C18" s="1422"/>
      <c r="D18" s="1422"/>
      <c r="E18" s="1422"/>
      <c r="F18" s="1422"/>
    </row>
    <row r="19" spans="1:6" x14ac:dyDescent="0.25">
      <c r="A19" s="1422" t="s">
        <v>968</v>
      </c>
      <c r="B19" s="1422"/>
      <c r="C19" s="1422"/>
      <c r="D19" s="1422"/>
      <c r="E19" s="1422"/>
      <c r="F19" s="1422"/>
    </row>
  </sheetData>
  <mergeCells count="4">
    <mergeCell ref="A18:F18"/>
    <mergeCell ref="A19:F19"/>
    <mergeCell ref="A1:F1"/>
    <mergeCell ref="A17:F17"/>
  </mergeCells>
  <printOptions horizontalCentered="1"/>
  <pageMargins left="0.7" right="0.7" top="0.75" bottom="0.75" header="0.3" footer="0.3"/>
  <pageSetup paperSize="9" scale="98" fitToHeight="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
  <sheetViews>
    <sheetView topLeftCell="A3" zoomScaleNormal="100" workbookViewId="0">
      <selection activeCell="A21" sqref="A21"/>
    </sheetView>
  </sheetViews>
  <sheetFormatPr defaultColWidth="9.140625" defaultRowHeight="15" x14ac:dyDescent="0.25"/>
  <cols>
    <col min="1" max="1" width="11.140625" bestFit="1" customWidth="1"/>
    <col min="2" max="2" width="12.85546875" customWidth="1"/>
    <col min="3" max="3" width="16.42578125" bestFit="1" customWidth="1"/>
    <col min="4" max="4" width="8.42578125" bestFit="1" customWidth="1"/>
    <col min="5" max="5" width="15.140625" bestFit="1" customWidth="1"/>
    <col min="6" max="6" width="11.7109375" bestFit="1" customWidth="1"/>
    <col min="7" max="7" width="16.42578125" bestFit="1" customWidth="1"/>
    <col min="8" max="8" width="9.7109375" bestFit="1" customWidth="1"/>
    <col min="9" max="9" width="13" bestFit="1" customWidth="1"/>
    <col min="10" max="10" width="8.42578125" bestFit="1" customWidth="1"/>
    <col min="11" max="11" width="9.85546875" customWidth="1"/>
    <col min="12" max="14" width="11.7109375" bestFit="1" customWidth="1"/>
    <col min="15" max="15" width="16.42578125" bestFit="1" customWidth="1"/>
    <col min="16" max="16" width="11.7109375" bestFit="1" customWidth="1"/>
    <col min="17" max="17" width="15.140625" bestFit="1" customWidth="1"/>
    <col min="18" max="18" width="8.42578125" bestFit="1" customWidth="1"/>
    <col min="19" max="19" width="15.140625" bestFit="1" customWidth="1"/>
    <col min="20" max="20" width="9.7109375" bestFit="1" customWidth="1"/>
    <col min="21" max="21" width="16.42578125" bestFit="1" customWidth="1"/>
    <col min="22" max="22" width="9.7109375" bestFit="1" customWidth="1"/>
    <col min="23" max="23" width="16.28515625" bestFit="1" customWidth="1"/>
    <col min="24" max="24" width="8.42578125" bestFit="1" customWidth="1"/>
    <col min="25" max="25" width="13" bestFit="1" customWidth="1"/>
    <col min="26" max="26" width="12.85546875" customWidth="1"/>
    <col min="27" max="27" width="16.42578125" style="315" bestFit="1" customWidth="1"/>
    <col min="28" max="28" width="13" style="315" bestFit="1" customWidth="1"/>
    <col min="29" max="29" width="18.5703125" style="315" bestFit="1" customWidth="1"/>
    <col min="30" max="30" width="4.5703125" style="315" bestFit="1" customWidth="1"/>
    <col min="31" max="31" width="10" style="315" bestFit="1" customWidth="1"/>
    <col min="32" max="16384" width="9.140625" style="315"/>
  </cols>
  <sheetData>
    <row r="1" spans="1:31" s="309" customFormat="1" ht="15" customHeight="1" x14ac:dyDescent="0.25">
      <c r="A1" s="1434" t="s">
        <v>51</v>
      </c>
      <c r="B1" s="1435"/>
      <c r="C1" s="1435"/>
      <c r="D1" s="1435"/>
      <c r="E1" s="1435"/>
      <c r="F1" s="1435"/>
      <c r="G1" s="1435"/>
      <c r="H1" s="1435"/>
      <c r="I1" s="1435"/>
      <c r="J1" s="1435"/>
      <c r="K1" s="1435"/>
      <c r="L1" s="1435"/>
      <c r="M1" s="1435"/>
      <c r="N1" s="1435"/>
      <c r="O1" s="1435"/>
      <c r="P1" s="1435"/>
      <c r="Q1" s="1435"/>
      <c r="R1" s="1435"/>
      <c r="S1" s="1435"/>
      <c r="T1" s="1435"/>
      <c r="U1" s="1435"/>
      <c r="V1" s="1435"/>
      <c r="W1" s="1435"/>
      <c r="X1" s="1435"/>
      <c r="Y1" s="1435"/>
      <c r="Z1" s="1435"/>
    </row>
    <row r="2" spans="1:31" s="310" customFormat="1" ht="60" customHeight="1" x14ac:dyDescent="0.25">
      <c r="A2" s="1436" t="s">
        <v>979</v>
      </c>
      <c r="B2" s="1437" t="s">
        <v>978</v>
      </c>
      <c r="C2" s="1438"/>
      <c r="D2" s="1439" t="s">
        <v>1229</v>
      </c>
      <c r="E2" s="1439"/>
      <c r="F2" s="1439" t="s">
        <v>977</v>
      </c>
      <c r="G2" s="1439"/>
      <c r="H2" s="1439" t="s">
        <v>976</v>
      </c>
      <c r="I2" s="1439"/>
      <c r="J2" s="1437" t="s">
        <v>975</v>
      </c>
      <c r="K2" s="1438"/>
      <c r="L2" s="1437" t="s">
        <v>974</v>
      </c>
      <c r="M2" s="1438"/>
      <c r="N2" s="1430" t="s">
        <v>80</v>
      </c>
      <c r="O2" s="1430"/>
      <c r="P2" s="1428" t="s">
        <v>973</v>
      </c>
      <c r="Q2" s="1429"/>
      <c r="R2" s="1428" t="s">
        <v>311</v>
      </c>
      <c r="S2" s="1429"/>
      <c r="T2" s="1430" t="s">
        <v>1230</v>
      </c>
      <c r="U2" s="1430"/>
      <c r="V2" s="1431" t="s">
        <v>1231</v>
      </c>
      <c r="W2" s="1432"/>
      <c r="X2" s="1433" t="s">
        <v>972</v>
      </c>
      <c r="Y2" s="1432"/>
      <c r="Z2" s="1426" t="s">
        <v>306</v>
      </c>
      <c r="AA2" s="1427"/>
      <c r="AB2" s="1426" t="s">
        <v>96</v>
      </c>
      <c r="AC2" s="1427"/>
    </row>
    <row r="3" spans="1:31" s="310" customFormat="1" ht="30" x14ac:dyDescent="0.25">
      <c r="A3" s="1436"/>
      <c r="B3" s="907" t="s">
        <v>971</v>
      </c>
      <c r="C3" s="907" t="s">
        <v>124</v>
      </c>
      <c r="D3" s="907" t="s">
        <v>971</v>
      </c>
      <c r="E3" s="907" t="s">
        <v>124</v>
      </c>
      <c r="F3" s="907" t="s">
        <v>971</v>
      </c>
      <c r="G3" s="907" t="s">
        <v>124</v>
      </c>
      <c r="H3" s="907" t="s">
        <v>971</v>
      </c>
      <c r="I3" s="907" t="s">
        <v>124</v>
      </c>
      <c r="J3" s="907" t="s">
        <v>971</v>
      </c>
      <c r="K3" s="908" t="s">
        <v>124</v>
      </c>
      <c r="L3" s="907" t="s">
        <v>971</v>
      </c>
      <c r="M3" s="907" t="s">
        <v>124</v>
      </c>
      <c r="N3" s="909" t="s">
        <v>971</v>
      </c>
      <c r="O3" s="909" t="s">
        <v>124</v>
      </c>
      <c r="P3" s="909" t="s">
        <v>971</v>
      </c>
      <c r="Q3" s="909" t="s">
        <v>124</v>
      </c>
      <c r="R3" s="909" t="s">
        <v>971</v>
      </c>
      <c r="S3" s="909" t="s">
        <v>124</v>
      </c>
      <c r="T3" s="909" t="s">
        <v>971</v>
      </c>
      <c r="U3" s="909" t="s">
        <v>124</v>
      </c>
      <c r="V3" s="909" t="s">
        <v>971</v>
      </c>
      <c r="W3" s="909" t="s">
        <v>124</v>
      </c>
      <c r="X3" s="909" t="s">
        <v>971</v>
      </c>
      <c r="Y3" s="909" t="s">
        <v>124</v>
      </c>
      <c r="Z3" s="909" t="s">
        <v>971</v>
      </c>
      <c r="AA3" s="909" t="s">
        <v>124</v>
      </c>
      <c r="AB3" s="909" t="s">
        <v>971</v>
      </c>
      <c r="AC3" s="909" t="s">
        <v>124</v>
      </c>
    </row>
    <row r="4" spans="1:31" s="311" customFormat="1" x14ac:dyDescent="0.25">
      <c r="A4" s="1157" t="s">
        <v>532</v>
      </c>
      <c r="B4" s="910">
        <v>11365</v>
      </c>
      <c r="C4" s="910">
        <v>6953987.6900000004</v>
      </c>
      <c r="D4" s="910">
        <v>9</v>
      </c>
      <c r="E4" s="910">
        <v>526941.28</v>
      </c>
      <c r="F4" s="910">
        <v>3382</v>
      </c>
      <c r="G4" s="910">
        <v>2723152.54</v>
      </c>
      <c r="H4" s="910">
        <v>234</v>
      </c>
      <c r="I4" s="910">
        <v>40878.49</v>
      </c>
      <c r="J4" s="910">
        <v>23</v>
      </c>
      <c r="K4" s="911">
        <v>627.4</v>
      </c>
      <c r="L4" s="910">
        <v>2071</v>
      </c>
      <c r="M4" s="910">
        <v>6760.93</v>
      </c>
      <c r="N4" s="910">
        <v>1563</v>
      </c>
      <c r="O4" s="910">
        <v>4702435.43</v>
      </c>
      <c r="P4" s="910">
        <v>1677</v>
      </c>
      <c r="Q4" s="910">
        <v>315572.77</v>
      </c>
      <c r="R4" s="910">
        <v>88</v>
      </c>
      <c r="S4" s="910">
        <v>786385.51</v>
      </c>
      <c r="T4" s="910">
        <v>811</v>
      </c>
      <c r="U4" s="910">
        <v>3691165.73</v>
      </c>
      <c r="V4" s="910">
        <v>141</v>
      </c>
      <c r="W4" s="910">
        <v>1149735.92</v>
      </c>
      <c r="X4" s="910">
        <v>21</v>
      </c>
      <c r="Y4" s="910">
        <v>47547.05</v>
      </c>
      <c r="Z4" s="910">
        <v>63193</v>
      </c>
      <c r="AA4" s="910">
        <v>2284017.4500000002</v>
      </c>
      <c r="AB4" s="910">
        <v>84578</v>
      </c>
      <c r="AC4" s="910">
        <v>23229208.190000001</v>
      </c>
      <c r="AE4" s="312"/>
    </row>
    <row r="5" spans="1:31" s="311" customFormat="1" x14ac:dyDescent="0.25">
      <c r="A5" s="1158" t="s">
        <v>1413</v>
      </c>
      <c r="B5" s="912">
        <f>INDEX(B6:B17,COUNT(B6:B17))</f>
        <v>11503</v>
      </c>
      <c r="C5" s="912">
        <f t="shared" ref="C5:AC5" si="0">INDEX(C6:C17,COUNT(C6:C17))</f>
        <v>7187455.0999999996</v>
      </c>
      <c r="D5" s="912">
        <f t="shared" si="0"/>
        <v>9</v>
      </c>
      <c r="E5" s="912">
        <f t="shared" si="0"/>
        <v>537469.1</v>
      </c>
      <c r="F5" s="912">
        <f t="shared" si="0"/>
        <v>3487</v>
      </c>
      <c r="G5" s="912">
        <f t="shared" si="0"/>
        <v>2878459.06</v>
      </c>
      <c r="H5" s="912">
        <f t="shared" si="0"/>
        <v>233</v>
      </c>
      <c r="I5" s="912">
        <f t="shared" si="0"/>
        <v>42225.45</v>
      </c>
      <c r="J5" s="912">
        <f t="shared" si="0"/>
        <v>23</v>
      </c>
      <c r="K5" s="912">
        <f t="shared" si="0"/>
        <v>638.35</v>
      </c>
      <c r="L5" s="912">
        <f t="shared" si="0"/>
        <v>2285</v>
      </c>
      <c r="M5" s="912">
        <f t="shared" si="0"/>
        <v>7384.54</v>
      </c>
      <c r="N5" s="912">
        <f t="shared" si="0"/>
        <v>1573</v>
      </c>
      <c r="O5" s="912">
        <f t="shared" si="0"/>
        <v>5052831.16</v>
      </c>
      <c r="P5" s="912">
        <f t="shared" si="0"/>
        <v>1866</v>
      </c>
      <c r="Q5" s="912">
        <f t="shared" si="0"/>
        <v>331318.31</v>
      </c>
      <c r="R5" s="912">
        <f t="shared" si="0"/>
        <v>88</v>
      </c>
      <c r="S5" s="912">
        <f t="shared" si="0"/>
        <v>763526.05</v>
      </c>
      <c r="T5" s="912">
        <f t="shared" si="0"/>
        <v>817</v>
      </c>
      <c r="U5" s="912">
        <f t="shared" si="0"/>
        <v>3809804.16</v>
      </c>
      <c r="V5" s="912">
        <f t="shared" si="0"/>
        <v>141</v>
      </c>
      <c r="W5" s="912">
        <f t="shared" si="0"/>
        <v>1189654.69</v>
      </c>
      <c r="X5" s="912">
        <f t="shared" si="0"/>
        <v>21</v>
      </c>
      <c r="Y5" s="912">
        <f t="shared" si="0"/>
        <v>47610.45</v>
      </c>
      <c r="Z5" s="912">
        <f t="shared" si="0"/>
        <v>70642</v>
      </c>
      <c r="AA5" s="912">
        <f t="shared" si="0"/>
        <v>2366320.3199999998</v>
      </c>
      <c r="AB5" s="913">
        <f t="shared" si="0"/>
        <v>92688</v>
      </c>
      <c r="AC5" s="913">
        <f t="shared" si="0"/>
        <v>24214696.739999998</v>
      </c>
      <c r="AE5" s="312"/>
    </row>
    <row r="6" spans="1:31" s="314" customFormat="1" x14ac:dyDescent="0.25">
      <c r="A6" s="893">
        <v>45383</v>
      </c>
      <c r="B6" s="914">
        <v>11430</v>
      </c>
      <c r="C6" s="914">
        <v>7155781.8899999997</v>
      </c>
      <c r="D6" s="914">
        <v>9</v>
      </c>
      <c r="E6" s="914">
        <v>543626.87</v>
      </c>
      <c r="F6" s="914">
        <v>3429</v>
      </c>
      <c r="G6" s="914">
        <v>2817729.07</v>
      </c>
      <c r="H6" s="914">
        <v>236</v>
      </c>
      <c r="I6" s="915">
        <v>42437.18</v>
      </c>
      <c r="J6" s="916">
        <v>23</v>
      </c>
      <c r="K6" s="917">
        <v>686.7</v>
      </c>
      <c r="L6" s="914">
        <v>2154</v>
      </c>
      <c r="M6" s="914">
        <v>7243.41</v>
      </c>
      <c r="N6" s="914">
        <v>1564</v>
      </c>
      <c r="O6" s="914">
        <v>4960090.78</v>
      </c>
      <c r="P6" s="914">
        <v>1782</v>
      </c>
      <c r="Q6" s="914">
        <v>322224.53000000003</v>
      </c>
      <c r="R6" s="914">
        <v>88</v>
      </c>
      <c r="S6" s="914">
        <v>770469.53</v>
      </c>
      <c r="T6" s="914">
        <v>814</v>
      </c>
      <c r="U6" s="914">
        <v>3784190.55</v>
      </c>
      <c r="V6" s="914">
        <v>141</v>
      </c>
      <c r="W6" s="914">
        <v>1169293.6200000001</v>
      </c>
      <c r="X6" s="914">
        <v>21</v>
      </c>
      <c r="Y6" s="914">
        <v>48302.44</v>
      </c>
      <c r="Z6" s="914">
        <v>66377</v>
      </c>
      <c r="AA6" s="918">
        <v>2340309.33</v>
      </c>
      <c r="AB6" s="918">
        <v>88068</v>
      </c>
      <c r="AC6" s="918">
        <v>23962385.899999999</v>
      </c>
      <c r="AD6" s="313"/>
      <c r="AE6" s="313"/>
    </row>
    <row r="7" spans="1:31" s="314" customFormat="1" x14ac:dyDescent="0.25">
      <c r="A7" s="893">
        <f>EOMONTH(A6,1)</f>
        <v>45443</v>
      </c>
      <c r="B7" s="914">
        <v>11503</v>
      </c>
      <c r="C7" s="914">
        <v>7187455.0999999996</v>
      </c>
      <c r="D7" s="914">
        <v>9</v>
      </c>
      <c r="E7" s="914">
        <v>537469.1</v>
      </c>
      <c r="F7" s="914">
        <v>3487</v>
      </c>
      <c r="G7" s="914">
        <v>2878459.06</v>
      </c>
      <c r="H7" s="914">
        <v>233</v>
      </c>
      <c r="I7" s="914">
        <v>42225.45</v>
      </c>
      <c r="J7" s="914">
        <v>23</v>
      </c>
      <c r="K7" s="914">
        <v>638.35</v>
      </c>
      <c r="L7" s="914">
        <v>2285</v>
      </c>
      <c r="M7" s="914">
        <v>7384.54</v>
      </c>
      <c r="N7" s="914">
        <v>1573</v>
      </c>
      <c r="O7" s="914">
        <v>5052831.16</v>
      </c>
      <c r="P7" s="914">
        <v>1866</v>
      </c>
      <c r="Q7" s="914">
        <v>331318.31</v>
      </c>
      <c r="R7" s="914">
        <v>88</v>
      </c>
      <c r="S7" s="914">
        <v>763526.05</v>
      </c>
      <c r="T7" s="914">
        <v>817</v>
      </c>
      <c r="U7" s="914">
        <v>3809804.16</v>
      </c>
      <c r="V7" s="914">
        <v>141</v>
      </c>
      <c r="W7" s="914">
        <v>1189654.69</v>
      </c>
      <c r="X7" s="914">
        <v>21</v>
      </c>
      <c r="Y7" s="914">
        <v>47610.45</v>
      </c>
      <c r="Z7" s="914">
        <v>70642</v>
      </c>
      <c r="AA7" s="914">
        <v>2366320.3199999998</v>
      </c>
      <c r="AB7" s="914">
        <v>92688</v>
      </c>
      <c r="AC7" s="914">
        <v>24214696.739999998</v>
      </c>
      <c r="AD7" s="313"/>
      <c r="AE7" s="313"/>
    </row>
    <row r="8" spans="1:31" s="314" customFormat="1" ht="15" customHeight="1" x14ac:dyDescent="0.25">
      <c r="A8" s="893">
        <f t="shared" ref="A8:A17" si="1">EOMONTH(A7,1)</f>
        <v>45473</v>
      </c>
      <c r="B8" s="356"/>
      <c r="C8" s="356"/>
      <c r="D8" s="356"/>
      <c r="E8" s="356"/>
      <c r="F8" s="356"/>
      <c r="G8" s="356"/>
      <c r="H8" s="356"/>
      <c r="I8" s="356"/>
      <c r="J8" s="356"/>
      <c r="K8" s="356"/>
      <c r="L8" s="356"/>
      <c r="M8" s="356"/>
      <c r="N8" s="356"/>
      <c r="O8" s="356"/>
      <c r="P8" s="356"/>
      <c r="Q8" s="356"/>
      <c r="R8" s="356"/>
      <c r="S8" s="356"/>
      <c r="T8" s="356"/>
      <c r="U8" s="356"/>
      <c r="V8" s="356"/>
      <c r="W8" s="356"/>
      <c r="X8" s="356"/>
      <c r="Y8" s="356"/>
      <c r="Z8" s="356"/>
      <c r="AA8" s="919"/>
      <c r="AB8" s="919"/>
      <c r="AC8" s="919"/>
      <c r="AD8" s="313"/>
      <c r="AE8" s="313"/>
    </row>
    <row r="9" spans="1:31" s="314" customFormat="1" ht="15" customHeight="1" x14ac:dyDescent="0.25">
      <c r="A9" s="893">
        <f t="shared" si="1"/>
        <v>45504</v>
      </c>
      <c r="B9" s="356"/>
      <c r="C9" s="356"/>
      <c r="D9" s="356"/>
      <c r="E9" s="356"/>
      <c r="F9" s="356"/>
      <c r="G9" s="356"/>
      <c r="H9" s="356"/>
      <c r="I9" s="356"/>
      <c r="J9" s="356"/>
      <c r="K9" s="356"/>
      <c r="L9" s="356"/>
      <c r="M9" s="356"/>
      <c r="N9" s="356"/>
      <c r="O9" s="356"/>
      <c r="P9" s="356"/>
      <c r="Q9" s="356"/>
      <c r="R9" s="356"/>
      <c r="S9" s="356"/>
      <c r="T9" s="356"/>
      <c r="U9" s="356"/>
      <c r="V9" s="356"/>
      <c r="W9" s="356"/>
      <c r="X9" s="356"/>
      <c r="Y9" s="356"/>
      <c r="Z9" s="356"/>
      <c r="AA9" s="919"/>
      <c r="AB9" s="919"/>
      <c r="AC9" s="919"/>
      <c r="AD9" s="313"/>
      <c r="AE9" s="313"/>
    </row>
    <row r="10" spans="1:31" s="314" customFormat="1" ht="15" customHeight="1" x14ac:dyDescent="0.25">
      <c r="A10" s="893">
        <f t="shared" si="1"/>
        <v>45535</v>
      </c>
      <c r="B10" s="356"/>
      <c r="C10" s="356"/>
      <c r="D10" s="356"/>
      <c r="E10" s="356"/>
      <c r="F10" s="356"/>
      <c r="G10" s="356"/>
      <c r="H10" s="356"/>
      <c r="I10" s="356"/>
      <c r="J10" s="356"/>
      <c r="K10" s="356"/>
      <c r="L10" s="356"/>
      <c r="M10" s="356"/>
      <c r="N10" s="356"/>
      <c r="O10" s="356"/>
      <c r="P10" s="356"/>
      <c r="Q10" s="356"/>
      <c r="R10" s="356"/>
      <c r="S10" s="356"/>
      <c r="T10" s="356"/>
      <c r="U10" s="356"/>
      <c r="V10" s="356"/>
      <c r="W10" s="356"/>
      <c r="X10" s="356"/>
      <c r="Y10" s="356"/>
      <c r="Z10" s="356"/>
      <c r="AA10" s="919"/>
      <c r="AB10" s="919"/>
      <c r="AC10" s="919"/>
      <c r="AD10" s="313"/>
      <c r="AE10" s="313"/>
    </row>
    <row r="11" spans="1:31" s="314" customFormat="1" ht="15" customHeight="1" x14ac:dyDescent="0.25">
      <c r="A11" s="893">
        <f t="shared" si="1"/>
        <v>45565</v>
      </c>
      <c r="B11" s="356"/>
      <c r="C11" s="356"/>
      <c r="D11" s="356"/>
      <c r="E11" s="356"/>
      <c r="F11" s="356"/>
      <c r="G11" s="356"/>
      <c r="H11" s="356"/>
      <c r="I11" s="356"/>
      <c r="J11" s="356"/>
      <c r="K11" s="356"/>
      <c r="L11" s="356"/>
      <c r="M11" s="356"/>
      <c r="N11" s="356"/>
      <c r="O11" s="356"/>
      <c r="P11" s="356"/>
      <c r="Q11" s="356"/>
      <c r="R11" s="356"/>
      <c r="S11" s="356"/>
      <c r="T11" s="356"/>
      <c r="U11" s="356"/>
      <c r="V11" s="356"/>
      <c r="W11" s="356"/>
      <c r="X11" s="356"/>
      <c r="Y11" s="356"/>
      <c r="Z11" s="356"/>
      <c r="AA11" s="919"/>
      <c r="AB11" s="919"/>
      <c r="AC11" s="919"/>
    </row>
    <row r="12" spans="1:31" s="314" customFormat="1" ht="15" customHeight="1" x14ac:dyDescent="0.25">
      <c r="A12" s="893">
        <f t="shared" si="1"/>
        <v>45596</v>
      </c>
      <c r="B12" s="356"/>
      <c r="C12" s="356"/>
      <c r="D12" s="356"/>
      <c r="E12" s="356"/>
      <c r="F12" s="356"/>
      <c r="G12" s="356"/>
      <c r="H12" s="356"/>
      <c r="I12" s="356"/>
      <c r="J12" s="356"/>
      <c r="K12" s="356"/>
      <c r="L12" s="356"/>
      <c r="M12" s="356"/>
      <c r="N12" s="356"/>
      <c r="O12" s="356"/>
      <c r="P12" s="356"/>
      <c r="Q12" s="356"/>
      <c r="R12" s="356"/>
      <c r="S12" s="356"/>
      <c r="T12" s="356"/>
      <c r="U12" s="356"/>
      <c r="V12" s="356"/>
      <c r="W12" s="356"/>
      <c r="X12" s="356"/>
      <c r="Y12" s="356"/>
      <c r="Z12" s="356"/>
      <c r="AA12" s="919"/>
      <c r="AB12" s="919"/>
      <c r="AC12" s="919"/>
      <c r="AE12" s="315"/>
    </row>
    <row r="13" spans="1:31" x14ac:dyDescent="0.25">
      <c r="A13" s="893">
        <f t="shared" si="1"/>
        <v>45626</v>
      </c>
      <c r="B13" s="356"/>
      <c r="C13" s="356"/>
      <c r="D13" s="356"/>
      <c r="E13" s="356"/>
      <c r="F13" s="356"/>
      <c r="G13" s="356"/>
      <c r="H13" s="356"/>
      <c r="I13" s="356"/>
      <c r="J13" s="356"/>
      <c r="K13" s="356"/>
      <c r="L13" s="356"/>
      <c r="M13" s="356"/>
      <c r="N13" s="356"/>
      <c r="O13" s="356"/>
      <c r="P13" s="356"/>
      <c r="Q13" s="356"/>
      <c r="R13" s="356"/>
      <c r="S13" s="356"/>
      <c r="T13" s="356"/>
      <c r="U13" s="356"/>
      <c r="V13" s="356"/>
      <c r="W13" s="356"/>
      <c r="X13" s="356"/>
      <c r="Y13" s="356"/>
      <c r="Z13" s="356"/>
      <c r="AA13" s="919"/>
      <c r="AB13" s="920"/>
      <c r="AC13" s="920"/>
    </row>
    <row r="14" spans="1:31" x14ac:dyDescent="0.25">
      <c r="A14" s="893">
        <f t="shared" si="1"/>
        <v>45657</v>
      </c>
      <c r="B14" s="356"/>
      <c r="C14" s="356"/>
      <c r="D14" s="356"/>
      <c r="E14" s="356"/>
      <c r="F14" s="356"/>
      <c r="G14" s="356"/>
      <c r="H14" s="356"/>
      <c r="I14" s="356"/>
      <c r="J14" s="356"/>
      <c r="K14" s="356"/>
      <c r="L14" s="356"/>
      <c r="M14" s="356"/>
      <c r="N14" s="356"/>
      <c r="O14" s="356"/>
      <c r="P14" s="356"/>
      <c r="Q14" s="356"/>
      <c r="R14" s="356"/>
      <c r="S14" s="356"/>
      <c r="T14" s="356"/>
      <c r="U14" s="356"/>
      <c r="V14" s="356"/>
      <c r="W14" s="356"/>
      <c r="X14" s="356"/>
      <c r="Y14" s="356"/>
      <c r="Z14" s="356"/>
      <c r="AA14" s="920"/>
      <c r="AB14" s="920"/>
      <c r="AC14" s="920"/>
    </row>
    <row r="15" spans="1:31" x14ac:dyDescent="0.25">
      <c r="A15" s="893">
        <f t="shared" si="1"/>
        <v>45688</v>
      </c>
      <c r="B15" s="356"/>
      <c r="C15" s="356"/>
      <c r="D15" s="356"/>
      <c r="E15" s="356"/>
      <c r="F15" s="356"/>
      <c r="G15" s="356"/>
      <c r="H15" s="356"/>
      <c r="I15" s="356"/>
      <c r="J15" s="356"/>
      <c r="K15" s="356"/>
      <c r="L15" s="356"/>
      <c r="M15" s="356"/>
      <c r="N15" s="356"/>
      <c r="O15" s="356"/>
      <c r="P15" s="356"/>
      <c r="Q15" s="356"/>
      <c r="R15" s="356"/>
      <c r="S15" s="356"/>
      <c r="T15" s="356"/>
      <c r="U15" s="356"/>
      <c r="V15" s="356"/>
      <c r="W15" s="356"/>
      <c r="X15" s="356"/>
      <c r="Y15" s="356"/>
      <c r="Z15" s="356"/>
      <c r="AA15" s="920"/>
      <c r="AB15" s="920"/>
      <c r="AC15" s="920"/>
    </row>
    <row r="16" spans="1:31" x14ac:dyDescent="0.25">
      <c r="A16" s="893">
        <f t="shared" si="1"/>
        <v>45716</v>
      </c>
      <c r="B16" s="356"/>
      <c r="C16" s="356"/>
      <c r="D16" s="356"/>
      <c r="E16" s="356"/>
      <c r="F16" s="356"/>
      <c r="G16" s="356"/>
      <c r="H16" s="356"/>
      <c r="I16" s="356"/>
      <c r="J16" s="356"/>
      <c r="K16" s="356"/>
      <c r="L16" s="356"/>
      <c r="M16" s="356"/>
      <c r="N16" s="356"/>
      <c r="O16" s="356"/>
      <c r="P16" s="356"/>
      <c r="Q16" s="356"/>
      <c r="R16" s="356"/>
      <c r="S16" s="356"/>
      <c r="T16" s="356"/>
      <c r="U16" s="356"/>
      <c r="V16" s="356"/>
      <c r="W16" s="356"/>
      <c r="X16" s="356"/>
      <c r="Y16" s="356"/>
      <c r="Z16" s="356"/>
      <c r="AA16" s="920"/>
      <c r="AB16" s="920"/>
      <c r="AC16" s="920"/>
    </row>
    <row r="17" spans="1:29" x14ac:dyDescent="0.25">
      <c r="A17" s="893">
        <f t="shared" si="1"/>
        <v>45747</v>
      </c>
      <c r="B17" s="356"/>
      <c r="C17" s="356"/>
      <c r="D17" s="356"/>
      <c r="E17" s="356"/>
      <c r="F17" s="356"/>
      <c r="G17" s="356"/>
      <c r="H17" s="356"/>
      <c r="I17" s="356"/>
      <c r="J17" s="356"/>
      <c r="K17" s="356"/>
      <c r="L17" s="356"/>
      <c r="M17" s="356"/>
      <c r="N17" s="356"/>
      <c r="O17" s="356"/>
      <c r="P17" s="356"/>
      <c r="Q17" s="356"/>
      <c r="R17" s="356"/>
      <c r="S17" s="356"/>
      <c r="T17" s="356"/>
      <c r="U17" s="356"/>
      <c r="V17" s="356"/>
      <c r="W17" s="356"/>
      <c r="X17" s="356"/>
      <c r="Y17" s="356"/>
      <c r="Z17" s="356"/>
      <c r="AA17" s="920"/>
      <c r="AB17" s="920"/>
      <c r="AC17" s="920"/>
    </row>
    <row r="18" spans="1:29" x14ac:dyDescent="0.25">
      <c r="A18" s="1424" t="s">
        <v>1232</v>
      </c>
      <c r="B18" s="1424"/>
      <c r="C18" s="1424"/>
      <c r="D18" s="1424"/>
      <c r="E18" s="1424"/>
      <c r="F18" s="1424"/>
      <c r="G18" s="1424"/>
      <c r="H18" s="1424"/>
      <c r="I18" s="1424"/>
      <c r="J18" s="1424"/>
      <c r="K18" s="1424"/>
      <c r="L18" s="1424"/>
      <c r="M18" s="1424"/>
      <c r="N18" s="1424"/>
      <c r="O18" s="1424"/>
      <c r="P18" s="1424"/>
      <c r="Q18" s="1424"/>
      <c r="R18" s="1424"/>
      <c r="S18" s="1424"/>
      <c r="T18" s="1424"/>
      <c r="U18" s="1424"/>
      <c r="V18" s="1424"/>
      <c r="W18" s="1424"/>
      <c r="X18" s="1424"/>
      <c r="Y18" s="1424"/>
      <c r="Z18" s="1424"/>
    </row>
    <row r="19" spans="1:29" x14ac:dyDescent="0.25">
      <c r="A19" s="1422" t="s">
        <v>970</v>
      </c>
      <c r="B19" s="1422"/>
      <c r="C19" s="1422"/>
      <c r="D19" s="1422"/>
      <c r="E19" s="1422"/>
      <c r="F19" s="1422"/>
      <c r="G19" s="1422"/>
      <c r="H19" s="1422"/>
      <c r="I19" s="1422"/>
      <c r="J19" s="1422"/>
      <c r="K19" s="1422"/>
      <c r="L19" s="1422"/>
      <c r="M19" s="1422"/>
      <c r="N19" s="1422"/>
      <c r="O19" s="1422"/>
      <c r="P19" s="1422"/>
      <c r="Q19" s="1422"/>
      <c r="R19" s="1422"/>
      <c r="S19" s="1422"/>
      <c r="T19" s="1422"/>
      <c r="U19" s="1422"/>
      <c r="V19" s="1422"/>
      <c r="W19" s="1422"/>
      <c r="X19" s="1422"/>
      <c r="Y19" s="1422"/>
      <c r="Z19" s="1422"/>
    </row>
    <row r="20" spans="1:29" x14ac:dyDescent="0.25">
      <c r="A20" s="1425" t="s">
        <v>969</v>
      </c>
      <c r="B20" s="1425"/>
      <c r="C20" s="1425"/>
      <c r="D20" s="1425"/>
      <c r="E20" s="1425"/>
      <c r="F20" s="1425"/>
      <c r="G20" s="1425"/>
      <c r="H20" s="1425"/>
      <c r="I20" s="1425"/>
      <c r="J20" s="1425"/>
      <c r="K20" s="1425"/>
      <c r="L20" s="1425"/>
      <c r="M20" s="1425"/>
      <c r="N20" s="1425"/>
      <c r="O20" s="1425"/>
      <c r="P20" s="1425"/>
      <c r="Q20" s="1425"/>
      <c r="R20" s="1425"/>
      <c r="S20" s="1425"/>
      <c r="T20" s="1425"/>
      <c r="U20" s="1425"/>
      <c r="V20" s="1425"/>
      <c r="W20" s="1425"/>
      <c r="X20" s="1425"/>
      <c r="Y20" s="1425"/>
      <c r="Z20" s="1425"/>
    </row>
    <row r="21" spans="1:29" x14ac:dyDescent="0.25">
      <c r="A21" s="1126" t="s">
        <v>1401</v>
      </c>
    </row>
  </sheetData>
  <mergeCells count="19">
    <mergeCell ref="A1:Z1"/>
    <mergeCell ref="A2:A3"/>
    <mergeCell ref="B2:C2"/>
    <mergeCell ref="D2:E2"/>
    <mergeCell ref="F2:G2"/>
    <mergeCell ref="H2:I2"/>
    <mergeCell ref="J2:K2"/>
    <mergeCell ref="L2:M2"/>
    <mergeCell ref="N2:O2"/>
    <mergeCell ref="P2:Q2"/>
    <mergeCell ref="A18:Z18"/>
    <mergeCell ref="A19:Z19"/>
    <mergeCell ref="A20:Z20"/>
    <mergeCell ref="AB2:AC2"/>
    <mergeCell ref="R2:S2"/>
    <mergeCell ref="T2:U2"/>
    <mergeCell ref="V2:W2"/>
    <mergeCell ref="X2:Y2"/>
    <mergeCell ref="Z2:AA2"/>
  </mergeCells>
  <printOptions horizontalCentered="1"/>
  <pageMargins left="0.7" right="0.7" top="0.75" bottom="0.75" header="0.3" footer="0.3"/>
  <pageSetup paperSize="9" fitToHeight="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sqref="A1:J1"/>
    </sheetView>
  </sheetViews>
  <sheetFormatPr defaultRowHeight="15" x14ac:dyDescent="0.25"/>
  <cols>
    <col min="1" max="1" width="20.7109375" style="317" bestFit="1" customWidth="1"/>
    <col min="2" max="9" width="12.140625" style="317" customWidth="1"/>
    <col min="10" max="10" width="10.28515625" style="317" customWidth="1"/>
    <col min="11" max="16384" width="9.140625" style="317"/>
  </cols>
  <sheetData>
    <row r="1" spans="1:10" s="316" customFormat="1" ht="15" customHeight="1" x14ac:dyDescent="0.25">
      <c r="A1" s="1442" t="s">
        <v>987</v>
      </c>
      <c r="B1" s="1443"/>
      <c r="C1" s="1443"/>
      <c r="D1" s="1443"/>
      <c r="E1" s="1443"/>
      <c r="F1" s="1443"/>
      <c r="G1" s="1443"/>
      <c r="H1" s="1443"/>
      <c r="I1" s="1443"/>
      <c r="J1" s="1443"/>
    </row>
    <row r="2" spans="1:10" ht="15" customHeight="1" x14ac:dyDescent="0.25">
      <c r="A2" s="1440" t="s">
        <v>988</v>
      </c>
      <c r="B2" s="1444" t="s">
        <v>989</v>
      </c>
      <c r="C2" s="1445"/>
      <c r="D2" s="1445"/>
      <c r="E2" s="1445"/>
      <c r="F2" s="1445"/>
      <c r="G2" s="1445"/>
      <c r="H2" s="1445"/>
      <c r="I2" s="1445"/>
      <c r="J2" s="1446"/>
    </row>
    <row r="3" spans="1:10" x14ac:dyDescent="0.25">
      <c r="A3" s="1441"/>
      <c r="B3" s="921">
        <v>44621</v>
      </c>
      <c r="C3" s="921">
        <v>44713</v>
      </c>
      <c r="D3" s="921">
        <v>44805</v>
      </c>
      <c r="E3" s="922">
        <v>44896</v>
      </c>
      <c r="F3" s="922">
        <v>44986</v>
      </c>
      <c r="G3" s="922">
        <v>45078</v>
      </c>
      <c r="H3" s="922">
        <v>45170</v>
      </c>
      <c r="I3" s="922">
        <v>45261</v>
      </c>
      <c r="J3" s="922">
        <v>45352</v>
      </c>
    </row>
    <row r="4" spans="1:10" x14ac:dyDescent="0.25">
      <c r="A4" s="923" t="s">
        <v>990</v>
      </c>
      <c r="B4" s="924">
        <v>3261</v>
      </c>
      <c r="C4" s="925">
        <v>3110</v>
      </c>
      <c r="D4" s="925">
        <v>3176</v>
      </c>
      <c r="E4" s="925">
        <v>3176</v>
      </c>
      <c r="F4" s="926">
        <v>3448</v>
      </c>
      <c r="G4" s="927">
        <v>2300</v>
      </c>
      <c r="H4" s="924">
        <v>2072</v>
      </c>
      <c r="I4" s="928">
        <v>2138</v>
      </c>
      <c r="J4" s="929">
        <v>2040</v>
      </c>
    </row>
    <row r="5" spans="1:10" x14ac:dyDescent="0.25">
      <c r="A5" s="923" t="s">
        <v>991</v>
      </c>
      <c r="B5" s="924">
        <v>166</v>
      </c>
      <c r="C5" s="925">
        <v>133</v>
      </c>
      <c r="D5" s="925">
        <v>166</v>
      </c>
      <c r="E5" s="925">
        <v>57</v>
      </c>
      <c r="F5" s="926">
        <v>166</v>
      </c>
      <c r="G5" s="927">
        <v>271</v>
      </c>
      <c r="H5" s="924">
        <v>136</v>
      </c>
      <c r="I5" s="928">
        <v>461</v>
      </c>
      <c r="J5" s="929">
        <v>494</v>
      </c>
    </row>
    <row r="6" spans="1:10" x14ac:dyDescent="0.25">
      <c r="A6" s="923" t="s">
        <v>992</v>
      </c>
      <c r="B6" s="924">
        <v>824</v>
      </c>
      <c r="C6" s="925">
        <v>687</v>
      </c>
      <c r="D6" s="925">
        <v>687</v>
      </c>
      <c r="E6" s="925">
        <v>656</v>
      </c>
      <c r="F6" s="926">
        <v>656</v>
      </c>
      <c r="G6" s="927">
        <v>656</v>
      </c>
      <c r="H6" s="924">
        <v>564</v>
      </c>
      <c r="I6" s="928">
        <v>658</v>
      </c>
      <c r="J6" s="929">
        <v>658</v>
      </c>
    </row>
    <row r="7" spans="1:10" x14ac:dyDescent="0.25">
      <c r="A7" s="923" t="s">
        <v>993</v>
      </c>
      <c r="B7" s="924">
        <v>0</v>
      </c>
      <c r="C7" s="925">
        <v>0</v>
      </c>
      <c r="D7" s="925">
        <v>0</v>
      </c>
      <c r="E7" s="925">
        <v>0</v>
      </c>
      <c r="F7" s="926">
        <v>0</v>
      </c>
      <c r="G7" s="927">
        <v>0</v>
      </c>
      <c r="H7" s="924">
        <v>45</v>
      </c>
      <c r="I7" s="928">
        <v>0</v>
      </c>
      <c r="J7" s="929">
        <v>0</v>
      </c>
    </row>
    <row r="8" spans="1:10" x14ac:dyDescent="0.25">
      <c r="A8" s="923" t="s">
        <v>994</v>
      </c>
      <c r="B8" s="924">
        <v>594</v>
      </c>
      <c r="C8" s="925">
        <v>547</v>
      </c>
      <c r="D8" s="925">
        <v>581</v>
      </c>
      <c r="E8" s="925">
        <v>213</v>
      </c>
      <c r="F8" s="926">
        <v>219</v>
      </c>
      <c r="G8" s="927">
        <v>219</v>
      </c>
      <c r="H8" s="924">
        <v>187</v>
      </c>
      <c r="I8" s="928">
        <v>180</v>
      </c>
      <c r="J8" s="929">
        <v>219</v>
      </c>
    </row>
    <row r="9" spans="1:10" x14ac:dyDescent="0.25">
      <c r="A9" s="923" t="s">
        <v>995</v>
      </c>
      <c r="B9" s="924">
        <v>1505</v>
      </c>
      <c r="C9" s="925">
        <v>213</v>
      </c>
      <c r="D9" s="925">
        <v>206</v>
      </c>
      <c r="E9" s="925">
        <v>197</v>
      </c>
      <c r="F9" s="926">
        <v>1416</v>
      </c>
      <c r="G9" s="927">
        <v>2066</v>
      </c>
      <c r="H9" s="924">
        <v>2106</v>
      </c>
      <c r="I9" s="928">
        <v>1899</v>
      </c>
      <c r="J9" s="929">
        <v>1649</v>
      </c>
    </row>
    <row r="10" spans="1:10" x14ac:dyDescent="0.25">
      <c r="A10" s="923" t="s">
        <v>996</v>
      </c>
      <c r="B10" s="924">
        <v>42</v>
      </c>
      <c r="C10" s="925">
        <v>12</v>
      </c>
      <c r="D10" s="925">
        <v>42</v>
      </c>
      <c r="E10" s="925">
        <v>12</v>
      </c>
      <c r="F10" s="926">
        <v>12</v>
      </c>
      <c r="G10" s="927">
        <v>632</v>
      </c>
      <c r="H10" s="924">
        <v>316</v>
      </c>
      <c r="I10" s="928">
        <v>188</v>
      </c>
      <c r="J10" s="929">
        <v>188</v>
      </c>
    </row>
    <row r="11" spans="1:10" x14ac:dyDescent="0.25">
      <c r="A11" s="923" t="s">
        <v>306</v>
      </c>
      <c r="B11" s="930">
        <v>39570</v>
      </c>
      <c r="C11" s="925">
        <v>35000</v>
      </c>
      <c r="D11" s="925">
        <v>39239</v>
      </c>
      <c r="E11" s="925">
        <v>37132</v>
      </c>
      <c r="F11" s="926">
        <v>42369</v>
      </c>
      <c r="G11" s="927">
        <v>37055</v>
      </c>
      <c r="H11" s="930">
        <v>42119</v>
      </c>
      <c r="I11" s="928">
        <v>41728</v>
      </c>
      <c r="J11" s="929">
        <v>48673</v>
      </c>
    </row>
    <row r="12" spans="1:10" x14ac:dyDescent="0.25">
      <c r="A12" s="931" t="s">
        <v>96</v>
      </c>
      <c r="B12" s="932">
        <f>SUM(B4:B11)</f>
        <v>45962</v>
      </c>
      <c r="C12" s="932">
        <f t="shared" ref="C12:J12" si="0">SUM(C4:C11)</f>
        <v>39702</v>
      </c>
      <c r="D12" s="932">
        <f t="shared" si="0"/>
        <v>44097</v>
      </c>
      <c r="E12" s="932">
        <f t="shared" si="0"/>
        <v>41443</v>
      </c>
      <c r="F12" s="932">
        <f t="shared" si="0"/>
        <v>48286</v>
      </c>
      <c r="G12" s="932">
        <f t="shared" si="0"/>
        <v>43199</v>
      </c>
      <c r="H12" s="932">
        <f t="shared" si="0"/>
        <v>47545</v>
      </c>
      <c r="I12" s="932">
        <f t="shared" si="0"/>
        <v>47252</v>
      </c>
      <c r="J12" s="932">
        <f t="shared" si="0"/>
        <v>53921</v>
      </c>
    </row>
    <row r="13" spans="1:10" x14ac:dyDescent="0.25">
      <c r="A13" s="933" t="s">
        <v>997</v>
      </c>
      <c r="B13" s="934"/>
      <c r="C13" s="934"/>
      <c r="D13" s="318"/>
      <c r="E13" s="318"/>
      <c r="F13" s="318"/>
      <c r="G13" s="318"/>
      <c r="H13" s="318"/>
      <c r="I13" s="318"/>
      <c r="J13" s="318"/>
    </row>
  </sheetData>
  <mergeCells count="3">
    <mergeCell ref="A2:A3"/>
    <mergeCell ref="A1:J1"/>
    <mergeCell ref="B2:J2"/>
  </mergeCells>
  <printOptions horizontalCentered="1"/>
  <pageMargins left="0.7" right="0.7" top="0.75" bottom="0.75" header="0.3" footer="0.3"/>
  <pageSetup paperSize="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workbookViewId="0">
      <selection activeCell="A12" sqref="A12"/>
    </sheetView>
  </sheetViews>
  <sheetFormatPr defaultColWidth="9.140625" defaultRowHeight="15" x14ac:dyDescent="0.25"/>
  <cols>
    <col min="1" max="1" width="14.5703125" bestFit="1" customWidth="1"/>
    <col min="2" max="3" width="17.7109375" bestFit="1" customWidth="1"/>
    <col min="4" max="4" width="19.28515625" bestFit="1" customWidth="1"/>
    <col min="5" max="6" width="17.7109375" bestFit="1" customWidth="1"/>
    <col min="7" max="7" width="18.5703125" bestFit="1" customWidth="1"/>
    <col min="8" max="8" width="15.28515625" bestFit="1" customWidth="1"/>
    <col min="9" max="9" width="13.85546875" bestFit="1" customWidth="1"/>
    <col min="10" max="10" width="15.42578125" bestFit="1" customWidth="1"/>
    <col min="11" max="11" width="19.5703125" bestFit="1" customWidth="1"/>
    <col min="12" max="13" width="13.7109375" style="315" bestFit="1" customWidth="1"/>
    <col min="14" max="16384" width="9.140625" style="315"/>
  </cols>
  <sheetData>
    <row r="1" spans="1:13" ht="15" customHeight="1" x14ac:dyDescent="0.25">
      <c r="A1" s="1450" t="s">
        <v>986</v>
      </c>
      <c r="B1" s="1450"/>
      <c r="C1" s="1450"/>
      <c r="D1" s="1450"/>
      <c r="E1" s="1450"/>
      <c r="F1" s="1450"/>
      <c r="G1" s="1450"/>
      <c r="H1" s="1450"/>
      <c r="I1" s="1450"/>
      <c r="J1" s="1450"/>
      <c r="K1" s="1450"/>
    </row>
    <row r="2" spans="1:13" s="314" customFormat="1" ht="15" customHeight="1" x14ac:dyDescent="0.25">
      <c r="A2" s="1451" t="s">
        <v>116</v>
      </c>
      <c r="B2" s="1451" t="s">
        <v>985</v>
      </c>
      <c r="C2" s="1451"/>
      <c r="D2" s="1451"/>
      <c r="E2" s="1452" t="s">
        <v>984</v>
      </c>
      <c r="F2" s="1452"/>
      <c r="G2" s="1452"/>
      <c r="H2" s="1451" t="s">
        <v>983</v>
      </c>
      <c r="I2" s="1451"/>
      <c r="J2" s="1451"/>
      <c r="K2" s="1453" t="s">
        <v>982</v>
      </c>
    </row>
    <row r="3" spans="1:13" s="314" customFormat="1" x14ac:dyDescent="0.25">
      <c r="A3" s="1452"/>
      <c r="B3" s="935" t="s">
        <v>981</v>
      </c>
      <c r="C3" s="935" t="s">
        <v>980</v>
      </c>
      <c r="D3" s="935" t="s">
        <v>96</v>
      </c>
      <c r="E3" s="935" t="s">
        <v>981</v>
      </c>
      <c r="F3" s="935" t="s">
        <v>980</v>
      </c>
      <c r="G3" s="935" t="s">
        <v>96</v>
      </c>
      <c r="H3" s="935" t="s">
        <v>981</v>
      </c>
      <c r="I3" s="935" t="s">
        <v>980</v>
      </c>
      <c r="J3" s="935" t="s">
        <v>96</v>
      </c>
      <c r="K3" s="1453"/>
    </row>
    <row r="4" spans="1:13" s="319" customFormat="1" x14ac:dyDescent="0.25">
      <c r="A4" s="891" t="s">
        <v>532</v>
      </c>
      <c r="B4" s="998">
        <v>8841564.8542797305</v>
      </c>
      <c r="C4" s="998">
        <v>2606649.9309260407</v>
      </c>
      <c r="D4" s="998">
        <v>11448214.78520577</v>
      </c>
      <c r="E4" s="998">
        <v>8532666.8482885826</v>
      </c>
      <c r="F4" s="998">
        <v>2560846.6137513546</v>
      </c>
      <c r="G4" s="998">
        <v>11093513.462039936</v>
      </c>
      <c r="H4" s="998">
        <v>308898.00599114149</v>
      </c>
      <c r="I4" s="998">
        <v>45803.317174686148</v>
      </c>
      <c r="J4" s="998">
        <v>354701.32316582766</v>
      </c>
      <c r="K4" s="998">
        <v>5340194.6749522863</v>
      </c>
    </row>
    <row r="5" spans="1:13" s="319" customFormat="1" x14ac:dyDescent="0.25">
      <c r="A5" s="891" t="s">
        <v>1237</v>
      </c>
      <c r="B5" s="936">
        <f>SUM(B6:B17)</f>
        <v>1674269.2501675526</v>
      </c>
      <c r="C5" s="936">
        <f t="shared" ref="C5:J5" si="0">SUM(C6:C17)</f>
        <v>428755.71551465389</v>
      </c>
      <c r="D5" s="936">
        <f>SUM(D6:D17)</f>
        <v>2103024.9656822067</v>
      </c>
      <c r="E5" s="936">
        <f t="shared" si="0"/>
        <v>1372847.910689082</v>
      </c>
      <c r="F5" s="936">
        <f t="shared" si="0"/>
        <v>380427.24989338935</v>
      </c>
      <c r="G5" s="936">
        <f t="shared" si="0"/>
        <v>1753275.1605824714</v>
      </c>
      <c r="H5" s="936">
        <f t="shared" si="0"/>
        <v>301421.33947847039</v>
      </c>
      <c r="I5" s="936">
        <f t="shared" si="0"/>
        <v>48328.465621264462</v>
      </c>
      <c r="J5" s="936">
        <f t="shared" si="0"/>
        <v>349749.80509973486</v>
      </c>
      <c r="K5" s="937">
        <f>INDEX(K6:K17,COUNT(K6:K17))</f>
        <v>5891160.5167409051</v>
      </c>
    </row>
    <row r="6" spans="1:13" s="314" customFormat="1" x14ac:dyDescent="0.25">
      <c r="A6" s="893">
        <v>45383</v>
      </c>
      <c r="B6" s="999">
        <v>881430.02513550152</v>
      </c>
      <c r="C6" s="999">
        <v>233054.31953251455</v>
      </c>
      <c r="D6" s="999">
        <f>B6+C6</f>
        <v>1114484.3446680161</v>
      </c>
      <c r="E6" s="999">
        <v>681885.24491182459</v>
      </c>
      <c r="F6" s="999">
        <v>193366.30208995071</v>
      </c>
      <c r="G6" s="999">
        <f>E6+F6</f>
        <v>875251.54700177535</v>
      </c>
      <c r="H6" s="999">
        <v>199544.78022367728</v>
      </c>
      <c r="I6" s="999">
        <v>39688.017442563738</v>
      </c>
      <c r="J6" s="999">
        <f>H6+I6</f>
        <v>239232.79766624101</v>
      </c>
      <c r="K6" s="1000">
        <v>5725898.0232708147</v>
      </c>
    </row>
    <row r="7" spans="1:13" s="314" customFormat="1" x14ac:dyDescent="0.25">
      <c r="A7" s="893">
        <f>EOMONTH(A6,1)</f>
        <v>45443</v>
      </c>
      <c r="B7" s="999">
        <v>792839.22503205109</v>
      </c>
      <c r="C7" s="999">
        <v>195701.39598213934</v>
      </c>
      <c r="D7" s="999">
        <v>988540.6210141906</v>
      </c>
      <c r="E7" s="999">
        <v>690962.66577725741</v>
      </c>
      <c r="F7" s="999">
        <v>187060.94780343864</v>
      </c>
      <c r="G7" s="999">
        <v>878023.61358069605</v>
      </c>
      <c r="H7" s="999">
        <v>101876.5592547931</v>
      </c>
      <c r="I7" s="999">
        <v>8640.4481787007244</v>
      </c>
      <c r="J7" s="999">
        <v>110517.00743349385</v>
      </c>
      <c r="K7" s="999">
        <v>5891160.5167409051</v>
      </c>
    </row>
    <row r="8" spans="1:13" s="314" customFormat="1" x14ac:dyDescent="0.25">
      <c r="A8" s="893">
        <f t="shared" ref="A8:A17" si="1">EOMONTH(A7,1)</f>
        <v>45473</v>
      </c>
      <c r="B8" s="356"/>
      <c r="C8" s="356"/>
      <c r="D8" s="356"/>
      <c r="E8" s="356"/>
      <c r="F8" s="356"/>
      <c r="G8" s="356"/>
      <c r="H8" s="356"/>
      <c r="I8" s="356"/>
      <c r="J8" s="356"/>
      <c r="K8" s="356"/>
    </row>
    <row r="9" spans="1:13" s="314" customFormat="1" x14ac:dyDescent="0.25">
      <c r="A9" s="893">
        <f t="shared" si="1"/>
        <v>45504</v>
      </c>
      <c r="B9" s="356"/>
      <c r="C9" s="356"/>
      <c r="D9" s="356"/>
      <c r="E9" s="356"/>
      <c r="F9" s="356"/>
      <c r="G9" s="356"/>
      <c r="H9" s="356"/>
      <c r="I9" s="356"/>
      <c r="J9" s="356"/>
      <c r="K9" s="356"/>
      <c r="L9" s="320"/>
      <c r="M9" s="321"/>
    </row>
    <row r="10" spans="1:13" x14ac:dyDescent="0.25">
      <c r="A10" s="893">
        <f t="shared" si="1"/>
        <v>45535</v>
      </c>
      <c r="B10" s="356"/>
      <c r="C10" s="356"/>
      <c r="D10" s="356"/>
      <c r="E10" s="356"/>
      <c r="F10" s="356"/>
      <c r="G10" s="356"/>
      <c r="H10" s="356"/>
      <c r="I10" s="356"/>
      <c r="J10" s="356"/>
      <c r="K10" s="356"/>
    </row>
    <row r="11" spans="1:13" x14ac:dyDescent="0.25">
      <c r="A11" s="893">
        <f t="shared" si="1"/>
        <v>45565</v>
      </c>
      <c r="B11" s="356"/>
      <c r="C11" s="356"/>
      <c r="D11" s="356"/>
      <c r="E11" s="356"/>
      <c r="F11" s="356"/>
      <c r="G11" s="356"/>
      <c r="H11" s="356"/>
      <c r="I11" s="356"/>
      <c r="J11" s="356"/>
      <c r="K11" s="356"/>
    </row>
    <row r="12" spans="1:13" x14ac:dyDescent="0.25">
      <c r="A12" s="893">
        <f t="shared" si="1"/>
        <v>45596</v>
      </c>
      <c r="B12" s="356"/>
      <c r="C12" s="356"/>
      <c r="D12" s="356"/>
      <c r="E12" s="356"/>
      <c r="F12" s="356"/>
      <c r="G12" s="356"/>
      <c r="H12" s="356"/>
      <c r="I12" s="356"/>
      <c r="J12" s="356"/>
      <c r="K12" s="356"/>
    </row>
    <row r="13" spans="1:13" x14ac:dyDescent="0.25">
      <c r="A13" s="893">
        <f t="shared" si="1"/>
        <v>45626</v>
      </c>
      <c r="B13" s="356"/>
      <c r="C13" s="356"/>
      <c r="D13" s="356"/>
      <c r="E13" s="356"/>
      <c r="F13" s="356"/>
      <c r="G13" s="356"/>
      <c r="H13" s="356"/>
      <c r="I13" s="356"/>
      <c r="J13" s="356"/>
      <c r="K13" s="356"/>
    </row>
    <row r="14" spans="1:13" x14ac:dyDescent="0.25">
      <c r="A14" s="893">
        <f t="shared" si="1"/>
        <v>45657</v>
      </c>
      <c r="B14" s="356"/>
      <c r="C14" s="356"/>
      <c r="D14" s="356"/>
      <c r="E14" s="356"/>
      <c r="F14" s="356"/>
      <c r="G14" s="356"/>
      <c r="H14" s="356"/>
      <c r="I14" s="356"/>
      <c r="J14" s="356"/>
      <c r="K14" s="356"/>
    </row>
    <row r="15" spans="1:13" x14ac:dyDescent="0.25">
      <c r="A15" s="893">
        <f t="shared" si="1"/>
        <v>45688</v>
      </c>
      <c r="B15" s="356"/>
      <c r="C15" s="356"/>
      <c r="D15" s="356"/>
      <c r="E15" s="356"/>
      <c r="F15" s="356"/>
      <c r="G15" s="356"/>
      <c r="H15" s="356"/>
      <c r="I15" s="356"/>
      <c r="J15" s="356"/>
      <c r="K15" s="356"/>
    </row>
    <row r="16" spans="1:13" x14ac:dyDescent="0.25">
      <c r="A16" s="893">
        <f t="shared" si="1"/>
        <v>45716</v>
      </c>
      <c r="B16" s="356"/>
      <c r="C16" s="356"/>
      <c r="D16" s="356"/>
      <c r="E16" s="356"/>
      <c r="F16" s="356"/>
      <c r="G16" s="356"/>
      <c r="H16" s="356"/>
      <c r="I16" s="356"/>
      <c r="J16" s="356"/>
      <c r="K16" s="356"/>
    </row>
    <row r="17" spans="1:11" x14ac:dyDescent="0.25">
      <c r="A17" s="893">
        <f t="shared" si="1"/>
        <v>45747</v>
      </c>
      <c r="B17" s="356"/>
      <c r="C17" s="356"/>
      <c r="D17" s="356"/>
      <c r="E17" s="356"/>
      <c r="F17" s="356"/>
      <c r="G17" s="356"/>
      <c r="H17" s="356"/>
      <c r="I17" s="356"/>
      <c r="J17" s="356"/>
      <c r="K17" s="356"/>
    </row>
    <row r="18" spans="1:11" x14ac:dyDescent="0.25">
      <c r="A18" s="1447" t="s">
        <v>1384</v>
      </c>
      <c r="B18" s="1447"/>
      <c r="C18" s="1447"/>
      <c r="D18" s="1447"/>
      <c r="E18" s="1447"/>
      <c r="F18" s="1447"/>
      <c r="G18" s="1447"/>
      <c r="H18" s="1447"/>
      <c r="I18" s="1447"/>
      <c r="J18" s="1447"/>
      <c r="K18" s="1447"/>
    </row>
    <row r="19" spans="1:11" x14ac:dyDescent="0.25">
      <c r="A19" s="1448" t="s">
        <v>1239</v>
      </c>
      <c r="B19" s="1448"/>
      <c r="C19" s="1448"/>
      <c r="D19" s="1448"/>
      <c r="E19" s="1448"/>
      <c r="F19" s="1448"/>
      <c r="G19" s="1448"/>
      <c r="H19" s="1448"/>
      <c r="I19" s="1448"/>
      <c r="J19" s="1448"/>
      <c r="K19" s="1448"/>
    </row>
    <row r="20" spans="1:11" x14ac:dyDescent="0.25">
      <c r="A20" s="1449" t="s">
        <v>130</v>
      </c>
      <c r="B20" s="1449"/>
      <c r="C20" s="1449"/>
      <c r="D20" s="1449"/>
      <c r="E20" s="1449"/>
      <c r="F20" s="1449"/>
      <c r="G20" s="1449"/>
      <c r="H20" s="1449"/>
      <c r="I20" s="1449"/>
      <c r="J20" s="1449"/>
      <c r="K20" s="1449"/>
    </row>
  </sheetData>
  <mergeCells count="9">
    <mergeCell ref="A18:K18"/>
    <mergeCell ref="A19:K19"/>
    <mergeCell ref="A20:K20"/>
    <mergeCell ref="A1:K1"/>
    <mergeCell ref="A2:A3"/>
    <mergeCell ref="B2:D2"/>
    <mergeCell ref="E2:G2"/>
    <mergeCell ref="H2:J2"/>
    <mergeCell ref="K2:K3"/>
  </mergeCells>
  <pageMargins left="0.7" right="0.7" top="0.75" bottom="0.75" header="0.3" footer="0.3"/>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0"/>
  <sheetViews>
    <sheetView workbookViewId="0">
      <pane xSplit="2" ySplit="3" topLeftCell="H86" activePane="bottomRight" state="frozen"/>
      <selection pane="topRight" activeCell="C1" sqref="C1"/>
      <selection pane="bottomLeft" activeCell="A4" sqref="A4"/>
      <selection pane="bottomRight" activeCell="B87" sqref="B87"/>
    </sheetView>
  </sheetViews>
  <sheetFormatPr defaultColWidth="8.85546875" defaultRowHeight="15" x14ac:dyDescent="0.25"/>
  <cols>
    <col min="1" max="1" width="8.140625" style="507" bestFit="1" customWidth="1"/>
    <col min="2" max="2" width="43.28515625" style="507" customWidth="1"/>
    <col min="3" max="3" width="12.42578125" style="507" bestFit="1" customWidth="1"/>
    <col min="4" max="4" width="19.5703125" style="507" bestFit="1" customWidth="1"/>
    <col min="5" max="6" width="18.42578125" style="507" bestFit="1" customWidth="1"/>
    <col min="7" max="7" width="16.140625" style="507" bestFit="1" customWidth="1"/>
    <col min="8" max="8" width="16.5703125" style="507" bestFit="1" customWidth="1"/>
    <col min="9" max="9" width="16.42578125" style="943" bestFit="1" customWidth="1"/>
    <col min="10" max="10" width="19.5703125" style="943" bestFit="1" customWidth="1"/>
    <col min="11" max="11" width="15.7109375" style="943" bestFit="1" customWidth="1"/>
    <col min="12" max="12" width="15.85546875" style="943" bestFit="1" customWidth="1"/>
    <col min="13" max="13" width="17.28515625" style="943" bestFit="1" customWidth="1"/>
    <col min="14" max="14" width="17" style="943" bestFit="1" customWidth="1"/>
    <col min="15" max="16384" width="8.85546875" style="507"/>
  </cols>
  <sheetData>
    <row r="1" spans="1:14" s="505" customFormat="1" ht="15" customHeight="1" x14ac:dyDescent="0.25">
      <c r="A1" s="1461" t="s">
        <v>54</v>
      </c>
      <c r="B1" s="1461"/>
      <c r="C1" s="1461"/>
      <c r="D1" s="1461"/>
      <c r="I1" s="938"/>
      <c r="J1" s="938"/>
      <c r="K1" s="938"/>
      <c r="L1" s="938"/>
      <c r="M1" s="938"/>
      <c r="N1" s="938"/>
    </row>
    <row r="2" spans="1:14" s="505" customFormat="1" x14ac:dyDescent="0.25">
      <c r="A2" s="1459" t="s">
        <v>998</v>
      </c>
      <c r="B2" s="1459" t="s">
        <v>999</v>
      </c>
      <c r="C2" s="1454" t="s">
        <v>72</v>
      </c>
      <c r="D2" s="1455"/>
      <c r="E2" s="1455"/>
      <c r="F2" s="1455"/>
      <c r="G2" s="1455"/>
      <c r="H2" s="1455"/>
      <c r="I2" s="1454" t="s">
        <v>1237</v>
      </c>
      <c r="J2" s="1455"/>
      <c r="K2" s="1455"/>
      <c r="L2" s="1455"/>
      <c r="M2" s="1455"/>
      <c r="N2" s="1455"/>
    </row>
    <row r="3" spans="1:14" s="506" customFormat="1" ht="105" x14ac:dyDescent="0.25">
      <c r="A3" s="1460"/>
      <c r="B3" s="1459"/>
      <c r="C3" s="1085" t="s">
        <v>1222</v>
      </c>
      <c r="D3" s="1085" t="s">
        <v>1223</v>
      </c>
      <c r="E3" s="1085" t="s">
        <v>1224</v>
      </c>
      <c r="F3" s="1085" t="s">
        <v>1225</v>
      </c>
      <c r="G3" s="1085" t="s">
        <v>1226</v>
      </c>
      <c r="H3" s="1085" t="s">
        <v>1227</v>
      </c>
      <c r="I3" s="1085" t="s">
        <v>1385</v>
      </c>
      <c r="J3" s="1085" t="s">
        <v>1386</v>
      </c>
      <c r="K3" s="1085" t="s">
        <v>1387</v>
      </c>
      <c r="L3" s="1085" t="s">
        <v>1388</v>
      </c>
      <c r="M3" s="1085" t="s">
        <v>1389</v>
      </c>
      <c r="N3" s="1085" t="s">
        <v>1390</v>
      </c>
    </row>
    <row r="4" spans="1:14" s="505" customFormat="1" x14ac:dyDescent="0.25">
      <c r="A4" s="1086" t="s">
        <v>1000</v>
      </c>
      <c r="B4" s="1087" t="s">
        <v>1001</v>
      </c>
      <c r="C4" s="1088"/>
      <c r="D4" s="1088"/>
      <c r="E4" s="1089"/>
      <c r="F4" s="1088"/>
      <c r="G4" s="1088"/>
      <c r="H4" s="1088"/>
      <c r="I4" s="1088"/>
      <c r="J4" s="1088"/>
      <c r="K4" s="1089"/>
      <c r="L4" s="1088"/>
      <c r="M4" s="1088"/>
      <c r="N4" s="1088"/>
    </row>
    <row r="5" spans="1:14" x14ac:dyDescent="0.25">
      <c r="A5" s="1087" t="s">
        <v>1002</v>
      </c>
      <c r="B5" s="1087" t="s">
        <v>1003</v>
      </c>
      <c r="C5" s="1088"/>
      <c r="D5" s="1088"/>
      <c r="E5" s="1089"/>
      <c r="F5" s="1089"/>
      <c r="G5" s="1089"/>
      <c r="H5" s="1089"/>
      <c r="I5" s="1088"/>
      <c r="J5" s="1088"/>
      <c r="K5" s="1089"/>
      <c r="L5" s="1089"/>
      <c r="M5" s="1089"/>
      <c r="N5" s="1089"/>
    </row>
    <row r="6" spans="1:14" x14ac:dyDescent="0.25">
      <c r="A6" s="1090">
        <v>1</v>
      </c>
      <c r="B6" s="1091" t="s">
        <v>1004</v>
      </c>
      <c r="C6" s="1092">
        <v>35</v>
      </c>
      <c r="D6" s="1092">
        <v>900146</v>
      </c>
      <c r="E6" s="1092">
        <v>5432667.6562153585</v>
      </c>
      <c r="F6" s="1092">
        <v>5473872.3246991634</v>
      </c>
      <c r="G6" s="1092">
        <v>-41204.668483804162</v>
      </c>
      <c r="H6" s="1092">
        <v>61313.502554369355</v>
      </c>
      <c r="I6" s="1092">
        <v>35</v>
      </c>
      <c r="J6" s="1092">
        <v>886752</v>
      </c>
      <c r="K6" s="1092">
        <v>867535.85990243137</v>
      </c>
      <c r="L6" s="1092">
        <v>839695.804821242</v>
      </c>
      <c r="M6" s="1092">
        <v>27840.055081189479</v>
      </c>
      <c r="N6" s="1092">
        <v>90160.036416321498</v>
      </c>
    </row>
    <row r="7" spans="1:14" x14ac:dyDescent="0.25">
      <c r="A7" s="1090">
        <v>2</v>
      </c>
      <c r="B7" s="1091" t="s">
        <v>1005</v>
      </c>
      <c r="C7" s="1092">
        <v>36</v>
      </c>
      <c r="D7" s="1092">
        <v>1782854</v>
      </c>
      <c r="E7" s="1092">
        <v>4015825.8883260335</v>
      </c>
      <c r="F7" s="1092">
        <v>4017196.193218369</v>
      </c>
      <c r="G7" s="1092">
        <v>-1370.3048923358174</v>
      </c>
      <c r="H7" s="1092">
        <v>363509.6808285719</v>
      </c>
      <c r="I7" s="1092">
        <v>36</v>
      </c>
      <c r="J7" s="1092">
        <v>1792865</v>
      </c>
      <c r="K7" s="1092">
        <v>755504.03527979355</v>
      </c>
      <c r="L7" s="1092">
        <v>626879.17022285389</v>
      </c>
      <c r="M7" s="1092">
        <v>128624.86505693954</v>
      </c>
      <c r="N7" s="1092">
        <v>497847.25061504229</v>
      </c>
    </row>
    <row r="8" spans="1:14" x14ac:dyDescent="0.25">
      <c r="A8" s="1090">
        <v>3</v>
      </c>
      <c r="B8" s="1091" t="s">
        <v>1006</v>
      </c>
      <c r="C8" s="1092">
        <v>24</v>
      </c>
      <c r="D8" s="1092">
        <v>633208</v>
      </c>
      <c r="E8" s="1092">
        <v>201499.15662982885</v>
      </c>
      <c r="F8" s="1092">
        <v>203661.30074413487</v>
      </c>
      <c r="G8" s="1092">
        <v>-2162.1441143060456</v>
      </c>
      <c r="H8" s="1092">
        <v>83560.918474403981</v>
      </c>
      <c r="I8" s="1092">
        <v>24</v>
      </c>
      <c r="J8" s="1092">
        <v>636325</v>
      </c>
      <c r="K8" s="1092">
        <v>43962.280016565011</v>
      </c>
      <c r="L8" s="1092">
        <v>31210.070273414</v>
      </c>
      <c r="M8" s="1092">
        <v>12752.209743151017</v>
      </c>
      <c r="N8" s="1092">
        <v>97437.510456908451</v>
      </c>
    </row>
    <row r="9" spans="1:14" x14ac:dyDescent="0.25">
      <c r="A9" s="1090">
        <v>4</v>
      </c>
      <c r="B9" s="1091" t="s">
        <v>1007</v>
      </c>
      <c r="C9" s="1092">
        <v>20</v>
      </c>
      <c r="D9" s="1092">
        <v>877506</v>
      </c>
      <c r="E9" s="1092">
        <v>134615.62707834944</v>
      </c>
      <c r="F9" s="1092">
        <v>138172.82402169972</v>
      </c>
      <c r="G9" s="1092">
        <v>-3557.1969433502641</v>
      </c>
      <c r="H9" s="1092">
        <v>90211.958759133908</v>
      </c>
      <c r="I9" s="1092">
        <v>20</v>
      </c>
      <c r="J9" s="1092">
        <v>863247</v>
      </c>
      <c r="K9" s="1092">
        <v>27587.998245384395</v>
      </c>
      <c r="L9" s="1092">
        <v>19369.247426292193</v>
      </c>
      <c r="M9" s="1092">
        <v>8218.7508190921999</v>
      </c>
      <c r="N9" s="1092">
        <v>99595.467155097533</v>
      </c>
    </row>
    <row r="10" spans="1:14" x14ac:dyDescent="0.25">
      <c r="A10" s="1090">
        <v>5</v>
      </c>
      <c r="B10" s="1091" t="s">
        <v>1008</v>
      </c>
      <c r="C10" s="1092">
        <v>23</v>
      </c>
      <c r="D10" s="1092">
        <v>430626</v>
      </c>
      <c r="E10" s="1092">
        <v>383031.59876078856</v>
      </c>
      <c r="F10" s="1092">
        <v>353172.56678734627</v>
      </c>
      <c r="G10" s="1092">
        <v>29859.031973442259</v>
      </c>
      <c r="H10" s="1092">
        <v>148893.10900131761</v>
      </c>
      <c r="I10" s="1092">
        <v>23</v>
      </c>
      <c r="J10" s="1092">
        <v>431251</v>
      </c>
      <c r="K10" s="1092">
        <v>104506.7809568581</v>
      </c>
      <c r="L10" s="1092">
        <v>62150.892390959998</v>
      </c>
      <c r="M10" s="1092">
        <v>42355.888565898109</v>
      </c>
      <c r="N10" s="1092">
        <v>193418.40577707041</v>
      </c>
    </row>
    <row r="11" spans="1:14" x14ac:dyDescent="0.25">
      <c r="A11" s="1090">
        <v>6</v>
      </c>
      <c r="B11" s="1091" t="s">
        <v>1009</v>
      </c>
      <c r="C11" s="1092">
        <v>23</v>
      </c>
      <c r="D11" s="1092">
        <v>456155</v>
      </c>
      <c r="E11" s="1092">
        <v>48761.300269706924</v>
      </c>
      <c r="F11" s="1092">
        <v>48333.962431001004</v>
      </c>
      <c r="G11" s="1092">
        <v>427.33783870591674</v>
      </c>
      <c r="H11" s="1092">
        <v>99004.179849216802</v>
      </c>
      <c r="I11" s="1092">
        <v>23</v>
      </c>
      <c r="J11" s="1092">
        <v>442312</v>
      </c>
      <c r="K11" s="1092">
        <v>6936.3183644882065</v>
      </c>
      <c r="L11" s="1092">
        <v>4475.6469694205825</v>
      </c>
      <c r="M11" s="1092">
        <v>2460.671395067624</v>
      </c>
      <c r="N11" s="1092">
        <v>102659.11846958312</v>
      </c>
    </row>
    <row r="12" spans="1:14" x14ac:dyDescent="0.25">
      <c r="A12" s="1090">
        <v>7</v>
      </c>
      <c r="B12" s="1091" t="s">
        <v>1010</v>
      </c>
      <c r="C12" s="1092">
        <v>15</v>
      </c>
      <c r="D12" s="1092">
        <v>230314</v>
      </c>
      <c r="E12" s="1092">
        <v>3059.8891697809413</v>
      </c>
      <c r="F12" s="1092">
        <v>6151.0704292336668</v>
      </c>
      <c r="G12" s="1092">
        <v>-3091.1812594527255</v>
      </c>
      <c r="H12" s="1092">
        <v>25975.537432521716</v>
      </c>
      <c r="I12" s="1092">
        <v>15</v>
      </c>
      <c r="J12" s="1092">
        <v>223256</v>
      </c>
      <c r="K12" s="1092">
        <v>396.30028100199996</v>
      </c>
      <c r="L12" s="1092">
        <v>1360.7017347733333</v>
      </c>
      <c r="M12" s="1092">
        <v>-964.40145377133331</v>
      </c>
      <c r="N12" s="1092">
        <v>25295.135081746113</v>
      </c>
    </row>
    <row r="13" spans="1:14" x14ac:dyDescent="0.25">
      <c r="A13" s="1090">
        <v>8</v>
      </c>
      <c r="B13" s="1091" t="s">
        <v>1011</v>
      </c>
      <c r="C13" s="1092">
        <v>12</v>
      </c>
      <c r="D13" s="1092">
        <v>100915</v>
      </c>
      <c r="E13" s="1092">
        <v>2564.562814978548</v>
      </c>
      <c r="F13" s="1092">
        <v>1766.0529037839999</v>
      </c>
      <c r="G13" s="1092">
        <v>798.50991119454773</v>
      </c>
      <c r="H13" s="1092">
        <v>10497.496661029658</v>
      </c>
      <c r="I13" s="1092">
        <v>12</v>
      </c>
      <c r="J13" s="1092">
        <v>99772</v>
      </c>
      <c r="K13" s="1092">
        <v>304.3946003440376</v>
      </c>
      <c r="L13" s="1092">
        <v>217.44223058199995</v>
      </c>
      <c r="M13" s="1092">
        <v>86.952369762037591</v>
      </c>
      <c r="N13" s="1092">
        <v>10697.9871298381</v>
      </c>
    </row>
    <row r="14" spans="1:14" x14ac:dyDescent="0.25">
      <c r="A14" s="1090">
        <v>9</v>
      </c>
      <c r="B14" s="1091" t="s">
        <v>1012</v>
      </c>
      <c r="C14" s="1092">
        <v>9</v>
      </c>
      <c r="D14" s="1092">
        <v>64858</v>
      </c>
      <c r="E14" s="1092">
        <v>3743.532712834</v>
      </c>
      <c r="F14" s="1092">
        <v>747.39655264500004</v>
      </c>
      <c r="G14" s="1092">
        <v>2996.1361601889998</v>
      </c>
      <c r="H14" s="1092">
        <v>12768.577736497482</v>
      </c>
      <c r="I14" s="1092">
        <v>9</v>
      </c>
      <c r="J14" s="1092">
        <v>65890</v>
      </c>
      <c r="K14" s="1092">
        <v>1354.5458491069999</v>
      </c>
      <c r="L14" s="1092">
        <v>292.24031739199995</v>
      </c>
      <c r="M14" s="1092">
        <v>1062.3055317149997</v>
      </c>
      <c r="N14" s="1092">
        <v>13982.925667394858</v>
      </c>
    </row>
    <row r="15" spans="1:14" x14ac:dyDescent="0.25">
      <c r="A15" s="1090">
        <v>10</v>
      </c>
      <c r="B15" s="1091" t="s">
        <v>1013</v>
      </c>
      <c r="C15" s="1092">
        <v>22</v>
      </c>
      <c r="D15" s="1092">
        <v>220569</v>
      </c>
      <c r="E15" s="1092">
        <v>6095.3565603790175</v>
      </c>
      <c r="F15" s="1092">
        <v>6241.212990394999</v>
      </c>
      <c r="G15" s="1092">
        <v>-145.85643001598351</v>
      </c>
      <c r="H15" s="1092">
        <v>31617.137099767329</v>
      </c>
      <c r="I15" s="1092">
        <v>22</v>
      </c>
      <c r="J15" s="1092">
        <v>217675</v>
      </c>
      <c r="K15" s="1092">
        <v>1887.6690663796319</v>
      </c>
      <c r="L15" s="1092">
        <v>1172.5471162229999</v>
      </c>
      <c r="M15" s="1092">
        <v>715.12195015663167</v>
      </c>
      <c r="N15" s="1092">
        <v>32689.109121795798</v>
      </c>
    </row>
    <row r="16" spans="1:14" x14ac:dyDescent="0.25">
      <c r="A16" s="1090">
        <v>11</v>
      </c>
      <c r="B16" s="1091" t="s">
        <v>1014</v>
      </c>
      <c r="C16" s="1092">
        <v>21</v>
      </c>
      <c r="D16" s="1092">
        <v>560652</v>
      </c>
      <c r="E16" s="1092">
        <v>48086.78530262928</v>
      </c>
      <c r="F16" s="1092">
        <v>42328.650704941778</v>
      </c>
      <c r="G16" s="1092">
        <v>5758.1345976874873</v>
      </c>
      <c r="H16" s="1092">
        <v>147360.54276523463</v>
      </c>
      <c r="I16" s="1092">
        <v>21</v>
      </c>
      <c r="J16" s="1092">
        <v>541781</v>
      </c>
      <c r="K16" s="1092">
        <v>8923.7561427142464</v>
      </c>
      <c r="L16" s="1092">
        <v>5244.408193299666</v>
      </c>
      <c r="M16" s="1092">
        <v>3679.3479494145809</v>
      </c>
      <c r="N16" s="1092">
        <v>153043.05433064461</v>
      </c>
    </row>
    <row r="17" spans="1:14" x14ac:dyDescent="0.25">
      <c r="A17" s="1090">
        <v>12</v>
      </c>
      <c r="B17" s="1091" t="s">
        <v>1015</v>
      </c>
      <c r="C17" s="1092">
        <v>14</v>
      </c>
      <c r="D17" s="1092">
        <v>208971</v>
      </c>
      <c r="E17" s="1092">
        <v>1140.9748711037587</v>
      </c>
      <c r="F17" s="1092">
        <v>4609.1523361249992</v>
      </c>
      <c r="G17" s="1092">
        <v>-3468.1774650212415</v>
      </c>
      <c r="H17" s="1092">
        <v>23141.351936989486</v>
      </c>
      <c r="I17" s="1092">
        <v>14</v>
      </c>
      <c r="J17" s="1092">
        <v>201534</v>
      </c>
      <c r="K17" s="1092">
        <v>99.991697724653577</v>
      </c>
      <c r="L17" s="1092">
        <v>999.41220422800006</v>
      </c>
      <c r="M17" s="1092">
        <v>-899.42050650334647</v>
      </c>
      <c r="N17" s="1092">
        <v>22501.000186535974</v>
      </c>
    </row>
    <row r="18" spans="1:14" x14ac:dyDescent="0.25">
      <c r="A18" s="1090">
        <v>13</v>
      </c>
      <c r="B18" s="1091" t="s">
        <v>1016</v>
      </c>
      <c r="C18" s="1092">
        <v>23</v>
      </c>
      <c r="D18" s="1092">
        <v>257714</v>
      </c>
      <c r="E18" s="1092">
        <v>13674.646587977881</v>
      </c>
      <c r="F18" s="1092">
        <v>19276.502363363783</v>
      </c>
      <c r="G18" s="1092">
        <v>-5601.8557753859022</v>
      </c>
      <c r="H18" s="1092">
        <v>80890.547195527353</v>
      </c>
      <c r="I18" s="1092">
        <v>23</v>
      </c>
      <c r="J18" s="1092">
        <v>251252</v>
      </c>
      <c r="K18" s="1092">
        <v>2560.2650941138968</v>
      </c>
      <c r="L18" s="1092">
        <v>2924.7009129853332</v>
      </c>
      <c r="M18" s="1092">
        <v>-364.43581887143677</v>
      </c>
      <c r="N18" s="1092">
        <v>81433.959943999667</v>
      </c>
    </row>
    <row r="19" spans="1:14" x14ac:dyDescent="0.25">
      <c r="A19" s="1090">
        <v>14</v>
      </c>
      <c r="B19" s="1091" t="s">
        <v>1017</v>
      </c>
      <c r="C19" s="1092">
        <v>21</v>
      </c>
      <c r="D19" s="1092">
        <v>186552</v>
      </c>
      <c r="E19" s="1092">
        <v>11813.297173160456</v>
      </c>
      <c r="F19" s="1092">
        <v>8084.2049212978018</v>
      </c>
      <c r="G19" s="1092">
        <v>3729.0922518626526</v>
      </c>
      <c r="H19" s="1092">
        <v>27267.715878300405</v>
      </c>
      <c r="I19" s="1092">
        <v>21</v>
      </c>
      <c r="J19" s="1092">
        <v>188990</v>
      </c>
      <c r="K19" s="1092">
        <v>7155.5155941308367</v>
      </c>
      <c r="L19" s="1092">
        <v>2116.5154511959995</v>
      </c>
      <c r="M19" s="1092">
        <v>5039.0001429348385</v>
      </c>
      <c r="N19" s="1092">
        <v>32705.689303363801</v>
      </c>
    </row>
    <row r="20" spans="1:14" x14ac:dyDescent="0.25">
      <c r="A20" s="1090">
        <v>15</v>
      </c>
      <c r="B20" s="1091" t="s">
        <v>1018</v>
      </c>
      <c r="C20" s="1092">
        <v>5</v>
      </c>
      <c r="D20" s="1092">
        <v>38142</v>
      </c>
      <c r="E20" s="1092">
        <v>1918.1377692840001</v>
      </c>
      <c r="F20" s="1092">
        <v>1297.0379174870002</v>
      </c>
      <c r="G20" s="1092">
        <v>621.09985179699993</v>
      </c>
      <c r="H20" s="1092">
        <v>4742.1660024163402</v>
      </c>
      <c r="I20" s="1092">
        <v>5</v>
      </c>
      <c r="J20" s="1092">
        <v>37146</v>
      </c>
      <c r="K20" s="1092">
        <v>660.02310202399985</v>
      </c>
      <c r="L20" s="1092">
        <v>153.65125663199998</v>
      </c>
      <c r="M20" s="1092">
        <v>506.37184539200001</v>
      </c>
      <c r="N20" s="1092">
        <v>5311.2916826364444</v>
      </c>
    </row>
    <row r="21" spans="1:14" x14ac:dyDescent="0.25">
      <c r="A21" s="1090">
        <v>16</v>
      </c>
      <c r="B21" s="1091" t="s">
        <v>1019</v>
      </c>
      <c r="C21" s="1092">
        <v>13</v>
      </c>
      <c r="D21" s="1092">
        <v>215735</v>
      </c>
      <c r="E21" s="1092">
        <v>42992.077514739743</v>
      </c>
      <c r="F21" s="1092">
        <v>49677.437556216362</v>
      </c>
      <c r="G21" s="1092">
        <v>-6685.3600414766188</v>
      </c>
      <c r="H21" s="1092">
        <v>51469.158354819818</v>
      </c>
      <c r="I21" s="1092">
        <v>13</v>
      </c>
      <c r="J21" s="1092">
        <v>211929</v>
      </c>
      <c r="K21" s="1092">
        <v>4041.355840011885</v>
      </c>
      <c r="L21" s="1092">
        <v>2969.1352535596666</v>
      </c>
      <c r="M21" s="1092">
        <v>1072.220586452218</v>
      </c>
      <c r="N21" s="1092">
        <v>53209.719751223369</v>
      </c>
    </row>
    <row r="22" spans="1:14" x14ac:dyDescent="0.25">
      <c r="A22" s="1090"/>
      <c r="B22" s="1087" t="s">
        <v>1020</v>
      </c>
      <c r="C22" s="1093">
        <v>316</v>
      </c>
      <c r="D22" s="1093">
        <v>7164917</v>
      </c>
      <c r="E22" s="1093">
        <v>10351490.487756934</v>
      </c>
      <c r="F22" s="1093">
        <v>10374587.890577203</v>
      </c>
      <c r="G22" s="1093">
        <v>-23097.402820269897</v>
      </c>
      <c r="H22" s="1093">
        <v>1262223.5805301175</v>
      </c>
      <c r="I22" s="1093">
        <v>316</v>
      </c>
      <c r="J22" s="1093">
        <v>7091977</v>
      </c>
      <c r="K22" s="1093">
        <v>1833417.090033073</v>
      </c>
      <c r="L22" s="1093">
        <v>1601231.5867750538</v>
      </c>
      <c r="M22" s="1093">
        <v>232185.50325801919</v>
      </c>
      <c r="N22" s="1093">
        <v>1511987.6610892026</v>
      </c>
    </row>
    <row r="23" spans="1:14" x14ac:dyDescent="0.25">
      <c r="A23" s="1090"/>
      <c r="B23" s="1090"/>
      <c r="C23" s="1092"/>
      <c r="D23" s="1092"/>
      <c r="E23" s="1092"/>
      <c r="F23" s="1092"/>
      <c r="G23" s="1092"/>
      <c r="H23" s="1092"/>
      <c r="I23" s="1092"/>
      <c r="J23" s="1092"/>
      <c r="K23" s="1092"/>
      <c r="L23" s="1092"/>
      <c r="M23" s="1092"/>
      <c r="N23" s="1092"/>
    </row>
    <row r="24" spans="1:14" x14ac:dyDescent="0.25">
      <c r="A24" s="1087" t="s">
        <v>1021</v>
      </c>
      <c r="B24" s="1087" t="s">
        <v>1022</v>
      </c>
      <c r="C24" s="1092"/>
      <c r="D24" s="1092"/>
      <c r="E24" s="1092"/>
      <c r="F24" s="1092"/>
      <c r="G24" s="1092"/>
      <c r="H24" s="1092"/>
      <c r="I24" s="1092"/>
      <c r="J24" s="1092"/>
      <c r="K24" s="1092"/>
      <c r="L24" s="1092"/>
      <c r="M24" s="1092"/>
      <c r="N24" s="1092"/>
    </row>
    <row r="25" spans="1:14" x14ac:dyDescent="0.25">
      <c r="A25" s="1090">
        <v>17</v>
      </c>
      <c r="B25" s="1094" t="s">
        <v>1023</v>
      </c>
      <c r="C25" s="1092">
        <v>24</v>
      </c>
      <c r="D25" s="1092">
        <v>6071425</v>
      </c>
      <c r="E25" s="1092">
        <v>38971.356970528112</v>
      </c>
      <c r="F25" s="1092">
        <v>16012.878838077735</v>
      </c>
      <c r="G25" s="1092">
        <v>22958.478132450382</v>
      </c>
      <c r="H25" s="1092">
        <v>124681.6997112707</v>
      </c>
      <c r="I25" s="1092">
        <v>24</v>
      </c>
      <c r="J25" s="1092">
        <v>6513410</v>
      </c>
      <c r="K25" s="1092">
        <v>8714.3579553020299</v>
      </c>
      <c r="L25" s="1092">
        <v>3345.6127925352293</v>
      </c>
      <c r="M25" s="1092">
        <v>5368.7451627668015</v>
      </c>
      <c r="N25" s="1092">
        <v>139033.68328289205</v>
      </c>
    </row>
    <row r="26" spans="1:14" x14ac:dyDescent="0.25">
      <c r="A26" s="1090">
        <v>18</v>
      </c>
      <c r="B26" s="1094" t="s">
        <v>1024</v>
      </c>
      <c r="C26" s="1092">
        <v>31</v>
      </c>
      <c r="D26" s="1092">
        <v>13668455</v>
      </c>
      <c r="E26" s="1092">
        <v>47327.568166434467</v>
      </c>
      <c r="F26" s="1092">
        <v>47940.845531989507</v>
      </c>
      <c r="G26" s="1092">
        <v>-613.27736555504009</v>
      </c>
      <c r="H26" s="1092">
        <v>314154.55768560024</v>
      </c>
      <c r="I26" s="1092">
        <v>31</v>
      </c>
      <c r="J26" s="1092">
        <v>13988501</v>
      </c>
      <c r="K26" s="1092">
        <v>11167.216378673425</v>
      </c>
      <c r="L26" s="1092">
        <v>10146.581143287995</v>
      </c>
      <c r="M26" s="1092">
        <v>1020.6352353854303</v>
      </c>
      <c r="N26" s="1092">
        <v>323155.66636227886</v>
      </c>
    </row>
    <row r="27" spans="1:14" x14ac:dyDescent="0.25">
      <c r="A27" s="1090">
        <v>19</v>
      </c>
      <c r="B27" s="1094" t="s">
        <v>1025</v>
      </c>
      <c r="C27" s="1092">
        <v>29</v>
      </c>
      <c r="D27" s="1092">
        <v>9277595</v>
      </c>
      <c r="E27" s="1092">
        <v>47439.528253329292</v>
      </c>
      <c r="F27" s="1092">
        <v>25024.019327376765</v>
      </c>
      <c r="G27" s="1092">
        <v>22415.508925952523</v>
      </c>
      <c r="H27" s="1092">
        <v>205736.84673534983</v>
      </c>
      <c r="I27" s="1092">
        <v>29</v>
      </c>
      <c r="J27" s="1092">
        <v>9641201</v>
      </c>
      <c r="K27" s="1092">
        <v>10592.544585108732</v>
      </c>
      <c r="L27" s="1092">
        <v>5556.7165472575516</v>
      </c>
      <c r="M27" s="1092">
        <v>5035.8280378511836</v>
      </c>
      <c r="N27" s="1092">
        <v>223990.10683044905</v>
      </c>
    </row>
    <row r="28" spans="1:14" x14ac:dyDescent="0.25">
      <c r="A28" s="1090">
        <v>20</v>
      </c>
      <c r="B28" s="1094" t="s">
        <v>1026</v>
      </c>
      <c r="C28" s="1092">
        <v>29</v>
      </c>
      <c r="D28" s="1092">
        <v>14015426</v>
      </c>
      <c r="E28" s="1092">
        <v>59326.922990612591</v>
      </c>
      <c r="F28" s="1092">
        <v>37100.50100480784</v>
      </c>
      <c r="G28" s="1092">
        <v>22226.421985804733</v>
      </c>
      <c r="H28" s="1092">
        <v>296985.72888430906</v>
      </c>
      <c r="I28" s="1092">
        <v>29</v>
      </c>
      <c r="J28" s="1092">
        <v>14790033</v>
      </c>
      <c r="K28" s="1092">
        <v>12236.569051137963</v>
      </c>
      <c r="L28" s="1092">
        <v>7837.8041267440058</v>
      </c>
      <c r="M28" s="1092">
        <v>4398.7649243939568</v>
      </c>
      <c r="N28" s="1092">
        <v>328183.31955099042</v>
      </c>
    </row>
    <row r="29" spans="1:14" x14ac:dyDescent="0.25">
      <c r="A29" s="1090">
        <v>21</v>
      </c>
      <c r="B29" s="1094" t="s">
        <v>1027</v>
      </c>
      <c r="C29" s="1092">
        <v>27</v>
      </c>
      <c r="D29" s="1092">
        <v>19028082</v>
      </c>
      <c r="E29" s="1092">
        <v>77356.178775589346</v>
      </c>
      <c r="F29" s="1092">
        <v>37167.616790989327</v>
      </c>
      <c r="G29" s="1092">
        <v>40188.561984600026</v>
      </c>
      <c r="H29" s="1092">
        <v>243368.37414746213</v>
      </c>
      <c r="I29" s="1092">
        <v>27</v>
      </c>
      <c r="J29" s="1092">
        <v>19832640</v>
      </c>
      <c r="K29" s="1092">
        <v>12800.667734455392</v>
      </c>
      <c r="L29" s="1092">
        <v>7867.2833288541597</v>
      </c>
      <c r="M29" s="1092">
        <v>4933.3844056012322</v>
      </c>
      <c r="N29" s="1092">
        <v>270581.01990149054</v>
      </c>
    </row>
    <row r="30" spans="1:14" x14ac:dyDescent="0.25">
      <c r="A30" s="1090">
        <v>22</v>
      </c>
      <c r="B30" s="1094" t="s">
        <v>1028</v>
      </c>
      <c r="C30" s="1092">
        <v>9</v>
      </c>
      <c r="D30" s="1092">
        <v>877410</v>
      </c>
      <c r="E30" s="1092">
        <v>6242.0449243630001</v>
      </c>
      <c r="F30" s="1092">
        <v>2771.5584992304402</v>
      </c>
      <c r="G30" s="1092">
        <v>3470.4864251325598</v>
      </c>
      <c r="H30" s="1092">
        <v>23914.566085186452</v>
      </c>
      <c r="I30" s="1092">
        <v>9</v>
      </c>
      <c r="J30" s="1092">
        <v>925566</v>
      </c>
      <c r="K30" s="1092">
        <v>1709.1628069540002</v>
      </c>
      <c r="L30" s="1092">
        <v>922.55826178714688</v>
      </c>
      <c r="M30" s="1092">
        <v>786.60454516685309</v>
      </c>
      <c r="N30" s="1092">
        <v>26050.479068583016</v>
      </c>
    </row>
    <row r="31" spans="1:14" x14ac:dyDescent="0.25">
      <c r="A31" s="1090">
        <v>23</v>
      </c>
      <c r="B31" s="1094" t="s">
        <v>1029</v>
      </c>
      <c r="C31" s="1092">
        <v>23</v>
      </c>
      <c r="D31" s="1092">
        <v>6178068</v>
      </c>
      <c r="E31" s="1092">
        <v>29807.890983999303</v>
      </c>
      <c r="F31" s="1092">
        <v>14983.366175404901</v>
      </c>
      <c r="G31" s="1092">
        <v>14824.524808594399</v>
      </c>
      <c r="H31" s="1092">
        <v>149098.81586029523</v>
      </c>
      <c r="I31" s="1092">
        <v>23</v>
      </c>
      <c r="J31" s="1092">
        <v>6528568</v>
      </c>
      <c r="K31" s="1092">
        <v>7285.8419295894164</v>
      </c>
      <c r="L31" s="1092">
        <v>3894.7726867584679</v>
      </c>
      <c r="M31" s="1092">
        <v>3391.069242830949</v>
      </c>
      <c r="N31" s="1092">
        <v>160638.95744371729</v>
      </c>
    </row>
    <row r="32" spans="1:14" x14ac:dyDescent="0.25">
      <c r="A32" s="1090">
        <v>24</v>
      </c>
      <c r="B32" s="1094" t="s">
        <v>1030</v>
      </c>
      <c r="C32" s="1092">
        <v>28</v>
      </c>
      <c r="D32" s="1092">
        <v>5083569</v>
      </c>
      <c r="E32" s="1092">
        <v>21852.881351299995</v>
      </c>
      <c r="F32" s="1092">
        <v>25913.104294883236</v>
      </c>
      <c r="G32" s="1092">
        <v>-4060.2229435832369</v>
      </c>
      <c r="H32" s="1092">
        <v>129704.03500277923</v>
      </c>
      <c r="I32" s="1092">
        <v>28</v>
      </c>
      <c r="J32" s="1092">
        <v>5077097</v>
      </c>
      <c r="K32" s="1092">
        <v>4439.1540837869989</v>
      </c>
      <c r="L32" s="1092">
        <v>5073.7294323513825</v>
      </c>
      <c r="M32" s="1092">
        <v>-634.57534856438269</v>
      </c>
      <c r="N32" s="1092">
        <v>134588.96270155549</v>
      </c>
    </row>
    <row r="33" spans="1:14" x14ac:dyDescent="0.25">
      <c r="A33" s="1090">
        <v>25</v>
      </c>
      <c r="B33" s="1094" t="s">
        <v>1031</v>
      </c>
      <c r="C33" s="1092">
        <v>160</v>
      </c>
      <c r="D33" s="1092">
        <v>18248179</v>
      </c>
      <c r="E33" s="1092">
        <v>100057.07536585303</v>
      </c>
      <c r="F33" s="1092">
        <v>53919.20622517747</v>
      </c>
      <c r="G33" s="1092">
        <v>46137.869140675568</v>
      </c>
      <c r="H33" s="1092">
        <v>297358.13746069971</v>
      </c>
      <c r="I33" s="1092">
        <v>162</v>
      </c>
      <c r="J33" s="1092">
        <v>20567662</v>
      </c>
      <c r="K33" s="1092">
        <v>37799.337007277012</v>
      </c>
      <c r="L33" s="1092">
        <v>13419.855870376468</v>
      </c>
      <c r="M33" s="1092">
        <v>24379.481136900544</v>
      </c>
      <c r="N33" s="1092">
        <v>337280.04809942172</v>
      </c>
    </row>
    <row r="34" spans="1:14" x14ac:dyDescent="0.25">
      <c r="A34" s="1090">
        <v>26</v>
      </c>
      <c r="B34" s="1094" t="s">
        <v>1032</v>
      </c>
      <c r="C34" s="1092">
        <v>42</v>
      </c>
      <c r="D34" s="1092">
        <v>16113976</v>
      </c>
      <c r="E34" s="1092">
        <v>23705.541807966765</v>
      </c>
      <c r="F34" s="1092">
        <v>22665.258999835642</v>
      </c>
      <c r="G34" s="1092">
        <v>1040.2828081311297</v>
      </c>
      <c r="H34" s="1092">
        <v>213759.85769820376</v>
      </c>
      <c r="I34" s="1092">
        <v>42</v>
      </c>
      <c r="J34" s="1092">
        <v>16307461</v>
      </c>
      <c r="K34" s="1092">
        <v>4299.6820940961388</v>
      </c>
      <c r="L34" s="1092">
        <v>4693.5294951049264</v>
      </c>
      <c r="M34" s="1092">
        <v>-393.84740100878918</v>
      </c>
      <c r="N34" s="1092">
        <v>223726.81973653406</v>
      </c>
    </row>
    <row r="35" spans="1:14" x14ac:dyDescent="0.25">
      <c r="A35" s="1090">
        <v>27</v>
      </c>
      <c r="B35" s="1094" t="s">
        <v>1033</v>
      </c>
      <c r="C35" s="1092">
        <v>38</v>
      </c>
      <c r="D35" s="1092">
        <v>14259500</v>
      </c>
      <c r="E35" s="1092">
        <v>63016.338913855499</v>
      </c>
      <c r="F35" s="1092">
        <v>47514.272170017481</v>
      </c>
      <c r="G35" s="1092">
        <v>15502.066743838022</v>
      </c>
      <c r="H35" s="1092">
        <v>350186.41239395295</v>
      </c>
      <c r="I35" s="1092">
        <v>39</v>
      </c>
      <c r="J35" s="1092">
        <v>14775146</v>
      </c>
      <c r="K35" s="1092">
        <v>15594.099972248736</v>
      </c>
      <c r="L35" s="1092">
        <v>10266.109596587115</v>
      </c>
      <c r="M35" s="1092">
        <v>5327.990375661615</v>
      </c>
      <c r="N35" s="1092">
        <v>372548.63752882549</v>
      </c>
    </row>
    <row r="36" spans="1:14" x14ac:dyDescent="0.25">
      <c r="A36" s="1090"/>
      <c r="B36" s="1087" t="s">
        <v>1034</v>
      </c>
      <c r="C36" s="1093">
        <v>440</v>
      </c>
      <c r="D36" s="1093">
        <v>122821685</v>
      </c>
      <c r="E36" s="1093">
        <v>515103.32850383146</v>
      </c>
      <c r="F36" s="1093">
        <v>331012.62785779033</v>
      </c>
      <c r="G36" s="1093">
        <v>184090.70064604108</v>
      </c>
      <c r="H36" s="1093">
        <v>2348949.0316651091</v>
      </c>
      <c r="I36" s="1093">
        <v>443</v>
      </c>
      <c r="J36" s="1093">
        <v>128947285</v>
      </c>
      <c r="K36" s="1093">
        <v>126638.63359862982</v>
      </c>
      <c r="L36" s="1093">
        <v>73024.553281644461</v>
      </c>
      <c r="M36" s="1093">
        <v>53614.08031698539</v>
      </c>
      <c r="N36" s="1093">
        <v>2539777.7005067384</v>
      </c>
    </row>
    <row r="37" spans="1:14" x14ac:dyDescent="0.25">
      <c r="A37" s="1090"/>
      <c r="B37" s="1090"/>
      <c r="C37" s="1092"/>
      <c r="D37" s="1092"/>
      <c r="E37" s="1092"/>
      <c r="F37" s="1092"/>
      <c r="G37" s="1092"/>
      <c r="H37" s="1092"/>
      <c r="I37" s="1092"/>
      <c r="J37" s="1092"/>
      <c r="K37" s="1092"/>
      <c r="L37" s="1092"/>
      <c r="M37" s="1092"/>
      <c r="N37" s="1092"/>
    </row>
    <row r="38" spans="1:14" x14ac:dyDescent="0.25">
      <c r="A38" s="1087" t="s">
        <v>1035</v>
      </c>
      <c r="B38" s="1087" t="s">
        <v>1036</v>
      </c>
      <c r="C38" s="1092"/>
      <c r="D38" s="1092"/>
      <c r="E38" s="1092"/>
      <c r="F38" s="1092"/>
      <c r="G38" s="1092"/>
      <c r="H38" s="1092"/>
      <c r="I38" s="1092"/>
      <c r="J38" s="1092"/>
      <c r="K38" s="1092"/>
      <c r="L38" s="1092"/>
      <c r="M38" s="1092"/>
      <c r="N38" s="1092"/>
    </row>
    <row r="39" spans="1:14" x14ac:dyDescent="0.25">
      <c r="A39" s="1090">
        <v>28</v>
      </c>
      <c r="B39" s="1094" t="s">
        <v>1037</v>
      </c>
      <c r="C39" s="1092">
        <v>19</v>
      </c>
      <c r="D39" s="1092">
        <v>537555</v>
      </c>
      <c r="E39" s="1092">
        <v>5372.156211720373</v>
      </c>
      <c r="F39" s="1092">
        <v>5086.5366343615287</v>
      </c>
      <c r="G39" s="1092">
        <v>285.61957735884437</v>
      </c>
      <c r="H39" s="1092">
        <v>26871.128090496451</v>
      </c>
      <c r="I39" s="1092">
        <v>19</v>
      </c>
      <c r="J39" s="1092">
        <v>541125</v>
      </c>
      <c r="K39" s="1092">
        <v>929.03752554636867</v>
      </c>
      <c r="L39" s="1092">
        <v>1036.1497031642266</v>
      </c>
      <c r="M39" s="1092">
        <v>-107.11217761785787</v>
      </c>
      <c r="N39" s="1092">
        <v>27352.228277082406</v>
      </c>
    </row>
    <row r="40" spans="1:14" x14ac:dyDescent="0.25">
      <c r="A40" s="1090">
        <v>29</v>
      </c>
      <c r="B40" s="1094" t="s">
        <v>1038</v>
      </c>
      <c r="C40" s="1092">
        <v>31</v>
      </c>
      <c r="D40" s="1092">
        <v>5416765</v>
      </c>
      <c r="E40" s="1092">
        <v>28567.743361143854</v>
      </c>
      <c r="F40" s="1092">
        <v>28891.660287817987</v>
      </c>
      <c r="G40" s="1092">
        <v>-323.91692667413213</v>
      </c>
      <c r="H40" s="1092">
        <v>197197.20673356135</v>
      </c>
      <c r="I40" s="1092">
        <v>31</v>
      </c>
      <c r="J40" s="1092">
        <v>5460124</v>
      </c>
      <c r="K40" s="1092">
        <v>5609.794530731484</v>
      </c>
      <c r="L40" s="1092">
        <v>5549.8379544320951</v>
      </c>
      <c r="M40" s="1092">
        <v>59.956576299387912</v>
      </c>
      <c r="N40" s="1092">
        <v>203886.76472971388</v>
      </c>
    </row>
    <row r="41" spans="1:14" x14ac:dyDescent="0.25">
      <c r="A41" s="1090">
        <v>30</v>
      </c>
      <c r="B41" s="1094" t="s">
        <v>1039</v>
      </c>
      <c r="C41" s="1092">
        <v>33</v>
      </c>
      <c r="D41" s="1092">
        <v>4615533</v>
      </c>
      <c r="E41" s="1092">
        <v>52225.851891358696</v>
      </c>
      <c r="F41" s="1092">
        <v>41460.509188787459</v>
      </c>
      <c r="G41" s="1092">
        <v>10765.342702571243</v>
      </c>
      <c r="H41" s="1092">
        <v>248797.60605755914</v>
      </c>
      <c r="I41" s="1092">
        <v>33</v>
      </c>
      <c r="J41" s="1092">
        <v>4691324</v>
      </c>
      <c r="K41" s="1092">
        <v>10658.692605524804</v>
      </c>
      <c r="L41" s="1092">
        <v>8034.9666899068543</v>
      </c>
      <c r="M41" s="1092">
        <v>2623.7259156179502</v>
      </c>
      <c r="N41" s="1092">
        <v>260653.27836088985</v>
      </c>
    </row>
    <row r="42" spans="1:14" x14ac:dyDescent="0.25">
      <c r="A42" s="1090">
        <v>31</v>
      </c>
      <c r="B42" s="1094" t="s">
        <v>1040</v>
      </c>
      <c r="C42" s="1092">
        <v>23</v>
      </c>
      <c r="D42" s="1092">
        <v>2024071</v>
      </c>
      <c r="E42" s="1092">
        <v>40023.422178728608</v>
      </c>
      <c r="F42" s="1092">
        <v>6969.7816446860934</v>
      </c>
      <c r="G42" s="1092">
        <v>33053.640534042519</v>
      </c>
      <c r="H42" s="1092">
        <v>67280.137116108133</v>
      </c>
      <c r="I42" s="1092">
        <v>23</v>
      </c>
      <c r="J42" s="1092">
        <v>2199811</v>
      </c>
      <c r="K42" s="1092">
        <v>8234.6789155560127</v>
      </c>
      <c r="L42" s="1092">
        <v>1761.5001233400023</v>
      </c>
      <c r="M42" s="1092">
        <v>6473.178792216012</v>
      </c>
      <c r="N42" s="1092">
        <v>77436.357479064056</v>
      </c>
    </row>
    <row r="43" spans="1:14" x14ac:dyDescent="0.25">
      <c r="A43" s="1090">
        <v>32</v>
      </c>
      <c r="B43" s="1094" t="s">
        <v>1041</v>
      </c>
      <c r="C43" s="1092">
        <v>27</v>
      </c>
      <c r="D43" s="1092">
        <v>491203</v>
      </c>
      <c r="E43" s="1092">
        <v>208333.30160579181</v>
      </c>
      <c r="F43" s="1092">
        <v>117487.21066594416</v>
      </c>
      <c r="G43" s="1092">
        <v>90846.090939847694</v>
      </c>
      <c r="H43" s="1092">
        <v>153008.58174393998</v>
      </c>
      <c r="I43" s="1092">
        <v>27</v>
      </c>
      <c r="J43" s="1092">
        <v>513594</v>
      </c>
      <c r="K43" s="1092">
        <v>58501.304070291044</v>
      </c>
      <c r="L43" s="1092">
        <v>31841.91205479265</v>
      </c>
      <c r="M43" s="1092">
        <v>26659.392015498397</v>
      </c>
      <c r="N43" s="1092">
        <v>180603.17822675928</v>
      </c>
    </row>
    <row r="44" spans="1:14" x14ac:dyDescent="0.25">
      <c r="A44" s="1090">
        <v>33</v>
      </c>
      <c r="B44" s="1094" t="s">
        <v>1042</v>
      </c>
      <c r="C44" s="1092">
        <v>22</v>
      </c>
      <c r="D44" s="1092">
        <v>409279</v>
      </c>
      <c r="E44" s="1092">
        <v>20295.751419727414</v>
      </c>
      <c r="F44" s="1092">
        <v>9968.756168515969</v>
      </c>
      <c r="G44" s="1092">
        <v>10326.995251211449</v>
      </c>
      <c r="H44" s="1092">
        <v>29567.465597320937</v>
      </c>
      <c r="I44" s="1092">
        <v>22</v>
      </c>
      <c r="J44" s="1092">
        <v>419698</v>
      </c>
      <c r="K44" s="1092">
        <v>5200.6835099309019</v>
      </c>
      <c r="L44" s="1092">
        <v>3056.217779561272</v>
      </c>
      <c r="M44" s="1092">
        <v>2144.465730369629</v>
      </c>
      <c r="N44" s="1092">
        <v>32404.418421401253</v>
      </c>
    </row>
    <row r="45" spans="1:14" x14ac:dyDescent="0.25">
      <c r="A45" s="1090"/>
      <c r="B45" s="1087" t="s">
        <v>1043</v>
      </c>
      <c r="C45" s="1093">
        <v>155</v>
      </c>
      <c r="D45" s="1093">
        <v>13494406</v>
      </c>
      <c r="E45" s="1093">
        <v>354818.22666847071</v>
      </c>
      <c r="F45" s="1093">
        <v>209864.45459011322</v>
      </c>
      <c r="G45" s="1093">
        <v>144953.77207835764</v>
      </c>
      <c r="H45" s="1093">
        <v>722722.12533898605</v>
      </c>
      <c r="I45" s="1093">
        <v>155</v>
      </c>
      <c r="J45" s="1093">
        <v>13825676</v>
      </c>
      <c r="K45" s="1093">
        <v>89134.191157580601</v>
      </c>
      <c r="L45" s="1093">
        <v>51280.584305197102</v>
      </c>
      <c r="M45" s="1093">
        <v>37853.60685238352</v>
      </c>
      <c r="N45" s="1093">
        <v>782336.22549491073</v>
      </c>
    </row>
    <row r="46" spans="1:14" x14ac:dyDescent="0.25">
      <c r="A46" s="1090"/>
      <c r="B46" s="1090"/>
      <c r="C46" s="1092"/>
      <c r="D46" s="1092"/>
      <c r="E46" s="1092"/>
      <c r="F46" s="1092"/>
      <c r="G46" s="1092"/>
      <c r="H46" s="1092"/>
      <c r="I46" s="1092"/>
      <c r="J46" s="1092"/>
      <c r="K46" s="1092"/>
      <c r="L46" s="1092"/>
      <c r="M46" s="1092"/>
      <c r="N46" s="1092"/>
    </row>
    <row r="47" spans="1:14" x14ac:dyDescent="0.25">
      <c r="A47" s="1087" t="s">
        <v>1044</v>
      </c>
      <c r="B47" s="1087" t="s">
        <v>1045</v>
      </c>
      <c r="C47" s="1092"/>
      <c r="D47" s="1092"/>
      <c r="E47" s="1092"/>
      <c r="F47" s="1092"/>
      <c r="G47" s="1092"/>
      <c r="H47" s="1092"/>
      <c r="I47" s="1092"/>
      <c r="J47" s="1092"/>
      <c r="K47" s="1092"/>
      <c r="L47" s="1092"/>
      <c r="M47" s="1092"/>
      <c r="N47" s="1092"/>
    </row>
    <row r="48" spans="1:14" x14ac:dyDescent="0.25">
      <c r="A48" s="1090">
        <v>34</v>
      </c>
      <c r="B48" s="1094" t="s">
        <v>1046</v>
      </c>
      <c r="C48" s="1092">
        <v>27</v>
      </c>
      <c r="D48" s="1092">
        <v>2865115</v>
      </c>
      <c r="E48" s="1092">
        <v>3277.3322206429984</v>
      </c>
      <c r="F48" s="1092">
        <v>1816.883488144721</v>
      </c>
      <c r="G48" s="1092">
        <v>1460.448732498277</v>
      </c>
      <c r="H48" s="1092">
        <v>25279.722392861528</v>
      </c>
      <c r="I48" s="1092">
        <v>29</v>
      </c>
      <c r="J48" s="1092">
        <v>2913515</v>
      </c>
      <c r="K48" s="1092">
        <v>973.1879591600001</v>
      </c>
      <c r="L48" s="1092">
        <v>398.33770546062595</v>
      </c>
      <c r="M48" s="1092">
        <v>574.85025369937398</v>
      </c>
      <c r="N48" s="1092">
        <v>27026.409489213685</v>
      </c>
    </row>
    <row r="49" spans="1:14" x14ac:dyDescent="0.25">
      <c r="A49" s="1090">
        <v>35</v>
      </c>
      <c r="B49" s="1094" t="s">
        <v>1047</v>
      </c>
      <c r="C49" s="1092">
        <v>11</v>
      </c>
      <c r="D49" s="1092">
        <v>2983777</v>
      </c>
      <c r="E49" s="1092">
        <v>1602.209887686</v>
      </c>
      <c r="F49" s="1092">
        <v>778.3239492399299</v>
      </c>
      <c r="G49" s="1092">
        <v>823.88593844607033</v>
      </c>
      <c r="H49" s="1092">
        <v>18967.292446153682</v>
      </c>
      <c r="I49" s="1092">
        <v>11</v>
      </c>
      <c r="J49" s="1092">
        <v>2993312</v>
      </c>
      <c r="K49" s="1092">
        <v>296.49176786599998</v>
      </c>
      <c r="L49" s="1092">
        <v>159.15401492373178</v>
      </c>
      <c r="M49" s="1092">
        <v>137.3377529422682</v>
      </c>
      <c r="N49" s="1092">
        <v>20081.3543142487</v>
      </c>
    </row>
    <row r="50" spans="1:14" x14ac:dyDescent="0.25">
      <c r="A50" s="1090"/>
      <c r="B50" s="1087" t="s">
        <v>1048</v>
      </c>
      <c r="C50" s="1093">
        <v>38</v>
      </c>
      <c r="D50" s="1093">
        <v>5848892</v>
      </c>
      <c r="E50" s="1093">
        <v>4879.5421083289984</v>
      </c>
      <c r="F50" s="1093">
        <v>2595.2074373846508</v>
      </c>
      <c r="G50" s="1093">
        <v>2284.3346709443472</v>
      </c>
      <c r="H50" s="1093">
        <v>44247.01483901521</v>
      </c>
      <c r="I50" s="1093">
        <v>40</v>
      </c>
      <c r="J50" s="1093">
        <v>5906827</v>
      </c>
      <c r="K50" s="1093">
        <v>1269.6797270260001</v>
      </c>
      <c r="L50" s="1093">
        <v>557.49172038435768</v>
      </c>
      <c r="M50" s="1093">
        <v>712.18800664164223</v>
      </c>
      <c r="N50" s="1093">
        <v>47107.763803462381</v>
      </c>
    </row>
    <row r="51" spans="1:14" x14ac:dyDescent="0.25">
      <c r="A51" s="1090"/>
      <c r="B51" s="1090"/>
      <c r="C51" s="1092"/>
      <c r="D51" s="1092"/>
      <c r="E51" s="1092"/>
      <c r="F51" s="1092"/>
      <c r="G51" s="1092"/>
      <c r="H51" s="1092"/>
      <c r="I51" s="1092"/>
      <c r="J51" s="1092"/>
      <c r="K51" s="1092"/>
      <c r="L51" s="1092"/>
      <c r="M51" s="1092"/>
      <c r="N51" s="1092"/>
    </row>
    <row r="52" spans="1:14" x14ac:dyDescent="0.25">
      <c r="A52" s="1087" t="s">
        <v>1049</v>
      </c>
      <c r="B52" s="1087" t="s">
        <v>1050</v>
      </c>
      <c r="C52" s="1092"/>
      <c r="D52" s="1092"/>
      <c r="E52" s="1092"/>
      <c r="F52" s="1092"/>
      <c r="G52" s="1092"/>
      <c r="H52" s="1092"/>
      <c r="I52" s="1092"/>
      <c r="J52" s="1092"/>
      <c r="K52" s="1092"/>
      <c r="L52" s="1092"/>
      <c r="M52" s="1092"/>
      <c r="N52" s="1092"/>
    </row>
    <row r="53" spans="1:14" x14ac:dyDescent="0.25">
      <c r="A53" s="1090">
        <v>36</v>
      </c>
      <c r="B53" s="1091" t="s">
        <v>1051</v>
      </c>
      <c r="C53" s="1092">
        <v>208</v>
      </c>
      <c r="D53" s="1092">
        <v>7576546</v>
      </c>
      <c r="E53" s="1092">
        <v>52950.447661478713</v>
      </c>
      <c r="F53" s="1092">
        <v>37260.791220944877</v>
      </c>
      <c r="G53" s="1092">
        <v>15689.656440533823</v>
      </c>
      <c r="H53" s="1092">
        <v>213657.46665699122</v>
      </c>
      <c r="I53" s="1092">
        <v>217</v>
      </c>
      <c r="J53" s="1092">
        <v>8363709</v>
      </c>
      <c r="K53" s="1092">
        <v>17514.08204600403</v>
      </c>
      <c r="L53" s="1092">
        <v>6499.6703789888988</v>
      </c>
      <c r="M53" s="1092">
        <v>11014.411667015129</v>
      </c>
      <c r="N53" s="1092">
        <v>229711.6882027759</v>
      </c>
    </row>
    <row r="54" spans="1:14" x14ac:dyDescent="0.25">
      <c r="A54" s="1090">
        <v>37</v>
      </c>
      <c r="B54" s="1091" t="s">
        <v>1052</v>
      </c>
      <c r="C54" s="1092">
        <v>17</v>
      </c>
      <c r="D54" s="1092">
        <v>5060791</v>
      </c>
      <c r="E54" s="1092">
        <v>7021.7047998188009</v>
      </c>
      <c r="F54" s="1092">
        <v>1773.2758929124554</v>
      </c>
      <c r="G54" s="1092">
        <v>5248.4289069063452</v>
      </c>
      <c r="H54" s="1092">
        <v>31223.681480540065</v>
      </c>
      <c r="I54" s="1092">
        <v>17</v>
      </c>
      <c r="J54" s="1092">
        <v>5320483</v>
      </c>
      <c r="K54" s="1092">
        <v>1540.01212111</v>
      </c>
      <c r="L54" s="1092">
        <v>1108.270161572</v>
      </c>
      <c r="M54" s="1092">
        <v>431.74195953799983</v>
      </c>
      <c r="N54" s="1092">
        <v>31689.345423084716</v>
      </c>
    </row>
    <row r="55" spans="1:14" x14ac:dyDescent="0.25">
      <c r="A55" s="1090">
        <v>38</v>
      </c>
      <c r="B55" s="1091" t="s">
        <v>1053</v>
      </c>
      <c r="C55" s="1092">
        <v>189</v>
      </c>
      <c r="D55" s="1092">
        <v>13767925</v>
      </c>
      <c r="E55" s="1092">
        <v>153170.29176765401</v>
      </c>
      <c r="F55" s="1092">
        <v>110276.38796439955</v>
      </c>
      <c r="G55" s="1092">
        <v>42893.90380325447</v>
      </c>
      <c r="H55" s="1092">
        <v>664000.0937321966</v>
      </c>
      <c r="I55" s="1092">
        <v>192</v>
      </c>
      <c r="J55" s="1092">
        <v>14477642</v>
      </c>
      <c r="K55" s="1092">
        <v>32962.514661330002</v>
      </c>
      <c r="L55" s="1092">
        <v>16525.862379996197</v>
      </c>
      <c r="M55" s="1092">
        <v>16436.652281333805</v>
      </c>
      <c r="N55" s="1092">
        <v>697325.3268579829</v>
      </c>
    </row>
    <row r="56" spans="1:14" x14ac:dyDescent="0.25">
      <c r="A56" s="1090">
        <v>39</v>
      </c>
      <c r="B56" s="1091" t="s">
        <v>1054</v>
      </c>
      <c r="C56" s="1092">
        <v>55</v>
      </c>
      <c r="D56" s="1092">
        <v>1557288</v>
      </c>
      <c r="E56" s="1092">
        <v>4220.096855589557</v>
      </c>
      <c r="F56" s="1092">
        <v>7363.3412477897382</v>
      </c>
      <c r="G56" s="1092">
        <v>-3143.2443922001794</v>
      </c>
      <c r="H56" s="1092">
        <v>25713.370151865296</v>
      </c>
      <c r="I56" s="1092">
        <v>55</v>
      </c>
      <c r="J56" s="1092">
        <v>1480892</v>
      </c>
      <c r="K56" s="1092">
        <v>506.89155026899994</v>
      </c>
      <c r="L56" s="1092">
        <v>1229.4919459772177</v>
      </c>
      <c r="M56" s="1092">
        <v>-722.60039570821766</v>
      </c>
      <c r="N56" s="1092">
        <v>25029.775612878162</v>
      </c>
    </row>
    <row r="57" spans="1:14" x14ac:dyDescent="0.25">
      <c r="A57" s="1090"/>
      <c r="B57" s="1087" t="s">
        <v>1055</v>
      </c>
      <c r="C57" s="1093">
        <v>469</v>
      </c>
      <c r="D57" s="1093">
        <v>27962550</v>
      </c>
      <c r="E57" s="1093">
        <v>217362.5410845411</v>
      </c>
      <c r="F57" s="1093">
        <v>156673.79632604661</v>
      </c>
      <c r="G57" s="1093">
        <v>60688.74475849446</v>
      </c>
      <c r="H57" s="1093">
        <v>934594.61202159314</v>
      </c>
      <c r="I57" s="1093">
        <v>481</v>
      </c>
      <c r="J57" s="1093">
        <v>29642726</v>
      </c>
      <c r="K57" s="1093">
        <v>52523.500378713034</v>
      </c>
      <c r="L57" s="1093">
        <v>25363.294866534314</v>
      </c>
      <c r="M57" s="1093">
        <v>27160.205512178716</v>
      </c>
      <c r="N57" s="1093">
        <v>983756.13609672163</v>
      </c>
    </row>
    <row r="58" spans="1:14" x14ac:dyDescent="0.25">
      <c r="A58" s="1090"/>
      <c r="B58" s="1090"/>
      <c r="C58" s="1092"/>
      <c r="D58" s="1092"/>
      <c r="E58" s="1092"/>
      <c r="F58" s="1092"/>
      <c r="G58" s="1092"/>
      <c r="H58" s="1092"/>
      <c r="I58" s="1092"/>
      <c r="J58" s="1092"/>
      <c r="K58" s="1092"/>
      <c r="L58" s="1092"/>
      <c r="M58" s="1092"/>
      <c r="N58" s="1092"/>
    </row>
    <row r="59" spans="1:14" x14ac:dyDescent="0.25">
      <c r="A59" s="1090"/>
      <c r="B59" s="1087" t="s">
        <v>1056</v>
      </c>
      <c r="C59" s="1093">
        <v>1418</v>
      </c>
      <c r="D59" s="1093">
        <v>177292450</v>
      </c>
      <c r="E59" s="1093">
        <v>11443654.126122108</v>
      </c>
      <c r="F59" s="1093">
        <v>11074733.976788539</v>
      </c>
      <c r="G59" s="1093">
        <v>368920.14933356759</v>
      </c>
      <c r="H59" s="1093">
        <v>5312736.3643948203</v>
      </c>
      <c r="I59" s="1093">
        <v>1435</v>
      </c>
      <c r="J59" s="1093">
        <v>185414491</v>
      </c>
      <c r="K59" s="1093">
        <v>2102983.0948950225</v>
      </c>
      <c r="L59" s="1093">
        <v>1751457.510948814</v>
      </c>
      <c r="M59" s="1093">
        <v>351525.58394620847</v>
      </c>
      <c r="N59" s="1093">
        <v>5864965.4869910358</v>
      </c>
    </row>
    <row r="60" spans="1:14" x14ac:dyDescent="0.25">
      <c r="A60" s="1090"/>
      <c r="B60" s="1090"/>
      <c r="C60" s="1092"/>
      <c r="D60" s="1092"/>
      <c r="E60" s="1092"/>
      <c r="F60" s="1092"/>
      <c r="G60" s="1092"/>
      <c r="H60" s="1092"/>
      <c r="I60" s="1092"/>
      <c r="J60" s="1092"/>
      <c r="K60" s="1092"/>
      <c r="L60" s="1092"/>
      <c r="M60" s="1092"/>
      <c r="N60" s="1092"/>
    </row>
    <row r="61" spans="1:14" s="505" customFormat="1" x14ac:dyDescent="0.25">
      <c r="A61" s="1086" t="s">
        <v>1057</v>
      </c>
      <c r="B61" s="1087" t="s">
        <v>1058</v>
      </c>
      <c r="C61" s="1092"/>
      <c r="D61" s="1092"/>
      <c r="E61" s="1092"/>
      <c r="F61" s="1092"/>
      <c r="G61" s="1092"/>
      <c r="H61" s="1092"/>
      <c r="I61" s="1092"/>
      <c r="J61" s="1092"/>
      <c r="K61" s="1092"/>
      <c r="L61" s="1092"/>
      <c r="M61" s="1092"/>
      <c r="N61" s="1092"/>
    </row>
    <row r="62" spans="1:14" x14ac:dyDescent="0.25">
      <c r="A62" s="1090" t="s">
        <v>1002</v>
      </c>
      <c r="B62" s="1091" t="s">
        <v>1003</v>
      </c>
      <c r="C62" s="1092"/>
      <c r="D62" s="1092"/>
      <c r="E62" s="1092"/>
      <c r="F62" s="1092"/>
      <c r="G62" s="1092"/>
      <c r="H62" s="1092"/>
      <c r="I62" s="1092"/>
      <c r="J62" s="1092"/>
      <c r="K62" s="1092"/>
      <c r="L62" s="1092"/>
      <c r="M62" s="1092"/>
      <c r="N62" s="1092"/>
    </row>
    <row r="63" spans="1:14" x14ac:dyDescent="0.25">
      <c r="A63" s="1090" t="s">
        <v>1059</v>
      </c>
      <c r="B63" s="1091" t="s">
        <v>1060</v>
      </c>
      <c r="C63" s="1092">
        <v>87</v>
      </c>
      <c r="D63" s="1092">
        <v>71976</v>
      </c>
      <c r="E63" s="1092">
        <v>3750.8822071360005</v>
      </c>
      <c r="F63" s="1092">
        <v>13008.706854855998</v>
      </c>
      <c r="G63" s="1092">
        <v>-9257.8246477199991</v>
      </c>
      <c r="H63" s="1092">
        <v>15970.811072789929</v>
      </c>
      <c r="I63" s="1092">
        <v>82</v>
      </c>
      <c r="J63" s="1092">
        <v>68573</v>
      </c>
      <c r="K63" s="1092">
        <v>0</v>
      </c>
      <c r="L63" s="1092">
        <v>647.73617319000004</v>
      </c>
      <c r="M63" s="1092">
        <v>-647.73617319000004</v>
      </c>
      <c r="N63" s="1092">
        <v>15505.853123043571</v>
      </c>
    </row>
    <row r="64" spans="1:14" x14ac:dyDescent="0.25">
      <c r="A64" s="1090" t="s">
        <v>1061</v>
      </c>
      <c r="B64" s="1091" t="s">
        <v>1062</v>
      </c>
      <c r="C64" s="1092">
        <v>0</v>
      </c>
      <c r="D64" s="1092">
        <v>0</v>
      </c>
      <c r="E64" s="1092">
        <v>0</v>
      </c>
      <c r="F64" s="1092">
        <v>653.25621362300001</v>
      </c>
      <c r="G64" s="1092">
        <v>-653.25621362300001</v>
      </c>
      <c r="H64" s="1092">
        <v>0</v>
      </c>
      <c r="I64" s="1092">
        <v>0</v>
      </c>
      <c r="J64" s="1092">
        <v>0</v>
      </c>
      <c r="K64" s="1092">
        <v>0</v>
      </c>
      <c r="L64" s="1092">
        <v>0</v>
      </c>
      <c r="M64" s="1092">
        <v>0</v>
      </c>
      <c r="N64" s="1092">
        <v>0</v>
      </c>
    </row>
    <row r="65" spans="1:14" x14ac:dyDescent="0.25">
      <c r="A65" s="1090" t="s">
        <v>1063</v>
      </c>
      <c r="B65" s="1091" t="s">
        <v>1064</v>
      </c>
      <c r="C65" s="1092">
        <v>5</v>
      </c>
      <c r="D65" s="1092">
        <v>41</v>
      </c>
      <c r="E65" s="1092">
        <v>0</v>
      </c>
      <c r="F65" s="1092">
        <v>639.14217091600005</v>
      </c>
      <c r="G65" s="1092">
        <v>-639.14217091600005</v>
      </c>
      <c r="H65" s="1092">
        <v>1632.2957461257793</v>
      </c>
      <c r="I65" s="1092">
        <v>4</v>
      </c>
      <c r="J65" s="1092">
        <v>30</v>
      </c>
      <c r="K65" s="1092">
        <v>0</v>
      </c>
      <c r="L65" s="1092">
        <v>606.48123177704792</v>
      </c>
      <c r="M65" s="1092">
        <v>-606.48123177704804</v>
      </c>
      <c r="N65" s="1092">
        <v>1042.9926331964</v>
      </c>
    </row>
    <row r="66" spans="1:14" x14ac:dyDescent="0.25">
      <c r="A66" s="1090" t="s">
        <v>1065</v>
      </c>
      <c r="B66" s="1091" t="s">
        <v>1066</v>
      </c>
      <c r="C66" s="1092">
        <v>1</v>
      </c>
      <c r="D66" s="1092">
        <v>211951</v>
      </c>
      <c r="E66" s="1092">
        <v>272.42</v>
      </c>
      <c r="F66" s="1092">
        <v>724.98</v>
      </c>
      <c r="G66" s="1092">
        <v>-452.56</v>
      </c>
      <c r="H66" s="1092">
        <v>5247.95</v>
      </c>
      <c r="I66" s="1092">
        <v>1</v>
      </c>
      <c r="J66" s="1092">
        <v>207658</v>
      </c>
      <c r="K66" s="1092">
        <v>41.86</v>
      </c>
      <c r="L66" s="1092">
        <v>153</v>
      </c>
      <c r="M66" s="1092">
        <v>-111.14</v>
      </c>
      <c r="N66" s="1092">
        <v>5281.45</v>
      </c>
    </row>
    <row r="67" spans="1:14" x14ac:dyDescent="0.25">
      <c r="A67" s="1090"/>
      <c r="B67" s="1087" t="s">
        <v>1067</v>
      </c>
      <c r="C67" s="1093">
        <v>93</v>
      </c>
      <c r="D67" s="1093">
        <v>283968</v>
      </c>
      <c r="E67" s="1093">
        <v>4023.3022071360006</v>
      </c>
      <c r="F67" s="1093">
        <v>15026.085239394999</v>
      </c>
      <c r="G67" s="1093">
        <v>-11002.783032259</v>
      </c>
      <c r="H67" s="1093">
        <v>22851.056818915709</v>
      </c>
      <c r="I67" s="1093">
        <v>87</v>
      </c>
      <c r="J67" s="1093">
        <v>276261</v>
      </c>
      <c r="K67" s="1093">
        <v>41.86</v>
      </c>
      <c r="L67" s="1093">
        <v>1407.217404967048</v>
      </c>
      <c r="M67" s="1093">
        <v>-1365.3574049670481</v>
      </c>
      <c r="N67" s="1093">
        <v>21830.295756239972</v>
      </c>
    </row>
    <row r="68" spans="1:14" x14ac:dyDescent="0.25">
      <c r="A68" s="1090"/>
      <c r="B68" s="1090"/>
      <c r="C68" s="1092"/>
      <c r="D68" s="1092"/>
      <c r="E68" s="1092"/>
      <c r="F68" s="1092"/>
      <c r="G68" s="1092"/>
      <c r="H68" s="1092"/>
      <c r="I68" s="1092"/>
      <c r="J68" s="1092"/>
      <c r="K68" s="1092"/>
      <c r="L68" s="1092"/>
      <c r="M68" s="1092"/>
      <c r="N68" s="1092"/>
    </row>
    <row r="69" spans="1:14" x14ac:dyDescent="0.25">
      <c r="A69" s="1090" t="s">
        <v>1021</v>
      </c>
      <c r="B69" s="1091" t="s">
        <v>1022</v>
      </c>
      <c r="C69" s="1092"/>
      <c r="D69" s="1092"/>
      <c r="E69" s="1092"/>
      <c r="F69" s="1092"/>
      <c r="G69" s="1092"/>
      <c r="H69" s="1092"/>
      <c r="I69" s="1092"/>
      <c r="J69" s="1092"/>
      <c r="K69" s="1092"/>
      <c r="L69" s="1092"/>
      <c r="M69" s="1092"/>
      <c r="N69" s="1092"/>
    </row>
    <row r="70" spans="1:14" x14ac:dyDescent="0.25">
      <c r="A70" s="1090" t="s">
        <v>1059</v>
      </c>
      <c r="B70" s="1091" t="s">
        <v>1032</v>
      </c>
      <c r="C70" s="1092">
        <v>18</v>
      </c>
      <c r="D70" s="1092">
        <v>277840</v>
      </c>
      <c r="E70" s="1092">
        <v>0</v>
      </c>
      <c r="F70" s="1092">
        <v>375.80402732836723</v>
      </c>
      <c r="G70" s="1092">
        <v>-375.80402732836723</v>
      </c>
      <c r="H70" s="1092">
        <v>4088.2049354424944</v>
      </c>
      <c r="I70" s="1092">
        <v>18</v>
      </c>
      <c r="J70" s="1092">
        <v>275036</v>
      </c>
      <c r="K70" s="1092">
        <v>0</v>
      </c>
      <c r="L70" s="1092">
        <v>54.863332395576037</v>
      </c>
      <c r="M70" s="1092">
        <v>-54.863332395576037</v>
      </c>
      <c r="N70" s="1092">
        <v>4205.2072548264896</v>
      </c>
    </row>
    <row r="71" spans="1:14" x14ac:dyDescent="0.25">
      <c r="A71" s="1090" t="s">
        <v>1061</v>
      </c>
      <c r="B71" s="1091" t="s">
        <v>306</v>
      </c>
      <c r="C71" s="1092">
        <v>0</v>
      </c>
      <c r="D71" s="1092">
        <v>0</v>
      </c>
      <c r="E71" s="1092">
        <v>0</v>
      </c>
      <c r="F71" s="1092">
        <v>2352.8585653067239</v>
      </c>
      <c r="G71" s="1092">
        <v>-2352.8585653067239</v>
      </c>
      <c r="H71" s="1092">
        <v>0</v>
      </c>
      <c r="I71" s="1092">
        <v>0</v>
      </c>
      <c r="J71" s="1092">
        <v>0</v>
      </c>
      <c r="K71" s="1092">
        <v>0</v>
      </c>
      <c r="L71" s="1092">
        <v>0</v>
      </c>
      <c r="M71" s="1092">
        <v>0</v>
      </c>
      <c r="N71" s="1092">
        <v>0</v>
      </c>
    </row>
    <row r="72" spans="1:14" x14ac:dyDescent="0.25">
      <c r="A72" s="1090"/>
      <c r="B72" s="1087" t="s">
        <v>1067</v>
      </c>
      <c r="C72" s="1093">
        <v>18</v>
      </c>
      <c r="D72" s="1093">
        <v>277840</v>
      </c>
      <c r="E72" s="1093">
        <v>0</v>
      </c>
      <c r="F72" s="1093">
        <v>2728.6625926350912</v>
      </c>
      <c r="G72" s="1093">
        <v>-2728.6625926350912</v>
      </c>
      <c r="H72" s="1093">
        <v>4088.2049354424944</v>
      </c>
      <c r="I72" s="1093">
        <v>18</v>
      </c>
      <c r="J72" s="1093">
        <v>275036</v>
      </c>
      <c r="K72" s="1093">
        <v>0</v>
      </c>
      <c r="L72" s="1093">
        <v>54.863332395576037</v>
      </c>
      <c r="M72" s="1093">
        <v>-54.863332395576037</v>
      </c>
      <c r="N72" s="1093">
        <v>4205.2072548264896</v>
      </c>
    </row>
    <row r="73" spans="1:14" x14ac:dyDescent="0.25">
      <c r="A73" s="1090"/>
      <c r="B73" s="1090"/>
      <c r="C73" s="1092"/>
      <c r="D73" s="1092"/>
      <c r="E73" s="1092"/>
      <c r="F73" s="1092"/>
      <c r="G73" s="1092"/>
      <c r="H73" s="1092"/>
      <c r="I73" s="1092"/>
      <c r="J73" s="1092"/>
      <c r="K73" s="1092"/>
      <c r="L73" s="1092"/>
      <c r="M73" s="1092"/>
      <c r="N73" s="1092"/>
    </row>
    <row r="74" spans="1:14" x14ac:dyDescent="0.25">
      <c r="A74" s="1090" t="s">
        <v>1035</v>
      </c>
      <c r="B74" s="1091" t="s">
        <v>1050</v>
      </c>
      <c r="C74" s="1093">
        <v>0</v>
      </c>
      <c r="D74" s="1093">
        <v>0</v>
      </c>
      <c r="E74" s="1093">
        <v>0</v>
      </c>
      <c r="F74" s="1093">
        <v>0</v>
      </c>
      <c r="G74" s="1093">
        <v>0</v>
      </c>
      <c r="H74" s="1093">
        <v>0</v>
      </c>
      <c r="I74" s="1093">
        <v>0</v>
      </c>
      <c r="J74" s="1093">
        <v>0</v>
      </c>
      <c r="K74" s="1093">
        <v>0</v>
      </c>
      <c r="L74" s="1093">
        <v>0</v>
      </c>
      <c r="M74" s="1093">
        <v>0</v>
      </c>
      <c r="N74" s="1093">
        <v>0</v>
      </c>
    </row>
    <row r="75" spans="1:14" x14ac:dyDescent="0.25">
      <c r="A75" s="1090"/>
      <c r="B75" s="1090"/>
      <c r="C75" s="1092"/>
      <c r="D75" s="1092"/>
      <c r="E75" s="1092"/>
      <c r="F75" s="1092"/>
      <c r="G75" s="1092"/>
      <c r="H75" s="1092"/>
      <c r="I75" s="1092"/>
      <c r="J75" s="1092"/>
      <c r="K75" s="1092"/>
      <c r="L75" s="1092"/>
      <c r="M75" s="1092"/>
      <c r="N75" s="1092"/>
    </row>
    <row r="76" spans="1:14" x14ac:dyDescent="0.25">
      <c r="A76" s="1090"/>
      <c r="B76" s="1087" t="s">
        <v>1068</v>
      </c>
      <c r="C76" s="1093">
        <v>111</v>
      </c>
      <c r="D76" s="1093">
        <v>561808</v>
      </c>
      <c r="E76" s="1093">
        <v>4023.3022071360006</v>
      </c>
      <c r="F76" s="1093">
        <v>17754.747832030091</v>
      </c>
      <c r="G76" s="1093">
        <v>-13731.445624894091</v>
      </c>
      <c r="H76" s="1093">
        <v>26939.261754358202</v>
      </c>
      <c r="I76" s="1093">
        <v>105</v>
      </c>
      <c r="J76" s="1093">
        <v>551297</v>
      </c>
      <c r="K76" s="1093">
        <v>41.86</v>
      </c>
      <c r="L76" s="1093">
        <v>1462.0807373626239</v>
      </c>
      <c r="M76" s="1093">
        <v>-1420.220737362624</v>
      </c>
      <c r="N76" s="1093">
        <v>26035.503011066459</v>
      </c>
    </row>
    <row r="77" spans="1:14" x14ac:dyDescent="0.25">
      <c r="A77" s="1090"/>
      <c r="B77" s="1090"/>
      <c r="C77" s="1092"/>
      <c r="D77" s="1092"/>
      <c r="E77" s="1092"/>
      <c r="F77" s="1092"/>
      <c r="G77" s="1092"/>
      <c r="H77" s="1092"/>
      <c r="I77" s="1092"/>
      <c r="J77" s="1092"/>
      <c r="K77" s="1092"/>
      <c r="L77" s="1092"/>
      <c r="M77" s="1092"/>
      <c r="N77" s="1092"/>
    </row>
    <row r="78" spans="1:14" s="505" customFormat="1" x14ac:dyDescent="0.25">
      <c r="A78" s="1086" t="s">
        <v>1069</v>
      </c>
      <c r="B78" s="1087" t="s">
        <v>1070</v>
      </c>
      <c r="C78" s="1092"/>
      <c r="D78" s="1092"/>
      <c r="E78" s="1092"/>
      <c r="F78" s="1092"/>
      <c r="G78" s="1092"/>
      <c r="H78" s="1092"/>
      <c r="I78" s="1092"/>
      <c r="J78" s="1092"/>
      <c r="K78" s="1092"/>
      <c r="L78" s="1092"/>
      <c r="M78" s="1092"/>
      <c r="N78" s="1092"/>
    </row>
    <row r="79" spans="1:14" x14ac:dyDescent="0.25">
      <c r="A79" s="1090" t="s">
        <v>1002</v>
      </c>
      <c r="B79" s="1091" t="s">
        <v>1003</v>
      </c>
      <c r="C79" s="1093">
        <v>12</v>
      </c>
      <c r="D79" s="1093">
        <v>2502</v>
      </c>
      <c r="E79" s="1093">
        <v>537.35687652700005</v>
      </c>
      <c r="F79" s="1093">
        <v>1024.7374193730002</v>
      </c>
      <c r="G79" s="1093">
        <v>-487.3805428460002</v>
      </c>
      <c r="H79" s="1093">
        <v>519.04880310623321</v>
      </c>
      <c r="I79" s="1093">
        <v>12</v>
      </c>
      <c r="J79" s="1093">
        <v>2434</v>
      </c>
      <c r="K79" s="1093">
        <v>1.0787184E-2</v>
      </c>
      <c r="L79" s="1093">
        <v>355.568896295</v>
      </c>
      <c r="M79" s="1093">
        <v>-355.55810911100002</v>
      </c>
      <c r="N79" s="1093">
        <v>159.52673880381104</v>
      </c>
    </row>
    <row r="80" spans="1:14" x14ac:dyDescent="0.25">
      <c r="A80" s="1090"/>
      <c r="B80" s="1090"/>
      <c r="C80" s="1092"/>
      <c r="D80" s="1092"/>
      <c r="E80" s="1092"/>
      <c r="F80" s="1092"/>
      <c r="G80" s="1092"/>
      <c r="H80" s="1092"/>
      <c r="I80" s="1092"/>
      <c r="J80" s="1092"/>
      <c r="K80" s="1092"/>
      <c r="L80" s="1092"/>
      <c r="M80" s="1092"/>
      <c r="N80" s="1092"/>
    </row>
    <row r="81" spans="1:14" x14ac:dyDescent="0.25">
      <c r="A81" s="1090" t="s">
        <v>1021</v>
      </c>
      <c r="B81" s="1091" t="s">
        <v>1071</v>
      </c>
      <c r="C81" s="1093">
        <v>0</v>
      </c>
      <c r="D81" s="1093">
        <v>0</v>
      </c>
      <c r="E81" s="1093">
        <v>0</v>
      </c>
      <c r="F81" s="1093">
        <v>0</v>
      </c>
      <c r="G81" s="1093">
        <v>0</v>
      </c>
      <c r="H81" s="1093">
        <v>0</v>
      </c>
      <c r="I81" s="1093">
        <v>0</v>
      </c>
      <c r="J81" s="1093">
        <v>0</v>
      </c>
      <c r="K81" s="1093">
        <v>0</v>
      </c>
      <c r="L81" s="1093">
        <v>0</v>
      </c>
      <c r="M81" s="1093">
        <v>0</v>
      </c>
      <c r="N81" s="1093">
        <v>0</v>
      </c>
    </row>
    <row r="82" spans="1:14" x14ac:dyDescent="0.25">
      <c r="A82" s="1090"/>
      <c r="B82" s="1090"/>
      <c r="C82" s="1092"/>
      <c r="D82" s="1092"/>
      <c r="E82" s="1092"/>
      <c r="F82" s="1092"/>
      <c r="G82" s="1092"/>
      <c r="H82" s="1092"/>
      <c r="I82" s="1092"/>
      <c r="J82" s="1092"/>
      <c r="K82" s="1092"/>
      <c r="L82" s="1092"/>
      <c r="M82" s="1092"/>
      <c r="N82" s="1092"/>
    </row>
    <row r="83" spans="1:14" x14ac:dyDescent="0.25">
      <c r="A83" s="1090" t="s">
        <v>1035</v>
      </c>
      <c r="B83" s="1091" t="s">
        <v>1050</v>
      </c>
      <c r="C83" s="1093">
        <v>0</v>
      </c>
      <c r="D83" s="1093">
        <v>0</v>
      </c>
      <c r="E83" s="1093">
        <v>0</v>
      </c>
      <c r="F83" s="1093">
        <v>0</v>
      </c>
      <c r="G83" s="1093">
        <v>0</v>
      </c>
      <c r="H83" s="1093">
        <v>0</v>
      </c>
      <c r="I83" s="1093">
        <v>0</v>
      </c>
      <c r="J83" s="1093">
        <v>0</v>
      </c>
      <c r="K83" s="1093">
        <v>0</v>
      </c>
      <c r="L83" s="1093">
        <v>0</v>
      </c>
      <c r="M83" s="1093">
        <v>0</v>
      </c>
      <c r="N83" s="1093">
        <v>0</v>
      </c>
    </row>
    <row r="84" spans="1:14" x14ac:dyDescent="0.25">
      <c r="A84" s="1090"/>
      <c r="B84" s="1090"/>
      <c r="C84" s="1092"/>
      <c r="D84" s="1092"/>
      <c r="E84" s="1092"/>
      <c r="F84" s="1092"/>
      <c r="G84" s="1092"/>
      <c r="H84" s="1092"/>
      <c r="I84" s="1092"/>
      <c r="J84" s="1092"/>
      <c r="K84" s="1092"/>
      <c r="L84" s="1092"/>
      <c r="M84" s="1092"/>
      <c r="N84" s="1092"/>
    </row>
    <row r="85" spans="1:14" x14ac:dyDescent="0.25">
      <c r="A85" s="1090"/>
      <c r="B85" s="1087" t="s">
        <v>1072</v>
      </c>
      <c r="C85" s="1093">
        <v>12</v>
      </c>
      <c r="D85" s="1093">
        <v>2502</v>
      </c>
      <c r="E85" s="1093">
        <v>537.35687652700005</v>
      </c>
      <c r="F85" s="1093">
        <v>1024.7374193730002</v>
      </c>
      <c r="G85" s="1093">
        <v>-487.3805428460002</v>
      </c>
      <c r="H85" s="1093">
        <v>519.04880310623321</v>
      </c>
      <c r="I85" s="1093">
        <v>12</v>
      </c>
      <c r="J85" s="1093">
        <v>2434</v>
      </c>
      <c r="K85" s="1093">
        <v>1.0787184E-2</v>
      </c>
      <c r="L85" s="1093">
        <v>355.568896295</v>
      </c>
      <c r="M85" s="1093">
        <v>-355.55810911100002</v>
      </c>
      <c r="N85" s="1093">
        <v>159.52673880381104</v>
      </c>
    </row>
    <row r="86" spans="1:14" x14ac:dyDescent="0.25">
      <c r="A86" s="1090"/>
      <c r="B86" s="1090"/>
      <c r="C86" s="1092"/>
      <c r="D86" s="1092"/>
      <c r="E86" s="1092"/>
      <c r="F86" s="1092"/>
      <c r="G86" s="1092"/>
      <c r="H86" s="1092"/>
      <c r="I86" s="1092"/>
      <c r="J86" s="1092"/>
      <c r="K86" s="1092"/>
      <c r="L86" s="1092"/>
      <c r="M86" s="1092"/>
      <c r="N86" s="1092"/>
    </row>
    <row r="87" spans="1:14" s="505" customFormat="1" x14ac:dyDescent="0.25">
      <c r="A87" s="939"/>
      <c r="B87" s="939" t="s">
        <v>1073</v>
      </c>
      <c r="C87" s="1093">
        <v>1541</v>
      </c>
      <c r="D87" s="1093">
        <v>177856760</v>
      </c>
      <c r="E87" s="1093">
        <v>11448214.78520577</v>
      </c>
      <c r="F87" s="1093">
        <v>11093513.462039942</v>
      </c>
      <c r="G87" s="1093">
        <v>354701.32316582749</v>
      </c>
      <c r="H87" s="1093">
        <v>5340194.6749522844</v>
      </c>
      <c r="I87" s="1093">
        <v>1552</v>
      </c>
      <c r="J87" s="1093">
        <v>185968222</v>
      </c>
      <c r="K87" s="1093">
        <v>2103024.9656822067</v>
      </c>
      <c r="L87" s="1093">
        <v>1753275.1605824716</v>
      </c>
      <c r="M87" s="1093">
        <v>349749.80509973486</v>
      </c>
      <c r="N87" s="1093">
        <v>5891160.5167409061</v>
      </c>
    </row>
    <row r="88" spans="1:14" x14ac:dyDescent="0.25">
      <c r="A88" s="1090"/>
      <c r="B88" s="1090"/>
      <c r="C88" s="1092"/>
      <c r="D88" s="1092"/>
      <c r="E88" s="1092"/>
      <c r="F88" s="1092"/>
      <c r="G88" s="1092"/>
      <c r="H88" s="1092"/>
      <c r="I88" s="1092"/>
      <c r="J88" s="1092"/>
      <c r="K88" s="1092"/>
      <c r="L88" s="1092"/>
      <c r="M88" s="1092"/>
      <c r="N88" s="1092"/>
    </row>
    <row r="89" spans="1:14" x14ac:dyDescent="0.25">
      <c r="A89" s="1090"/>
      <c r="B89" s="1091" t="s">
        <v>1074</v>
      </c>
      <c r="C89" s="1095">
        <v>80</v>
      </c>
      <c r="D89" s="1095">
        <v>2113656</v>
      </c>
      <c r="E89" s="1095">
        <v>10058.684773178218</v>
      </c>
      <c r="F89" s="1095">
        <v>12504.826643119661</v>
      </c>
      <c r="G89" s="1095">
        <v>-2446.1418699414412</v>
      </c>
      <c r="H89" s="1095">
        <v>76396.589073111376</v>
      </c>
      <c r="I89" s="1095">
        <v>81</v>
      </c>
      <c r="J89" s="1095">
        <v>2274971</v>
      </c>
      <c r="K89" s="1095">
        <v>2640.5577504271073</v>
      </c>
      <c r="L89" s="1095">
        <v>2460.8599437291582</v>
      </c>
      <c r="M89" s="1095">
        <v>179.69780669794889</v>
      </c>
      <c r="N89" s="1095">
        <v>79034.222912007899</v>
      </c>
    </row>
    <row r="90" spans="1:14" x14ac:dyDescent="0.25">
      <c r="A90" s="940" t="s">
        <v>81</v>
      </c>
      <c r="B90" s="940"/>
      <c r="C90" s="941"/>
      <c r="D90" s="941"/>
      <c r="E90" s="941"/>
      <c r="F90" s="941"/>
      <c r="G90" s="941"/>
      <c r="H90" s="942"/>
    </row>
    <row r="91" spans="1:14" ht="15" customHeight="1" x14ac:dyDescent="0.25">
      <c r="A91" s="1456" t="s">
        <v>1075</v>
      </c>
      <c r="B91" s="1456"/>
      <c r="C91" s="1456"/>
      <c r="D91" s="1456"/>
      <c r="E91" s="941"/>
      <c r="F91" s="941"/>
      <c r="G91" s="941"/>
      <c r="H91" s="942"/>
    </row>
    <row r="92" spans="1:14" ht="15" customHeight="1" x14ac:dyDescent="0.25">
      <c r="A92" s="1457" t="s">
        <v>1391</v>
      </c>
      <c r="B92" s="1457"/>
      <c r="C92" s="1072"/>
      <c r="D92" s="1072"/>
      <c r="E92" s="1072"/>
      <c r="F92" s="1072"/>
      <c r="G92" s="1072"/>
    </row>
    <row r="93" spans="1:14" ht="15" customHeight="1" x14ac:dyDescent="0.25">
      <c r="A93" s="1457" t="s">
        <v>1076</v>
      </c>
      <c r="B93" s="1458"/>
      <c r="C93" s="1458"/>
      <c r="D93" s="1458"/>
      <c r="E93" s="1458"/>
      <c r="F93" s="1458"/>
      <c r="G93" s="1458"/>
    </row>
    <row r="94" spans="1:14" ht="15" customHeight="1" x14ac:dyDescent="0.25">
      <c r="A94" s="1457" t="s">
        <v>130</v>
      </c>
      <c r="B94" s="1457"/>
      <c r="C94" s="1072"/>
      <c r="D94" s="1072"/>
      <c r="E94" s="1072"/>
      <c r="F94" s="1072"/>
      <c r="G94" s="1072"/>
    </row>
    <row r="98" spans="3:3" x14ac:dyDescent="0.25">
      <c r="C98" s="944"/>
    </row>
    <row r="99" spans="3:3" x14ac:dyDescent="0.25">
      <c r="C99" s="944"/>
    </row>
    <row r="100" spans="3:3" x14ac:dyDescent="0.25">
      <c r="C100" s="944"/>
    </row>
  </sheetData>
  <mergeCells count="9">
    <mergeCell ref="A1:D1"/>
    <mergeCell ref="I2:N2"/>
    <mergeCell ref="A91:D91"/>
    <mergeCell ref="A92:B92"/>
    <mergeCell ref="A93:G93"/>
    <mergeCell ref="A94:B94"/>
    <mergeCell ref="A2:A3"/>
    <mergeCell ref="B2:B3"/>
    <mergeCell ref="C2:H2"/>
  </mergeCells>
  <pageMargins left="0.7" right="0.7" top="0.75" bottom="0.75" header="0.3" footer="0.3"/>
  <pageSetup paperSize="9" scale="56" fitToHeight="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topLeftCell="A4" workbookViewId="0">
      <selection activeCell="A21" sqref="A21"/>
    </sheetView>
  </sheetViews>
  <sheetFormatPr defaultColWidth="9.140625" defaultRowHeight="15" x14ac:dyDescent="0.25"/>
  <cols>
    <col min="1" max="1" width="14.42578125" style="318" bestFit="1" customWidth="1"/>
    <col min="2" max="3" width="14.85546875" style="318" bestFit="1" customWidth="1"/>
    <col min="4" max="4" width="13.7109375" style="318" bestFit="1" customWidth="1"/>
    <col min="5" max="6" width="14.85546875" style="318" bestFit="1" customWidth="1"/>
    <col min="7" max="7" width="13.7109375" style="318" bestFit="1" customWidth="1"/>
    <col min="8" max="9" width="12.85546875" style="318" bestFit="1" customWidth="1"/>
    <col min="10" max="10" width="16.140625" style="318" bestFit="1" customWidth="1"/>
    <col min="11" max="11" width="4.5703125" style="318" bestFit="1" customWidth="1"/>
    <col min="12" max="16384" width="9.140625" style="318"/>
  </cols>
  <sheetData>
    <row r="1" spans="1:18" ht="15" customHeight="1" x14ac:dyDescent="0.25">
      <c r="A1" s="1463" t="s">
        <v>1233</v>
      </c>
      <c r="B1" s="1464"/>
      <c r="C1" s="1464"/>
      <c r="D1" s="1464"/>
      <c r="E1" s="1464"/>
      <c r="F1" s="1464"/>
      <c r="G1" s="1464"/>
      <c r="H1" s="1464"/>
      <c r="I1" s="1464"/>
      <c r="J1" s="1465"/>
    </row>
    <row r="2" spans="1:18" s="322" customFormat="1" x14ac:dyDescent="0.25">
      <c r="A2" s="1466" t="s">
        <v>116</v>
      </c>
      <c r="B2" s="1467" t="s">
        <v>645</v>
      </c>
      <c r="C2" s="1467"/>
      <c r="D2" s="1467"/>
      <c r="E2" s="1467" t="s">
        <v>140</v>
      </c>
      <c r="F2" s="1467"/>
      <c r="G2" s="1467"/>
      <c r="H2" s="1467" t="s">
        <v>96</v>
      </c>
      <c r="I2" s="1467"/>
      <c r="J2" s="1467"/>
      <c r="K2" s="318"/>
      <c r="L2" s="318"/>
      <c r="M2" s="318"/>
      <c r="N2" s="318"/>
      <c r="O2" s="318"/>
      <c r="P2" s="318"/>
      <c r="Q2" s="318"/>
      <c r="R2" s="318"/>
    </row>
    <row r="3" spans="1:18" s="322" customFormat="1" ht="45" x14ac:dyDescent="0.25">
      <c r="A3" s="1466"/>
      <c r="B3" s="945" t="s">
        <v>1077</v>
      </c>
      <c r="C3" s="945" t="s">
        <v>1078</v>
      </c>
      <c r="D3" s="945" t="s">
        <v>1079</v>
      </c>
      <c r="E3" s="945" t="s">
        <v>1077</v>
      </c>
      <c r="F3" s="945" t="s">
        <v>1078</v>
      </c>
      <c r="G3" s="945" t="s">
        <v>1079</v>
      </c>
      <c r="H3" s="945" t="s">
        <v>1077</v>
      </c>
      <c r="I3" s="945" t="s">
        <v>1078</v>
      </c>
      <c r="J3" s="945" t="s">
        <v>1079</v>
      </c>
      <c r="K3" s="318"/>
      <c r="L3" s="318"/>
      <c r="M3" s="318"/>
      <c r="N3" s="318"/>
      <c r="O3" s="318"/>
      <c r="P3" s="318"/>
      <c r="Q3" s="318"/>
      <c r="R3" s="318"/>
    </row>
    <row r="4" spans="1:18" s="323" customFormat="1" x14ac:dyDescent="0.25">
      <c r="A4" s="1157" t="s">
        <v>532</v>
      </c>
      <c r="B4" s="946">
        <v>1689869.16</v>
      </c>
      <c r="C4" s="946">
        <v>1489137.0499999998</v>
      </c>
      <c r="D4" s="946">
        <v>200732.11000000004</v>
      </c>
      <c r="E4" s="946">
        <v>1900513.16</v>
      </c>
      <c r="F4" s="946">
        <v>2096290.51</v>
      </c>
      <c r="G4" s="946">
        <v>-195777.35</v>
      </c>
      <c r="H4" s="946">
        <v>3590382.3200000003</v>
      </c>
      <c r="I4" s="946">
        <v>3585427.5599999996</v>
      </c>
      <c r="J4" s="946">
        <v>4954.7600000000239</v>
      </c>
      <c r="K4" s="318"/>
      <c r="L4" s="318"/>
      <c r="M4" s="318"/>
      <c r="N4" s="318"/>
      <c r="O4" s="318"/>
      <c r="P4" s="318"/>
      <c r="Q4" s="318"/>
      <c r="R4" s="318"/>
    </row>
    <row r="5" spans="1:18" s="323" customFormat="1" x14ac:dyDescent="0.25">
      <c r="A5" s="1158" t="s">
        <v>1413</v>
      </c>
      <c r="B5" s="1001">
        <f>SUM(B6:B17)</f>
        <v>457467.07999999996</v>
      </c>
      <c r="C5" s="1001">
        <f t="shared" ref="C5:J5" si="0">SUM(C6:C17)</f>
        <v>376544.37</v>
      </c>
      <c r="D5" s="1001">
        <f t="shared" si="0"/>
        <v>80922.709999999992</v>
      </c>
      <c r="E5" s="1001">
        <f t="shared" si="0"/>
        <v>323145.42</v>
      </c>
      <c r="F5" s="1001">
        <f t="shared" si="0"/>
        <v>352712.83</v>
      </c>
      <c r="G5" s="1001">
        <f t="shared" si="0"/>
        <v>-29567.410000000011</v>
      </c>
      <c r="H5" s="1001">
        <f t="shared" si="0"/>
        <v>780612.5</v>
      </c>
      <c r="I5" s="1001">
        <f t="shared" si="0"/>
        <v>729257.2</v>
      </c>
      <c r="J5" s="1001">
        <f t="shared" si="0"/>
        <v>51355.299999999974</v>
      </c>
      <c r="K5" s="324"/>
      <c r="L5" s="324"/>
      <c r="M5" s="324"/>
      <c r="N5" s="324"/>
      <c r="O5" s="324"/>
      <c r="P5" s="324"/>
      <c r="Q5" s="324"/>
      <c r="R5" s="324"/>
    </row>
    <row r="6" spans="1:18" s="322" customFormat="1" x14ac:dyDescent="0.25">
      <c r="A6" s="893">
        <v>45383</v>
      </c>
      <c r="B6" s="947">
        <v>206765.05</v>
      </c>
      <c r="C6" s="947">
        <v>173941.35</v>
      </c>
      <c r="D6" s="948">
        <f t="shared" ref="D6" si="1">B6-C6</f>
        <v>32823.699999999983</v>
      </c>
      <c r="E6" s="947">
        <v>141518.29999999999</v>
      </c>
      <c r="F6" s="949">
        <v>126989.36</v>
      </c>
      <c r="G6" s="948">
        <f t="shared" ref="G6" si="2">E6-F6</f>
        <v>14528.939999999988</v>
      </c>
      <c r="H6" s="948">
        <f>B6+E6</f>
        <v>348283.35</v>
      </c>
      <c r="I6" s="948">
        <f t="shared" ref="I6:J6" si="3">C6+F6</f>
        <v>300930.71000000002</v>
      </c>
      <c r="J6" s="948">
        <f t="shared" si="3"/>
        <v>47352.63999999997</v>
      </c>
      <c r="K6" s="318"/>
      <c r="L6" s="318"/>
      <c r="M6" s="318"/>
      <c r="N6" s="318"/>
      <c r="O6" s="318"/>
      <c r="P6" s="318"/>
      <c r="Q6" s="318"/>
      <c r="R6" s="318"/>
    </row>
    <row r="7" spans="1:18" customFormat="1" ht="15" customHeight="1" x14ac:dyDescent="0.25">
      <c r="A7" s="893">
        <f>EOMONTH(A6,1)</f>
        <v>45443</v>
      </c>
      <c r="B7" s="1096">
        <v>250702.03</v>
      </c>
      <c r="C7" s="1096">
        <v>202603.02</v>
      </c>
      <c r="D7" s="1096">
        <v>48099.01</v>
      </c>
      <c r="E7" s="1096">
        <v>181627.12</v>
      </c>
      <c r="F7" s="1096">
        <v>225723.47</v>
      </c>
      <c r="G7" s="1096">
        <v>-44096.35</v>
      </c>
      <c r="H7" s="1096">
        <v>432329.15</v>
      </c>
      <c r="I7" s="1096">
        <v>428326.49</v>
      </c>
      <c r="J7" s="1096">
        <v>4002.6600000000035</v>
      </c>
    </row>
    <row r="8" spans="1:18" customFormat="1" ht="15" customHeight="1" x14ac:dyDescent="0.25">
      <c r="A8" s="893">
        <f t="shared" ref="A8:A17" si="4">EOMONTH(A7,1)</f>
        <v>45473</v>
      </c>
      <c r="B8" s="896"/>
      <c r="C8" s="896"/>
      <c r="D8" s="896"/>
      <c r="E8" s="896"/>
      <c r="F8" s="896"/>
      <c r="G8" s="896"/>
      <c r="H8" s="896"/>
      <c r="I8" s="896"/>
      <c r="J8" s="896"/>
      <c r="M8" s="610"/>
      <c r="N8" s="610"/>
      <c r="O8" s="610"/>
    </row>
    <row r="9" spans="1:18" customFormat="1" x14ac:dyDescent="0.25">
      <c r="A9" s="893">
        <f t="shared" si="4"/>
        <v>45504</v>
      </c>
      <c r="B9" s="896"/>
      <c r="C9" s="896"/>
      <c r="D9" s="896"/>
      <c r="E9" s="896"/>
      <c r="F9" s="896"/>
      <c r="G9" s="896"/>
      <c r="H9" s="896"/>
      <c r="I9" s="896"/>
      <c r="J9" s="896"/>
      <c r="M9" s="610"/>
      <c r="N9" s="610"/>
      <c r="O9" s="610"/>
    </row>
    <row r="10" spans="1:18" customFormat="1" x14ac:dyDescent="0.25">
      <c r="A10" s="893">
        <f t="shared" si="4"/>
        <v>45535</v>
      </c>
      <c r="B10" s="896"/>
      <c r="C10" s="896"/>
      <c r="D10" s="896"/>
      <c r="E10" s="896"/>
      <c r="F10" s="896"/>
      <c r="G10" s="896"/>
      <c r="H10" s="896"/>
      <c r="I10" s="896"/>
      <c r="J10" s="896"/>
    </row>
    <row r="11" spans="1:18" customFormat="1" x14ac:dyDescent="0.25">
      <c r="A11" s="893">
        <f t="shared" si="4"/>
        <v>45565</v>
      </c>
      <c r="B11" s="896"/>
      <c r="C11" s="896"/>
      <c r="D11" s="896"/>
      <c r="E11" s="896"/>
      <c r="F11" s="896"/>
      <c r="G11" s="896"/>
      <c r="H11" s="896"/>
      <c r="I11" s="896"/>
      <c r="J11" s="896"/>
    </row>
    <row r="12" spans="1:18" customFormat="1" x14ac:dyDescent="0.25">
      <c r="A12" s="893">
        <f t="shared" si="4"/>
        <v>45596</v>
      </c>
      <c r="B12" s="896"/>
      <c r="C12" s="896"/>
      <c r="D12" s="896"/>
      <c r="E12" s="896"/>
      <c r="F12" s="896"/>
      <c r="G12" s="896"/>
      <c r="H12" s="896"/>
      <c r="I12" s="896"/>
      <c r="J12" s="896"/>
    </row>
    <row r="13" spans="1:18" customFormat="1" x14ac:dyDescent="0.25">
      <c r="A13" s="893">
        <f t="shared" si="4"/>
        <v>45626</v>
      </c>
      <c r="B13" s="896"/>
      <c r="C13" s="896"/>
      <c r="D13" s="896"/>
      <c r="E13" s="896"/>
      <c r="F13" s="896"/>
      <c r="G13" s="896"/>
      <c r="H13" s="896"/>
      <c r="I13" s="896"/>
      <c r="J13" s="896"/>
    </row>
    <row r="14" spans="1:18" customFormat="1" x14ac:dyDescent="0.25">
      <c r="A14" s="893">
        <f t="shared" si="4"/>
        <v>45657</v>
      </c>
      <c r="B14" s="896"/>
      <c r="C14" s="896"/>
      <c r="D14" s="896"/>
      <c r="E14" s="896"/>
      <c r="F14" s="896"/>
      <c r="G14" s="896"/>
      <c r="H14" s="896"/>
      <c r="I14" s="896"/>
      <c r="J14" s="896"/>
    </row>
    <row r="15" spans="1:18" customFormat="1" x14ac:dyDescent="0.25">
      <c r="A15" s="893">
        <f t="shared" si="4"/>
        <v>45688</v>
      </c>
      <c r="B15" s="896"/>
      <c r="C15" s="896"/>
      <c r="D15" s="896"/>
      <c r="E15" s="896"/>
      <c r="F15" s="896"/>
      <c r="G15" s="896"/>
      <c r="H15" s="896"/>
      <c r="I15" s="896"/>
      <c r="J15" s="896"/>
    </row>
    <row r="16" spans="1:18" customFormat="1" x14ac:dyDescent="0.25">
      <c r="A16" s="893">
        <f t="shared" si="4"/>
        <v>45716</v>
      </c>
      <c r="B16" s="896"/>
      <c r="C16" s="896"/>
      <c r="D16" s="896"/>
      <c r="E16" s="896"/>
      <c r="F16" s="896"/>
      <c r="G16" s="896"/>
      <c r="H16" s="896"/>
      <c r="I16" s="896"/>
      <c r="J16" s="896"/>
    </row>
    <row r="17" spans="1:10" customFormat="1" x14ac:dyDescent="0.25">
      <c r="A17" s="893">
        <f t="shared" si="4"/>
        <v>45747</v>
      </c>
      <c r="B17" s="896"/>
      <c r="C17" s="896"/>
      <c r="D17" s="896"/>
      <c r="E17" s="896"/>
      <c r="F17" s="896"/>
      <c r="G17" s="896"/>
      <c r="H17" s="896"/>
      <c r="I17" s="896"/>
      <c r="J17" s="896"/>
    </row>
    <row r="18" spans="1:10" x14ac:dyDescent="0.25">
      <c r="A18" s="1462"/>
      <c r="B18" s="1462"/>
      <c r="C18" s="1462"/>
      <c r="D18" s="1462"/>
      <c r="E18" s="1462"/>
      <c r="F18" s="1462"/>
      <c r="G18" s="1462"/>
      <c r="H18" s="1462"/>
      <c r="I18" s="1462"/>
      <c r="J18" s="1462"/>
    </row>
    <row r="19" spans="1:10" x14ac:dyDescent="0.25">
      <c r="A19" s="1462" t="s">
        <v>1080</v>
      </c>
      <c r="B19" s="1462"/>
      <c r="C19" s="1462"/>
      <c r="D19" s="1462"/>
      <c r="E19" s="1462"/>
      <c r="F19" s="1462"/>
      <c r="G19" s="1462"/>
      <c r="H19" s="1462"/>
      <c r="I19" s="1462"/>
      <c r="J19" s="1462"/>
    </row>
    <row r="20" spans="1:10" x14ac:dyDescent="0.25">
      <c r="A20" s="656" t="s">
        <v>145</v>
      </c>
      <c r="B20" s="656"/>
      <c r="C20" s="657"/>
      <c r="D20" s="657"/>
      <c r="E20" s="657"/>
      <c r="F20" s="657"/>
      <c r="G20" s="657"/>
      <c r="H20" s="657"/>
      <c r="I20" s="657"/>
      <c r="J20" s="657"/>
    </row>
    <row r="21" spans="1:10" x14ac:dyDescent="0.25">
      <c r="A21" s="318" t="s">
        <v>1391</v>
      </c>
    </row>
  </sheetData>
  <mergeCells count="7">
    <mergeCell ref="A18:J18"/>
    <mergeCell ref="A19:J19"/>
    <mergeCell ref="A1:J1"/>
    <mergeCell ref="A2:A3"/>
    <mergeCell ref="B2:D2"/>
    <mergeCell ref="E2:G2"/>
    <mergeCell ref="H2:J2"/>
  </mergeCells>
  <pageMargins left="0.7" right="0.7" top="0.75" bottom="0.75" header="0.3" footer="0.3"/>
  <pageSetup paperSize="9" scale="91" fitToHeight="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topLeftCell="B1" workbookViewId="0">
      <selection activeCell="K15" sqref="K15"/>
    </sheetView>
  </sheetViews>
  <sheetFormatPr defaultColWidth="9.140625" defaultRowHeight="15" x14ac:dyDescent="0.25"/>
  <cols>
    <col min="1" max="1" width="54.85546875" style="385" customWidth="1"/>
    <col min="2" max="2" width="16.28515625" style="501" bestFit="1" customWidth="1"/>
    <col min="3" max="3" width="18.7109375" style="501" bestFit="1" customWidth="1"/>
    <col min="4" max="4" width="15.140625" style="501" bestFit="1" customWidth="1"/>
    <col min="5" max="5" width="17.5703125" style="501" bestFit="1" customWidth="1"/>
    <col min="6" max="6" width="18.28515625" style="501" bestFit="1" customWidth="1"/>
    <col min="7" max="7" width="16.28515625" style="660" bestFit="1" customWidth="1"/>
    <col min="8" max="8" width="15" style="660" bestFit="1" customWidth="1"/>
    <col min="9" max="9" width="11.7109375" style="660" bestFit="1" customWidth="1"/>
    <col min="10" max="10" width="15" style="660" bestFit="1" customWidth="1"/>
    <col min="11" max="11" width="17.85546875" style="660" bestFit="1" customWidth="1"/>
    <col min="12" max="12" width="16.28515625" style="385" bestFit="1" customWidth="1"/>
    <col min="13" max="13" width="15" style="385" bestFit="1" customWidth="1"/>
    <col min="14" max="14" width="12.28515625" style="385" bestFit="1" customWidth="1"/>
    <col min="15" max="15" width="15" style="385" bestFit="1" customWidth="1"/>
    <col min="16" max="16" width="16.28515625" style="385" bestFit="1" customWidth="1"/>
    <col min="17" max="16384" width="9.140625" style="385"/>
  </cols>
  <sheetData>
    <row r="1" spans="1:16" s="951" customFormat="1" x14ac:dyDescent="0.25">
      <c r="A1" s="950" t="s">
        <v>56</v>
      </c>
      <c r="B1" s="1097"/>
      <c r="C1" s="1097"/>
      <c r="D1" s="1097"/>
      <c r="E1" s="1097"/>
      <c r="F1" s="1097"/>
      <c r="G1" s="1098"/>
      <c r="H1" s="1098"/>
      <c r="I1" s="1098"/>
      <c r="J1" s="1098"/>
      <c r="K1" s="1098"/>
      <c r="L1" s="1098"/>
      <c r="M1" s="1098"/>
      <c r="N1" s="1098"/>
      <c r="O1" s="1098"/>
      <c r="P1" s="1099"/>
    </row>
    <row r="2" spans="1:16" s="951" customFormat="1" x14ac:dyDescent="0.25">
      <c r="A2" s="952" t="s">
        <v>116</v>
      </c>
      <c r="B2" s="1468" t="s">
        <v>1392</v>
      </c>
      <c r="C2" s="1469"/>
      <c r="D2" s="1469"/>
      <c r="E2" s="1469"/>
      <c r="F2" s="1470"/>
      <c r="G2" s="1477" t="s">
        <v>1393</v>
      </c>
      <c r="H2" s="1477"/>
      <c r="I2" s="1477"/>
      <c r="J2" s="1477"/>
      <c r="K2" s="1477"/>
      <c r="L2" s="1478" t="s">
        <v>1240</v>
      </c>
      <c r="M2" s="1479"/>
      <c r="N2" s="1479"/>
      <c r="O2" s="1479"/>
      <c r="P2" s="1480"/>
    </row>
    <row r="3" spans="1:16" s="951" customFormat="1" ht="25.5" x14ac:dyDescent="0.25">
      <c r="A3" s="952" t="s">
        <v>644</v>
      </c>
      <c r="B3" s="1100" t="s">
        <v>1081</v>
      </c>
      <c r="C3" s="1100" t="s">
        <v>1082</v>
      </c>
      <c r="D3" s="1100" t="s">
        <v>1083</v>
      </c>
      <c r="E3" s="1100" t="s">
        <v>1084</v>
      </c>
      <c r="F3" s="1100" t="s">
        <v>96</v>
      </c>
      <c r="G3" s="953" t="s">
        <v>1081</v>
      </c>
      <c r="H3" s="953" t="s">
        <v>1082</v>
      </c>
      <c r="I3" s="953" t="s">
        <v>1083</v>
      </c>
      <c r="J3" s="953" t="s">
        <v>1084</v>
      </c>
      <c r="K3" s="953" t="s">
        <v>96</v>
      </c>
      <c r="L3" s="1100" t="s">
        <v>1228</v>
      </c>
      <c r="M3" s="1100" t="s">
        <v>1082</v>
      </c>
      <c r="N3" s="1100" t="s">
        <v>1083</v>
      </c>
      <c r="O3" s="1100" t="s">
        <v>1085</v>
      </c>
      <c r="P3" s="1101" t="s">
        <v>96</v>
      </c>
    </row>
    <row r="4" spans="1:16" s="951" customFormat="1" x14ac:dyDescent="0.25">
      <c r="A4" s="954" t="s">
        <v>1086</v>
      </c>
      <c r="B4" s="955">
        <v>157652</v>
      </c>
      <c r="C4" s="955">
        <v>5423</v>
      </c>
      <c r="D4" s="1102">
        <v>312</v>
      </c>
      <c r="E4" s="955">
        <v>1336</v>
      </c>
      <c r="F4" s="1103">
        <v>164723</v>
      </c>
      <c r="G4" s="504">
        <v>122212</v>
      </c>
      <c r="H4" s="504">
        <v>4235</v>
      </c>
      <c r="I4" s="1104">
        <v>13</v>
      </c>
      <c r="J4" s="504">
        <v>1692</v>
      </c>
      <c r="K4" s="1105">
        <v>128152</v>
      </c>
      <c r="L4" s="955">
        <v>138371</v>
      </c>
      <c r="M4" s="955">
        <v>5572</v>
      </c>
      <c r="N4" s="955">
        <v>52</v>
      </c>
      <c r="O4" s="955">
        <v>1923</v>
      </c>
      <c r="P4" s="1106">
        <v>145918</v>
      </c>
    </row>
    <row r="5" spans="1:16" s="951" customFormat="1" x14ac:dyDescent="0.25">
      <c r="A5" s="1481" t="s">
        <v>1087</v>
      </c>
      <c r="B5" s="1482"/>
      <c r="C5" s="1482"/>
      <c r="D5" s="1482"/>
      <c r="E5" s="1482"/>
      <c r="F5" s="1482"/>
      <c r="G5" s="1482"/>
      <c r="H5" s="1482"/>
      <c r="I5" s="1482"/>
      <c r="J5" s="1482"/>
      <c r="K5" s="1482"/>
      <c r="L5" s="1482"/>
      <c r="M5" s="1482"/>
      <c r="N5" s="1482"/>
      <c r="O5" s="1482"/>
      <c r="P5" s="1483"/>
    </row>
    <row r="6" spans="1:16" s="951" customFormat="1" ht="15" customHeight="1" x14ac:dyDescent="0.25">
      <c r="A6" s="954" t="s">
        <v>1088</v>
      </c>
      <c r="B6" s="956">
        <v>323263.9366999999</v>
      </c>
      <c r="C6" s="956">
        <v>37590.244180000009</v>
      </c>
      <c r="D6" s="956">
        <v>0</v>
      </c>
      <c r="E6" s="1471">
        <v>281371.13916000002</v>
      </c>
      <c r="F6" s="957">
        <f>SUM(B6:D6)</f>
        <v>360854.18087999988</v>
      </c>
      <c r="G6" s="956">
        <v>230671.30399999992</v>
      </c>
      <c r="H6" s="956">
        <v>22237.804110000001</v>
      </c>
      <c r="I6" s="956">
        <v>0</v>
      </c>
      <c r="J6" s="1471">
        <v>208984.39653</v>
      </c>
      <c r="K6" s="957">
        <f>SUM(G6:I6)</f>
        <v>252909.10810999991</v>
      </c>
      <c r="L6" s="957">
        <v>230358.02359</v>
      </c>
      <c r="M6" s="957">
        <v>23472.839649999998</v>
      </c>
      <c r="N6" s="957">
        <v>0</v>
      </c>
      <c r="O6" s="1474">
        <v>220021.09719999999</v>
      </c>
      <c r="P6" s="958">
        <f>SUM(L6:N6)</f>
        <v>253830.86324000001</v>
      </c>
    </row>
    <row r="7" spans="1:16" s="951" customFormat="1" x14ac:dyDescent="0.25">
      <c r="A7" s="954" t="s">
        <v>1089</v>
      </c>
      <c r="B7" s="956">
        <v>798.05837999999972</v>
      </c>
      <c r="C7" s="956">
        <v>519.77004999999997</v>
      </c>
      <c r="D7" s="956">
        <v>934.57000000000016</v>
      </c>
      <c r="E7" s="1472"/>
      <c r="F7" s="957">
        <f t="shared" ref="F7:F16" si="0">SUM(B7:D7)</f>
        <v>2252.3984299999997</v>
      </c>
      <c r="G7" s="956">
        <v>602.05238999999995</v>
      </c>
      <c r="H7" s="956">
        <v>266.90851000000004</v>
      </c>
      <c r="I7" s="956">
        <v>4.75</v>
      </c>
      <c r="J7" s="1472"/>
      <c r="K7" s="957">
        <f t="shared" ref="K7:K16" si="1">SUM(G7:I7)</f>
        <v>873.71090000000004</v>
      </c>
      <c r="L7" s="957">
        <v>583.79809999999998</v>
      </c>
      <c r="M7" s="957">
        <v>371.52027999999984</v>
      </c>
      <c r="N7" s="957">
        <v>41.02</v>
      </c>
      <c r="O7" s="1475"/>
      <c r="P7" s="958">
        <f t="shared" ref="P7:P16" si="2">SUM(L7:N7)</f>
        <v>996.3383799999998</v>
      </c>
    </row>
    <row r="8" spans="1:16" s="951" customFormat="1" x14ac:dyDescent="0.25">
      <c r="A8" s="954" t="s">
        <v>1090</v>
      </c>
      <c r="B8" s="956">
        <v>2369955.2695399998</v>
      </c>
      <c r="C8" s="956">
        <v>182997.61771000002</v>
      </c>
      <c r="D8" s="956">
        <v>0</v>
      </c>
      <c r="E8" s="1472"/>
      <c r="F8" s="957">
        <f t="shared" si="0"/>
        <v>2552952.8872499997</v>
      </c>
      <c r="G8" s="956">
        <v>2049109.2469600004</v>
      </c>
      <c r="H8" s="956">
        <v>143136.73556999999</v>
      </c>
      <c r="I8" s="956">
        <v>0</v>
      </c>
      <c r="J8" s="1472"/>
      <c r="K8" s="957">
        <f t="shared" si="1"/>
        <v>2192245.9825300002</v>
      </c>
      <c r="L8" s="957">
        <v>2046375.0485400003</v>
      </c>
      <c r="M8" s="957">
        <v>168524.27026999998</v>
      </c>
      <c r="N8" s="957">
        <v>0</v>
      </c>
      <c r="O8" s="1475"/>
      <c r="P8" s="958">
        <f t="shared" si="2"/>
        <v>2214899.3188100001</v>
      </c>
    </row>
    <row r="9" spans="1:16" s="951" customFormat="1" x14ac:dyDescent="0.25">
      <c r="A9" s="954" t="s">
        <v>1091</v>
      </c>
      <c r="B9" s="956">
        <v>19532.035599999999</v>
      </c>
      <c r="C9" s="956">
        <v>162.47020000000001</v>
      </c>
      <c r="D9" s="956">
        <v>272.86</v>
      </c>
      <c r="E9" s="1472"/>
      <c r="F9" s="957">
        <f t="shared" si="0"/>
        <v>19967.3658</v>
      </c>
      <c r="G9" s="956">
        <v>26599.679990000001</v>
      </c>
      <c r="H9" s="956">
        <v>126.73</v>
      </c>
      <c r="I9" s="956">
        <v>0</v>
      </c>
      <c r="J9" s="1472"/>
      <c r="K9" s="957">
        <f t="shared" si="1"/>
        <v>26726.40999</v>
      </c>
      <c r="L9" s="957">
        <v>16634.570189999999</v>
      </c>
      <c r="M9" s="957">
        <v>303.03999999999996</v>
      </c>
      <c r="N9" s="957">
        <v>85</v>
      </c>
      <c r="O9" s="1475"/>
      <c r="P9" s="958">
        <f t="shared" si="2"/>
        <v>17022.610189999999</v>
      </c>
    </row>
    <row r="10" spans="1:16" s="951" customFormat="1" x14ac:dyDescent="0.25">
      <c r="A10" s="954" t="s">
        <v>1092</v>
      </c>
      <c r="B10" s="956">
        <v>831.41999999999985</v>
      </c>
      <c r="C10" s="956">
        <v>984.31000000000017</v>
      </c>
      <c r="D10" s="956">
        <v>0</v>
      </c>
      <c r="E10" s="1472"/>
      <c r="F10" s="957">
        <f t="shared" si="0"/>
        <v>1815.73</v>
      </c>
      <c r="G10" s="956">
        <v>1369.2299999999998</v>
      </c>
      <c r="H10" s="956">
        <v>1207.7200000000003</v>
      </c>
      <c r="I10" s="956">
        <v>0</v>
      </c>
      <c r="J10" s="1472"/>
      <c r="K10" s="957">
        <f t="shared" si="1"/>
        <v>2576.9499999999998</v>
      </c>
      <c r="L10" s="957">
        <v>1350.9599999999998</v>
      </c>
      <c r="M10" s="957">
        <v>1254.5800000000002</v>
      </c>
      <c r="N10" s="957">
        <v>0</v>
      </c>
      <c r="O10" s="1475"/>
      <c r="P10" s="958">
        <f t="shared" si="2"/>
        <v>2605.54</v>
      </c>
    </row>
    <row r="11" spans="1:16" s="951" customFormat="1" x14ac:dyDescent="0.25">
      <c r="A11" s="954" t="s">
        <v>1093</v>
      </c>
      <c r="B11" s="956">
        <v>19.57</v>
      </c>
      <c r="C11" s="956">
        <v>33.9</v>
      </c>
      <c r="D11" s="956">
        <v>1196.02</v>
      </c>
      <c r="E11" s="1472"/>
      <c r="F11" s="957">
        <f t="shared" si="0"/>
        <v>1249.49</v>
      </c>
      <c r="G11" s="956">
        <v>77.319999999999993</v>
      </c>
      <c r="H11" s="956">
        <v>3</v>
      </c>
      <c r="I11" s="956">
        <v>0</v>
      </c>
      <c r="J11" s="1472"/>
      <c r="K11" s="957">
        <f t="shared" si="1"/>
        <v>80.319999999999993</v>
      </c>
      <c r="L11" s="957">
        <v>82.929999999999993</v>
      </c>
      <c r="M11" s="957">
        <v>5.76</v>
      </c>
      <c r="N11" s="957">
        <v>1.91</v>
      </c>
      <c r="O11" s="1475"/>
      <c r="P11" s="958">
        <f t="shared" si="2"/>
        <v>90.6</v>
      </c>
    </row>
    <row r="12" spans="1:16" s="951" customFormat="1" x14ac:dyDescent="0.25">
      <c r="A12" s="954" t="s">
        <v>1094</v>
      </c>
      <c r="B12" s="956">
        <v>447.29566</v>
      </c>
      <c r="C12" s="956">
        <v>0</v>
      </c>
      <c r="D12" s="956">
        <v>0</v>
      </c>
      <c r="E12" s="1472"/>
      <c r="F12" s="957">
        <f t="shared" si="0"/>
        <v>447.29566</v>
      </c>
      <c r="G12" s="956">
        <v>270.06193999999999</v>
      </c>
      <c r="H12" s="956">
        <v>0</v>
      </c>
      <c r="I12" s="956">
        <v>0</v>
      </c>
      <c r="J12" s="1472"/>
      <c r="K12" s="957">
        <f t="shared" si="1"/>
        <v>270.06193999999999</v>
      </c>
      <c r="L12" s="957">
        <v>269.44396</v>
      </c>
      <c r="M12" s="957">
        <v>0</v>
      </c>
      <c r="N12" s="957">
        <v>0</v>
      </c>
      <c r="O12" s="1475"/>
      <c r="P12" s="958">
        <f t="shared" si="2"/>
        <v>269.44396</v>
      </c>
    </row>
    <row r="13" spans="1:16" s="951" customFormat="1" x14ac:dyDescent="0.25">
      <c r="A13" s="954" t="s">
        <v>1095</v>
      </c>
      <c r="B13" s="956">
        <v>-1.32</v>
      </c>
      <c r="C13" s="956">
        <v>0</v>
      </c>
      <c r="D13" s="956">
        <v>0</v>
      </c>
      <c r="E13" s="1472"/>
      <c r="F13" s="957">
        <f t="shared" si="0"/>
        <v>-1.32</v>
      </c>
      <c r="G13" s="956">
        <v>0</v>
      </c>
      <c r="H13" s="956">
        <v>0</v>
      </c>
      <c r="I13" s="956">
        <v>0</v>
      </c>
      <c r="J13" s="1472"/>
      <c r="K13" s="957">
        <f t="shared" si="1"/>
        <v>0</v>
      </c>
      <c r="L13" s="957">
        <v>0</v>
      </c>
      <c r="M13" s="957">
        <v>0</v>
      </c>
      <c r="N13" s="957">
        <v>0</v>
      </c>
      <c r="O13" s="1475"/>
      <c r="P13" s="958">
        <f t="shared" si="2"/>
        <v>0</v>
      </c>
    </row>
    <row r="14" spans="1:16" s="951" customFormat="1" x14ac:dyDescent="0.25">
      <c r="A14" s="954" t="s">
        <v>1096</v>
      </c>
      <c r="B14" s="956">
        <v>0</v>
      </c>
      <c r="C14" s="956">
        <v>0.65788000000000002</v>
      </c>
      <c r="D14" s="956">
        <v>0</v>
      </c>
      <c r="E14" s="1472"/>
      <c r="F14" s="957">
        <f t="shared" si="0"/>
        <v>0.65788000000000002</v>
      </c>
      <c r="G14" s="956">
        <v>0</v>
      </c>
      <c r="H14" s="956">
        <v>0</v>
      </c>
      <c r="I14" s="956">
        <v>0</v>
      </c>
      <c r="J14" s="1472"/>
      <c r="K14" s="957">
        <f t="shared" si="1"/>
        <v>0</v>
      </c>
      <c r="L14" s="957">
        <v>6</v>
      </c>
      <c r="M14" s="957">
        <v>0</v>
      </c>
      <c r="N14" s="957">
        <v>0</v>
      </c>
      <c r="O14" s="1475"/>
      <c r="P14" s="958">
        <f t="shared" si="2"/>
        <v>6</v>
      </c>
    </row>
    <row r="15" spans="1:16" s="951" customFormat="1" x14ac:dyDescent="0.25">
      <c r="A15" s="954" t="s">
        <v>80</v>
      </c>
      <c r="B15" s="956">
        <v>75835.035670000027</v>
      </c>
      <c r="C15" s="956">
        <v>52929.271270000005</v>
      </c>
      <c r="D15" s="956">
        <v>0</v>
      </c>
      <c r="E15" s="1472"/>
      <c r="F15" s="957">
        <f t="shared" si="0"/>
        <v>128764.30694000004</v>
      </c>
      <c r="G15" s="956">
        <v>30462.000940000009</v>
      </c>
      <c r="H15" s="956">
        <v>23179.521550000005</v>
      </c>
      <c r="I15" s="956">
        <v>0.24</v>
      </c>
      <c r="J15" s="1472"/>
      <c r="K15" s="957">
        <f t="shared" si="1"/>
        <v>53641.762490000016</v>
      </c>
      <c r="L15" s="957">
        <v>27015.694839999993</v>
      </c>
      <c r="M15" s="957">
        <v>32123.083409999996</v>
      </c>
      <c r="N15" s="957">
        <v>0</v>
      </c>
      <c r="O15" s="1475"/>
      <c r="P15" s="958">
        <f t="shared" si="2"/>
        <v>59138.778249999988</v>
      </c>
    </row>
    <row r="16" spans="1:16" s="951" customFormat="1" x14ac:dyDescent="0.25">
      <c r="A16" s="954" t="s">
        <v>306</v>
      </c>
      <c r="B16" s="956">
        <v>9432.2137499999953</v>
      </c>
      <c r="C16" s="956">
        <v>5576.2483499999998</v>
      </c>
      <c r="D16" s="956">
        <v>49.319999999999993</v>
      </c>
      <c r="E16" s="1472"/>
      <c r="F16" s="957">
        <f t="shared" si="0"/>
        <v>15057.782099999995</v>
      </c>
      <c r="G16" s="956">
        <v>10752.603009999997</v>
      </c>
      <c r="H16" s="956">
        <v>24636.564579999998</v>
      </c>
      <c r="I16" s="956">
        <v>0</v>
      </c>
      <c r="J16" s="1472"/>
      <c r="K16" s="957">
        <f t="shared" si="1"/>
        <v>35389.167589999997</v>
      </c>
      <c r="L16" s="957">
        <v>12381.787799999995</v>
      </c>
      <c r="M16" s="957">
        <v>4621.5295599999999</v>
      </c>
      <c r="N16" s="957">
        <v>-0.16</v>
      </c>
      <c r="O16" s="1475"/>
      <c r="P16" s="958">
        <f t="shared" si="2"/>
        <v>17003.157359999994</v>
      </c>
    </row>
    <row r="17" spans="1:16" s="951" customFormat="1" x14ac:dyDescent="0.25">
      <c r="A17" s="954" t="s">
        <v>1085</v>
      </c>
      <c r="B17" s="957">
        <v>0</v>
      </c>
      <c r="C17" s="957">
        <v>0</v>
      </c>
      <c r="D17" s="957">
        <v>0</v>
      </c>
      <c r="E17" s="1473"/>
      <c r="F17" s="957">
        <f>E6</f>
        <v>281371.13916000002</v>
      </c>
      <c r="G17" s="957"/>
      <c r="H17" s="957"/>
      <c r="I17" s="957"/>
      <c r="J17" s="1473"/>
      <c r="K17" s="957">
        <f>J6</f>
        <v>208984.39653</v>
      </c>
      <c r="L17" s="957">
        <v>0</v>
      </c>
      <c r="M17" s="957">
        <v>0</v>
      </c>
      <c r="N17" s="957">
        <v>0</v>
      </c>
      <c r="O17" s="1476"/>
      <c r="P17" s="958">
        <f>O6</f>
        <v>220021.09719999999</v>
      </c>
    </row>
    <row r="18" spans="1:16" s="951" customFormat="1" x14ac:dyDescent="0.25">
      <c r="A18" s="357" t="s">
        <v>96</v>
      </c>
      <c r="B18" s="958">
        <f>SUM(B6:B17)</f>
        <v>2800113.5152999996</v>
      </c>
      <c r="C18" s="958">
        <f t="shared" ref="C18:F18" si="3">SUM(C6:C17)</f>
        <v>280794.48964000004</v>
      </c>
      <c r="D18" s="958">
        <f t="shared" si="3"/>
        <v>2452.7700000000004</v>
      </c>
      <c r="E18" s="958">
        <f>E6</f>
        <v>281371.13916000002</v>
      </c>
      <c r="F18" s="958">
        <f t="shared" si="3"/>
        <v>3364731.9140999997</v>
      </c>
      <c r="G18" s="958">
        <f>SUM(G6:G17)</f>
        <v>2349913.4992300007</v>
      </c>
      <c r="H18" s="958">
        <f t="shared" ref="H18:I18" si="4">SUM(H6:H17)</f>
        <v>214794.98432000002</v>
      </c>
      <c r="I18" s="958">
        <f t="shared" si="4"/>
        <v>4.99</v>
      </c>
      <c r="J18" s="958">
        <f>J6</f>
        <v>208984.39653</v>
      </c>
      <c r="K18" s="958">
        <f t="shared" ref="K18" si="5">SUM(K6:K17)</f>
        <v>2773697.8700800003</v>
      </c>
      <c r="L18" s="958">
        <f>SUM(L6:L17)</f>
        <v>2335058.2570200004</v>
      </c>
      <c r="M18" s="958">
        <f t="shared" ref="M18:P18" si="6">SUM(M6:M17)</f>
        <v>230676.62316999998</v>
      </c>
      <c r="N18" s="958">
        <f t="shared" si="6"/>
        <v>127.77000000000001</v>
      </c>
      <c r="O18" s="958">
        <f t="shared" si="6"/>
        <v>220021.09719999999</v>
      </c>
      <c r="P18" s="958">
        <f t="shared" si="6"/>
        <v>2785883.7473900001</v>
      </c>
    </row>
    <row r="19" spans="1:16" s="951" customFormat="1" ht="15.75" x14ac:dyDescent="0.25">
      <c r="A19" s="959" t="s">
        <v>81</v>
      </c>
      <c r="B19" s="960"/>
      <c r="C19" s="960"/>
      <c r="D19" s="960"/>
      <c r="E19" s="960"/>
      <c r="F19" s="960"/>
      <c r="G19" s="959"/>
      <c r="H19" s="959"/>
      <c r="I19" s="959"/>
      <c r="J19" s="961"/>
      <c r="K19" s="961"/>
      <c r="L19" s="962"/>
      <c r="M19" s="962"/>
      <c r="N19" s="962"/>
      <c r="O19" s="962"/>
      <c r="P19" s="962"/>
    </row>
    <row r="20" spans="1:16" s="951" customFormat="1" x14ac:dyDescent="0.2">
      <c r="A20" s="963" t="s">
        <v>1097</v>
      </c>
      <c r="B20" s="964"/>
      <c r="C20" s="964"/>
      <c r="D20" s="964"/>
      <c r="E20" s="964"/>
      <c r="F20" s="964"/>
      <c r="G20" s="965"/>
      <c r="H20" s="966"/>
      <c r="I20" s="966"/>
      <c r="J20" s="966"/>
      <c r="K20" s="966"/>
      <c r="L20" s="967"/>
      <c r="M20" s="968"/>
      <c r="N20" s="968"/>
      <c r="O20" s="968"/>
      <c r="P20" s="968"/>
    </row>
    <row r="21" spans="1:16" s="951" customFormat="1" x14ac:dyDescent="0.2">
      <c r="A21" s="969" t="s">
        <v>1394</v>
      </c>
      <c r="B21" s="970"/>
      <c r="C21" s="970"/>
      <c r="D21" s="970"/>
      <c r="E21" s="970"/>
      <c r="F21" s="970"/>
      <c r="G21" s="971"/>
      <c r="H21" s="971"/>
      <c r="I21" s="971"/>
      <c r="J21" s="971"/>
      <c r="K21" s="971"/>
      <c r="L21" s="972"/>
      <c r="M21" s="972"/>
      <c r="N21" s="972"/>
      <c r="O21" s="972"/>
      <c r="P21" s="972"/>
    </row>
    <row r="22" spans="1:16" s="951" customFormat="1" x14ac:dyDescent="0.2">
      <c r="A22" s="973" t="s">
        <v>1395</v>
      </c>
      <c r="B22" s="974"/>
      <c r="C22" s="974"/>
      <c r="D22" s="974"/>
      <c r="E22" s="974"/>
      <c r="F22" s="974"/>
      <c r="G22" s="971"/>
      <c r="H22" s="971"/>
      <c r="I22" s="971"/>
      <c r="J22" s="971"/>
      <c r="K22" s="971"/>
      <c r="L22" s="968"/>
      <c r="M22" s="968"/>
      <c r="N22" s="968"/>
      <c r="O22" s="968"/>
      <c r="P22" s="968"/>
    </row>
    <row r="23" spans="1:16" s="951" customFormat="1" x14ac:dyDescent="0.2">
      <c r="A23" s="963" t="s">
        <v>1396</v>
      </c>
      <c r="B23" s="974"/>
      <c r="C23" s="974"/>
      <c r="D23" s="974"/>
      <c r="E23" s="974"/>
      <c r="F23" s="974"/>
      <c r="G23" s="971"/>
      <c r="H23" s="971"/>
      <c r="I23" s="971"/>
      <c r="J23" s="971"/>
      <c r="K23" s="971"/>
      <c r="L23" s="968"/>
      <c r="M23" s="968"/>
      <c r="N23" s="968"/>
      <c r="O23" s="968"/>
      <c r="P23" s="968"/>
    </row>
    <row r="24" spans="1:16" x14ac:dyDescent="0.25">
      <c r="A24" s="659"/>
      <c r="B24" s="658"/>
      <c r="C24" s="658"/>
      <c r="D24" s="658"/>
      <c r="E24" s="658"/>
      <c r="F24" s="658"/>
      <c r="G24" s="659"/>
      <c r="H24" s="659"/>
      <c r="I24" s="659"/>
      <c r="J24" s="659"/>
      <c r="K24" s="659"/>
      <c r="L24" s="660"/>
      <c r="M24" s="660"/>
      <c r="N24" s="660"/>
      <c r="O24" s="660"/>
      <c r="P24" s="660"/>
    </row>
  </sheetData>
  <mergeCells count="7">
    <mergeCell ref="B2:F2"/>
    <mergeCell ref="E6:E17"/>
    <mergeCell ref="J6:J17"/>
    <mergeCell ref="O6:O17"/>
    <mergeCell ref="G2:K2"/>
    <mergeCell ref="L2:P2"/>
    <mergeCell ref="A5:P5"/>
  </mergeCells>
  <pageMargins left="0.7" right="0.7" top="0.75" bottom="0.75" header="0.3" footer="0.3"/>
  <pageSetup paperSize="9"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zoomScaleNormal="100" workbookViewId="0">
      <selection activeCell="G4" sqref="G4"/>
    </sheetView>
  </sheetViews>
  <sheetFormatPr defaultColWidth="9.140625" defaultRowHeight="15" x14ac:dyDescent="0.25"/>
  <cols>
    <col min="1" max="1" width="54.140625" style="127" customWidth="1"/>
    <col min="2" max="2" width="9.140625" style="127" bestFit="1" customWidth="1"/>
    <col min="3" max="5" width="10.28515625" style="127" bestFit="1" customWidth="1"/>
    <col min="6" max="6" width="14.42578125" style="127" customWidth="1"/>
    <col min="7" max="7" width="17.5703125" style="127" bestFit="1" customWidth="1"/>
    <col min="8" max="10" width="8.85546875" style="127" bestFit="1" customWidth="1"/>
    <col min="11" max="11" width="14.7109375" style="127" bestFit="1" customWidth="1"/>
    <col min="12" max="12" width="17.5703125" style="127" bestFit="1" customWidth="1"/>
    <col min="13" max="16384" width="9.140625" style="127"/>
  </cols>
  <sheetData>
    <row r="1" spans="1:12" ht="15.75" customHeight="1" x14ac:dyDescent="0.25">
      <c r="A1" s="644" t="s">
        <v>614</v>
      </c>
    </row>
    <row r="2" spans="1:12" s="603" customFormat="1" ht="18.75" customHeight="1" x14ac:dyDescent="0.25">
      <c r="A2" s="1394" t="s">
        <v>615</v>
      </c>
      <c r="B2" s="1394" t="s">
        <v>616</v>
      </c>
      <c r="C2" s="1381" t="s">
        <v>617</v>
      </c>
      <c r="D2" s="1382"/>
      <c r="E2" s="1382"/>
      <c r="F2" s="1382"/>
      <c r="G2" s="1382"/>
      <c r="H2" s="1391" t="s">
        <v>618</v>
      </c>
      <c r="I2" s="1391"/>
      <c r="J2" s="1391"/>
      <c r="K2" s="1391"/>
      <c r="L2" s="1391"/>
    </row>
    <row r="3" spans="1:12" s="603" customFormat="1" ht="63.75" customHeight="1" x14ac:dyDescent="0.25">
      <c r="A3" s="1303"/>
      <c r="B3" s="1303"/>
      <c r="C3" s="597">
        <v>45442</v>
      </c>
      <c r="D3" s="597">
        <v>45383</v>
      </c>
      <c r="E3" s="597">
        <v>45076</v>
      </c>
      <c r="F3" s="787" t="s">
        <v>1220</v>
      </c>
      <c r="G3" s="868" t="s">
        <v>1221</v>
      </c>
      <c r="H3" s="597">
        <v>45442</v>
      </c>
      <c r="I3" s="597">
        <v>45383</v>
      </c>
      <c r="J3" s="597">
        <v>45076</v>
      </c>
      <c r="K3" s="868" t="s">
        <v>1138</v>
      </c>
      <c r="L3" s="598" t="s">
        <v>1139</v>
      </c>
    </row>
    <row r="4" spans="1:12" s="603" customFormat="1" ht="18" customHeight="1" x14ac:dyDescent="0.25">
      <c r="A4" s="869" t="s">
        <v>619</v>
      </c>
      <c r="B4" s="870" t="s">
        <v>620</v>
      </c>
      <c r="C4" s="871">
        <v>5994</v>
      </c>
      <c r="D4" s="871">
        <v>5962</v>
      </c>
      <c r="E4" s="871">
        <v>5865</v>
      </c>
      <c r="F4" s="872">
        <v>2.1994884910485935</v>
      </c>
      <c r="G4" s="872">
        <v>0.53673264005367327</v>
      </c>
      <c r="H4" s="817">
        <v>6380</v>
      </c>
      <c r="I4" s="817">
        <v>6348</v>
      </c>
      <c r="J4" s="817">
        <v>6066</v>
      </c>
      <c r="K4" s="872">
        <v>5.1763930102209033</v>
      </c>
      <c r="L4" s="599">
        <v>0.504095778197855</v>
      </c>
    </row>
    <row r="5" spans="1:12" s="603" customFormat="1" ht="18" customHeight="1" x14ac:dyDescent="0.25">
      <c r="A5" s="869" t="s">
        <v>621</v>
      </c>
      <c r="B5" s="870" t="s">
        <v>620</v>
      </c>
      <c r="C5" s="871">
        <v>282</v>
      </c>
      <c r="D5" s="871">
        <v>282</v>
      </c>
      <c r="E5" s="871">
        <v>283</v>
      </c>
      <c r="F5" s="872">
        <v>-0.35335689045936397</v>
      </c>
      <c r="G5" s="872">
        <v>0</v>
      </c>
      <c r="H5" s="817">
        <v>577</v>
      </c>
      <c r="I5" s="817">
        <v>578</v>
      </c>
      <c r="J5" s="817">
        <v>586</v>
      </c>
      <c r="K5" s="872">
        <v>-1.5358361774744034</v>
      </c>
      <c r="L5" s="872">
        <v>-0.17301038062284002</v>
      </c>
    </row>
    <row r="6" spans="1:12" s="603" customFormat="1" ht="18" customHeight="1" x14ac:dyDescent="0.25">
      <c r="A6" s="869" t="s">
        <v>1129</v>
      </c>
      <c r="B6" s="870" t="s">
        <v>620</v>
      </c>
      <c r="C6" s="871">
        <v>5</v>
      </c>
      <c r="D6" s="871">
        <v>5</v>
      </c>
      <c r="E6" s="871">
        <v>4</v>
      </c>
      <c r="F6" s="872">
        <v>25</v>
      </c>
      <c r="G6" s="872">
        <v>0</v>
      </c>
      <c r="H6" s="817">
        <v>3</v>
      </c>
      <c r="I6" s="817">
        <v>3</v>
      </c>
      <c r="J6" s="817">
        <v>3</v>
      </c>
      <c r="K6" s="872">
        <v>0</v>
      </c>
      <c r="L6" s="872">
        <v>0</v>
      </c>
    </row>
    <row r="7" spans="1:12" s="603" customFormat="1" ht="18" customHeight="1" x14ac:dyDescent="0.25">
      <c r="A7" s="869" t="s">
        <v>622</v>
      </c>
      <c r="B7" s="870" t="s">
        <v>623</v>
      </c>
      <c r="C7" s="871">
        <v>364.21902</v>
      </c>
      <c r="D7" s="871">
        <v>360.57704000000001</v>
      </c>
      <c r="E7" s="871">
        <v>316.85642999999999</v>
      </c>
      <c r="F7" s="872">
        <v>14.947649949852687</v>
      </c>
      <c r="G7" s="872">
        <v>1.0100421258103371</v>
      </c>
      <c r="H7" s="817">
        <v>1216.28451</v>
      </c>
      <c r="I7" s="817">
        <v>1183.91409</v>
      </c>
      <c r="J7" s="817">
        <v>862.25130000000001</v>
      </c>
      <c r="K7" s="872">
        <v>41.059168017490947</v>
      </c>
      <c r="L7" s="872">
        <v>2.7341865658512488</v>
      </c>
    </row>
    <row r="8" spans="1:12" s="603" customFormat="1" ht="18" customHeight="1" x14ac:dyDescent="0.25">
      <c r="A8" s="869" t="s">
        <v>624</v>
      </c>
      <c r="B8" s="870" t="s">
        <v>625</v>
      </c>
      <c r="C8" s="871">
        <v>74006.96043050001</v>
      </c>
      <c r="D8" s="871">
        <v>73563.829329100001</v>
      </c>
      <c r="E8" s="871">
        <v>68313.847527299993</v>
      </c>
      <c r="F8" s="872">
        <v>8.3337611762020884</v>
      </c>
      <c r="G8" s="872">
        <v>0.60237633826481329</v>
      </c>
      <c r="H8" s="817">
        <v>35365.690709000002</v>
      </c>
      <c r="I8" s="817">
        <v>34655.012054999999</v>
      </c>
      <c r="J8" s="817">
        <v>31356.7436041</v>
      </c>
      <c r="K8" s="872">
        <v>12.78495992924411</v>
      </c>
      <c r="L8" s="872">
        <v>2.0507240132310534</v>
      </c>
    </row>
    <row r="9" spans="1:12" s="603" customFormat="1" ht="18" customHeight="1" x14ac:dyDescent="0.25">
      <c r="A9" s="869" t="s">
        <v>626</v>
      </c>
      <c r="B9" s="870" t="s">
        <v>627</v>
      </c>
      <c r="C9" s="873">
        <v>34805571.798250653</v>
      </c>
      <c r="D9" s="873">
        <v>34331337.510210939</v>
      </c>
      <c r="E9" s="873">
        <v>24400481.604586426</v>
      </c>
      <c r="F9" s="872">
        <v>42.642970586729888</v>
      </c>
      <c r="G9" s="872">
        <v>1.3813452152822936</v>
      </c>
      <c r="H9" s="817">
        <v>6218814.9375</v>
      </c>
      <c r="I9" s="817">
        <v>6188532.2143999999</v>
      </c>
      <c r="J9" s="817">
        <v>3761792.0074999998</v>
      </c>
      <c r="K9" s="872">
        <v>65.315225432489569</v>
      </c>
      <c r="L9" s="872">
        <v>0.48933611478236827</v>
      </c>
    </row>
    <row r="10" spans="1:12" s="603" customFormat="1" ht="18" customHeight="1" x14ac:dyDescent="0.25">
      <c r="A10" s="869" t="s">
        <v>628</v>
      </c>
      <c r="B10" s="870" t="s">
        <v>625</v>
      </c>
      <c r="C10" s="871">
        <v>83660.768031172294</v>
      </c>
      <c r="D10" s="871">
        <v>83606.289115492385</v>
      </c>
      <c r="E10" s="871">
        <v>72857.379268256991</v>
      </c>
      <c r="F10" s="872">
        <v>14.828132539790925</v>
      </c>
      <c r="G10" s="872">
        <v>6.5161265086951206E-2</v>
      </c>
      <c r="H10" s="817">
        <v>41084.965700000001</v>
      </c>
      <c r="I10" s="817">
        <v>40214.11825</v>
      </c>
      <c r="J10" s="817">
        <v>35804.657711298001</v>
      </c>
      <c r="K10" s="872">
        <v>14.747544945907464</v>
      </c>
      <c r="L10" s="872">
        <v>2.165526655554606</v>
      </c>
    </row>
    <row r="11" spans="1:12" s="603" customFormat="1" ht="18" customHeight="1" x14ac:dyDescent="0.25">
      <c r="A11" s="869" t="s">
        <v>629</v>
      </c>
      <c r="B11" s="870" t="s">
        <v>627</v>
      </c>
      <c r="C11" s="873">
        <v>39126940.694159634</v>
      </c>
      <c r="D11" s="873">
        <v>38632742.132330082</v>
      </c>
      <c r="E11" s="873">
        <v>28490417.58639032</v>
      </c>
      <c r="F11" s="872">
        <v>37.33368623157812</v>
      </c>
      <c r="G11" s="872">
        <v>1.2792220654095856</v>
      </c>
      <c r="H11" s="817">
        <v>6657817.6050000004</v>
      </c>
      <c r="I11" s="817">
        <v>6119551.051</v>
      </c>
      <c r="J11" s="817">
        <v>4078418.2158999997</v>
      </c>
      <c r="K11" s="872">
        <v>63.245092890278663</v>
      </c>
      <c r="L11" s="872">
        <v>8.795850373893721</v>
      </c>
    </row>
    <row r="12" spans="1:12" s="603" customFormat="1" ht="18" customHeight="1" x14ac:dyDescent="0.25">
      <c r="A12" s="869" t="s">
        <v>630</v>
      </c>
      <c r="B12" s="870" t="s">
        <v>625</v>
      </c>
      <c r="C12" s="871">
        <v>2566.0177287000001</v>
      </c>
      <c r="D12" s="871">
        <v>2712.3331674999999</v>
      </c>
      <c r="E12" s="871">
        <v>1356.5243556</v>
      </c>
      <c r="F12" s="872">
        <v>89.161198478079143</v>
      </c>
      <c r="G12" s="872">
        <v>-5.3944493454268763</v>
      </c>
      <c r="H12" s="817">
        <v>3560.352578</v>
      </c>
      <c r="I12" s="817">
        <v>3819.4677099999999</v>
      </c>
      <c r="J12" s="817">
        <v>1985.8931319999999</v>
      </c>
      <c r="K12" s="872">
        <v>79.282183951880441</v>
      </c>
      <c r="L12" s="872">
        <v>-6.7840639501047129</v>
      </c>
    </row>
    <row r="13" spans="1:12" s="603" customFormat="1" ht="18" customHeight="1" x14ac:dyDescent="0.25">
      <c r="A13" s="869" t="s">
        <v>1140</v>
      </c>
      <c r="B13" s="870" t="s">
        <v>625</v>
      </c>
      <c r="C13" s="871">
        <v>128.300886435</v>
      </c>
      <c r="D13" s="871">
        <v>150.68517597222223</v>
      </c>
      <c r="E13" s="871">
        <v>64.596397885714282</v>
      </c>
      <c r="F13" s="872">
        <v>98.619258401983103</v>
      </c>
      <c r="G13" s="872">
        <v>-14.855004410884201</v>
      </c>
      <c r="H13" s="817">
        <v>178.01762890000001</v>
      </c>
      <c r="I13" s="817">
        <v>201.02461631578947</v>
      </c>
      <c r="J13" s="817">
        <v>94.566339619047611</v>
      </c>
      <c r="K13" s="872">
        <v>88.246293149474496</v>
      </c>
      <c r="L13" s="872">
        <v>-11.444860752599473</v>
      </c>
    </row>
    <row r="14" spans="1:12" s="603" customFormat="1" ht="18" customHeight="1" x14ac:dyDescent="0.25">
      <c r="A14" s="869" t="s">
        <v>631</v>
      </c>
      <c r="B14" s="870" t="s">
        <v>627</v>
      </c>
      <c r="C14" s="871">
        <v>826415.06410185923</v>
      </c>
      <c r="D14" s="871">
        <v>763380.16646050464</v>
      </c>
      <c r="E14" s="871">
        <v>421550.49424350471</v>
      </c>
      <c r="F14" s="872">
        <v>96.041773260141952</v>
      </c>
      <c r="G14" s="872">
        <v>8.2573402363363417</v>
      </c>
      <c r="H14" s="817">
        <v>449616.448041</v>
      </c>
      <c r="I14" s="817">
        <v>425703.77605500002</v>
      </c>
      <c r="J14" s="817">
        <v>214435.01800499999</v>
      </c>
      <c r="K14" s="872">
        <v>109.6749179420482</v>
      </c>
      <c r="L14" s="872">
        <v>5.6172092734527501</v>
      </c>
    </row>
    <row r="15" spans="1:12" s="603" customFormat="1" ht="18" customHeight="1" x14ac:dyDescent="0.25">
      <c r="A15" s="869" t="s">
        <v>1141</v>
      </c>
      <c r="B15" s="870" t="s">
        <v>627</v>
      </c>
      <c r="C15" s="871">
        <v>41320.753205092966</v>
      </c>
      <c r="D15" s="871">
        <v>42410.009247805814</v>
      </c>
      <c r="E15" s="871">
        <v>20073.83305921451</v>
      </c>
      <c r="F15" s="872">
        <v>105.84386192314905</v>
      </c>
      <c r="G15" s="872">
        <v>-2.5683937872972842</v>
      </c>
      <c r="H15" s="817">
        <v>22480.822402049998</v>
      </c>
      <c r="I15" s="817">
        <v>22405.46189763158</v>
      </c>
      <c r="J15" s="817">
        <v>10211.191333571429</v>
      </c>
      <c r="K15" s="872">
        <v>120.15866383915056</v>
      </c>
      <c r="L15" s="872">
        <v>0.33634880978010706</v>
      </c>
    </row>
    <row r="16" spans="1:12" s="603" customFormat="1" ht="18" customHeight="1" x14ac:dyDescent="0.25">
      <c r="A16" s="869" t="s">
        <v>632</v>
      </c>
      <c r="B16" s="870" t="s">
        <v>620</v>
      </c>
      <c r="C16" s="871">
        <v>1</v>
      </c>
      <c r="D16" s="871">
        <v>0</v>
      </c>
      <c r="E16" s="871">
        <v>1</v>
      </c>
      <c r="F16" s="872" t="s">
        <v>238</v>
      </c>
      <c r="G16" s="872" t="s">
        <v>225</v>
      </c>
      <c r="H16" s="871">
        <v>0</v>
      </c>
      <c r="I16" s="817">
        <v>0</v>
      </c>
      <c r="J16" s="817">
        <v>1</v>
      </c>
      <c r="K16" s="872">
        <v>-100</v>
      </c>
      <c r="L16" s="872" t="s">
        <v>238</v>
      </c>
    </row>
    <row r="17" spans="1:12" s="603" customFormat="1" ht="18" customHeight="1" x14ac:dyDescent="0.25">
      <c r="A17" s="869" t="s">
        <v>633</v>
      </c>
      <c r="B17" s="870" t="s">
        <v>634</v>
      </c>
      <c r="C17" s="871">
        <v>84.522900000000007</v>
      </c>
      <c r="D17" s="871">
        <v>83.997799999999998</v>
      </c>
      <c r="E17" s="871">
        <v>84.961799999999997</v>
      </c>
      <c r="F17" s="872">
        <v>-0.516585100598139</v>
      </c>
      <c r="G17" s="872">
        <v>0.6251354202133973</v>
      </c>
      <c r="H17" s="817">
        <v>15.148628873975399</v>
      </c>
      <c r="I17" s="817">
        <v>15.2696966036685</v>
      </c>
      <c r="J17" s="817">
        <v>13.274763421622399</v>
      </c>
      <c r="K17" s="872">
        <v>14.11599885313799</v>
      </c>
      <c r="L17" s="872">
        <v>-0.79286270602137998</v>
      </c>
    </row>
    <row r="18" spans="1:12" s="603" customFormat="1" ht="18" customHeight="1" x14ac:dyDescent="0.25">
      <c r="A18" s="874"/>
      <c r="B18" s="875"/>
      <c r="C18" s="876"/>
      <c r="D18" s="876"/>
      <c r="E18" s="876"/>
      <c r="F18" s="877"/>
      <c r="G18" s="877"/>
      <c r="H18" s="605"/>
      <c r="I18" s="605"/>
      <c r="J18" s="605"/>
      <c r="K18" s="596"/>
      <c r="L18" s="596"/>
    </row>
    <row r="19" spans="1:12" s="202" customFormat="1" ht="36.75" customHeight="1" x14ac:dyDescent="0.25">
      <c r="A19" s="1484" t="s">
        <v>635</v>
      </c>
      <c r="B19" s="1484"/>
      <c r="C19" s="1484"/>
      <c r="D19" s="1484"/>
      <c r="E19" s="1484"/>
      <c r="F19" s="1484"/>
      <c r="G19" s="1484"/>
      <c r="H19" s="1484"/>
      <c r="I19" s="1484"/>
      <c r="J19" s="1484"/>
      <c r="K19" s="1484"/>
      <c r="L19" s="1484"/>
    </row>
    <row r="20" spans="1:12" s="202" customFormat="1" ht="13.5" customHeight="1" x14ac:dyDescent="0.25">
      <c r="A20" s="1339" t="s">
        <v>636</v>
      </c>
      <c r="B20" s="1339"/>
      <c r="C20" s="1339"/>
      <c r="D20" s="1339"/>
      <c r="E20" s="1339"/>
      <c r="F20" s="1339"/>
      <c r="G20" s="1339"/>
      <c r="H20" s="1339"/>
      <c r="I20" s="1339"/>
      <c r="J20" s="1339"/>
      <c r="K20" s="1339"/>
      <c r="L20" s="1339"/>
    </row>
    <row r="22" spans="1:12" x14ac:dyDescent="0.25">
      <c r="K22" s="418"/>
    </row>
  </sheetData>
  <mergeCells count="6">
    <mergeCell ref="A20:L20"/>
    <mergeCell ref="A2:A3"/>
    <mergeCell ref="B2:B3"/>
    <mergeCell ref="C2:G2"/>
    <mergeCell ref="H2:L2"/>
    <mergeCell ref="A19:L19"/>
  </mergeCells>
  <printOptions horizontalCentered="1"/>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topLeftCell="A4" zoomScaleNormal="100" workbookViewId="0">
      <selection activeCell="A21" sqref="A21"/>
    </sheetView>
  </sheetViews>
  <sheetFormatPr defaultColWidth="9.140625" defaultRowHeight="15" x14ac:dyDescent="0.25"/>
  <cols>
    <col min="1" max="1" width="14.5703125" style="127" bestFit="1" customWidth="1"/>
    <col min="2" max="2" width="16.85546875" style="127" customWidth="1"/>
    <col min="3" max="5" width="14.5703125" style="127" bestFit="1" customWidth="1"/>
    <col min="6" max="6" width="14.140625" style="127" bestFit="1" customWidth="1"/>
    <col min="7" max="7" width="17.42578125" style="127" customWidth="1"/>
    <col min="8" max="9" width="14.5703125" style="127" bestFit="1" customWidth="1"/>
    <col min="10" max="10" width="14.140625" style="127" customWidth="1"/>
    <col min="11" max="11" width="19.5703125" style="127" bestFit="1" customWidth="1"/>
    <col min="12" max="12" width="4.5703125" style="127" bestFit="1" customWidth="1"/>
    <col min="13" max="16384" width="9.140625" style="127"/>
  </cols>
  <sheetData>
    <row r="1" spans="1:11" ht="16.5" customHeight="1" x14ac:dyDescent="0.25">
      <c r="A1" s="373" t="s">
        <v>58</v>
      </c>
      <c r="B1" s="373"/>
      <c r="C1" s="373"/>
      <c r="D1" s="373"/>
      <c r="E1" s="373"/>
      <c r="F1" s="373"/>
      <c r="G1" s="373"/>
      <c r="H1" s="373"/>
      <c r="I1" s="373"/>
      <c r="J1" s="373"/>
      <c r="K1" s="373"/>
    </row>
    <row r="2" spans="1:11" s="603" customFormat="1" ht="18" customHeight="1" x14ac:dyDescent="0.25">
      <c r="A2" s="1376" t="s">
        <v>143</v>
      </c>
      <c r="B2" s="1381" t="s">
        <v>78</v>
      </c>
      <c r="C2" s="1382"/>
      <c r="D2" s="1382"/>
      <c r="E2" s="1382"/>
      <c r="F2" s="1383"/>
      <c r="G2" s="1381" t="s">
        <v>79</v>
      </c>
      <c r="H2" s="1382"/>
      <c r="I2" s="1382"/>
      <c r="J2" s="1382"/>
      <c r="K2" s="1383"/>
    </row>
    <row r="3" spans="1:11" s="603" customFormat="1" ht="67.5" customHeight="1" x14ac:dyDescent="0.25">
      <c r="A3" s="1324"/>
      <c r="B3" s="787" t="s">
        <v>637</v>
      </c>
      <c r="C3" s="787" t="s">
        <v>638</v>
      </c>
      <c r="D3" s="824" t="s">
        <v>639</v>
      </c>
      <c r="E3" s="824" t="s">
        <v>640</v>
      </c>
      <c r="F3" s="787" t="s">
        <v>641</v>
      </c>
      <c r="G3" s="787" t="s">
        <v>637</v>
      </c>
      <c r="H3" s="787" t="s">
        <v>638</v>
      </c>
      <c r="I3" s="824" t="s">
        <v>639</v>
      </c>
      <c r="J3" s="824" t="s">
        <v>640</v>
      </c>
      <c r="K3" s="787" t="s">
        <v>642</v>
      </c>
    </row>
    <row r="4" spans="1:11" s="603" customFormat="1" ht="30" customHeight="1" x14ac:dyDescent="0.25">
      <c r="A4" s="1157" t="s">
        <v>532</v>
      </c>
      <c r="B4" s="794">
        <v>46015</v>
      </c>
      <c r="C4" s="794">
        <v>281</v>
      </c>
      <c r="D4" s="794">
        <v>61665</v>
      </c>
      <c r="E4" s="790">
        <v>3773299.28</v>
      </c>
      <c r="F4" s="878">
        <v>42344187.609999999</v>
      </c>
      <c r="G4" s="794">
        <v>23060</v>
      </c>
      <c r="H4" s="794">
        <v>580</v>
      </c>
      <c r="I4" s="794">
        <v>17487</v>
      </c>
      <c r="J4" s="790">
        <v>661463.29700000002</v>
      </c>
      <c r="K4" s="790">
        <v>6420627.6279999996</v>
      </c>
    </row>
    <row r="5" spans="1:11" s="603" customFormat="1" ht="18" customHeight="1" x14ac:dyDescent="0.25">
      <c r="A5" s="1158" t="s">
        <v>1413</v>
      </c>
      <c r="B5" s="796">
        <f t="shared" ref="B5:F5" si="0">INDEX(B6:B17,COUNTA(B6:B17))</f>
        <v>48397</v>
      </c>
      <c r="C5" s="796">
        <f t="shared" si="0"/>
        <v>282</v>
      </c>
      <c r="D5" s="796">
        <f>INDEX(D6:D17,COUNTA(D6:D17))</f>
        <v>62492</v>
      </c>
      <c r="E5" s="796">
        <f t="shared" si="0"/>
        <v>3927366.21</v>
      </c>
      <c r="F5" s="796">
        <f t="shared" si="0"/>
        <v>44576101.505999997</v>
      </c>
      <c r="G5" s="796">
        <f>INDEX(G6:G17,COUNTA(G6:G17))</f>
        <v>24093</v>
      </c>
      <c r="H5" s="796">
        <f t="shared" ref="H5:K5" si="1">INDEX(H6:H17,COUNTA(H6:H17))</f>
        <v>577</v>
      </c>
      <c r="I5" s="796">
        <f t="shared" si="1"/>
        <v>17661</v>
      </c>
      <c r="J5" s="796">
        <f t="shared" si="1"/>
        <v>683554.59368588799</v>
      </c>
      <c r="K5" s="796">
        <f t="shared" si="1"/>
        <v>6973608.2975000003</v>
      </c>
    </row>
    <row r="6" spans="1:11" s="603" customFormat="1" ht="18" customHeight="1" x14ac:dyDescent="0.25">
      <c r="A6" s="221">
        <v>45383</v>
      </c>
      <c r="B6" s="601">
        <v>46792</v>
      </c>
      <c r="C6" s="601">
        <v>282</v>
      </c>
      <c r="D6" s="601">
        <v>62763</v>
      </c>
      <c r="E6" s="601">
        <v>3860905.75</v>
      </c>
      <c r="F6" s="601">
        <v>43957388.061999999</v>
      </c>
      <c r="G6" s="601">
        <v>23560</v>
      </c>
      <c r="H6" s="601">
        <v>578</v>
      </c>
      <c r="I6" s="601">
        <v>17644</v>
      </c>
      <c r="J6" s="602">
        <v>670642.35581886093</v>
      </c>
      <c r="K6" s="602">
        <v>6922743.2829000009</v>
      </c>
    </row>
    <row r="7" spans="1:11" s="603" customFormat="1" ht="18" customHeight="1" x14ac:dyDescent="0.25">
      <c r="A7" s="221">
        <v>45413</v>
      </c>
      <c r="B7" s="601">
        <v>48397</v>
      </c>
      <c r="C7" s="601">
        <v>282</v>
      </c>
      <c r="D7" s="601">
        <v>62492</v>
      </c>
      <c r="E7" s="601">
        <v>3927366.21</v>
      </c>
      <c r="F7" s="601">
        <v>44576101.505999997</v>
      </c>
      <c r="G7" s="601">
        <v>24093</v>
      </c>
      <c r="H7" s="601">
        <v>577</v>
      </c>
      <c r="I7" s="601">
        <v>17661</v>
      </c>
      <c r="J7" s="602">
        <v>683554.59368588799</v>
      </c>
      <c r="K7" s="602">
        <v>6973608.2975000003</v>
      </c>
    </row>
    <row r="8" spans="1:11" s="603" customFormat="1" ht="18" customHeight="1" x14ac:dyDescent="0.25">
      <c r="A8" s="221">
        <v>45444</v>
      </c>
      <c r="B8" s="601"/>
      <c r="C8" s="601"/>
      <c r="D8" s="601"/>
      <c r="E8" s="601"/>
      <c r="F8" s="601"/>
      <c r="G8" s="601"/>
      <c r="H8" s="601"/>
      <c r="I8" s="601"/>
      <c r="J8" s="602"/>
      <c r="K8" s="602"/>
    </row>
    <row r="9" spans="1:11" s="603" customFormat="1" ht="18" customHeight="1" x14ac:dyDescent="0.25">
      <c r="A9" s="221">
        <v>45474</v>
      </c>
      <c r="B9" s="601"/>
      <c r="C9" s="601"/>
      <c r="D9" s="601"/>
      <c r="E9" s="601"/>
      <c r="F9" s="601"/>
      <c r="G9" s="601"/>
      <c r="H9" s="601"/>
      <c r="I9" s="601"/>
      <c r="J9" s="602"/>
      <c r="K9" s="602"/>
    </row>
    <row r="10" spans="1:11" s="603" customFormat="1" x14ac:dyDescent="0.25">
      <c r="A10" s="221">
        <v>45505</v>
      </c>
      <c r="B10" s="601"/>
      <c r="C10" s="601"/>
      <c r="D10" s="601"/>
      <c r="E10" s="601"/>
      <c r="F10" s="601"/>
      <c r="G10" s="601"/>
      <c r="H10" s="601"/>
      <c r="I10" s="601"/>
      <c r="J10" s="602"/>
      <c r="K10" s="602"/>
    </row>
    <row r="11" spans="1:11" s="603" customFormat="1" x14ac:dyDescent="0.25">
      <c r="A11" s="221">
        <v>45536</v>
      </c>
      <c r="B11" s="601"/>
      <c r="C11" s="601"/>
      <c r="D11" s="601"/>
      <c r="E11" s="601"/>
      <c r="F11" s="601"/>
      <c r="G11" s="601"/>
      <c r="H11" s="601"/>
      <c r="I11" s="601"/>
      <c r="J11" s="602"/>
      <c r="K11" s="602"/>
    </row>
    <row r="12" spans="1:11" s="603" customFormat="1" x14ac:dyDescent="0.25">
      <c r="A12" s="221">
        <v>45566</v>
      </c>
      <c r="B12" s="601"/>
      <c r="C12" s="601"/>
      <c r="D12" s="601"/>
      <c r="E12" s="601"/>
      <c r="F12" s="601"/>
      <c r="G12" s="601"/>
      <c r="H12" s="601"/>
      <c r="I12" s="601"/>
      <c r="J12" s="602"/>
      <c r="K12" s="602"/>
    </row>
    <row r="13" spans="1:11" s="603" customFormat="1" x14ac:dyDescent="0.25">
      <c r="A13" s="221">
        <v>45597</v>
      </c>
      <c r="B13" s="600"/>
      <c r="C13" s="600"/>
      <c r="D13" s="600"/>
      <c r="E13" s="600"/>
      <c r="F13" s="601"/>
      <c r="G13" s="601"/>
      <c r="H13" s="601"/>
      <c r="I13" s="601"/>
      <c r="J13" s="602"/>
      <c r="K13" s="602"/>
    </row>
    <row r="14" spans="1:11" s="603" customFormat="1" ht="18" customHeight="1" x14ac:dyDescent="0.25">
      <c r="A14" s="221">
        <v>45627</v>
      </c>
      <c r="B14" s="600"/>
      <c r="C14" s="600"/>
      <c r="D14" s="600"/>
      <c r="E14" s="600"/>
      <c r="F14" s="601"/>
      <c r="G14" s="601"/>
      <c r="H14" s="601"/>
      <c r="I14" s="601"/>
      <c r="J14" s="602"/>
      <c r="K14" s="602"/>
    </row>
    <row r="15" spans="1:11" s="603" customFormat="1" x14ac:dyDescent="0.25">
      <c r="A15" s="221">
        <v>45658</v>
      </c>
      <c r="B15" s="600"/>
      <c r="C15" s="600"/>
      <c r="D15" s="600"/>
      <c r="E15" s="600"/>
      <c r="F15" s="601"/>
      <c r="G15" s="601"/>
      <c r="H15" s="601"/>
      <c r="I15" s="601"/>
      <c r="J15" s="602"/>
      <c r="K15" s="602"/>
    </row>
    <row r="16" spans="1:11" s="603" customFormat="1" x14ac:dyDescent="0.25">
      <c r="A16" s="221">
        <v>45689</v>
      </c>
      <c r="B16" s="600"/>
      <c r="C16" s="600"/>
      <c r="D16" s="600"/>
      <c r="E16" s="600"/>
      <c r="F16" s="601"/>
      <c r="G16" s="601"/>
      <c r="H16" s="601"/>
      <c r="I16" s="601"/>
      <c r="J16" s="602"/>
      <c r="K16" s="602"/>
    </row>
    <row r="17" spans="1:11" s="603" customFormat="1" x14ac:dyDescent="0.25">
      <c r="A17" s="221">
        <v>45717</v>
      </c>
      <c r="B17" s="600"/>
      <c r="C17" s="600"/>
      <c r="D17" s="600"/>
      <c r="E17" s="600"/>
      <c r="F17" s="600"/>
      <c r="G17" s="601"/>
      <c r="H17" s="601"/>
      <c r="I17" s="601"/>
      <c r="J17" s="602"/>
      <c r="K17" s="602"/>
    </row>
    <row r="18" spans="1:11" s="603" customFormat="1" x14ac:dyDescent="0.25">
      <c r="A18" s="168"/>
      <c r="B18" s="605"/>
      <c r="C18" s="605"/>
      <c r="D18" s="605"/>
      <c r="E18" s="605"/>
      <c r="F18" s="605"/>
      <c r="G18" s="605"/>
      <c r="H18" s="605"/>
      <c r="I18" s="605"/>
      <c r="J18" s="605"/>
      <c r="K18" s="169"/>
    </row>
    <row r="19" spans="1:11" s="603" customFormat="1" x14ac:dyDescent="0.25">
      <c r="A19" s="1484" t="s">
        <v>643</v>
      </c>
      <c r="B19" s="1485"/>
      <c r="C19" s="1485"/>
      <c r="D19" s="1485"/>
      <c r="E19" s="1485"/>
      <c r="F19" s="1485"/>
      <c r="G19" s="1485"/>
      <c r="H19" s="1485"/>
      <c r="I19" s="1485"/>
      <c r="J19" s="1485"/>
      <c r="K19" s="1485"/>
    </row>
    <row r="20" spans="1:11" s="603" customFormat="1" ht="15" customHeight="1" x14ac:dyDescent="0.25">
      <c r="A20" s="644" t="s">
        <v>636</v>
      </c>
      <c r="B20" s="644"/>
      <c r="C20" s="644"/>
      <c r="D20" s="653"/>
      <c r="E20" s="653"/>
      <c r="F20" s="653"/>
      <c r="G20" s="653"/>
      <c r="H20" s="653"/>
    </row>
    <row r="21" spans="1:11" s="603" customFormat="1" x14ac:dyDescent="0.25">
      <c r="A21" s="1126" t="s">
        <v>1401</v>
      </c>
      <c r="D21" s="644"/>
      <c r="E21" s="644"/>
      <c r="F21" s="644"/>
    </row>
    <row r="22" spans="1:11" s="603" customFormat="1" x14ac:dyDescent="0.25">
      <c r="A22" s="127"/>
      <c r="B22" s="127"/>
      <c r="C22" s="127"/>
      <c r="G22" s="127"/>
      <c r="H22" s="127"/>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76"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zoomScaleNormal="100" workbookViewId="0">
      <selection activeCell="A17" sqref="A17"/>
    </sheetView>
  </sheetViews>
  <sheetFormatPr defaultColWidth="9.140625" defaultRowHeight="15" x14ac:dyDescent="0.25"/>
  <cols>
    <col min="1" max="1" width="51" style="127" bestFit="1" customWidth="1"/>
    <col min="2" max="2" width="10.140625" style="127" bestFit="1" customWidth="1"/>
    <col min="3" max="4" width="8.85546875" style="127" bestFit="1" customWidth="1"/>
    <col min="5" max="5" width="10.28515625" style="127" bestFit="1" customWidth="1"/>
    <col min="6" max="6" width="12.7109375" style="127" customWidth="1"/>
    <col min="7" max="7" width="8.7109375" style="127" customWidth="1"/>
    <col min="8" max="8" width="8.85546875" style="127" bestFit="1" customWidth="1"/>
    <col min="9" max="9" width="10.28515625" style="127" bestFit="1" customWidth="1"/>
    <col min="10" max="10" width="14.85546875" style="127" customWidth="1"/>
    <col min="11" max="11" width="10.28515625" style="127" bestFit="1" customWidth="1"/>
    <col min="12" max="16384" width="9.140625" style="127"/>
  </cols>
  <sheetData>
    <row r="1" spans="1:11" ht="15.75" customHeight="1" x14ac:dyDescent="0.25">
      <c r="A1" s="652" t="s">
        <v>1397</v>
      </c>
    </row>
    <row r="2" spans="1:11" s="603" customFormat="1" ht="18" customHeight="1" x14ac:dyDescent="0.25">
      <c r="A2" s="1376" t="s">
        <v>644</v>
      </c>
      <c r="B2" s="1376" t="s">
        <v>616</v>
      </c>
      <c r="C2" s="1381" t="s">
        <v>140</v>
      </c>
      <c r="D2" s="1383"/>
      <c r="E2" s="1381" t="s">
        <v>645</v>
      </c>
      <c r="F2" s="1383"/>
      <c r="G2" s="1381" t="s">
        <v>306</v>
      </c>
      <c r="H2" s="1383"/>
      <c r="I2" s="1381" t="s">
        <v>96</v>
      </c>
      <c r="J2" s="1383"/>
    </row>
    <row r="3" spans="1:11" s="603" customFormat="1" ht="16.5" customHeight="1" x14ac:dyDescent="0.25">
      <c r="A3" s="1324"/>
      <c r="B3" s="1324"/>
      <c r="C3" s="825" t="s">
        <v>139</v>
      </c>
      <c r="D3" s="825" t="s">
        <v>646</v>
      </c>
      <c r="E3" s="825" t="s">
        <v>139</v>
      </c>
      <c r="F3" s="825" t="s">
        <v>646</v>
      </c>
      <c r="G3" s="825" t="s">
        <v>139</v>
      </c>
      <c r="H3" s="825" t="s">
        <v>646</v>
      </c>
      <c r="I3" s="825" t="s">
        <v>139</v>
      </c>
      <c r="J3" s="825" t="s">
        <v>646</v>
      </c>
    </row>
    <row r="4" spans="1:11" s="603" customFormat="1" ht="18" customHeight="1" x14ac:dyDescent="0.25">
      <c r="A4" s="1381" t="s">
        <v>78</v>
      </c>
      <c r="B4" s="1382"/>
      <c r="C4" s="1382"/>
      <c r="D4" s="1382"/>
      <c r="E4" s="1382"/>
      <c r="F4" s="1382"/>
      <c r="G4" s="1382"/>
      <c r="H4" s="1382"/>
      <c r="I4" s="1382"/>
      <c r="J4" s="1383"/>
    </row>
    <row r="5" spans="1:11" s="603" customFormat="1" ht="27" customHeight="1" x14ac:dyDescent="0.25">
      <c r="A5" s="879" t="s">
        <v>647</v>
      </c>
      <c r="B5" s="880" t="s">
        <v>648</v>
      </c>
      <c r="C5" s="871">
        <v>810</v>
      </c>
      <c r="D5" s="871">
        <v>3495</v>
      </c>
      <c r="E5" s="871">
        <v>5994</v>
      </c>
      <c r="F5" s="871">
        <v>37400</v>
      </c>
      <c r="G5" s="871">
        <v>380</v>
      </c>
      <c r="H5" s="871">
        <v>7647</v>
      </c>
      <c r="I5" s="881">
        <v>7184</v>
      </c>
      <c r="J5" s="881">
        <v>48542</v>
      </c>
    </row>
    <row r="6" spans="1:11" s="603" customFormat="1" x14ac:dyDescent="0.25">
      <c r="A6" s="879" t="s">
        <v>649</v>
      </c>
      <c r="B6" s="880" t="s">
        <v>648</v>
      </c>
      <c r="C6" s="871">
        <v>8413</v>
      </c>
      <c r="D6" s="871">
        <v>16119</v>
      </c>
      <c r="E6" s="871">
        <v>6233</v>
      </c>
      <c r="F6" s="871">
        <v>46259</v>
      </c>
      <c r="G6" s="871">
        <v>2664</v>
      </c>
      <c r="H6" s="871">
        <v>56929</v>
      </c>
      <c r="I6" s="881">
        <v>17310</v>
      </c>
      <c r="J6" s="881">
        <v>119307</v>
      </c>
    </row>
    <row r="7" spans="1:11" s="603" customFormat="1" x14ac:dyDescent="0.25">
      <c r="A7" s="879" t="s">
        <v>650</v>
      </c>
      <c r="B7" s="880" t="s">
        <v>651</v>
      </c>
      <c r="C7" s="803">
        <v>101337.06402999999</v>
      </c>
      <c r="D7" s="803">
        <v>2962825.8636699999</v>
      </c>
      <c r="E7" s="803">
        <v>7400696.0430500004</v>
      </c>
      <c r="F7" s="873">
        <v>18003770.460549999</v>
      </c>
      <c r="G7" s="803">
        <v>864043.69603722903</v>
      </c>
      <c r="H7" s="803">
        <v>9920988.5193396155</v>
      </c>
      <c r="I7" s="881">
        <v>8366076.8031172296</v>
      </c>
      <c r="J7" s="881">
        <v>30887584.843559615</v>
      </c>
      <c r="K7" s="139"/>
    </row>
    <row r="8" spans="1:11" s="603" customFormat="1" x14ac:dyDescent="0.25">
      <c r="A8" s="879" t="s">
        <v>652</v>
      </c>
      <c r="B8" s="880" t="s">
        <v>653</v>
      </c>
      <c r="C8" s="803">
        <v>3173891.5928190593</v>
      </c>
      <c r="D8" s="803">
        <v>1471817.4841033688</v>
      </c>
      <c r="E8" s="873">
        <v>34805571.798250653</v>
      </c>
      <c r="F8" s="803">
        <v>1694686.2420736358</v>
      </c>
      <c r="G8" s="803">
        <v>1147477.3030899228</v>
      </c>
      <c r="H8" s="803">
        <v>2282657.0852238596</v>
      </c>
      <c r="I8" s="881">
        <v>39126940.694159634</v>
      </c>
      <c r="J8" s="881">
        <v>5449160.8114008643</v>
      </c>
    </row>
    <row r="9" spans="1:11" s="603" customFormat="1" ht="27" customHeight="1" x14ac:dyDescent="0.25">
      <c r="A9" s="879" t="s">
        <v>654</v>
      </c>
      <c r="B9" s="880" t="s">
        <v>655</v>
      </c>
      <c r="C9" s="871">
        <v>619.34963000000005</v>
      </c>
      <c r="D9" s="871">
        <v>11709.512769999999</v>
      </c>
      <c r="E9" s="803">
        <v>256601.77286999999</v>
      </c>
      <c r="F9" s="882">
        <v>558.15097000000003</v>
      </c>
      <c r="G9" s="882">
        <v>8176.8341233199999</v>
      </c>
      <c r="H9" s="882">
        <v>1009.1052481999999</v>
      </c>
      <c r="I9" s="881">
        <v>265397.95662332</v>
      </c>
      <c r="J9" s="881">
        <v>13276.7689882</v>
      </c>
      <c r="K9" s="196"/>
    </row>
    <row r="10" spans="1:11" s="603" customFormat="1" x14ac:dyDescent="0.25">
      <c r="A10" s="879" t="s">
        <v>656</v>
      </c>
      <c r="B10" s="880" t="s">
        <v>657</v>
      </c>
      <c r="C10" s="871">
        <v>88805.186267199999</v>
      </c>
      <c r="D10" s="871">
        <v>44148.075697499997</v>
      </c>
      <c r="E10" s="803">
        <v>826415.06410185923</v>
      </c>
      <c r="F10" s="871">
        <v>2781.3676693950006</v>
      </c>
      <c r="G10" s="871">
        <v>12416.294843371001</v>
      </c>
      <c r="H10" s="871">
        <v>469.46571015299997</v>
      </c>
      <c r="I10" s="881">
        <v>927636.54521243041</v>
      </c>
      <c r="J10" s="881">
        <v>47398.909077048003</v>
      </c>
      <c r="K10" s="196"/>
    </row>
    <row r="11" spans="1:11" s="603" customFormat="1" ht="18" customHeight="1" x14ac:dyDescent="0.25">
      <c r="A11" s="1381" t="s">
        <v>79</v>
      </c>
      <c r="B11" s="1382"/>
      <c r="C11" s="1382"/>
      <c r="D11" s="1382"/>
      <c r="E11" s="1382"/>
      <c r="F11" s="1382"/>
      <c r="G11" s="1382"/>
      <c r="H11" s="1382"/>
      <c r="I11" s="1382"/>
      <c r="J11" s="1383"/>
    </row>
    <row r="12" spans="1:11" s="603" customFormat="1" ht="27" customHeight="1" x14ac:dyDescent="0.25">
      <c r="A12" s="879" t="s">
        <v>658</v>
      </c>
      <c r="B12" s="880" t="s">
        <v>648</v>
      </c>
      <c r="C12" s="871">
        <v>677</v>
      </c>
      <c r="D12" s="871">
        <v>823</v>
      </c>
      <c r="E12" s="871">
        <v>6380</v>
      </c>
      <c r="F12" s="871">
        <v>15288</v>
      </c>
      <c r="G12" s="871">
        <v>2532</v>
      </c>
      <c r="H12" s="871">
        <v>2065</v>
      </c>
      <c r="I12" s="881">
        <v>9589</v>
      </c>
      <c r="J12" s="881">
        <v>18176</v>
      </c>
    </row>
    <row r="13" spans="1:11" s="603" customFormat="1" x14ac:dyDescent="0.25">
      <c r="A13" s="879" t="s">
        <v>659</v>
      </c>
      <c r="B13" s="880" t="s">
        <v>648</v>
      </c>
      <c r="C13" s="871">
        <v>6992</v>
      </c>
      <c r="D13" s="871">
        <v>7545</v>
      </c>
      <c r="E13" s="871">
        <v>6577</v>
      </c>
      <c r="F13" s="871">
        <v>15778</v>
      </c>
      <c r="G13" s="871">
        <v>21587</v>
      </c>
      <c r="H13" s="871">
        <v>18759</v>
      </c>
      <c r="I13" s="881">
        <v>35156</v>
      </c>
      <c r="J13" s="881">
        <v>42082</v>
      </c>
    </row>
    <row r="14" spans="1:11" s="603" customFormat="1" x14ac:dyDescent="0.25">
      <c r="A14" s="879" t="s">
        <v>650</v>
      </c>
      <c r="B14" s="880" t="s">
        <v>660</v>
      </c>
      <c r="C14" s="871">
        <v>4309.3801299999996</v>
      </c>
      <c r="D14" s="803">
        <v>195206.80626000001</v>
      </c>
      <c r="E14" s="803">
        <v>3536569.0709000002</v>
      </c>
      <c r="F14" s="803">
        <v>2201575.9127000002</v>
      </c>
      <c r="G14" s="803">
        <v>567618.11862379999</v>
      </c>
      <c r="H14" s="803">
        <v>330266.64824509999</v>
      </c>
      <c r="I14" s="881">
        <v>4108496.5696538002</v>
      </c>
      <c r="J14" s="881">
        <v>2727049.3672051001</v>
      </c>
      <c r="K14" s="139"/>
    </row>
    <row r="15" spans="1:11" s="603" customFormat="1" x14ac:dyDescent="0.25">
      <c r="A15" s="879" t="s">
        <v>652</v>
      </c>
      <c r="B15" s="880" t="s">
        <v>661</v>
      </c>
      <c r="C15" s="871">
        <v>76835.989600000001</v>
      </c>
      <c r="D15" s="871">
        <v>70318.051800000001</v>
      </c>
      <c r="E15" s="803">
        <v>6218814.9375</v>
      </c>
      <c r="F15" s="803">
        <v>172237.04680000001</v>
      </c>
      <c r="G15" s="803">
        <v>362166.6776</v>
      </c>
      <c r="H15" s="871">
        <v>73235.594100000002</v>
      </c>
      <c r="I15" s="881">
        <v>6657817.6047</v>
      </c>
      <c r="J15" s="881">
        <v>315790.69270000001</v>
      </c>
    </row>
    <row r="16" spans="1:11" s="603" customFormat="1" ht="27" customHeight="1" x14ac:dyDescent="0.25">
      <c r="A16" s="879" t="s">
        <v>662</v>
      </c>
      <c r="B16" s="880" t="s">
        <v>660</v>
      </c>
      <c r="C16" s="871">
        <v>68.681430000000006</v>
      </c>
      <c r="D16" s="871">
        <v>0</v>
      </c>
      <c r="E16" s="803">
        <v>356035.14944000001</v>
      </c>
      <c r="F16" s="871">
        <v>0</v>
      </c>
      <c r="G16" s="871">
        <v>54210.92452</v>
      </c>
      <c r="H16" s="871">
        <v>0</v>
      </c>
      <c r="I16" s="881">
        <v>410314.75539000001</v>
      </c>
      <c r="J16" s="881">
        <v>0</v>
      </c>
    </row>
    <row r="17" spans="1:10" s="603" customFormat="1" x14ac:dyDescent="0.25">
      <c r="A17" s="879" t="s">
        <v>656</v>
      </c>
      <c r="B17" s="880" t="s">
        <v>661</v>
      </c>
      <c r="C17" s="871">
        <v>295.58047770000002</v>
      </c>
      <c r="D17" s="871">
        <v>0</v>
      </c>
      <c r="E17" s="803">
        <v>449616.44618089998</v>
      </c>
      <c r="F17" s="871">
        <v>0</v>
      </c>
      <c r="G17" s="871">
        <v>36853.497539499993</v>
      </c>
      <c r="H17" s="871">
        <v>0</v>
      </c>
      <c r="I17" s="881">
        <v>486765.52419809997</v>
      </c>
      <c r="J17" s="881">
        <v>0</v>
      </c>
    </row>
    <row r="18" spans="1:10" s="603" customFormat="1" x14ac:dyDescent="0.25">
      <c r="A18" s="648"/>
      <c r="B18" s="607"/>
      <c r="C18" s="605"/>
      <c r="D18" s="605"/>
      <c r="E18" s="606"/>
      <c r="F18" s="605"/>
      <c r="G18" s="605"/>
      <c r="H18" s="605"/>
      <c r="I18" s="606"/>
      <c r="J18" s="605"/>
    </row>
    <row r="19" spans="1:10" s="603" customFormat="1" ht="33" customHeight="1" x14ac:dyDescent="0.25">
      <c r="A19" s="1335" t="s">
        <v>663</v>
      </c>
      <c r="B19" s="1335"/>
      <c r="C19" s="1335"/>
      <c r="D19" s="1335"/>
      <c r="E19" s="1335"/>
      <c r="F19" s="1335"/>
      <c r="G19" s="1335"/>
      <c r="H19" s="1335"/>
      <c r="I19" s="1335"/>
      <c r="J19" s="1335"/>
    </row>
    <row r="20" spans="1:10" s="603" customFormat="1" ht="13.5" customHeight="1" x14ac:dyDescent="0.25">
      <c r="A20" s="1316" t="s">
        <v>636</v>
      </c>
      <c r="B20" s="1316"/>
      <c r="C20" s="1316"/>
      <c r="D20" s="1316"/>
      <c r="E20" s="1316"/>
      <c r="F20" s="1316"/>
      <c r="G20" s="1316"/>
      <c r="H20" s="1316"/>
      <c r="I20" s="1316"/>
      <c r="J20" s="1316"/>
    </row>
  </sheetData>
  <mergeCells count="10">
    <mergeCell ref="A11:J11"/>
    <mergeCell ref="A19:J19"/>
    <mergeCell ref="A20:J20"/>
    <mergeCell ref="A2:A3"/>
    <mergeCell ref="B2:B3"/>
    <mergeCell ref="C2:D2"/>
    <mergeCell ref="E2:F2"/>
    <mergeCell ref="G2:H2"/>
    <mergeCell ref="I2:J2"/>
    <mergeCell ref="A4:J4"/>
  </mergeCells>
  <printOptions horizontalCentered="1"/>
  <pageMargins left="0.78431372549019618" right="0.78431372549019618" top="0.98039215686274517" bottom="0.98039215686274517" header="0.50980392156862753" footer="0.50980392156862753"/>
  <pageSetup paperSize="9" scale="83" orientation="landscape"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2"/>
  <sheetViews>
    <sheetView workbookViewId="0">
      <selection activeCell="B7" sqref="A7:XFD9"/>
    </sheetView>
  </sheetViews>
  <sheetFormatPr defaultColWidth="9.140625" defaultRowHeight="12.75" x14ac:dyDescent="0.2"/>
  <cols>
    <col min="1" max="1" width="11" style="392" customWidth="1"/>
    <col min="2" max="2" width="18" style="392" bestFit="1" customWidth="1"/>
    <col min="3" max="3" width="11.5703125" style="392" customWidth="1"/>
    <col min="4" max="4" width="22.7109375" style="392" customWidth="1"/>
    <col min="5" max="5" width="8.85546875" style="392" customWidth="1"/>
    <col min="6" max="6" width="8.5703125" style="392" customWidth="1"/>
    <col min="7" max="7" width="15.85546875" style="392" customWidth="1"/>
    <col min="8" max="8" width="8.140625" style="392" customWidth="1"/>
    <col min="9" max="9" width="11.5703125" style="392" customWidth="1"/>
    <col min="10" max="10" width="22.7109375" style="392" customWidth="1"/>
    <col min="11" max="11" width="8.85546875" style="392" customWidth="1"/>
    <col min="12" max="12" width="8.5703125" style="392" customWidth="1"/>
    <col min="13" max="16384" width="9.140625" style="392"/>
  </cols>
  <sheetData>
    <row r="1" spans="1:13" ht="15" x14ac:dyDescent="0.2">
      <c r="A1" s="1488" t="s">
        <v>664</v>
      </c>
      <c r="B1" s="1488"/>
      <c r="C1" s="1488"/>
      <c r="D1" s="1488"/>
      <c r="E1" s="1488"/>
      <c r="F1" s="1488"/>
      <c r="G1" s="1488"/>
      <c r="H1" s="1488"/>
      <c r="I1" s="1488"/>
      <c r="J1" s="1488"/>
      <c r="K1" s="1488"/>
      <c r="L1" s="1488"/>
      <c r="M1" s="1108"/>
    </row>
    <row r="2" spans="1:13" ht="15" customHeight="1" x14ac:dyDescent="0.2">
      <c r="A2" s="1489" t="s">
        <v>665</v>
      </c>
      <c r="B2" s="1489" t="s">
        <v>666</v>
      </c>
      <c r="C2" s="1490" t="s">
        <v>667</v>
      </c>
      <c r="D2" s="1490"/>
      <c r="E2" s="1490"/>
      <c r="F2" s="1490"/>
      <c r="G2" s="1490"/>
      <c r="H2" s="1490"/>
      <c r="I2" s="1490" t="s">
        <v>668</v>
      </c>
      <c r="J2" s="1490"/>
      <c r="K2" s="1490"/>
      <c r="L2" s="1490"/>
    </row>
    <row r="3" spans="1:13" x14ac:dyDescent="0.2">
      <c r="A3" s="1489"/>
      <c r="B3" s="1489"/>
      <c r="C3" s="1073" t="s">
        <v>669</v>
      </c>
      <c r="D3" s="1073" t="s">
        <v>670</v>
      </c>
      <c r="E3" s="1073" t="s">
        <v>671</v>
      </c>
      <c r="F3" s="1073" t="s">
        <v>672</v>
      </c>
      <c r="G3" s="1073" t="s">
        <v>673</v>
      </c>
      <c r="H3" s="1073" t="s">
        <v>674</v>
      </c>
      <c r="I3" s="1073" t="s">
        <v>669</v>
      </c>
      <c r="J3" s="1073" t="s">
        <v>670</v>
      </c>
      <c r="K3" s="1073" t="s">
        <v>671</v>
      </c>
      <c r="L3" s="1073" t="s">
        <v>672</v>
      </c>
    </row>
    <row r="4" spans="1:13" x14ac:dyDescent="0.2">
      <c r="A4" s="1489" t="s">
        <v>675</v>
      </c>
      <c r="B4" s="1107" t="s">
        <v>676</v>
      </c>
      <c r="C4" s="1109">
        <v>17</v>
      </c>
      <c r="D4" s="1109">
        <v>1</v>
      </c>
      <c r="E4" s="1109">
        <v>0</v>
      </c>
      <c r="F4" s="1109">
        <v>0</v>
      </c>
      <c r="G4" s="1109">
        <v>0</v>
      </c>
      <c r="H4" s="1109">
        <v>0</v>
      </c>
      <c r="I4" s="1109">
        <v>0</v>
      </c>
      <c r="J4" s="1109">
        <v>0</v>
      </c>
      <c r="K4" s="1109">
        <v>0</v>
      </c>
      <c r="L4" s="222">
        <v>0</v>
      </c>
      <c r="M4" s="1110"/>
    </row>
    <row r="5" spans="1:13" x14ac:dyDescent="0.2">
      <c r="A5" s="1489"/>
      <c r="B5" s="1107" t="s">
        <v>677</v>
      </c>
      <c r="C5" s="1109">
        <v>17</v>
      </c>
      <c r="D5" s="1109">
        <v>1</v>
      </c>
      <c r="E5" s="1109">
        <v>0</v>
      </c>
      <c r="F5" s="1109">
        <v>0</v>
      </c>
      <c r="G5" s="1109">
        <v>0</v>
      </c>
      <c r="H5" s="1109">
        <v>0</v>
      </c>
      <c r="I5" s="1109">
        <v>0</v>
      </c>
      <c r="J5" s="1109">
        <v>0</v>
      </c>
      <c r="K5" s="1109">
        <v>0</v>
      </c>
      <c r="L5" s="222">
        <v>0</v>
      </c>
      <c r="M5" s="1110"/>
    </row>
    <row r="6" spans="1:13" x14ac:dyDescent="0.2">
      <c r="A6" s="1489"/>
      <c r="B6" s="1107" t="s">
        <v>678</v>
      </c>
      <c r="C6" s="1109">
        <v>10</v>
      </c>
      <c r="D6" s="1109">
        <v>1</v>
      </c>
      <c r="E6" s="1109">
        <v>0</v>
      </c>
      <c r="F6" s="1109">
        <v>0</v>
      </c>
      <c r="G6" s="1109">
        <v>0</v>
      </c>
      <c r="H6" s="1109">
        <v>0</v>
      </c>
      <c r="I6" s="1109">
        <v>0</v>
      </c>
      <c r="J6" s="1109">
        <v>0</v>
      </c>
      <c r="K6" s="1109">
        <v>0</v>
      </c>
      <c r="L6" s="222">
        <v>0</v>
      </c>
      <c r="M6" s="1110"/>
    </row>
    <row r="7" spans="1:13" x14ac:dyDescent="0.2">
      <c r="A7" s="1489" t="s">
        <v>679</v>
      </c>
      <c r="B7" s="1107" t="s">
        <v>676</v>
      </c>
      <c r="C7" s="222">
        <v>5</v>
      </c>
      <c r="D7" s="222">
        <v>6</v>
      </c>
      <c r="E7" s="222">
        <v>2</v>
      </c>
      <c r="F7" s="1111">
        <v>2</v>
      </c>
      <c r="G7" s="1111">
        <v>0</v>
      </c>
      <c r="H7" s="1111">
        <v>2</v>
      </c>
      <c r="I7" s="1111">
        <v>0</v>
      </c>
      <c r="J7" s="1111">
        <v>2</v>
      </c>
      <c r="K7" s="1111">
        <v>2</v>
      </c>
      <c r="L7" s="1111">
        <v>2</v>
      </c>
    </row>
    <row r="8" spans="1:13" x14ac:dyDescent="0.2">
      <c r="A8" s="1489"/>
      <c r="B8" s="1107" t="s">
        <v>677</v>
      </c>
      <c r="C8" s="222">
        <v>3</v>
      </c>
      <c r="D8" s="222">
        <v>6</v>
      </c>
      <c r="E8" s="222">
        <v>2</v>
      </c>
      <c r="F8" s="1111">
        <v>2</v>
      </c>
      <c r="G8" s="1111">
        <v>0</v>
      </c>
      <c r="H8" s="1111">
        <v>2</v>
      </c>
      <c r="I8" s="1111">
        <v>0</v>
      </c>
      <c r="J8" s="1111">
        <v>2</v>
      </c>
      <c r="K8" s="1111">
        <v>2</v>
      </c>
      <c r="L8" s="1111">
        <v>2</v>
      </c>
    </row>
    <row r="9" spans="1:13" x14ac:dyDescent="0.2">
      <c r="A9" s="1489"/>
      <c r="B9" s="1107" t="s">
        <v>678</v>
      </c>
      <c r="C9" s="222">
        <v>2</v>
      </c>
      <c r="D9" s="222">
        <v>4</v>
      </c>
      <c r="E9" s="222">
        <v>2</v>
      </c>
      <c r="F9" s="1111">
        <v>2</v>
      </c>
      <c r="G9" s="1111">
        <v>0</v>
      </c>
      <c r="H9" s="1111">
        <v>1</v>
      </c>
      <c r="I9" s="1111">
        <v>0</v>
      </c>
      <c r="J9" s="1111">
        <v>2</v>
      </c>
      <c r="K9" s="1111">
        <v>2</v>
      </c>
      <c r="L9" s="1111">
        <v>2</v>
      </c>
    </row>
    <row r="10" spans="1:13" x14ac:dyDescent="0.2">
      <c r="A10" s="1489" t="s">
        <v>680</v>
      </c>
      <c r="B10" s="1107" t="s">
        <v>676</v>
      </c>
      <c r="C10" s="222">
        <v>1</v>
      </c>
      <c r="D10" s="222">
        <v>3</v>
      </c>
      <c r="E10" s="222">
        <v>2</v>
      </c>
      <c r="F10" s="222">
        <v>2</v>
      </c>
      <c r="G10" s="222" t="s">
        <v>238</v>
      </c>
      <c r="H10" s="222" t="s">
        <v>238</v>
      </c>
      <c r="I10" s="222" t="s">
        <v>238</v>
      </c>
      <c r="J10" s="222" t="s">
        <v>238</v>
      </c>
      <c r="K10" s="222">
        <v>2</v>
      </c>
      <c r="L10" s="222">
        <v>2</v>
      </c>
    </row>
    <row r="11" spans="1:13" x14ac:dyDescent="0.2">
      <c r="A11" s="1489"/>
      <c r="B11" s="1107" t="s">
        <v>677</v>
      </c>
      <c r="C11" s="222">
        <v>1</v>
      </c>
      <c r="D11" s="222">
        <v>3</v>
      </c>
      <c r="E11" s="222">
        <v>2</v>
      </c>
      <c r="F11" s="222">
        <v>2</v>
      </c>
      <c r="G11" s="222" t="s">
        <v>238</v>
      </c>
      <c r="H11" s="222" t="s">
        <v>238</v>
      </c>
      <c r="I11" s="222">
        <v>0</v>
      </c>
      <c r="J11" s="222">
        <v>0</v>
      </c>
      <c r="K11" s="222">
        <v>2</v>
      </c>
      <c r="L11" s="222">
        <v>2</v>
      </c>
    </row>
    <row r="12" spans="1:13" x14ac:dyDescent="0.2">
      <c r="A12" s="1489"/>
      <c r="B12" s="1107" t="s">
        <v>678</v>
      </c>
      <c r="C12" s="222">
        <v>0</v>
      </c>
      <c r="D12" s="222">
        <v>0</v>
      </c>
      <c r="E12" s="222">
        <v>0</v>
      </c>
      <c r="F12" s="222">
        <v>0</v>
      </c>
      <c r="G12" s="222" t="s">
        <v>238</v>
      </c>
      <c r="H12" s="222" t="s">
        <v>238</v>
      </c>
      <c r="I12" s="222">
        <v>0</v>
      </c>
      <c r="J12" s="222">
        <v>0</v>
      </c>
      <c r="K12" s="222">
        <v>0</v>
      </c>
      <c r="L12" s="222">
        <v>1</v>
      </c>
    </row>
    <row r="13" spans="1:13" x14ac:dyDescent="0.2">
      <c r="A13" s="1489" t="s">
        <v>681</v>
      </c>
      <c r="B13" s="1107" t="s">
        <v>676</v>
      </c>
      <c r="C13" s="222">
        <v>0</v>
      </c>
      <c r="D13" s="222">
        <v>5</v>
      </c>
      <c r="E13" s="222">
        <v>2</v>
      </c>
      <c r="F13" s="222">
        <v>2</v>
      </c>
      <c r="G13" s="222">
        <v>0</v>
      </c>
      <c r="H13" s="222" t="s">
        <v>225</v>
      </c>
      <c r="I13" s="222">
        <v>0</v>
      </c>
      <c r="J13" s="222">
        <v>2</v>
      </c>
      <c r="K13" s="222">
        <v>2</v>
      </c>
      <c r="L13" s="222">
        <v>2</v>
      </c>
    </row>
    <row r="14" spans="1:13" x14ac:dyDescent="0.2">
      <c r="A14" s="1489"/>
      <c r="B14" s="1107" t="s">
        <v>677</v>
      </c>
      <c r="C14" s="222">
        <v>0</v>
      </c>
      <c r="D14" s="222">
        <v>5</v>
      </c>
      <c r="E14" s="222">
        <v>2</v>
      </c>
      <c r="F14" s="222">
        <v>2</v>
      </c>
      <c r="G14" s="222">
        <v>0</v>
      </c>
      <c r="H14" s="222" t="s">
        <v>225</v>
      </c>
      <c r="I14" s="222">
        <v>0</v>
      </c>
      <c r="J14" s="222">
        <v>2</v>
      </c>
      <c r="K14" s="222">
        <v>2</v>
      </c>
      <c r="L14" s="222">
        <v>2</v>
      </c>
    </row>
    <row r="15" spans="1:13" x14ac:dyDescent="0.2">
      <c r="A15" s="1489"/>
      <c r="B15" s="1107" t="s">
        <v>678</v>
      </c>
      <c r="C15" s="222">
        <v>0</v>
      </c>
      <c r="D15" s="222">
        <v>0</v>
      </c>
      <c r="E15" s="222">
        <v>1</v>
      </c>
      <c r="F15" s="222">
        <v>1</v>
      </c>
      <c r="G15" s="222">
        <v>0</v>
      </c>
      <c r="H15" s="222" t="s">
        <v>225</v>
      </c>
      <c r="I15" s="222">
        <v>0</v>
      </c>
      <c r="J15" s="222">
        <v>0</v>
      </c>
      <c r="K15" s="222">
        <v>1</v>
      </c>
      <c r="L15" s="222">
        <v>2</v>
      </c>
    </row>
    <row r="16" spans="1:13" x14ac:dyDescent="0.2">
      <c r="A16" s="1491" t="s">
        <v>682</v>
      </c>
      <c r="B16" s="1491"/>
      <c r="C16" s="1491"/>
      <c r="D16" s="1491"/>
      <c r="E16" s="1491"/>
      <c r="F16" s="1491"/>
      <c r="G16" s="335"/>
      <c r="H16" s="335"/>
      <c r="I16" s="335"/>
      <c r="J16" s="335"/>
      <c r="K16" s="335"/>
      <c r="L16" s="335"/>
    </row>
    <row r="17" spans="1:23" s="1113" customFormat="1" x14ac:dyDescent="0.2">
      <c r="A17" s="1492" t="s">
        <v>683</v>
      </c>
      <c r="B17" s="1492"/>
      <c r="C17" s="1492"/>
      <c r="D17" s="1492"/>
      <c r="E17" s="1492"/>
      <c r="F17" s="1112"/>
      <c r="G17" s="392"/>
      <c r="H17" s="392"/>
      <c r="I17" s="392"/>
      <c r="J17" s="392"/>
      <c r="K17" s="392"/>
      <c r="L17" s="392"/>
    </row>
    <row r="18" spans="1:23" s="1113" customFormat="1" x14ac:dyDescent="0.2">
      <c r="A18" s="1486" t="s">
        <v>1142</v>
      </c>
      <c r="B18" s="1487"/>
      <c r="C18" s="1487"/>
      <c r="D18" s="1487"/>
      <c r="E18" s="1114"/>
      <c r="F18" s="1114"/>
      <c r="G18" s="392"/>
      <c r="H18" s="392"/>
      <c r="I18" s="392"/>
      <c r="J18" s="392"/>
      <c r="K18" s="392"/>
      <c r="L18" s="392"/>
    </row>
    <row r="19" spans="1:23" ht="15" customHeight="1" x14ac:dyDescent="0.2">
      <c r="B19" s="1115"/>
      <c r="C19" s="1115"/>
      <c r="D19" s="1115"/>
      <c r="E19" s="1115"/>
      <c r="F19" s="1115"/>
      <c r="N19" s="1110"/>
      <c r="O19" s="1110"/>
      <c r="P19" s="1110"/>
      <c r="Q19" s="1110"/>
      <c r="R19" s="1110"/>
      <c r="S19" s="1110"/>
      <c r="T19" s="1110"/>
      <c r="U19" s="1110"/>
      <c r="V19" s="1110"/>
      <c r="W19" s="1110"/>
    </row>
    <row r="20" spans="1:23" x14ac:dyDescent="0.2">
      <c r="N20" s="1110"/>
      <c r="O20" s="1110"/>
      <c r="P20" s="1110"/>
      <c r="Q20" s="1110"/>
      <c r="R20" s="1110"/>
      <c r="S20" s="1110"/>
      <c r="T20" s="1110"/>
      <c r="U20" s="1110"/>
      <c r="V20" s="1110"/>
      <c r="W20" s="1110"/>
    </row>
    <row r="21" spans="1:23" x14ac:dyDescent="0.2">
      <c r="N21" s="1110"/>
      <c r="O21" s="1110"/>
      <c r="P21" s="1110"/>
      <c r="Q21" s="1110"/>
      <c r="R21" s="1110"/>
      <c r="S21" s="1110"/>
      <c r="T21" s="1110"/>
      <c r="U21" s="1110"/>
      <c r="V21" s="1110"/>
      <c r="W21" s="1110"/>
    </row>
    <row r="22" spans="1:23" x14ac:dyDescent="0.2">
      <c r="N22" s="1110"/>
      <c r="O22" s="1110"/>
      <c r="P22" s="1110"/>
      <c r="Q22" s="1110"/>
      <c r="R22" s="1110"/>
      <c r="S22" s="1110"/>
      <c r="T22" s="1110"/>
      <c r="U22" s="1110"/>
      <c r="V22" s="1110"/>
      <c r="W22" s="1110"/>
    </row>
    <row r="23" spans="1:23" x14ac:dyDescent="0.2">
      <c r="N23" s="1110"/>
      <c r="O23" s="1110"/>
      <c r="P23" s="1110"/>
      <c r="Q23" s="1110"/>
      <c r="R23" s="1110"/>
      <c r="S23" s="1110"/>
      <c r="T23" s="1110"/>
      <c r="U23" s="1110"/>
      <c r="V23" s="1110"/>
      <c r="W23" s="1110"/>
    </row>
    <row r="24" spans="1:23" x14ac:dyDescent="0.2">
      <c r="N24" s="1110"/>
      <c r="O24" s="1110"/>
      <c r="P24" s="1110"/>
      <c r="Q24" s="1110"/>
      <c r="R24" s="1110"/>
      <c r="S24" s="1110"/>
      <c r="T24" s="1110"/>
      <c r="U24" s="1110"/>
      <c r="V24" s="1110"/>
      <c r="W24" s="1110"/>
    </row>
    <row r="25" spans="1:23" x14ac:dyDescent="0.2">
      <c r="N25" s="1110"/>
      <c r="O25" s="1110"/>
      <c r="P25" s="1110"/>
      <c r="Q25" s="1110"/>
      <c r="R25" s="1110"/>
      <c r="S25" s="1110"/>
      <c r="T25" s="1110"/>
      <c r="U25" s="1110"/>
      <c r="V25" s="1110"/>
      <c r="W25" s="1110"/>
    </row>
    <row r="26" spans="1:23" x14ac:dyDescent="0.2">
      <c r="E26" s="392" t="s">
        <v>684</v>
      </c>
      <c r="N26" s="1110"/>
      <c r="O26" s="1110"/>
      <c r="P26" s="1110"/>
      <c r="Q26" s="1110"/>
      <c r="R26" s="1110"/>
      <c r="S26" s="1110"/>
      <c r="T26" s="1110"/>
      <c r="U26" s="1110"/>
      <c r="V26" s="1110"/>
      <c r="W26" s="1110"/>
    </row>
    <row r="27" spans="1:23" x14ac:dyDescent="0.2">
      <c r="N27" s="1110"/>
      <c r="O27" s="1110"/>
      <c r="P27" s="1110"/>
      <c r="Q27" s="1110"/>
      <c r="R27" s="1110"/>
      <c r="S27" s="1110"/>
      <c r="T27" s="1110"/>
      <c r="U27" s="1110"/>
      <c r="V27" s="1110"/>
      <c r="W27" s="1110"/>
    </row>
    <row r="28" spans="1:23" x14ac:dyDescent="0.2">
      <c r="N28" s="1110"/>
      <c r="O28" s="1110"/>
      <c r="P28" s="1110"/>
      <c r="Q28" s="1110"/>
      <c r="R28" s="1110"/>
      <c r="S28" s="1110"/>
      <c r="T28" s="1110"/>
      <c r="U28" s="1110"/>
      <c r="V28" s="1110"/>
      <c r="W28" s="1110"/>
    </row>
    <row r="29" spans="1:23" x14ac:dyDescent="0.2">
      <c r="N29" s="1110"/>
      <c r="O29" s="1110"/>
      <c r="P29" s="1110"/>
      <c r="Q29" s="1110"/>
      <c r="R29" s="1110"/>
      <c r="S29" s="1110"/>
      <c r="T29" s="1110"/>
      <c r="U29" s="1110"/>
      <c r="V29" s="1110"/>
      <c r="W29" s="1110"/>
    </row>
    <row r="30" spans="1:23" x14ac:dyDescent="0.2">
      <c r="N30" s="1110"/>
      <c r="O30" s="1110"/>
      <c r="P30" s="1110"/>
      <c r="Q30" s="1110"/>
      <c r="R30" s="1110"/>
      <c r="S30" s="1110"/>
      <c r="T30" s="1110"/>
      <c r="U30" s="1110"/>
      <c r="V30" s="1110"/>
      <c r="W30" s="1110"/>
    </row>
    <row r="31" spans="1:23" x14ac:dyDescent="0.2">
      <c r="N31" s="1110"/>
      <c r="O31" s="1110"/>
      <c r="P31" s="1110"/>
      <c r="Q31" s="1110"/>
      <c r="R31" s="1110"/>
      <c r="S31" s="1110"/>
      <c r="T31" s="1110"/>
      <c r="U31" s="1110"/>
      <c r="V31" s="1110"/>
      <c r="W31" s="1110"/>
    </row>
    <row r="32" spans="1:23" x14ac:dyDescent="0.2">
      <c r="N32" s="1110"/>
      <c r="O32" s="1110"/>
      <c r="P32" s="1110"/>
      <c r="Q32" s="1110"/>
      <c r="R32" s="1110"/>
      <c r="S32" s="1110"/>
      <c r="T32" s="1110"/>
      <c r="U32" s="1110"/>
      <c r="V32" s="1110"/>
      <c r="W32" s="1110"/>
    </row>
  </sheetData>
  <mergeCells count="12">
    <mergeCell ref="A18:D18"/>
    <mergeCell ref="A1:L1"/>
    <mergeCell ref="A2:A3"/>
    <mergeCell ref="B2:B3"/>
    <mergeCell ref="C2:H2"/>
    <mergeCell ref="I2:L2"/>
    <mergeCell ref="A4:A6"/>
    <mergeCell ref="A7:A9"/>
    <mergeCell ref="A10:A12"/>
    <mergeCell ref="A13:A15"/>
    <mergeCell ref="A16:F16"/>
    <mergeCell ref="A17:E17"/>
  </mergeCells>
  <printOptions horizontalCentered="1"/>
  <pageMargins left="0.7" right="0.7" top="0.75" bottom="0.75" header="0.3" footer="0.3"/>
  <pageSetup scale="88"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activeCell="M17" sqref="M17"/>
    </sheetView>
  </sheetViews>
  <sheetFormatPr defaultColWidth="9.140625" defaultRowHeight="12.75" x14ac:dyDescent="0.25"/>
  <cols>
    <col min="1" max="1" width="10.5703125" style="337" customWidth="1"/>
    <col min="2" max="2" width="9" style="337" customWidth="1"/>
    <col min="3" max="4" width="10" style="337" customWidth="1"/>
    <col min="5" max="5" width="10.7109375" style="337" customWidth="1"/>
    <col min="6" max="6" width="22.85546875" style="337" customWidth="1"/>
    <col min="7" max="16384" width="9.140625" style="337"/>
  </cols>
  <sheetData>
    <row r="1" spans="1:6" s="661" customFormat="1" ht="15" x14ac:dyDescent="0.25">
      <c r="A1" s="1493" t="s">
        <v>685</v>
      </c>
      <c r="B1" s="1493"/>
      <c r="C1" s="1493"/>
      <c r="D1" s="1493"/>
      <c r="E1" s="1493"/>
      <c r="F1" s="1493"/>
    </row>
    <row r="2" spans="1:6" ht="16.5" customHeight="1" x14ac:dyDescent="0.25">
      <c r="A2" s="1494" t="s">
        <v>116</v>
      </c>
      <c r="B2" s="1496" t="s">
        <v>1241</v>
      </c>
      <c r="C2" s="1497"/>
      <c r="D2" s="1497"/>
      <c r="E2" s="1497"/>
      <c r="F2" s="1498"/>
    </row>
    <row r="3" spans="1:6" x14ac:dyDescent="0.25">
      <c r="A3" s="1495"/>
      <c r="B3" s="1116" t="s">
        <v>1398</v>
      </c>
      <c r="C3" s="1117" t="s">
        <v>257</v>
      </c>
      <c r="D3" s="1117" t="s">
        <v>258</v>
      </c>
      <c r="E3" s="1117" t="s">
        <v>259</v>
      </c>
      <c r="F3" s="1117" t="s">
        <v>1399</v>
      </c>
    </row>
    <row r="4" spans="1:6" s="663" customFormat="1" ht="14.25" customHeight="1" x14ac:dyDescent="0.25">
      <c r="A4" s="226" t="s">
        <v>532</v>
      </c>
      <c r="B4" s="662">
        <v>13292.54</v>
      </c>
      <c r="C4" s="662">
        <v>13741.67</v>
      </c>
      <c r="D4" s="662">
        <v>12310.21</v>
      </c>
      <c r="E4" s="662">
        <v>13267.91</v>
      </c>
      <c r="F4" s="662">
        <v>12889.677058823536</v>
      </c>
    </row>
    <row r="5" spans="1:6" s="663" customFormat="1" ht="14.25" customHeight="1" x14ac:dyDescent="0.25">
      <c r="A5" s="226" t="s">
        <v>1237</v>
      </c>
      <c r="B5" s="982">
        <f>B6</f>
        <v>13278.55</v>
      </c>
      <c r="C5" s="982">
        <f>MAX(C6:C17)</f>
        <v>15090.4</v>
      </c>
      <c r="D5" s="982">
        <f>MIN(D6:D17)</f>
        <v>13278.55</v>
      </c>
      <c r="E5" s="982">
        <f>INDEX(E6:E17,COUNT(E6:E17))</f>
        <v>14416.73</v>
      </c>
      <c r="F5" s="1118">
        <v>14256.753111111109</v>
      </c>
    </row>
    <row r="6" spans="1:6" s="663" customFormat="1" ht="14.25" customHeight="1" x14ac:dyDescent="0.25">
      <c r="A6" s="223">
        <v>45412</v>
      </c>
      <c r="B6" s="664">
        <v>13278.55</v>
      </c>
      <c r="C6" s="664">
        <v>14582.28</v>
      </c>
      <c r="D6" s="664">
        <v>13278.55</v>
      </c>
      <c r="E6" s="664">
        <v>14033.2</v>
      </c>
      <c r="F6" s="664">
        <v>14076.074090909091</v>
      </c>
    </row>
    <row r="7" spans="1:6" s="665" customFormat="1" ht="14.25" customHeight="1" x14ac:dyDescent="0.25">
      <c r="A7" s="975">
        <f>EOMONTH(A6,1)</f>
        <v>45443</v>
      </c>
      <c r="B7" s="976">
        <v>14032.32</v>
      </c>
      <c r="C7" s="976">
        <v>15090.4</v>
      </c>
      <c r="D7" s="976">
        <v>13874.77</v>
      </c>
      <c r="E7" s="976">
        <v>14416.73</v>
      </c>
      <c r="F7" s="976">
        <v>14429.576521739133</v>
      </c>
    </row>
    <row r="8" spans="1:6" s="667" customFormat="1" ht="14.25" customHeight="1" x14ac:dyDescent="0.25">
      <c r="A8" s="975">
        <f t="shared" ref="A8:A17" si="0">EOMONTH(A7,1)</f>
        <v>45473</v>
      </c>
      <c r="B8" s="977"/>
      <c r="C8" s="977"/>
      <c r="D8" s="978"/>
      <c r="E8" s="979"/>
      <c r="F8" s="979"/>
    </row>
    <row r="9" spans="1:6" s="667" customFormat="1" x14ac:dyDescent="0.25">
      <c r="A9" s="975">
        <f t="shared" si="0"/>
        <v>45504</v>
      </c>
      <c r="B9" s="977"/>
      <c r="C9" s="977"/>
      <c r="D9" s="978"/>
      <c r="E9" s="979"/>
      <c r="F9" s="979"/>
    </row>
    <row r="10" spans="1:6" s="667" customFormat="1" x14ac:dyDescent="0.25">
      <c r="A10" s="975">
        <f t="shared" si="0"/>
        <v>45535</v>
      </c>
      <c r="B10" s="980"/>
      <c r="C10" s="980"/>
      <c r="D10" s="664"/>
      <c r="E10" s="664"/>
      <c r="F10" s="664"/>
    </row>
    <row r="11" spans="1:6" x14ac:dyDescent="0.25">
      <c r="A11" s="975">
        <f t="shared" si="0"/>
        <v>45565</v>
      </c>
      <c r="B11" s="981"/>
      <c r="C11" s="981"/>
      <c r="D11" s="981"/>
      <c r="E11" s="981"/>
      <c r="F11" s="981"/>
    </row>
    <row r="12" spans="1:6" ht="14.25" customHeight="1" x14ac:dyDescent="0.25">
      <c r="A12" s="975">
        <f t="shared" si="0"/>
        <v>45596</v>
      </c>
      <c r="B12" s="981"/>
      <c r="C12" s="981"/>
      <c r="D12" s="981"/>
      <c r="E12" s="981"/>
      <c r="F12" s="981"/>
    </row>
    <row r="13" spans="1:6" ht="14.25" customHeight="1" x14ac:dyDescent="0.25">
      <c r="A13" s="975">
        <f t="shared" si="0"/>
        <v>45626</v>
      </c>
      <c r="B13" s="981"/>
      <c r="C13" s="981"/>
      <c r="D13" s="981"/>
      <c r="E13" s="981"/>
      <c r="F13" s="981"/>
    </row>
    <row r="14" spans="1:6" ht="14.25" customHeight="1" x14ac:dyDescent="0.25">
      <c r="A14" s="975">
        <f t="shared" si="0"/>
        <v>45657</v>
      </c>
      <c r="B14" s="981"/>
      <c r="C14" s="981"/>
      <c r="D14" s="981"/>
      <c r="E14" s="981"/>
      <c r="F14" s="981"/>
    </row>
    <row r="15" spans="1:6" ht="14.25" customHeight="1" x14ac:dyDescent="0.25">
      <c r="A15" s="975">
        <f t="shared" si="0"/>
        <v>45688</v>
      </c>
      <c r="B15" s="981"/>
      <c r="C15" s="981"/>
      <c r="D15" s="981"/>
      <c r="E15" s="981"/>
      <c r="F15" s="981"/>
    </row>
    <row r="16" spans="1:6" ht="14.25" customHeight="1" x14ac:dyDescent="0.25">
      <c r="A16" s="975">
        <f t="shared" si="0"/>
        <v>45716</v>
      </c>
      <c r="B16" s="981"/>
      <c r="C16" s="981"/>
      <c r="D16" s="981"/>
      <c r="E16" s="981"/>
      <c r="F16" s="981"/>
    </row>
    <row r="17" spans="1:6" ht="14.25" customHeight="1" x14ac:dyDescent="0.25">
      <c r="A17" s="975">
        <f t="shared" si="0"/>
        <v>45747</v>
      </c>
      <c r="B17" s="981"/>
      <c r="C17" s="981"/>
      <c r="D17" s="981"/>
      <c r="E17" s="981"/>
      <c r="F17" s="981"/>
    </row>
    <row r="18" spans="1:6" ht="14.25" customHeight="1" x14ac:dyDescent="0.25">
      <c r="A18" s="1119"/>
      <c r="B18" s="1120"/>
      <c r="C18" s="1120"/>
      <c r="D18" s="1120"/>
      <c r="E18" s="1120"/>
      <c r="F18" s="1120"/>
    </row>
    <row r="19" spans="1:6" x14ac:dyDescent="0.25">
      <c r="A19" s="666" t="s">
        <v>1331</v>
      </c>
    </row>
    <row r="20" spans="1:6" x14ac:dyDescent="0.25">
      <c r="A20" s="337" t="s">
        <v>687</v>
      </c>
    </row>
    <row r="21" spans="1:6" x14ac:dyDescent="0.25">
      <c r="A21" s="338" t="s">
        <v>688</v>
      </c>
    </row>
  </sheetData>
  <mergeCells count="3">
    <mergeCell ref="A1:F1"/>
    <mergeCell ref="A2:A3"/>
    <mergeCell ref="B2:F2"/>
  </mergeCells>
  <printOptions horizontalCentered="1"/>
  <pageMargins left="0.7" right="0.7" top="0.75" bottom="0.75" header="0.3" footer="0.3"/>
  <pageSetup fitToWidth="0"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41"/>
  <sheetViews>
    <sheetView topLeftCell="A22" zoomScale="115" zoomScaleNormal="115" workbookViewId="0">
      <selection activeCell="A37" sqref="A37"/>
    </sheetView>
  </sheetViews>
  <sheetFormatPr defaultColWidth="9.140625" defaultRowHeight="12.75" x14ac:dyDescent="0.2"/>
  <cols>
    <col min="1" max="1" width="12.85546875" style="344" customWidth="1"/>
    <col min="2" max="2" width="7.140625" style="344" customWidth="1"/>
    <col min="3" max="4" width="10" style="344" customWidth="1"/>
    <col min="5" max="5" width="11.140625" style="344" customWidth="1"/>
    <col min="6" max="6" width="10.7109375" style="344" customWidth="1"/>
    <col min="7" max="7" width="12.42578125" style="344" customWidth="1"/>
    <col min="8" max="8" width="8.85546875" style="344" customWidth="1"/>
    <col min="9" max="9" width="11.42578125" style="344" customWidth="1"/>
    <col min="10" max="10" width="10.42578125" style="344" customWidth="1"/>
    <col min="11" max="11" width="12.42578125" style="344" bestFit="1" customWidth="1"/>
    <col min="12" max="12" width="9.140625" style="344" customWidth="1"/>
    <col min="13" max="13" width="10.28515625" style="344" customWidth="1"/>
    <col min="14" max="14" width="8.42578125" style="344" customWidth="1"/>
    <col min="15" max="15" width="10.140625" style="344" customWidth="1"/>
    <col min="16" max="16" width="9.140625" style="344"/>
    <col min="17" max="17" width="10.7109375" style="344" customWidth="1"/>
    <col min="18" max="16384" width="9.140625" style="344"/>
  </cols>
  <sheetData>
    <row r="1" spans="1:39" s="386" customFormat="1" ht="15" customHeight="1" x14ac:dyDescent="0.25">
      <c r="A1" s="1500" t="s">
        <v>689</v>
      </c>
      <c r="B1" s="1500"/>
      <c r="C1" s="1500"/>
      <c r="D1" s="1500"/>
      <c r="E1" s="1500"/>
      <c r="F1" s="1500"/>
      <c r="G1" s="1500"/>
      <c r="H1" s="1500"/>
      <c r="I1" s="1500"/>
      <c r="J1" s="1500"/>
      <c r="K1" s="1500"/>
      <c r="L1" s="1500"/>
      <c r="M1" s="1500"/>
      <c r="N1" s="1500"/>
      <c r="O1" s="1500"/>
      <c r="P1" s="1500"/>
      <c r="Q1" s="1500"/>
      <c r="R1" s="1500"/>
      <c r="S1" s="1500"/>
      <c r="T1" s="1500"/>
      <c r="V1" s="604"/>
      <c r="W1" s="604"/>
      <c r="X1" s="604"/>
      <c r="Y1" s="604"/>
      <c r="Z1" s="604"/>
      <c r="AA1" s="604"/>
      <c r="AB1" s="604"/>
      <c r="AC1" s="604"/>
      <c r="AD1" s="604"/>
      <c r="AE1" s="604"/>
      <c r="AF1" s="604"/>
      <c r="AG1" s="604"/>
      <c r="AH1" s="604"/>
      <c r="AI1" s="604"/>
      <c r="AJ1" s="604"/>
      <c r="AK1" s="604"/>
      <c r="AL1" s="604"/>
      <c r="AM1" s="604"/>
    </row>
    <row r="2" spans="1:39" s="386" customFormat="1" ht="15.75" x14ac:dyDescent="0.25">
      <c r="A2" s="1501" t="s">
        <v>667</v>
      </c>
      <c r="B2" s="1501"/>
      <c r="C2" s="1501"/>
      <c r="D2" s="1501"/>
      <c r="E2" s="1501"/>
      <c r="F2" s="1501"/>
      <c r="G2" s="1501"/>
      <c r="H2" s="1501"/>
      <c r="I2" s="1501"/>
      <c r="J2" s="1501"/>
      <c r="K2" s="1501"/>
      <c r="L2" s="1501"/>
      <c r="M2" s="1501"/>
      <c r="N2" s="1501"/>
      <c r="O2" s="1501"/>
      <c r="P2" s="1501"/>
      <c r="Q2" s="1501"/>
      <c r="R2" s="1501"/>
      <c r="S2" s="1501"/>
      <c r="T2" s="1501"/>
    </row>
    <row r="3" spans="1:39" s="387" customFormat="1" ht="50.25" customHeight="1" x14ac:dyDescent="0.2">
      <c r="A3" s="1502" t="s">
        <v>686</v>
      </c>
      <c r="B3" s="1504" t="s">
        <v>691</v>
      </c>
      <c r="C3" s="1506" t="s">
        <v>669</v>
      </c>
      <c r="D3" s="1507"/>
      <c r="E3" s="1506" t="s">
        <v>692</v>
      </c>
      <c r="F3" s="1507"/>
      <c r="G3" s="1506" t="s">
        <v>693</v>
      </c>
      <c r="H3" s="1507"/>
      <c r="I3" s="1506" t="s">
        <v>694</v>
      </c>
      <c r="J3" s="1507"/>
      <c r="K3" s="1506" t="s">
        <v>695</v>
      </c>
      <c r="L3" s="1507"/>
      <c r="M3" s="1506" t="s">
        <v>696</v>
      </c>
      <c r="N3" s="1507"/>
      <c r="O3" s="1506" t="s">
        <v>697</v>
      </c>
      <c r="P3" s="1507"/>
      <c r="Q3" s="1506" t="s">
        <v>698</v>
      </c>
      <c r="R3" s="1507"/>
      <c r="S3" s="1505" t="s">
        <v>699</v>
      </c>
      <c r="T3" s="1505"/>
    </row>
    <row r="4" spans="1:39" s="387" customFormat="1" ht="68.25" customHeight="1" x14ac:dyDescent="0.2">
      <c r="A4" s="1503"/>
      <c r="B4" s="1505"/>
      <c r="C4" s="887" t="s">
        <v>700</v>
      </c>
      <c r="D4" s="1002" t="s">
        <v>701</v>
      </c>
      <c r="E4" s="887" t="s">
        <v>700</v>
      </c>
      <c r="F4" s="1002" t="s">
        <v>702</v>
      </c>
      <c r="G4" s="887" t="s">
        <v>703</v>
      </c>
      <c r="H4" s="1002" t="s">
        <v>701</v>
      </c>
      <c r="I4" s="887" t="s">
        <v>703</v>
      </c>
      <c r="J4" s="1002" t="s">
        <v>701</v>
      </c>
      <c r="K4" s="887" t="s">
        <v>700</v>
      </c>
      <c r="L4" s="1002" t="s">
        <v>704</v>
      </c>
      <c r="M4" s="887" t="s">
        <v>703</v>
      </c>
      <c r="N4" s="1002" t="s">
        <v>704</v>
      </c>
      <c r="O4" s="887" t="s">
        <v>700</v>
      </c>
      <c r="P4" s="1002" t="s">
        <v>701</v>
      </c>
      <c r="Q4" s="887" t="s">
        <v>700</v>
      </c>
      <c r="R4" s="1002" t="s">
        <v>701</v>
      </c>
      <c r="S4" s="887" t="s">
        <v>703</v>
      </c>
      <c r="T4" s="887" t="s">
        <v>705</v>
      </c>
    </row>
    <row r="5" spans="1:39" s="388" customFormat="1" x14ac:dyDescent="0.2">
      <c r="A5" s="1027" t="s">
        <v>532</v>
      </c>
      <c r="B5" s="224">
        <v>255</v>
      </c>
      <c r="C5" s="224">
        <v>82469</v>
      </c>
      <c r="D5" s="224">
        <v>5577.2525947999993</v>
      </c>
      <c r="E5" s="224">
        <v>74597044</v>
      </c>
      <c r="F5" s="224">
        <v>3111327.5770087</v>
      </c>
      <c r="G5" s="224">
        <v>4940335</v>
      </c>
      <c r="H5" s="224">
        <v>480373.68108500005</v>
      </c>
      <c r="I5" s="224">
        <v>55598170</v>
      </c>
      <c r="J5" s="224">
        <v>1382227.0077424997</v>
      </c>
      <c r="K5" s="224">
        <v>100063</v>
      </c>
      <c r="L5" s="224">
        <v>8057.9922449999995</v>
      </c>
      <c r="M5" s="224">
        <v>0</v>
      </c>
      <c r="N5" s="224">
        <v>0</v>
      </c>
      <c r="O5" s="224">
        <v>0</v>
      </c>
      <c r="P5" s="224">
        <v>0</v>
      </c>
      <c r="Q5" s="224">
        <v>135318081</v>
      </c>
      <c r="R5" s="224">
        <v>4987563.5106760012</v>
      </c>
      <c r="S5" s="224">
        <v>451907</v>
      </c>
      <c r="T5" s="224">
        <v>31171.6267233</v>
      </c>
    </row>
    <row r="6" spans="1:39" s="388" customFormat="1" x14ac:dyDescent="0.2">
      <c r="A6" s="1028" t="s">
        <v>1237</v>
      </c>
      <c r="B6" s="1003">
        <f>SUM(B7:B18)</f>
        <v>45</v>
      </c>
      <c r="C6" s="1003">
        <f t="shared" ref="C6:R6" si="0">SUM(C7:C18)</f>
        <v>8453</v>
      </c>
      <c r="D6" s="1003">
        <f t="shared" si="0"/>
        <v>706.66554960000008</v>
      </c>
      <c r="E6" s="1003">
        <f t="shared" si="0"/>
        <v>15608223</v>
      </c>
      <c r="F6" s="1003">
        <f t="shared" si="0"/>
        <v>809998.26065429999</v>
      </c>
      <c r="G6" s="1003">
        <f t="shared" si="0"/>
        <v>1315036</v>
      </c>
      <c r="H6" s="1003">
        <f t="shared" si="0"/>
        <v>143391.56436749999</v>
      </c>
      <c r="I6" s="1003">
        <f t="shared" si="0"/>
        <v>10354756</v>
      </c>
      <c r="J6" s="1003">
        <f t="shared" si="0"/>
        <v>215324.94446550001</v>
      </c>
      <c r="K6" s="1003">
        <f t="shared" si="0"/>
        <v>12166</v>
      </c>
      <c r="L6" s="1003">
        <f t="shared" si="0"/>
        <v>1112.1689799999999</v>
      </c>
      <c r="M6" s="1003">
        <f t="shared" si="0"/>
        <v>0</v>
      </c>
      <c r="N6" s="1003">
        <f t="shared" si="0"/>
        <v>0</v>
      </c>
      <c r="O6" s="1003">
        <f t="shared" si="0"/>
        <v>0</v>
      </c>
      <c r="P6" s="1003">
        <f t="shared" si="0"/>
        <v>0</v>
      </c>
      <c r="Q6" s="1003">
        <f t="shared" si="0"/>
        <v>27298634</v>
      </c>
      <c r="R6" s="1003">
        <f t="shared" si="0"/>
        <v>1170533.6040169001</v>
      </c>
      <c r="S6" s="1003">
        <f>INDEX(S7:S18,COUNT(S7:S18))</f>
        <v>413302</v>
      </c>
      <c r="T6" s="1003">
        <f>INDEX(T7:T18,COUNT(T7:T18))</f>
        <v>29504.701339800005</v>
      </c>
    </row>
    <row r="7" spans="1:39" s="388" customFormat="1" x14ac:dyDescent="0.2">
      <c r="A7" s="1029">
        <v>45383</v>
      </c>
      <c r="B7" s="225">
        <v>22</v>
      </c>
      <c r="C7" s="225">
        <v>4225</v>
      </c>
      <c r="D7" s="225">
        <v>281.39702520000003</v>
      </c>
      <c r="E7" s="225">
        <v>7848413</v>
      </c>
      <c r="F7" s="225">
        <v>394580.82424070005</v>
      </c>
      <c r="G7" s="225">
        <v>617119</v>
      </c>
      <c r="H7" s="225">
        <v>61086.892562499997</v>
      </c>
      <c r="I7" s="225">
        <v>4857825</v>
      </c>
      <c r="J7" s="225">
        <v>94204.633474999995</v>
      </c>
      <c r="K7" s="225">
        <v>6892</v>
      </c>
      <c r="L7" s="225">
        <v>621.72975999999994</v>
      </c>
      <c r="M7" s="225">
        <v>0</v>
      </c>
      <c r="N7" s="225">
        <v>0</v>
      </c>
      <c r="O7" s="225">
        <v>0</v>
      </c>
      <c r="P7" s="225">
        <v>0</v>
      </c>
      <c r="Q7" s="225">
        <v>13334474</v>
      </c>
      <c r="R7" s="225">
        <v>550775.47706340009</v>
      </c>
      <c r="S7" s="225">
        <v>416142</v>
      </c>
      <c r="T7" s="225">
        <v>32002.226900000001</v>
      </c>
    </row>
    <row r="8" spans="1:39" s="388" customFormat="1" x14ac:dyDescent="0.2">
      <c r="A8" s="1029">
        <v>45413</v>
      </c>
      <c r="B8" s="225">
        <v>23</v>
      </c>
      <c r="C8" s="225">
        <v>4228</v>
      </c>
      <c r="D8" s="225">
        <v>425.26852439999999</v>
      </c>
      <c r="E8" s="225">
        <v>7759810</v>
      </c>
      <c r="F8" s="225">
        <v>415417.43641359999</v>
      </c>
      <c r="G8" s="225">
        <v>697917</v>
      </c>
      <c r="H8" s="225">
        <v>82304.671804999991</v>
      </c>
      <c r="I8" s="225">
        <v>5496931</v>
      </c>
      <c r="J8" s="225">
        <v>121120.3109905</v>
      </c>
      <c r="K8" s="225">
        <v>5274</v>
      </c>
      <c r="L8" s="225">
        <v>490.43921999999992</v>
      </c>
      <c r="M8" s="225">
        <v>0</v>
      </c>
      <c r="N8" s="225">
        <v>0</v>
      </c>
      <c r="O8" s="225">
        <v>0</v>
      </c>
      <c r="P8" s="225">
        <v>0</v>
      </c>
      <c r="Q8" s="225">
        <v>13964160</v>
      </c>
      <c r="R8" s="225">
        <v>619758.12695349986</v>
      </c>
      <c r="S8" s="225">
        <v>413302</v>
      </c>
      <c r="T8" s="225">
        <v>29504.701339800005</v>
      </c>
    </row>
    <row r="9" spans="1:39" s="388" customFormat="1" x14ac:dyDescent="0.2">
      <c r="A9" s="1029">
        <v>45444</v>
      </c>
      <c r="B9" s="225"/>
      <c r="C9" s="225"/>
      <c r="D9" s="225"/>
      <c r="E9" s="225"/>
      <c r="F9" s="225"/>
      <c r="G9" s="225"/>
      <c r="H9" s="225"/>
      <c r="I9" s="225"/>
      <c r="J9" s="225"/>
      <c r="K9" s="225"/>
      <c r="L9" s="225"/>
      <c r="M9" s="225"/>
      <c r="N9" s="225"/>
      <c r="O9" s="225"/>
      <c r="P9" s="225"/>
      <c r="Q9" s="225"/>
      <c r="R9" s="225"/>
      <c r="S9" s="225"/>
      <c r="T9" s="225"/>
    </row>
    <row r="10" spans="1:39" s="388" customFormat="1" x14ac:dyDescent="0.2">
      <c r="A10" s="1029">
        <v>45474</v>
      </c>
      <c r="B10" s="225"/>
      <c r="C10" s="225"/>
      <c r="D10" s="225"/>
      <c r="E10" s="225"/>
      <c r="F10" s="225"/>
      <c r="G10" s="225"/>
      <c r="H10" s="225"/>
      <c r="I10" s="225"/>
      <c r="J10" s="225"/>
      <c r="K10" s="225"/>
      <c r="L10" s="225"/>
      <c r="M10" s="225"/>
      <c r="N10" s="225"/>
      <c r="O10" s="225"/>
      <c r="P10" s="225"/>
      <c r="Q10" s="225"/>
      <c r="R10" s="225"/>
      <c r="S10" s="225"/>
      <c r="T10" s="225"/>
    </row>
    <row r="11" spans="1:39" s="388" customFormat="1" x14ac:dyDescent="0.2">
      <c r="A11" s="1029">
        <v>45505</v>
      </c>
      <c r="B11" s="225"/>
      <c r="C11" s="225"/>
      <c r="D11" s="225"/>
      <c r="E11" s="225"/>
      <c r="F11" s="225"/>
      <c r="G11" s="225"/>
      <c r="H11" s="225"/>
      <c r="I11" s="225"/>
      <c r="J11" s="225"/>
      <c r="K11" s="225"/>
      <c r="L11" s="225"/>
      <c r="M11" s="225"/>
      <c r="N11" s="225"/>
      <c r="O11" s="225"/>
      <c r="P11" s="225"/>
      <c r="Q11" s="225"/>
      <c r="R11" s="225"/>
      <c r="S11" s="225"/>
      <c r="T11" s="225"/>
    </row>
    <row r="12" spans="1:39" s="388" customFormat="1" x14ac:dyDescent="0.2">
      <c r="A12" s="1029">
        <v>45536</v>
      </c>
      <c r="B12" s="225"/>
      <c r="C12" s="225"/>
      <c r="D12" s="225"/>
      <c r="E12" s="225"/>
      <c r="F12" s="225"/>
      <c r="G12" s="225"/>
      <c r="H12" s="225"/>
      <c r="I12" s="225"/>
      <c r="J12" s="225"/>
      <c r="K12" s="225"/>
      <c r="L12" s="225"/>
      <c r="M12" s="225"/>
      <c r="N12" s="225"/>
      <c r="O12" s="225"/>
      <c r="P12" s="225"/>
      <c r="Q12" s="225"/>
      <c r="R12" s="225"/>
      <c r="S12" s="225"/>
      <c r="T12" s="225"/>
    </row>
    <row r="13" spans="1:39" s="388" customFormat="1" x14ac:dyDescent="0.2">
      <c r="A13" s="1029">
        <v>45566</v>
      </c>
      <c r="B13" s="225"/>
      <c r="C13" s="225"/>
      <c r="D13" s="225"/>
      <c r="E13" s="225"/>
      <c r="F13" s="225"/>
      <c r="G13" s="225"/>
      <c r="H13" s="225"/>
      <c r="I13" s="225"/>
      <c r="J13" s="225"/>
      <c r="K13" s="225"/>
      <c r="L13" s="225"/>
      <c r="M13" s="225"/>
      <c r="N13" s="225"/>
      <c r="O13" s="225"/>
      <c r="P13" s="225"/>
      <c r="Q13" s="225"/>
      <c r="R13" s="225"/>
      <c r="S13" s="225"/>
      <c r="T13" s="225"/>
    </row>
    <row r="14" spans="1:39" s="388" customFormat="1" x14ac:dyDescent="0.2">
      <c r="A14" s="1029">
        <v>45597</v>
      </c>
      <c r="B14" s="225"/>
      <c r="C14" s="225"/>
      <c r="D14" s="225"/>
      <c r="E14" s="225"/>
      <c r="F14" s="225"/>
      <c r="G14" s="225"/>
      <c r="H14" s="225"/>
      <c r="I14" s="225"/>
      <c r="J14" s="225"/>
      <c r="K14" s="225"/>
      <c r="L14" s="225"/>
      <c r="M14" s="225"/>
      <c r="N14" s="225"/>
      <c r="O14" s="225"/>
      <c r="P14" s="225"/>
      <c r="Q14" s="225"/>
      <c r="R14" s="225"/>
      <c r="S14" s="225"/>
      <c r="T14" s="225"/>
    </row>
    <row r="15" spans="1:39" s="388" customFormat="1" x14ac:dyDescent="0.2">
      <c r="A15" s="1029">
        <v>45627</v>
      </c>
      <c r="B15" s="225"/>
      <c r="C15" s="225"/>
      <c r="D15" s="225"/>
      <c r="E15" s="225"/>
      <c r="F15" s="225"/>
      <c r="G15" s="225"/>
      <c r="H15" s="225"/>
      <c r="I15" s="225"/>
      <c r="J15" s="225"/>
      <c r="K15" s="225"/>
      <c r="L15" s="225"/>
      <c r="M15" s="225"/>
      <c r="N15" s="225"/>
      <c r="O15" s="225"/>
      <c r="P15" s="225"/>
      <c r="Q15" s="225"/>
      <c r="R15" s="225"/>
      <c r="S15" s="225"/>
      <c r="T15" s="225"/>
    </row>
    <row r="16" spans="1:39" s="388" customFormat="1" x14ac:dyDescent="0.2">
      <c r="A16" s="1029">
        <v>45658</v>
      </c>
      <c r="B16" s="225"/>
      <c r="C16" s="225"/>
      <c r="D16" s="225"/>
      <c r="E16" s="225"/>
      <c r="F16" s="225"/>
      <c r="G16" s="225"/>
      <c r="H16" s="225"/>
      <c r="I16" s="225"/>
      <c r="J16" s="225"/>
      <c r="K16" s="225"/>
      <c r="L16" s="225"/>
      <c r="M16" s="225"/>
      <c r="N16" s="225"/>
      <c r="O16" s="225"/>
      <c r="P16" s="225"/>
      <c r="Q16" s="225"/>
      <c r="R16" s="225"/>
      <c r="S16" s="225"/>
      <c r="T16" s="225"/>
    </row>
    <row r="17" spans="1:21" s="388" customFormat="1" x14ac:dyDescent="0.2">
      <c r="A17" s="1029">
        <v>45689</v>
      </c>
      <c r="B17" s="225"/>
      <c r="C17" s="225"/>
      <c r="D17" s="225"/>
      <c r="E17" s="225"/>
      <c r="F17" s="225"/>
      <c r="G17" s="225"/>
      <c r="H17" s="225"/>
      <c r="I17" s="225"/>
      <c r="J17" s="225"/>
      <c r="K17" s="225"/>
      <c r="L17" s="225"/>
      <c r="M17" s="225"/>
      <c r="N17" s="225"/>
      <c r="O17" s="225"/>
      <c r="P17" s="225"/>
      <c r="Q17" s="225"/>
      <c r="R17" s="225"/>
      <c r="S17" s="225"/>
      <c r="T17" s="225"/>
    </row>
    <row r="18" spans="1:21" s="336" customFormat="1" x14ac:dyDescent="0.2">
      <c r="A18" s="1029">
        <v>45717</v>
      </c>
      <c r="B18" s="225"/>
      <c r="C18" s="225"/>
      <c r="D18" s="225"/>
      <c r="E18" s="225"/>
      <c r="F18" s="225"/>
      <c r="G18" s="225"/>
      <c r="H18" s="225"/>
      <c r="I18" s="225"/>
      <c r="J18" s="225"/>
      <c r="K18" s="225"/>
      <c r="L18" s="225"/>
      <c r="M18" s="225"/>
      <c r="N18" s="225"/>
      <c r="O18" s="225"/>
      <c r="P18" s="225"/>
      <c r="Q18" s="225"/>
      <c r="R18" s="225"/>
      <c r="S18" s="225"/>
      <c r="T18" s="225"/>
    </row>
    <row r="19" spans="1:21" ht="15.75" x14ac:dyDescent="0.25">
      <c r="A19" s="227"/>
      <c r="B19" s="203"/>
      <c r="C19" s="341"/>
      <c r="D19" s="341"/>
      <c r="E19" s="341"/>
      <c r="F19" s="341"/>
      <c r="G19" s="341"/>
      <c r="H19" s="342"/>
      <c r="I19" s="341"/>
      <c r="J19" s="341"/>
      <c r="K19" s="341"/>
      <c r="L19" s="342"/>
      <c r="M19" s="343"/>
      <c r="N19" s="343"/>
      <c r="O19" s="343"/>
      <c r="P19" s="343"/>
      <c r="Q19" s="343"/>
      <c r="R19" s="343"/>
      <c r="T19" s="345"/>
    </row>
    <row r="20" spans="1:21" ht="15.75" x14ac:dyDescent="0.25">
      <c r="A20" s="1499" t="s">
        <v>690</v>
      </c>
      <c r="B20" s="1499"/>
      <c r="C20" s="1499"/>
      <c r="D20" s="1499"/>
      <c r="E20" s="1499"/>
      <c r="F20" s="1499"/>
      <c r="G20" s="1499"/>
      <c r="H20" s="1499"/>
      <c r="I20" s="1499"/>
      <c r="J20" s="1499"/>
      <c r="K20" s="1499"/>
      <c r="L20" s="1499"/>
      <c r="M20" s="1499"/>
      <c r="N20" s="1499"/>
      <c r="O20" s="1499"/>
      <c r="P20" s="1499"/>
      <c r="Q20" s="1499"/>
      <c r="R20" s="1499"/>
    </row>
    <row r="21" spans="1:21" ht="48.75" customHeight="1" x14ac:dyDescent="0.2">
      <c r="A21" s="1508" t="s">
        <v>686</v>
      </c>
      <c r="B21" s="1508" t="s">
        <v>691</v>
      </c>
      <c r="C21" s="1511" t="s">
        <v>706</v>
      </c>
      <c r="D21" s="1512"/>
      <c r="E21" s="1512"/>
      <c r="F21" s="1513"/>
      <c r="G21" s="1511" t="s">
        <v>693</v>
      </c>
      <c r="H21" s="1512"/>
      <c r="I21" s="1512"/>
      <c r="J21" s="1513"/>
      <c r="K21" s="1511" t="s">
        <v>694</v>
      </c>
      <c r="L21" s="1512"/>
      <c r="M21" s="1512"/>
      <c r="N21" s="1513"/>
      <c r="O21" s="1514" t="s">
        <v>707</v>
      </c>
      <c r="P21" s="1514"/>
      <c r="Q21" s="1515" t="s">
        <v>699</v>
      </c>
      <c r="R21" s="1515"/>
    </row>
    <row r="22" spans="1:21" ht="20.25" customHeight="1" x14ac:dyDescent="0.2">
      <c r="A22" s="1509"/>
      <c r="B22" s="1509"/>
      <c r="C22" s="1516" t="s">
        <v>708</v>
      </c>
      <c r="D22" s="1517"/>
      <c r="E22" s="1516" t="s">
        <v>709</v>
      </c>
      <c r="F22" s="1517"/>
      <c r="G22" s="1516" t="s">
        <v>708</v>
      </c>
      <c r="H22" s="1517"/>
      <c r="I22" s="1516" t="s">
        <v>709</v>
      </c>
      <c r="J22" s="1517"/>
      <c r="K22" s="1516" t="s">
        <v>708</v>
      </c>
      <c r="L22" s="1517"/>
      <c r="M22" s="1516" t="s">
        <v>709</v>
      </c>
      <c r="N22" s="1517"/>
      <c r="O22" s="1518" t="s">
        <v>700</v>
      </c>
      <c r="P22" s="1508" t="s">
        <v>710</v>
      </c>
      <c r="Q22" s="1508" t="s">
        <v>700</v>
      </c>
      <c r="R22" s="1508" t="s">
        <v>710</v>
      </c>
    </row>
    <row r="23" spans="1:21" ht="38.25" x14ac:dyDescent="0.2">
      <c r="A23" s="1510"/>
      <c r="B23" s="1510"/>
      <c r="C23" s="887" t="s">
        <v>700</v>
      </c>
      <c r="D23" s="1002" t="s">
        <v>701</v>
      </c>
      <c r="E23" s="887" t="s">
        <v>700</v>
      </c>
      <c r="F23" s="1002" t="s">
        <v>701</v>
      </c>
      <c r="G23" s="887" t="s">
        <v>700</v>
      </c>
      <c r="H23" s="1002" t="s">
        <v>701</v>
      </c>
      <c r="I23" s="887" t="s">
        <v>700</v>
      </c>
      <c r="J23" s="1002" t="s">
        <v>701</v>
      </c>
      <c r="K23" s="887" t="s">
        <v>700</v>
      </c>
      <c r="L23" s="1002" t="s">
        <v>704</v>
      </c>
      <c r="M23" s="887" t="s">
        <v>700</v>
      </c>
      <c r="N23" s="1002" t="s">
        <v>704</v>
      </c>
      <c r="O23" s="1505"/>
      <c r="P23" s="1510"/>
      <c r="Q23" s="1510"/>
      <c r="R23" s="1510"/>
      <c r="U23" s="336"/>
    </row>
    <row r="24" spans="1:21" s="336" customFormat="1" ht="15" x14ac:dyDescent="0.25">
      <c r="A24" s="1157" t="s">
        <v>532</v>
      </c>
      <c r="B24" s="224">
        <v>255</v>
      </c>
      <c r="C24" s="224">
        <v>6090765</v>
      </c>
      <c r="D24" s="224">
        <v>1250428.80822</v>
      </c>
      <c r="E24" s="224">
        <v>4728746</v>
      </c>
      <c r="F24" s="224">
        <v>1070077.566571</v>
      </c>
      <c r="G24" s="224">
        <v>18061</v>
      </c>
      <c r="H24" s="224">
        <v>3262.0538445000002</v>
      </c>
      <c r="I24" s="224">
        <v>8036</v>
      </c>
      <c r="J24" s="224">
        <v>1432.2481225000001</v>
      </c>
      <c r="K24" s="224">
        <v>195172465</v>
      </c>
      <c r="L24" s="224">
        <v>10858414.0603892</v>
      </c>
      <c r="M24" s="224">
        <v>175391669</v>
      </c>
      <c r="N24" s="224">
        <v>9484301.4309917521</v>
      </c>
      <c r="O24" s="224">
        <v>381409742</v>
      </c>
      <c r="P24" s="224">
        <v>22667916.168139003</v>
      </c>
      <c r="Q24" s="224">
        <v>215961</v>
      </c>
      <c r="R24" s="224">
        <v>13742.384099999999</v>
      </c>
    </row>
    <row r="25" spans="1:21" s="336" customFormat="1" ht="15" x14ac:dyDescent="0.25">
      <c r="A25" s="1158" t="s">
        <v>1413</v>
      </c>
      <c r="B25" s="1003">
        <f>SUM(B26:B37)</f>
        <v>45</v>
      </c>
      <c r="C25" s="1003">
        <f t="shared" ref="C25:P25" si="1">SUM(C26:C37)</f>
        <v>2049907</v>
      </c>
      <c r="D25" s="1003">
        <f t="shared" si="1"/>
        <v>447242.56000000006</v>
      </c>
      <c r="E25" s="1003">
        <f t="shared" si="1"/>
        <v>2144229</v>
      </c>
      <c r="F25" s="1003">
        <f t="shared" si="1"/>
        <v>513294.1</v>
      </c>
      <c r="G25" s="1003">
        <f t="shared" si="1"/>
        <v>11133</v>
      </c>
      <c r="H25" s="1003">
        <f t="shared" si="1"/>
        <v>2270.67</v>
      </c>
      <c r="I25" s="1003">
        <f t="shared" si="1"/>
        <v>5529</v>
      </c>
      <c r="J25" s="1003">
        <f t="shared" si="1"/>
        <v>1171.98</v>
      </c>
      <c r="K25" s="1003">
        <f t="shared" si="1"/>
        <v>51644909</v>
      </c>
      <c r="L25" s="1003">
        <f t="shared" si="1"/>
        <v>2888434.58</v>
      </c>
      <c r="M25" s="1003">
        <f t="shared" si="1"/>
        <v>45986944</v>
      </c>
      <c r="N25" s="1003">
        <f t="shared" si="1"/>
        <v>2545652.65</v>
      </c>
      <c r="O25" s="1003">
        <f t="shared" si="1"/>
        <v>101842651</v>
      </c>
      <c r="P25" s="1003">
        <f t="shared" si="1"/>
        <v>6398066.54</v>
      </c>
      <c r="Q25" s="1003">
        <f>INDEX(Q26:Q37,COUNT(Q26:Q37))</f>
        <v>251836</v>
      </c>
      <c r="R25" s="1003">
        <f>INDEX(R26:R37,COUNT(R26:R37))</f>
        <v>18997.352500000001</v>
      </c>
    </row>
    <row r="26" spans="1:21" s="336" customFormat="1" x14ac:dyDescent="0.2">
      <c r="A26" s="1029">
        <v>45383</v>
      </c>
      <c r="B26" s="225">
        <v>22</v>
      </c>
      <c r="C26" s="225">
        <v>1046002</v>
      </c>
      <c r="D26" s="225">
        <v>184944.92</v>
      </c>
      <c r="E26" s="225">
        <v>1225461</v>
      </c>
      <c r="F26" s="225">
        <v>249899.63</v>
      </c>
      <c r="G26" s="225">
        <v>5313</v>
      </c>
      <c r="H26" s="225">
        <v>985.54</v>
      </c>
      <c r="I26" s="225">
        <v>1681</v>
      </c>
      <c r="J26" s="225">
        <v>332.64</v>
      </c>
      <c r="K26" s="225">
        <v>22498827</v>
      </c>
      <c r="L26" s="225">
        <v>1340705.3500000001</v>
      </c>
      <c r="M26" s="225">
        <v>19469765</v>
      </c>
      <c r="N26" s="225">
        <v>1141877.01</v>
      </c>
      <c r="O26" s="225">
        <v>44247049</v>
      </c>
      <c r="P26" s="225">
        <v>2918745.09</v>
      </c>
      <c r="Q26" s="225">
        <v>231301</v>
      </c>
      <c r="R26" s="225">
        <v>20974.923199999997</v>
      </c>
    </row>
    <row r="27" spans="1:21" s="336" customFormat="1" x14ac:dyDescent="0.2">
      <c r="A27" s="1029">
        <v>45413</v>
      </c>
      <c r="B27" s="225">
        <v>23</v>
      </c>
      <c r="C27" s="225">
        <v>1003905</v>
      </c>
      <c r="D27" s="225">
        <v>262297.64</v>
      </c>
      <c r="E27" s="225">
        <v>918768</v>
      </c>
      <c r="F27" s="225">
        <v>263394.46999999997</v>
      </c>
      <c r="G27" s="225">
        <v>5820</v>
      </c>
      <c r="H27" s="225">
        <v>1285.1300000000001</v>
      </c>
      <c r="I27" s="225">
        <v>3848</v>
      </c>
      <c r="J27" s="225">
        <v>839.34</v>
      </c>
      <c r="K27" s="225">
        <v>29146082</v>
      </c>
      <c r="L27" s="225">
        <v>1547729.23</v>
      </c>
      <c r="M27" s="225">
        <v>26517179</v>
      </c>
      <c r="N27" s="225">
        <v>1403775.64</v>
      </c>
      <c r="O27" s="225">
        <v>57595602</v>
      </c>
      <c r="P27" s="225">
        <v>3479321.45</v>
      </c>
      <c r="Q27" s="225">
        <v>251836</v>
      </c>
      <c r="R27" s="225">
        <v>18997.352500000001</v>
      </c>
    </row>
    <row r="28" spans="1:21" s="336" customFormat="1" x14ac:dyDescent="0.2">
      <c r="A28" s="1029">
        <v>45444</v>
      </c>
      <c r="B28" s="225"/>
      <c r="C28" s="225"/>
      <c r="D28" s="225"/>
      <c r="E28" s="225"/>
      <c r="F28" s="225"/>
      <c r="G28" s="225"/>
      <c r="H28" s="225"/>
      <c r="I28" s="225"/>
      <c r="J28" s="225"/>
      <c r="K28" s="225"/>
      <c r="L28" s="225"/>
      <c r="M28" s="225"/>
      <c r="N28" s="225"/>
      <c r="O28" s="225"/>
      <c r="P28" s="225"/>
      <c r="Q28" s="225"/>
      <c r="R28" s="225"/>
    </row>
    <row r="29" spans="1:21" s="336" customFormat="1" x14ac:dyDescent="0.2">
      <c r="A29" s="1029">
        <v>45474</v>
      </c>
      <c r="B29" s="225"/>
      <c r="C29" s="225"/>
      <c r="D29" s="225"/>
      <c r="E29" s="225"/>
      <c r="F29" s="225"/>
      <c r="G29" s="225"/>
      <c r="H29" s="225"/>
      <c r="I29" s="225"/>
      <c r="J29" s="225"/>
      <c r="K29" s="225"/>
      <c r="L29" s="225"/>
      <c r="M29" s="225"/>
      <c r="N29" s="225"/>
      <c r="O29" s="225"/>
      <c r="P29" s="225"/>
      <c r="Q29" s="225"/>
      <c r="R29" s="225"/>
    </row>
    <row r="30" spans="1:21" s="336" customFormat="1" x14ac:dyDescent="0.2">
      <c r="A30" s="1029">
        <v>45505</v>
      </c>
      <c r="B30" s="225"/>
      <c r="C30" s="225"/>
      <c r="D30" s="225"/>
      <c r="E30" s="225"/>
      <c r="F30" s="225"/>
      <c r="G30" s="225"/>
      <c r="H30" s="225"/>
      <c r="I30" s="225"/>
      <c r="J30" s="225"/>
      <c r="K30" s="225"/>
      <c r="L30" s="225"/>
      <c r="M30" s="225"/>
      <c r="N30" s="225"/>
      <c r="O30" s="225"/>
      <c r="P30" s="225"/>
      <c r="Q30" s="225"/>
      <c r="R30" s="225"/>
    </row>
    <row r="31" spans="1:21" s="336" customFormat="1" x14ac:dyDescent="0.2">
      <c r="A31" s="1029">
        <v>45536</v>
      </c>
      <c r="B31" s="225"/>
      <c r="C31" s="225"/>
      <c r="D31" s="225"/>
      <c r="E31" s="225"/>
      <c r="F31" s="225"/>
      <c r="G31" s="225"/>
      <c r="H31" s="225"/>
      <c r="I31" s="225"/>
      <c r="J31" s="225"/>
      <c r="K31" s="225"/>
      <c r="L31" s="225"/>
      <c r="M31" s="225"/>
      <c r="N31" s="225"/>
      <c r="O31" s="225"/>
      <c r="P31" s="225"/>
      <c r="Q31" s="225"/>
      <c r="R31" s="225"/>
    </row>
    <row r="32" spans="1:21" s="336" customFormat="1" x14ac:dyDescent="0.2">
      <c r="A32" s="1029">
        <v>45566</v>
      </c>
      <c r="B32" s="225"/>
      <c r="C32" s="225"/>
      <c r="D32" s="225"/>
      <c r="E32" s="225"/>
      <c r="F32" s="225"/>
      <c r="G32" s="225"/>
      <c r="H32" s="225"/>
      <c r="I32" s="225"/>
      <c r="J32" s="225"/>
      <c r="K32" s="225"/>
      <c r="L32" s="225"/>
      <c r="M32" s="225"/>
      <c r="N32" s="225"/>
      <c r="O32" s="225"/>
      <c r="P32" s="225"/>
      <c r="Q32" s="225"/>
      <c r="R32" s="225"/>
    </row>
    <row r="33" spans="1:20" s="336" customFormat="1" x14ac:dyDescent="0.2">
      <c r="A33" s="1029">
        <v>45597</v>
      </c>
      <c r="B33" s="225"/>
      <c r="C33" s="225"/>
      <c r="D33" s="225"/>
      <c r="E33" s="225"/>
      <c r="F33" s="225"/>
      <c r="G33" s="225"/>
      <c r="H33" s="225"/>
      <c r="I33" s="225"/>
      <c r="J33" s="225"/>
      <c r="K33" s="225"/>
      <c r="L33" s="225"/>
      <c r="M33" s="225"/>
      <c r="N33" s="225"/>
      <c r="O33" s="225"/>
      <c r="P33" s="225"/>
      <c r="Q33" s="225"/>
      <c r="R33" s="225"/>
    </row>
    <row r="34" spans="1:20" s="336" customFormat="1" x14ac:dyDescent="0.2">
      <c r="A34" s="1004">
        <v>45627</v>
      </c>
      <c r="B34" s="225"/>
      <c r="C34" s="225"/>
      <c r="D34" s="225"/>
      <c r="E34" s="225"/>
      <c r="F34" s="225"/>
      <c r="G34" s="225"/>
      <c r="H34" s="225"/>
      <c r="I34" s="225"/>
      <c r="J34" s="225"/>
      <c r="K34" s="225"/>
      <c r="L34" s="225"/>
      <c r="M34" s="225"/>
      <c r="N34" s="225"/>
      <c r="O34" s="225"/>
      <c r="P34" s="225"/>
      <c r="Q34" s="225"/>
      <c r="R34" s="225"/>
    </row>
    <row r="35" spans="1:20" s="336" customFormat="1" x14ac:dyDescent="0.2">
      <c r="A35" s="1004">
        <v>45658</v>
      </c>
      <c r="B35" s="225"/>
      <c r="C35" s="225"/>
      <c r="D35" s="225"/>
      <c r="E35" s="225"/>
      <c r="F35" s="225"/>
      <c r="G35" s="225"/>
      <c r="H35" s="225"/>
      <c r="I35" s="225"/>
      <c r="J35" s="225"/>
      <c r="K35" s="225"/>
      <c r="L35" s="225"/>
      <c r="M35" s="225"/>
      <c r="N35" s="225"/>
      <c r="O35" s="225"/>
      <c r="P35" s="225"/>
      <c r="Q35" s="225"/>
      <c r="R35" s="225"/>
    </row>
    <row r="36" spans="1:20" s="336" customFormat="1" x14ac:dyDescent="0.2">
      <c r="A36" s="1004">
        <v>45689</v>
      </c>
      <c r="B36" s="225"/>
      <c r="C36" s="225"/>
      <c r="D36" s="225"/>
      <c r="E36" s="225"/>
      <c r="F36" s="225"/>
      <c r="G36" s="225"/>
      <c r="H36" s="225"/>
      <c r="I36" s="225"/>
      <c r="J36" s="225"/>
      <c r="K36" s="225"/>
      <c r="L36" s="225"/>
      <c r="M36" s="225"/>
      <c r="N36" s="225"/>
      <c r="O36" s="225"/>
      <c r="P36" s="225"/>
      <c r="Q36" s="225"/>
      <c r="R36" s="225"/>
    </row>
    <row r="37" spans="1:20" x14ac:dyDescent="0.2">
      <c r="A37" s="1004">
        <v>45717</v>
      </c>
      <c r="B37" s="225"/>
      <c r="C37" s="225"/>
      <c r="D37" s="225"/>
      <c r="E37" s="225"/>
      <c r="F37" s="225"/>
      <c r="G37" s="225"/>
      <c r="H37" s="225"/>
      <c r="I37" s="225"/>
      <c r="J37" s="225"/>
      <c r="K37" s="225"/>
      <c r="L37" s="225"/>
      <c r="M37" s="225"/>
      <c r="N37" s="225"/>
      <c r="O37" s="225"/>
      <c r="P37" s="225"/>
      <c r="Q37" s="225"/>
      <c r="R37" s="225"/>
      <c r="S37" s="346"/>
      <c r="T37" s="346"/>
    </row>
    <row r="38" spans="1:20" x14ac:dyDescent="0.2">
      <c r="A38" s="348"/>
    </row>
    <row r="39" spans="1:20" x14ac:dyDescent="0.2">
      <c r="A39" s="1121" t="s">
        <v>1331</v>
      </c>
    </row>
    <row r="40" spans="1:20" x14ac:dyDescent="0.2">
      <c r="A40" s="348" t="s">
        <v>688</v>
      </c>
    </row>
    <row r="41" spans="1:20" x14ac:dyDescent="0.2">
      <c r="A41" s="1122" t="s">
        <v>1400</v>
      </c>
    </row>
  </sheetData>
  <mergeCells count="31">
    <mergeCell ref="O21:P21"/>
    <mergeCell ref="Q21:R21"/>
    <mergeCell ref="C22:D22"/>
    <mergeCell ref="E22:F22"/>
    <mergeCell ref="G22:H22"/>
    <mergeCell ref="I22:J22"/>
    <mergeCell ref="K22:L22"/>
    <mergeCell ref="M22:N22"/>
    <mergeCell ref="O22:O23"/>
    <mergeCell ref="P22:P23"/>
    <mergeCell ref="Q22:Q23"/>
    <mergeCell ref="R22:R23"/>
    <mergeCell ref="A21:A23"/>
    <mergeCell ref="B21:B23"/>
    <mergeCell ref="C21:F21"/>
    <mergeCell ref="G21:J21"/>
    <mergeCell ref="K21:N21"/>
    <mergeCell ref="A20:R20"/>
    <mergeCell ref="A1:T1"/>
    <mergeCell ref="A2:T2"/>
    <mergeCell ref="A3:A4"/>
    <mergeCell ref="B3:B4"/>
    <mergeCell ref="C3:D3"/>
    <mergeCell ref="E3:F3"/>
    <mergeCell ref="G3:H3"/>
    <mergeCell ref="I3:J3"/>
    <mergeCell ref="K3:L3"/>
    <mergeCell ref="M3:N3"/>
    <mergeCell ref="O3:P3"/>
    <mergeCell ref="Q3:R3"/>
    <mergeCell ref="S3:T3"/>
  </mergeCells>
  <printOptions horizontalCentered="1"/>
  <pageMargins left="0.7" right="0.7" top="0.75" bottom="0.75" header="0.3" footer="0.3"/>
  <pageSetup scale="60" fitToHeight="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0"/>
  <sheetViews>
    <sheetView topLeftCell="A4" zoomScaleNormal="100" workbookViewId="0">
      <selection activeCell="A20" sqref="A20"/>
    </sheetView>
  </sheetViews>
  <sheetFormatPr defaultColWidth="9.140625" defaultRowHeight="12.75" x14ac:dyDescent="0.2"/>
  <cols>
    <col min="1" max="1" width="13.140625" style="336" customWidth="1"/>
    <col min="2" max="2" width="7.140625" style="336" customWidth="1"/>
    <col min="3" max="4" width="10.5703125" style="336" customWidth="1"/>
    <col min="5" max="6" width="8.28515625" style="336" customWidth="1"/>
    <col min="7" max="20" width="8.85546875" style="336" customWidth="1"/>
    <col min="21" max="23" width="10.5703125" style="336" customWidth="1"/>
    <col min="24" max="16384" width="9.140625" style="336"/>
  </cols>
  <sheetData>
    <row r="1" spans="1:20" ht="15.75" x14ac:dyDescent="0.2">
      <c r="A1" s="1523" t="s">
        <v>711</v>
      </c>
      <c r="B1" s="1523"/>
      <c r="C1" s="1523"/>
      <c r="D1" s="1523"/>
      <c r="E1" s="1523"/>
      <c r="F1" s="1523"/>
      <c r="G1" s="1523"/>
      <c r="H1" s="1523"/>
      <c r="I1" s="1523"/>
      <c r="J1" s="1523"/>
      <c r="K1" s="1523"/>
      <c r="L1" s="1523"/>
      <c r="M1" s="1523"/>
      <c r="N1" s="1523"/>
      <c r="O1" s="1523"/>
      <c r="P1" s="1523"/>
      <c r="Q1" s="1523"/>
      <c r="R1" s="1523"/>
      <c r="S1" s="1523"/>
      <c r="T1" s="1523"/>
    </row>
    <row r="2" spans="1:20" ht="16.5" customHeight="1" x14ac:dyDescent="0.25">
      <c r="A2" s="1508" t="s">
        <v>686</v>
      </c>
      <c r="B2" s="1508" t="s">
        <v>691</v>
      </c>
      <c r="C2" s="1524" t="s">
        <v>667</v>
      </c>
      <c r="D2" s="1525"/>
      <c r="E2" s="1525"/>
      <c r="F2" s="1525"/>
      <c r="G2" s="1525"/>
      <c r="H2" s="1525"/>
      <c r="I2" s="1525"/>
      <c r="J2" s="1525"/>
      <c r="K2" s="1525"/>
      <c r="L2" s="1526"/>
      <c r="M2" s="1524" t="s">
        <v>690</v>
      </c>
      <c r="N2" s="1525"/>
      <c r="O2" s="1525"/>
      <c r="P2" s="1525"/>
      <c r="Q2" s="1525"/>
      <c r="R2" s="1525"/>
      <c r="S2" s="1525"/>
      <c r="T2" s="1526"/>
    </row>
    <row r="3" spans="1:20" ht="62.25" customHeight="1" x14ac:dyDescent="0.2">
      <c r="A3" s="1509"/>
      <c r="B3" s="1509"/>
      <c r="C3" s="1527" t="s">
        <v>712</v>
      </c>
      <c r="D3" s="1528"/>
      <c r="E3" s="1527" t="s">
        <v>713</v>
      </c>
      <c r="F3" s="1528"/>
      <c r="G3" s="1527" t="s">
        <v>714</v>
      </c>
      <c r="H3" s="1528"/>
      <c r="I3" s="1519" t="s">
        <v>698</v>
      </c>
      <c r="J3" s="1520"/>
      <c r="K3" s="1521" t="s">
        <v>699</v>
      </c>
      <c r="L3" s="1522"/>
      <c r="M3" s="1519" t="s">
        <v>715</v>
      </c>
      <c r="N3" s="1520"/>
      <c r="O3" s="1519" t="s">
        <v>716</v>
      </c>
      <c r="P3" s="1520"/>
      <c r="Q3" s="1519" t="s">
        <v>707</v>
      </c>
      <c r="R3" s="1520"/>
      <c r="S3" s="1521" t="s">
        <v>699</v>
      </c>
      <c r="T3" s="1522"/>
    </row>
    <row r="4" spans="1:20" s="389" customFormat="1" ht="63.75" customHeight="1" x14ac:dyDescent="0.2">
      <c r="A4" s="1510"/>
      <c r="B4" s="1510"/>
      <c r="C4" s="887" t="s">
        <v>700</v>
      </c>
      <c r="D4" s="1002" t="s">
        <v>701</v>
      </c>
      <c r="E4" s="887" t="s">
        <v>700</v>
      </c>
      <c r="F4" s="1002" t="s">
        <v>701</v>
      </c>
      <c r="G4" s="887" t="s">
        <v>700</v>
      </c>
      <c r="H4" s="1002" t="s">
        <v>701</v>
      </c>
      <c r="I4" s="887" t="s">
        <v>700</v>
      </c>
      <c r="J4" s="1002" t="s">
        <v>701</v>
      </c>
      <c r="K4" s="887" t="s">
        <v>700</v>
      </c>
      <c r="L4" s="1005" t="s">
        <v>705</v>
      </c>
      <c r="M4" s="887" t="s">
        <v>700</v>
      </c>
      <c r="N4" s="1002" t="s">
        <v>701</v>
      </c>
      <c r="O4" s="887" t="s">
        <v>700</v>
      </c>
      <c r="P4" s="1002" t="s">
        <v>701</v>
      </c>
      <c r="Q4" s="887" t="s">
        <v>700</v>
      </c>
      <c r="R4" s="1002" t="s">
        <v>701</v>
      </c>
      <c r="S4" s="887" t="s">
        <v>700</v>
      </c>
      <c r="T4" s="1005" t="s">
        <v>717</v>
      </c>
    </row>
    <row r="5" spans="1:20" s="388" customFormat="1" ht="15.75" customHeight="1" x14ac:dyDescent="0.25">
      <c r="A5" s="1157" t="s">
        <v>532</v>
      </c>
      <c r="B5" s="390">
        <v>244</v>
      </c>
      <c r="C5" s="390">
        <v>4987448</v>
      </c>
      <c r="D5" s="390">
        <v>205162.15</v>
      </c>
      <c r="E5" s="390">
        <v>0</v>
      </c>
      <c r="F5" s="390">
        <v>0</v>
      </c>
      <c r="G5" s="390">
        <v>20603</v>
      </c>
      <c r="H5" s="390">
        <v>940.49365</v>
      </c>
      <c r="I5" s="390">
        <v>5008051</v>
      </c>
      <c r="J5" s="390">
        <v>206101.64578000002</v>
      </c>
      <c r="K5" s="390">
        <v>55916</v>
      </c>
      <c r="L5" s="390">
        <v>2082</v>
      </c>
      <c r="M5" s="390">
        <v>283</v>
      </c>
      <c r="N5" s="390">
        <v>9.8859999999999992</v>
      </c>
      <c r="O5" s="390">
        <v>0</v>
      </c>
      <c r="P5" s="390">
        <v>0</v>
      </c>
      <c r="Q5" s="390">
        <v>283</v>
      </c>
      <c r="R5" s="390">
        <v>9.8860600000000005</v>
      </c>
      <c r="S5" s="390">
        <v>0</v>
      </c>
      <c r="T5" s="390">
        <v>0</v>
      </c>
    </row>
    <row r="6" spans="1:20" s="388" customFormat="1" ht="15.75" customHeight="1" x14ac:dyDescent="0.25">
      <c r="A6" s="1158" t="s">
        <v>1413</v>
      </c>
      <c r="B6" s="1006">
        <f>SUM(B7:B18)</f>
        <v>41</v>
      </c>
      <c r="C6" s="1006">
        <f t="shared" ref="C6:R6" si="0">SUM(C7:C18)</f>
        <v>667907</v>
      </c>
      <c r="D6" s="1006">
        <f t="shared" si="0"/>
        <v>26146</v>
      </c>
      <c r="E6" s="1006">
        <f t="shared" si="0"/>
        <v>0</v>
      </c>
      <c r="F6" s="1006">
        <f t="shared" si="0"/>
        <v>0</v>
      </c>
      <c r="G6" s="1006">
        <f t="shared" si="0"/>
        <v>16</v>
      </c>
      <c r="H6" s="1006">
        <f t="shared" si="0"/>
        <v>1</v>
      </c>
      <c r="I6" s="1006">
        <f t="shared" si="0"/>
        <v>667923</v>
      </c>
      <c r="J6" s="1006">
        <f t="shared" si="0"/>
        <v>26147</v>
      </c>
      <c r="K6" s="1006">
        <f t="shared" si="0"/>
        <v>102868</v>
      </c>
      <c r="L6" s="1006">
        <f t="shared" si="0"/>
        <v>4184</v>
      </c>
      <c r="M6" s="1006">
        <f t="shared" si="0"/>
        <v>0</v>
      </c>
      <c r="N6" s="1006">
        <f t="shared" si="0"/>
        <v>0</v>
      </c>
      <c r="O6" s="1006">
        <f t="shared" si="0"/>
        <v>0</v>
      </c>
      <c r="P6" s="1006">
        <f t="shared" si="0"/>
        <v>0</v>
      </c>
      <c r="Q6" s="1006">
        <f t="shared" si="0"/>
        <v>0</v>
      </c>
      <c r="R6" s="1006">
        <f t="shared" si="0"/>
        <v>0</v>
      </c>
      <c r="S6" s="1006">
        <f ca="1">INDEX(S7:S18,COUNT(S6:S18))</f>
        <v>0</v>
      </c>
      <c r="T6" s="1006">
        <f ca="1">INDEX(T7:T18,COUNT(T6:T18))</f>
        <v>0</v>
      </c>
    </row>
    <row r="7" spans="1:20" s="388" customFormat="1" ht="15.75" customHeight="1" x14ac:dyDescent="0.2">
      <c r="A7" s="1029">
        <v>45383</v>
      </c>
      <c r="B7" s="391">
        <v>20</v>
      </c>
      <c r="C7" s="391">
        <v>342777</v>
      </c>
      <c r="D7" s="391">
        <v>12983</v>
      </c>
      <c r="E7" s="391">
        <v>0</v>
      </c>
      <c r="F7" s="391">
        <v>0</v>
      </c>
      <c r="G7" s="391">
        <v>16</v>
      </c>
      <c r="H7" s="391">
        <v>1</v>
      </c>
      <c r="I7" s="391">
        <v>342793</v>
      </c>
      <c r="J7" s="391">
        <v>12984</v>
      </c>
      <c r="K7" s="391">
        <v>51525</v>
      </c>
      <c r="L7" s="391">
        <v>2081</v>
      </c>
      <c r="M7" s="391">
        <v>0</v>
      </c>
      <c r="N7" s="391">
        <v>0</v>
      </c>
      <c r="O7" s="391">
        <v>0</v>
      </c>
      <c r="P7" s="391">
        <v>0</v>
      </c>
      <c r="Q7" s="391">
        <v>0</v>
      </c>
      <c r="R7" s="391">
        <v>0</v>
      </c>
      <c r="S7" s="391">
        <v>0</v>
      </c>
      <c r="T7" s="391">
        <v>0</v>
      </c>
    </row>
    <row r="8" spans="1:20" s="388" customFormat="1" ht="15.75" customHeight="1" x14ac:dyDescent="0.2">
      <c r="A8" s="1029">
        <v>45413</v>
      </c>
      <c r="B8" s="391">
        <v>21</v>
      </c>
      <c r="C8" s="391">
        <v>325130</v>
      </c>
      <c r="D8" s="391">
        <v>13163</v>
      </c>
      <c r="E8" s="391">
        <v>0</v>
      </c>
      <c r="F8" s="391">
        <v>0</v>
      </c>
      <c r="G8" s="391">
        <v>0</v>
      </c>
      <c r="H8" s="391">
        <v>0</v>
      </c>
      <c r="I8" s="391">
        <v>325130</v>
      </c>
      <c r="J8" s="391">
        <v>13163</v>
      </c>
      <c r="K8" s="391">
        <v>51343</v>
      </c>
      <c r="L8" s="391">
        <v>2103</v>
      </c>
      <c r="M8" s="391">
        <v>0</v>
      </c>
      <c r="N8" s="391">
        <v>0</v>
      </c>
      <c r="O8" s="391">
        <v>0</v>
      </c>
      <c r="P8" s="391">
        <v>0</v>
      </c>
      <c r="Q8" s="391">
        <v>0</v>
      </c>
      <c r="R8" s="391">
        <v>0</v>
      </c>
      <c r="S8" s="391">
        <v>0</v>
      </c>
      <c r="T8" s="391">
        <v>0</v>
      </c>
    </row>
    <row r="9" spans="1:20" s="388" customFormat="1" ht="15.75" customHeight="1" x14ac:dyDescent="0.2">
      <c r="A9" s="1029">
        <v>45444</v>
      </c>
      <c r="B9" s="391"/>
      <c r="C9" s="391"/>
      <c r="D9" s="391"/>
      <c r="E9" s="391"/>
      <c r="F9" s="391"/>
      <c r="G9" s="391"/>
      <c r="H9" s="391"/>
      <c r="I9" s="391"/>
      <c r="J9" s="391"/>
      <c r="K9" s="391"/>
      <c r="L9" s="391"/>
      <c r="M9" s="391"/>
      <c r="N9" s="391"/>
      <c r="O9" s="391"/>
      <c r="P9" s="391"/>
      <c r="Q9" s="391"/>
      <c r="R9" s="391"/>
      <c r="S9" s="391"/>
      <c r="T9" s="391"/>
    </row>
    <row r="10" spans="1:20" s="388" customFormat="1" ht="15.75" customHeight="1" x14ac:dyDescent="0.2">
      <c r="A10" s="1029">
        <v>45474</v>
      </c>
      <c r="B10" s="391"/>
      <c r="C10" s="391"/>
      <c r="D10" s="391"/>
      <c r="E10" s="391"/>
      <c r="F10" s="391"/>
      <c r="G10" s="391"/>
      <c r="H10" s="391"/>
      <c r="I10" s="391"/>
      <c r="J10" s="391"/>
      <c r="K10" s="391"/>
      <c r="L10" s="391"/>
      <c r="M10" s="391"/>
      <c r="N10" s="391"/>
      <c r="O10" s="391"/>
      <c r="P10" s="391"/>
      <c r="Q10" s="391"/>
      <c r="R10" s="391"/>
      <c r="S10" s="391"/>
      <c r="T10" s="391"/>
    </row>
    <row r="11" spans="1:20" s="388" customFormat="1" ht="15.75" customHeight="1" x14ac:dyDescent="0.2">
      <c r="A11" s="1029">
        <v>45505</v>
      </c>
      <c r="B11" s="391"/>
      <c r="C11" s="391"/>
      <c r="D11" s="391"/>
      <c r="E11" s="391"/>
      <c r="F11" s="391"/>
      <c r="G11" s="391"/>
      <c r="H11" s="391"/>
      <c r="I11" s="391"/>
      <c r="J11" s="391"/>
      <c r="K11" s="391"/>
      <c r="L11" s="391"/>
      <c r="M11" s="391"/>
      <c r="N11" s="391"/>
      <c r="O11" s="391"/>
      <c r="P11" s="391"/>
      <c r="Q11" s="391"/>
      <c r="R11" s="391"/>
      <c r="S11" s="391"/>
      <c r="T11" s="391"/>
    </row>
    <row r="12" spans="1:20" s="388" customFormat="1" ht="15.75" customHeight="1" x14ac:dyDescent="0.2">
      <c r="A12" s="1029">
        <v>45536</v>
      </c>
      <c r="B12" s="391"/>
      <c r="C12" s="391"/>
      <c r="D12" s="391"/>
      <c r="E12" s="391"/>
      <c r="F12" s="391"/>
      <c r="G12" s="391"/>
      <c r="H12" s="391"/>
      <c r="I12" s="391"/>
      <c r="J12" s="391"/>
      <c r="K12" s="391"/>
      <c r="L12" s="391"/>
      <c r="M12" s="391"/>
      <c r="N12" s="391"/>
      <c r="O12" s="391"/>
      <c r="P12" s="391"/>
      <c r="Q12" s="391"/>
      <c r="R12" s="391"/>
      <c r="S12" s="391"/>
      <c r="T12" s="391"/>
    </row>
    <row r="13" spans="1:20" s="388" customFormat="1" x14ac:dyDescent="0.2">
      <c r="A13" s="1029">
        <v>45566</v>
      </c>
      <c r="B13" s="391"/>
      <c r="C13" s="391"/>
      <c r="D13" s="391"/>
      <c r="E13" s="391"/>
      <c r="F13" s="391"/>
      <c r="G13" s="391"/>
      <c r="H13" s="391"/>
      <c r="I13" s="391"/>
      <c r="J13" s="391"/>
      <c r="K13" s="391"/>
      <c r="L13" s="391"/>
      <c r="M13" s="391"/>
      <c r="N13" s="391"/>
      <c r="O13" s="391"/>
      <c r="P13" s="391"/>
      <c r="Q13" s="391"/>
      <c r="R13" s="391"/>
      <c r="S13" s="391"/>
      <c r="T13" s="391"/>
    </row>
    <row r="14" spans="1:20" s="388" customFormat="1" x14ac:dyDescent="0.2">
      <c r="A14" s="1029">
        <v>45597</v>
      </c>
      <c r="B14" s="391"/>
      <c r="C14" s="391"/>
      <c r="D14" s="391"/>
      <c r="E14" s="391"/>
      <c r="F14" s="391"/>
      <c r="G14" s="391"/>
      <c r="H14" s="391"/>
      <c r="I14" s="391"/>
      <c r="J14" s="391"/>
      <c r="K14" s="391"/>
      <c r="L14" s="391"/>
      <c r="M14" s="391"/>
      <c r="N14" s="391"/>
      <c r="O14" s="391"/>
      <c r="P14" s="391"/>
      <c r="Q14" s="391"/>
      <c r="R14" s="391"/>
      <c r="S14" s="391"/>
      <c r="T14" s="391"/>
    </row>
    <row r="15" spans="1:20" s="388" customFormat="1" x14ac:dyDescent="0.2">
      <c r="A15" s="1029">
        <v>45627</v>
      </c>
      <c r="B15" s="391"/>
      <c r="C15" s="391"/>
      <c r="D15" s="391"/>
      <c r="E15" s="391"/>
      <c r="F15" s="391"/>
      <c r="G15" s="391"/>
      <c r="H15" s="391"/>
      <c r="I15" s="391"/>
      <c r="J15" s="391"/>
      <c r="K15" s="391"/>
      <c r="L15" s="391"/>
      <c r="M15" s="391"/>
      <c r="N15" s="391"/>
      <c r="O15" s="391"/>
      <c r="P15" s="391"/>
      <c r="Q15" s="391"/>
      <c r="R15" s="391"/>
      <c r="S15" s="391"/>
      <c r="T15" s="391"/>
    </row>
    <row r="16" spans="1:20" s="388" customFormat="1" x14ac:dyDescent="0.2">
      <c r="A16" s="1029">
        <v>45658</v>
      </c>
      <c r="B16" s="1007"/>
      <c r="C16" s="1007"/>
      <c r="D16" s="1007"/>
      <c r="E16" s="1007"/>
      <c r="F16" s="1007"/>
      <c r="G16" s="1007"/>
      <c r="H16" s="1007"/>
      <c r="I16" s="1007"/>
      <c r="J16" s="1007"/>
      <c r="K16" s="1007"/>
      <c r="L16" s="1007"/>
      <c r="M16" s="1007"/>
      <c r="N16" s="1007"/>
      <c r="O16" s="1007"/>
      <c r="P16" s="1007"/>
      <c r="Q16" s="1007"/>
      <c r="R16" s="1007"/>
      <c r="S16" s="1007"/>
      <c r="T16" s="1007"/>
    </row>
    <row r="17" spans="1:20" s="388" customFormat="1" x14ac:dyDescent="0.2">
      <c r="A17" s="1029">
        <v>45689</v>
      </c>
      <c r="B17" s="391"/>
      <c r="C17" s="391"/>
      <c r="D17" s="391"/>
      <c r="E17" s="391"/>
      <c r="F17" s="391"/>
      <c r="G17" s="391"/>
      <c r="H17" s="391"/>
      <c r="I17" s="391"/>
      <c r="J17" s="391"/>
      <c r="K17" s="391"/>
      <c r="L17" s="391"/>
      <c r="M17" s="391"/>
      <c r="N17" s="391"/>
      <c r="O17" s="391"/>
      <c r="P17" s="391"/>
      <c r="Q17" s="391"/>
      <c r="R17" s="391"/>
      <c r="S17" s="391"/>
      <c r="T17" s="391"/>
    </row>
    <row r="18" spans="1:20" s="392" customFormat="1" x14ac:dyDescent="0.2">
      <c r="A18" s="1029">
        <v>45717</v>
      </c>
      <c r="B18" s="1007"/>
      <c r="C18" s="1007"/>
      <c r="D18" s="1007"/>
      <c r="E18" s="1007"/>
      <c r="F18" s="1007"/>
      <c r="G18" s="1007"/>
      <c r="H18" s="1007"/>
      <c r="I18" s="1007"/>
      <c r="J18" s="1007"/>
      <c r="K18" s="1007"/>
      <c r="L18" s="1007"/>
      <c r="M18" s="1007"/>
      <c r="N18" s="1007"/>
      <c r="O18" s="1007"/>
      <c r="P18" s="1007"/>
      <c r="Q18" s="1007"/>
      <c r="R18" s="1007"/>
      <c r="S18" s="1007"/>
      <c r="T18" s="1007"/>
    </row>
    <row r="19" spans="1:20" ht="18.75" customHeight="1" x14ac:dyDescent="0.25">
      <c r="A19" s="1008" t="s">
        <v>718</v>
      </c>
      <c r="B19" s="1009"/>
      <c r="C19" s="1009"/>
      <c r="D19" s="1009"/>
      <c r="E19" s="1009"/>
      <c r="F19" s="1009"/>
      <c r="G19" s="1009"/>
      <c r="H19" s="1009"/>
      <c r="I19" s="1009"/>
      <c r="J19" s="1009"/>
      <c r="K19" s="1009"/>
      <c r="L19" s="1009"/>
      <c r="M19" s="1009"/>
      <c r="N19" s="1009"/>
      <c r="O19" s="38"/>
    </row>
    <row r="20" spans="1:20" x14ac:dyDescent="0.2">
      <c r="A20" s="1126" t="s">
        <v>1401</v>
      </c>
    </row>
  </sheetData>
  <mergeCells count="14">
    <mergeCell ref="M3:N3"/>
    <mergeCell ref="O3:P3"/>
    <mergeCell ref="Q3:R3"/>
    <mergeCell ref="S3:T3"/>
    <mergeCell ref="A1:T1"/>
    <mergeCell ref="A2:A4"/>
    <mergeCell ref="B2:B4"/>
    <mergeCell ref="C2:L2"/>
    <mergeCell ref="M2:T2"/>
    <mergeCell ref="C3:D3"/>
    <mergeCell ref="E3:F3"/>
    <mergeCell ref="G3:H3"/>
    <mergeCell ref="I3:J3"/>
    <mergeCell ref="K3:L3"/>
  </mergeCells>
  <printOptions horizontalCentered="1"/>
  <pageMargins left="0.7" right="0.7" top="0.75" bottom="0.75" header="0.3" footer="0.3"/>
  <pageSetup scale="67"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2"/>
  <sheetViews>
    <sheetView topLeftCell="A25" workbookViewId="0">
      <selection activeCell="A40" sqref="A40"/>
    </sheetView>
  </sheetViews>
  <sheetFormatPr defaultColWidth="8.85546875" defaultRowHeight="15" x14ac:dyDescent="0.25"/>
  <cols>
    <col min="1" max="1" width="9.5703125" style="604" customWidth="1"/>
    <col min="2" max="2" width="12" style="604" customWidth="1"/>
    <col min="3" max="3" width="9" style="604" customWidth="1"/>
    <col min="4" max="4" width="9.85546875" style="604" customWidth="1"/>
    <col min="5" max="6" width="9.140625" style="604" customWidth="1"/>
    <col min="7" max="7" width="11" style="604" customWidth="1"/>
    <col min="8" max="14" width="8.85546875" style="604"/>
    <col min="15" max="15" width="10.85546875" style="604" bestFit="1" customWidth="1"/>
    <col min="16" max="16" width="11.28515625" style="604" customWidth="1"/>
    <col min="17" max="17" width="9.140625" style="604" customWidth="1"/>
    <col min="18" max="16384" width="8.85546875" style="604"/>
  </cols>
  <sheetData>
    <row r="1" spans="1:17" s="4" customFormat="1" x14ac:dyDescent="0.25">
      <c r="A1" s="1010" t="s">
        <v>719</v>
      </c>
      <c r="B1" s="1010"/>
      <c r="C1" s="1010"/>
      <c r="D1" s="1010"/>
      <c r="E1" s="1010"/>
      <c r="F1" s="1010"/>
      <c r="G1" s="1010"/>
      <c r="H1" s="1010"/>
      <c r="I1" s="1010"/>
      <c r="J1" s="1010"/>
      <c r="K1" s="1010"/>
      <c r="L1" s="1010"/>
      <c r="M1" s="1010"/>
      <c r="N1" s="1010"/>
      <c r="O1" s="1010"/>
      <c r="P1" s="1010"/>
      <c r="Q1" s="1010"/>
    </row>
    <row r="2" spans="1:17" ht="15.75" x14ac:dyDescent="0.25">
      <c r="A2" s="1501" t="s">
        <v>667</v>
      </c>
      <c r="B2" s="1501"/>
      <c r="C2" s="1501"/>
      <c r="D2" s="1501"/>
      <c r="E2" s="1501"/>
      <c r="F2" s="1501"/>
      <c r="G2" s="1501"/>
      <c r="H2" s="1501"/>
      <c r="I2" s="1501"/>
      <c r="J2" s="1501"/>
      <c r="K2" s="1501"/>
      <c r="L2" s="1501"/>
      <c r="M2" s="1501"/>
      <c r="N2" s="1501"/>
    </row>
    <row r="3" spans="1:17" ht="21.75" customHeight="1" x14ac:dyDescent="0.25">
      <c r="A3" s="1529" t="s">
        <v>686</v>
      </c>
      <c r="B3" s="1531" t="s">
        <v>691</v>
      </c>
      <c r="C3" s="1532" t="s">
        <v>720</v>
      </c>
      <c r="D3" s="1533"/>
      <c r="E3" s="1532" t="s">
        <v>721</v>
      </c>
      <c r="F3" s="1533"/>
      <c r="G3" s="1532" t="s">
        <v>722</v>
      </c>
      <c r="H3" s="1533"/>
      <c r="I3" s="1532" t="s">
        <v>723</v>
      </c>
      <c r="J3" s="1533"/>
      <c r="K3" s="1532" t="s">
        <v>96</v>
      </c>
      <c r="L3" s="1533"/>
      <c r="M3" s="1515" t="s">
        <v>1403</v>
      </c>
      <c r="N3" s="1515"/>
    </row>
    <row r="4" spans="1:17" ht="30" customHeight="1" x14ac:dyDescent="0.25">
      <c r="A4" s="1530"/>
      <c r="B4" s="1505"/>
      <c r="C4" s="1074" t="s">
        <v>529</v>
      </c>
      <c r="D4" s="1131" t="s">
        <v>1133</v>
      </c>
      <c r="E4" s="1074" t="s">
        <v>529</v>
      </c>
      <c r="F4" s="1131" t="s">
        <v>1133</v>
      </c>
      <c r="G4" s="1074" t="s">
        <v>529</v>
      </c>
      <c r="H4" s="1131" t="s">
        <v>1133</v>
      </c>
      <c r="I4" s="1074" t="s">
        <v>529</v>
      </c>
      <c r="J4" s="1131" t="s">
        <v>1133</v>
      </c>
      <c r="K4" s="1074" t="s">
        <v>529</v>
      </c>
      <c r="L4" s="1131" t="s">
        <v>1133</v>
      </c>
      <c r="M4" s="1074" t="s">
        <v>529</v>
      </c>
      <c r="N4" s="1131" t="s">
        <v>1133</v>
      </c>
    </row>
    <row r="5" spans="1:17" x14ac:dyDescent="0.25">
      <c r="A5" s="1128" t="s">
        <v>532</v>
      </c>
      <c r="B5" s="224">
        <v>254</v>
      </c>
      <c r="C5" s="224">
        <v>75</v>
      </c>
      <c r="D5" s="1132">
        <v>3.7293500000000002</v>
      </c>
      <c r="E5" s="224">
        <v>0</v>
      </c>
      <c r="F5" s="1132">
        <v>0</v>
      </c>
      <c r="G5" s="224">
        <v>21</v>
      </c>
      <c r="H5" s="1132">
        <v>1.0297099999999999</v>
      </c>
      <c r="I5" s="224">
        <v>4</v>
      </c>
      <c r="J5" s="1132">
        <v>0.26</v>
      </c>
      <c r="K5" s="224">
        <v>100</v>
      </c>
      <c r="L5" s="1132">
        <v>5.0190599999999996</v>
      </c>
      <c r="M5" s="224" t="s">
        <v>238</v>
      </c>
      <c r="N5" s="1132" t="s">
        <v>238</v>
      </c>
    </row>
    <row r="6" spans="1:17" s="301" customFormat="1" x14ac:dyDescent="0.25">
      <c r="A6" s="1129" t="s">
        <v>1237</v>
      </c>
      <c r="B6" s="1003">
        <f>SUM(B7:B18)</f>
        <v>45</v>
      </c>
      <c r="C6" s="1003">
        <f t="shared" ref="C6:L6" si="0">SUM(C7:C18)</f>
        <v>0</v>
      </c>
      <c r="D6" s="1133">
        <f t="shared" si="0"/>
        <v>0</v>
      </c>
      <c r="E6" s="1003">
        <f t="shared" si="0"/>
        <v>0</v>
      </c>
      <c r="F6" s="1133">
        <f t="shared" si="0"/>
        <v>0</v>
      </c>
      <c r="G6" s="1003">
        <f t="shared" si="0"/>
        <v>0</v>
      </c>
      <c r="H6" s="1133">
        <f t="shared" si="0"/>
        <v>0</v>
      </c>
      <c r="I6" s="1003">
        <f t="shared" si="0"/>
        <v>0</v>
      </c>
      <c r="J6" s="1133">
        <f t="shared" si="0"/>
        <v>0</v>
      </c>
      <c r="K6" s="1003">
        <f t="shared" si="0"/>
        <v>0</v>
      </c>
      <c r="L6" s="1133">
        <f t="shared" si="0"/>
        <v>0</v>
      </c>
      <c r="M6" s="1003">
        <f>INDEX(M7:M18,COUNT(M7:M18))</f>
        <v>0</v>
      </c>
      <c r="N6" s="1133">
        <f>INDEX(N7:N18,COUNT(N7:N18))</f>
        <v>0</v>
      </c>
    </row>
    <row r="7" spans="1:17" s="301" customFormat="1" x14ac:dyDescent="0.25">
      <c r="A7" s="1130">
        <v>45383</v>
      </c>
      <c r="B7" s="225">
        <v>22</v>
      </c>
      <c r="C7" s="225">
        <v>0</v>
      </c>
      <c r="D7" s="1125">
        <v>0</v>
      </c>
      <c r="E7" s="225">
        <v>0</v>
      </c>
      <c r="F7" s="1125">
        <v>0</v>
      </c>
      <c r="G7" s="225">
        <v>0</v>
      </c>
      <c r="H7" s="1125">
        <v>0</v>
      </c>
      <c r="I7" s="225">
        <v>0</v>
      </c>
      <c r="J7" s="1125">
        <v>0</v>
      </c>
      <c r="K7" s="225">
        <v>0</v>
      </c>
      <c r="L7" s="1125">
        <v>0</v>
      </c>
      <c r="M7" s="225">
        <v>0</v>
      </c>
      <c r="N7" s="1125">
        <v>0</v>
      </c>
    </row>
    <row r="8" spans="1:17" s="301" customFormat="1" x14ac:dyDescent="0.25">
      <c r="A8" s="1130">
        <v>45413</v>
      </c>
      <c r="B8" s="225">
        <v>23</v>
      </c>
      <c r="C8" s="225">
        <v>0</v>
      </c>
      <c r="D8" s="1125">
        <v>0</v>
      </c>
      <c r="E8" s="225">
        <v>0</v>
      </c>
      <c r="F8" s="1125">
        <v>0</v>
      </c>
      <c r="G8" s="225">
        <v>0</v>
      </c>
      <c r="H8" s="1125">
        <v>0</v>
      </c>
      <c r="I8" s="225">
        <v>0</v>
      </c>
      <c r="J8" s="1125">
        <v>0</v>
      </c>
      <c r="K8" s="225">
        <f>C8+E8+G8+I8</f>
        <v>0</v>
      </c>
      <c r="L8" s="1125">
        <f>D8+F8+H8+J8</f>
        <v>0</v>
      </c>
      <c r="M8" s="225">
        <v>0</v>
      </c>
      <c r="N8" s="1125">
        <v>0</v>
      </c>
    </row>
    <row r="9" spans="1:17" s="301" customFormat="1" x14ac:dyDescent="0.25">
      <c r="A9" s="1130">
        <v>45444</v>
      </c>
      <c r="B9" s="225"/>
      <c r="C9" s="225"/>
      <c r="D9" s="225"/>
      <c r="E9" s="225"/>
      <c r="F9" s="225"/>
      <c r="G9" s="225"/>
      <c r="H9" s="225"/>
      <c r="I9" s="225"/>
      <c r="J9" s="225"/>
      <c r="K9" s="225"/>
      <c r="L9" s="225"/>
      <c r="M9" s="225"/>
      <c r="N9" s="225"/>
    </row>
    <row r="10" spans="1:17" s="301" customFormat="1" x14ac:dyDescent="0.25">
      <c r="A10" s="1130">
        <v>45474</v>
      </c>
      <c r="B10" s="225"/>
      <c r="C10" s="225"/>
      <c r="D10" s="225"/>
      <c r="E10" s="225"/>
      <c r="F10" s="225"/>
      <c r="G10" s="225"/>
      <c r="H10" s="225"/>
      <c r="I10" s="225"/>
      <c r="J10" s="225"/>
      <c r="K10" s="225"/>
      <c r="L10" s="225"/>
      <c r="M10" s="225"/>
      <c r="N10" s="225"/>
    </row>
    <row r="11" spans="1:17" s="301" customFormat="1" x14ac:dyDescent="0.25">
      <c r="A11" s="1130">
        <v>45505</v>
      </c>
      <c r="B11" s="225"/>
      <c r="C11" s="225"/>
      <c r="D11" s="225"/>
      <c r="E11" s="225"/>
      <c r="F11" s="225"/>
      <c r="G11" s="225"/>
      <c r="H11" s="225"/>
      <c r="I11" s="225"/>
      <c r="J11" s="225"/>
      <c r="K11" s="225"/>
      <c r="L11" s="225"/>
      <c r="M11" s="225"/>
      <c r="N11" s="225"/>
    </row>
    <row r="12" spans="1:17" s="301" customFormat="1" x14ac:dyDescent="0.25">
      <c r="A12" s="1130">
        <v>45536</v>
      </c>
      <c r="B12" s="225"/>
      <c r="C12" s="225"/>
      <c r="D12" s="225"/>
      <c r="E12" s="225"/>
      <c r="F12" s="225"/>
      <c r="G12" s="225"/>
      <c r="H12" s="225"/>
      <c r="I12" s="225"/>
      <c r="J12" s="225"/>
      <c r="K12" s="225"/>
      <c r="L12" s="225"/>
      <c r="M12" s="225"/>
      <c r="N12" s="225"/>
    </row>
    <row r="13" spans="1:17" s="301" customFormat="1" x14ac:dyDescent="0.25">
      <c r="A13" s="1130">
        <v>45566</v>
      </c>
      <c r="B13" s="225"/>
      <c r="C13" s="225"/>
      <c r="D13" s="225"/>
      <c r="E13" s="225"/>
      <c r="F13" s="225"/>
      <c r="G13" s="225"/>
      <c r="H13" s="225"/>
      <c r="I13" s="225"/>
      <c r="J13" s="225"/>
      <c r="K13" s="225"/>
      <c r="L13" s="225"/>
      <c r="M13" s="225"/>
      <c r="N13" s="225"/>
    </row>
    <row r="14" spans="1:17" s="301" customFormat="1" x14ac:dyDescent="0.25">
      <c r="A14" s="1130">
        <v>45597</v>
      </c>
      <c r="B14" s="225"/>
      <c r="C14" s="225"/>
      <c r="D14" s="225"/>
      <c r="E14" s="225"/>
      <c r="F14" s="225"/>
      <c r="G14" s="225"/>
      <c r="H14" s="225"/>
      <c r="I14" s="225"/>
      <c r="J14" s="225"/>
      <c r="K14" s="225"/>
      <c r="L14" s="225"/>
      <c r="M14" s="225"/>
      <c r="N14" s="225"/>
    </row>
    <row r="15" spans="1:17" s="301" customFormat="1" x14ac:dyDescent="0.25">
      <c r="A15" s="1130">
        <v>45627</v>
      </c>
      <c r="B15" s="225"/>
      <c r="C15" s="225"/>
      <c r="D15" s="225"/>
      <c r="E15" s="225"/>
      <c r="F15" s="225"/>
      <c r="G15" s="225"/>
      <c r="H15" s="225"/>
      <c r="I15" s="225"/>
      <c r="J15" s="225"/>
      <c r="K15" s="225"/>
      <c r="L15" s="225"/>
      <c r="M15" s="225"/>
      <c r="N15" s="225"/>
    </row>
    <row r="16" spans="1:17" s="301" customFormat="1" x14ac:dyDescent="0.25">
      <c r="A16" s="1130">
        <v>45658</v>
      </c>
      <c r="B16" s="225"/>
      <c r="C16" s="225"/>
      <c r="D16" s="225"/>
      <c r="E16" s="225"/>
      <c r="F16" s="225"/>
      <c r="G16" s="225"/>
      <c r="H16" s="225"/>
      <c r="I16" s="225"/>
      <c r="J16" s="225"/>
      <c r="K16" s="225"/>
      <c r="L16" s="225"/>
      <c r="M16" s="225"/>
      <c r="N16" s="225"/>
    </row>
    <row r="17" spans="1:25" s="301" customFormat="1" x14ac:dyDescent="0.25">
      <c r="A17" s="1130">
        <v>45689</v>
      </c>
      <c r="B17" s="225"/>
      <c r="C17" s="225"/>
      <c r="D17" s="225"/>
      <c r="E17" s="225"/>
      <c r="F17" s="225"/>
      <c r="G17" s="225"/>
      <c r="H17" s="225"/>
      <c r="I17" s="225"/>
      <c r="J17" s="225"/>
      <c r="K17" s="225"/>
      <c r="L17" s="225"/>
      <c r="M17" s="225"/>
      <c r="N17" s="225"/>
    </row>
    <row r="18" spans="1:25" s="38" customFormat="1" x14ac:dyDescent="0.25">
      <c r="A18" s="1130">
        <v>45717</v>
      </c>
      <c r="B18" s="225"/>
      <c r="C18" s="225"/>
      <c r="D18" s="225"/>
      <c r="E18" s="225"/>
      <c r="F18" s="225"/>
      <c r="G18" s="225"/>
      <c r="H18" s="225"/>
      <c r="I18" s="225"/>
      <c r="J18" s="225"/>
      <c r="K18" s="225"/>
      <c r="L18" s="225"/>
      <c r="M18" s="225"/>
      <c r="N18" s="225"/>
    </row>
    <row r="19" spans="1:25" s="38" customFormat="1" x14ac:dyDescent="0.25">
      <c r="A19" s="1126"/>
      <c r="B19" s="204"/>
      <c r="C19" s="204"/>
      <c r="D19" s="204"/>
      <c r="E19" s="204"/>
      <c r="F19" s="204"/>
      <c r="G19" s="204"/>
      <c r="H19" s="204"/>
      <c r="I19" s="204"/>
      <c r="J19" s="204"/>
      <c r="K19" s="204"/>
      <c r="L19" s="204"/>
      <c r="M19" s="204"/>
      <c r="N19" s="204"/>
    </row>
    <row r="20" spans="1:25" s="38" customFormat="1" x14ac:dyDescent="0.25">
      <c r="A20" s="204"/>
      <c r="B20" s="204"/>
      <c r="C20" s="204"/>
      <c r="D20" s="204"/>
      <c r="E20" s="204"/>
      <c r="F20" s="204"/>
      <c r="G20" s="204"/>
      <c r="H20" s="204"/>
      <c r="I20" s="204"/>
      <c r="J20" s="204"/>
      <c r="K20" s="204"/>
      <c r="L20" s="204"/>
      <c r="M20" s="204"/>
      <c r="N20" s="204"/>
    </row>
    <row r="21" spans="1:25" ht="15.75" x14ac:dyDescent="0.25">
      <c r="A21" s="1534" t="s">
        <v>690</v>
      </c>
      <c r="B21" s="1535"/>
      <c r="C21" s="1535"/>
      <c r="D21" s="1535"/>
      <c r="E21" s="1535"/>
      <c r="F21" s="1535"/>
      <c r="G21" s="1535"/>
      <c r="H21" s="1535"/>
      <c r="I21" s="1535"/>
      <c r="J21" s="1535"/>
      <c r="K21" s="1535"/>
      <c r="L21" s="1535"/>
      <c r="M21" s="1535"/>
      <c r="N21" s="1536"/>
      <c r="O21" s="350"/>
      <c r="Y21" s="347"/>
    </row>
    <row r="22" spans="1:25" ht="27.75" customHeight="1" x14ac:dyDescent="0.25">
      <c r="A22" s="1537" t="s">
        <v>116</v>
      </c>
      <c r="B22" s="1537" t="s">
        <v>691</v>
      </c>
      <c r="C22" s="1514" t="s">
        <v>724</v>
      </c>
      <c r="D22" s="1514"/>
      <c r="E22" s="1514"/>
      <c r="F22" s="1514"/>
      <c r="G22" s="1538" t="s">
        <v>726</v>
      </c>
      <c r="H22" s="1538"/>
      <c r="I22" s="1538"/>
      <c r="J22" s="1538"/>
      <c r="K22" s="1514" t="s">
        <v>96</v>
      </c>
      <c r="L22" s="1539"/>
      <c r="M22" s="1515" t="s">
        <v>1403</v>
      </c>
      <c r="N22" s="1515"/>
      <c r="O22" s="350"/>
      <c r="Y22" s="346"/>
    </row>
    <row r="23" spans="1:25" ht="17.25" customHeight="1" x14ac:dyDescent="0.25">
      <c r="A23" s="1509"/>
      <c r="B23" s="1509"/>
      <c r="C23" s="1540" t="s">
        <v>708</v>
      </c>
      <c r="D23" s="1540"/>
      <c r="E23" s="1540" t="s">
        <v>709</v>
      </c>
      <c r="F23" s="1540"/>
      <c r="G23" s="1540" t="s">
        <v>708</v>
      </c>
      <c r="H23" s="1540"/>
      <c r="I23" s="1540" t="s">
        <v>709</v>
      </c>
      <c r="J23" s="1540"/>
      <c r="K23" s="1515" t="s">
        <v>529</v>
      </c>
      <c r="L23" s="1515" t="s">
        <v>1133</v>
      </c>
      <c r="M23" s="1515" t="s">
        <v>529</v>
      </c>
      <c r="N23" s="1515" t="s">
        <v>1133</v>
      </c>
      <c r="O23" s="349"/>
      <c r="Y23" s="344" t="s">
        <v>684</v>
      </c>
    </row>
    <row r="24" spans="1:25" ht="46.5" customHeight="1" x14ac:dyDescent="0.25">
      <c r="A24" s="1509"/>
      <c r="B24" s="1510"/>
      <c r="C24" s="1074" t="s">
        <v>529</v>
      </c>
      <c r="D24" s="1074" t="s">
        <v>1133</v>
      </c>
      <c r="E24" s="1074" t="s">
        <v>529</v>
      </c>
      <c r="F24" s="1074" t="s">
        <v>1133</v>
      </c>
      <c r="G24" s="1074" t="s">
        <v>529</v>
      </c>
      <c r="H24" s="1074" t="s">
        <v>1133</v>
      </c>
      <c r="I24" s="1074" t="s">
        <v>529</v>
      </c>
      <c r="J24" s="1074" t="s">
        <v>1133</v>
      </c>
      <c r="K24" s="1515"/>
      <c r="L24" s="1515"/>
      <c r="M24" s="1515"/>
      <c r="N24" s="1515"/>
      <c r="O24" s="349"/>
    </row>
    <row r="25" spans="1:25" x14ac:dyDescent="0.25">
      <c r="A25" s="1027" t="s">
        <v>532</v>
      </c>
      <c r="B25" s="668">
        <v>254</v>
      </c>
      <c r="C25" s="668">
        <v>0</v>
      </c>
      <c r="D25" s="1134">
        <v>0</v>
      </c>
      <c r="E25" s="668">
        <v>0</v>
      </c>
      <c r="F25" s="1134">
        <v>0</v>
      </c>
      <c r="G25" s="669">
        <v>409</v>
      </c>
      <c r="H25" s="1135">
        <v>30.18703</v>
      </c>
      <c r="I25" s="669">
        <v>8</v>
      </c>
      <c r="J25" s="1135">
        <v>0.56455</v>
      </c>
      <c r="K25" s="668">
        <v>417</v>
      </c>
      <c r="L25" s="1134">
        <v>30.751579999999997</v>
      </c>
      <c r="M25" s="670">
        <v>3</v>
      </c>
      <c r="N25" s="1136">
        <v>0.23070599999999999</v>
      </c>
      <c r="O25" s="349"/>
    </row>
    <row r="26" spans="1:25" s="301" customFormat="1" x14ac:dyDescent="0.25">
      <c r="A26" s="1028" t="s">
        <v>1237</v>
      </c>
      <c r="B26" s="1003">
        <f>SUM(B27:B38)</f>
        <v>45</v>
      </c>
      <c r="C26" s="1003">
        <f t="shared" ref="C26:L26" si="1">SUM(C27:C38)</f>
        <v>0</v>
      </c>
      <c r="D26" s="1133">
        <f t="shared" si="1"/>
        <v>0</v>
      </c>
      <c r="E26" s="1003">
        <f t="shared" si="1"/>
        <v>0</v>
      </c>
      <c r="F26" s="1133">
        <f t="shared" si="1"/>
        <v>0</v>
      </c>
      <c r="G26" s="1003">
        <f t="shared" si="1"/>
        <v>69</v>
      </c>
      <c r="H26" s="1133">
        <f t="shared" si="1"/>
        <v>5.1349999999999998</v>
      </c>
      <c r="I26" s="1003">
        <f t="shared" si="1"/>
        <v>30</v>
      </c>
      <c r="J26" s="1133">
        <f t="shared" si="1"/>
        <v>2.0979999999999999</v>
      </c>
      <c r="K26" s="1003">
        <f t="shared" si="1"/>
        <v>99</v>
      </c>
      <c r="L26" s="1133">
        <f t="shared" si="1"/>
        <v>7.2329999999999997</v>
      </c>
      <c r="M26" s="1003">
        <f>INDEX(M27:M38,COUNT(M27:M38))</f>
        <v>2</v>
      </c>
      <c r="N26" s="1133">
        <f>INDEX(N27:N38,COUNT(N27:N38))</f>
        <v>0.14000000000000001</v>
      </c>
      <c r="O26" s="351"/>
      <c r="P26" s="351"/>
      <c r="Q26" s="351"/>
    </row>
    <row r="27" spans="1:25" s="301" customFormat="1" x14ac:dyDescent="0.25">
      <c r="A27" s="1029">
        <v>45383</v>
      </c>
      <c r="B27" s="228">
        <v>22</v>
      </c>
      <c r="C27" s="228">
        <v>0</v>
      </c>
      <c r="D27" s="1123">
        <v>0</v>
      </c>
      <c r="E27" s="393">
        <v>0</v>
      </c>
      <c r="F27" s="1137">
        <v>0</v>
      </c>
      <c r="G27" s="671">
        <v>29</v>
      </c>
      <c r="H27" s="1138">
        <v>2.2349999999999999</v>
      </c>
      <c r="I27" s="671">
        <v>20</v>
      </c>
      <c r="J27" s="1138">
        <v>1.4279999999999999</v>
      </c>
      <c r="K27" s="393">
        <v>49</v>
      </c>
      <c r="L27" s="1137">
        <v>3.6629999999999998</v>
      </c>
      <c r="M27" s="225">
        <v>4</v>
      </c>
      <c r="N27" s="1125">
        <v>0.31</v>
      </c>
      <c r="O27" s="351"/>
      <c r="P27" s="351"/>
      <c r="Q27" s="351"/>
    </row>
    <row r="28" spans="1:25" s="301" customFormat="1" x14ac:dyDescent="0.25">
      <c r="A28" s="1029">
        <v>45413</v>
      </c>
      <c r="B28" s="228">
        <v>23</v>
      </c>
      <c r="C28" s="228">
        <v>0</v>
      </c>
      <c r="D28" s="1123">
        <v>0</v>
      </c>
      <c r="E28" s="228">
        <v>0</v>
      </c>
      <c r="F28" s="1123">
        <v>0</v>
      </c>
      <c r="G28" s="1012">
        <v>40</v>
      </c>
      <c r="H28" s="1124">
        <v>2.9</v>
      </c>
      <c r="I28" s="1012">
        <v>10</v>
      </c>
      <c r="J28" s="1124">
        <v>0.67</v>
      </c>
      <c r="K28" s="228">
        <v>50</v>
      </c>
      <c r="L28" s="1123">
        <v>3.57</v>
      </c>
      <c r="M28" s="225">
        <v>2</v>
      </c>
      <c r="N28" s="1125">
        <v>0.14000000000000001</v>
      </c>
      <c r="O28" s="351"/>
      <c r="P28" s="351"/>
      <c r="Q28" s="351"/>
    </row>
    <row r="29" spans="1:25" s="301" customFormat="1" x14ac:dyDescent="0.25">
      <c r="A29" s="1029">
        <v>45444</v>
      </c>
      <c r="B29" s="228"/>
      <c r="C29" s="228"/>
      <c r="D29" s="228"/>
      <c r="E29" s="228"/>
      <c r="F29" s="228"/>
      <c r="G29" s="1011"/>
      <c r="H29" s="352"/>
      <c r="I29" s="1011"/>
      <c r="J29" s="352"/>
      <c r="K29" s="228"/>
      <c r="L29" s="228"/>
      <c r="M29" s="225"/>
      <c r="N29" s="225"/>
      <c r="O29" s="351"/>
      <c r="P29" s="351"/>
      <c r="Q29" s="351"/>
    </row>
    <row r="30" spans="1:25" s="301" customFormat="1" x14ac:dyDescent="0.25">
      <c r="A30" s="1029">
        <v>45474</v>
      </c>
      <c r="B30" s="228"/>
      <c r="C30" s="228"/>
      <c r="D30" s="228"/>
      <c r="E30" s="228"/>
      <c r="F30" s="228"/>
      <c r="G30" s="1011"/>
      <c r="H30" s="352"/>
      <c r="I30" s="1011"/>
      <c r="J30" s="352"/>
      <c r="K30" s="228"/>
      <c r="L30" s="228"/>
      <c r="M30" s="225"/>
      <c r="N30" s="225"/>
      <c r="O30" s="351"/>
      <c r="P30" s="351"/>
      <c r="Q30" s="351"/>
    </row>
    <row r="31" spans="1:25" s="301" customFormat="1" x14ac:dyDescent="0.25">
      <c r="A31" s="1029">
        <v>45505</v>
      </c>
      <c r="B31" s="228"/>
      <c r="C31" s="228"/>
      <c r="D31" s="228"/>
      <c r="E31" s="228"/>
      <c r="F31" s="228"/>
      <c r="G31" s="1011"/>
      <c r="H31" s="352"/>
      <c r="I31" s="1011"/>
      <c r="J31" s="352"/>
      <c r="K31" s="228"/>
      <c r="L31" s="228"/>
      <c r="M31" s="225"/>
      <c r="N31" s="225"/>
      <c r="O31" s="351"/>
      <c r="P31" s="351"/>
      <c r="Q31" s="351"/>
    </row>
    <row r="32" spans="1:25" s="301" customFormat="1" x14ac:dyDescent="0.25">
      <c r="A32" s="1029">
        <v>45536</v>
      </c>
      <c r="B32" s="228"/>
      <c r="C32" s="228"/>
      <c r="D32" s="228"/>
      <c r="E32" s="228"/>
      <c r="F32" s="228"/>
      <c r="G32" s="1011"/>
      <c r="H32" s="352"/>
      <c r="I32" s="1011"/>
      <c r="J32" s="352"/>
      <c r="K32" s="228"/>
      <c r="L32" s="228"/>
      <c r="M32" s="225"/>
      <c r="N32" s="225"/>
      <c r="O32" s="351"/>
      <c r="P32" s="351"/>
      <c r="Q32" s="351"/>
    </row>
    <row r="33" spans="1:17" s="301" customFormat="1" x14ac:dyDescent="0.25">
      <c r="A33" s="1029">
        <v>45566</v>
      </c>
      <c r="B33" s="228"/>
      <c r="C33" s="228"/>
      <c r="D33" s="228"/>
      <c r="E33" s="228"/>
      <c r="F33" s="228"/>
      <c r="G33" s="1011"/>
      <c r="H33" s="352"/>
      <c r="I33" s="1011"/>
      <c r="J33" s="352"/>
      <c r="K33" s="228"/>
      <c r="L33" s="228"/>
      <c r="M33" s="225"/>
      <c r="N33" s="225"/>
      <c r="O33" s="351"/>
      <c r="P33" s="351"/>
      <c r="Q33" s="351"/>
    </row>
    <row r="34" spans="1:17" s="38" customFormat="1" x14ac:dyDescent="0.25">
      <c r="A34" s="1029">
        <v>45597</v>
      </c>
      <c r="B34" s="228"/>
      <c r="C34" s="228"/>
      <c r="D34" s="228"/>
      <c r="E34" s="393"/>
      <c r="F34" s="393"/>
      <c r="G34" s="1011"/>
      <c r="H34" s="352"/>
      <c r="I34" s="1011"/>
      <c r="J34" s="352"/>
      <c r="K34" s="393"/>
      <c r="L34" s="393"/>
      <c r="M34" s="225"/>
      <c r="N34" s="225"/>
      <c r="O34" s="351"/>
      <c r="P34" s="351"/>
      <c r="Q34" s="351"/>
    </row>
    <row r="35" spans="1:17" s="38" customFormat="1" x14ac:dyDescent="0.25">
      <c r="A35" s="1029">
        <v>45627</v>
      </c>
      <c r="B35" s="228"/>
      <c r="C35" s="228"/>
      <c r="D35" s="228"/>
      <c r="E35" s="393"/>
      <c r="F35" s="393"/>
      <c r="G35" s="1011"/>
      <c r="H35" s="352"/>
      <c r="I35" s="1011"/>
      <c r="J35" s="352"/>
      <c r="K35" s="393"/>
      <c r="L35" s="393"/>
      <c r="M35" s="225"/>
      <c r="N35" s="225"/>
      <c r="O35" s="351"/>
      <c r="P35" s="351"/>
      <c r="Q35" s="351"/>
    </row>
    <row r="36" spans="1:17" s="38" customFormat="1" x14ac:dyDescent="0.25">
      <c r="A36" s="1029">
        <v>45658</v>
      </c>
      <c r="B36" s="228"/>
      <c r="C36" s="228"/>
      <c r="D36" s="228"/>
      <c r="E36" s="1011"/>
      <c r="F36" s="1011"/>
      <c r="G36" s="1011"/>
      <c r="H36" s="352"/>
      <c r="I36" s="1011"/>
      <c r="J36" s="352"/>
      <c r="K36" s="1011"/>
      <c r="L36" s="1011"/>
      <c r="M36" s="225"/>
      <c r="N36" s="225"/>
      <c r="O36" s="351"/>
      <c r="P36" s="351"/>
      <c r="Q36" s="351"/>
    </row>
    <row r="37" spans="1:17" s="38" customFormat="1" x14ac:dyDescent="0.25">
      <c r="A37" s="1029">
        <v>45689</v>
      </c>
      <c r="B37" s="228"/>
      <c r="C37" s="228"/>
      <c r="D37" s="228"/>
      <c r="E37" s="393"/>
      <c r="F37" s="393"/>
      <c r="G37" s="1011"/>
      <c r="H37" s="352"/>
      <c r="I37" s="1011"/>
      <c r="J37" s="352"/>
      <c r="K37" s="393"/>
      <c r="L37" s="393"/>
      <c r="M37" s="225"/>
      <c r="N37" s="225"/>
      <c r="O37" s="351"/>
      <c r="P37" s="351"/>
      <c r="Q37" s="351"/>
    </row>
    <row r="38" spans="1:17" s="38" customFormat="1" x14ac:dyDescent="0.25">
      <c r="A38" s="1029">
        <v>45717</v>
      </c>
      <c r="B38" s="228"/>
      <c r="C38" s="228"/>
      <c r="D38" s="228"/>
      <c r="E38" s="1011"/>
      <c r="F38" s="1011"/>
      <c r="G38" s="1011"/>
      <c r="H38" s="352"/>
      <c r="I38" s="1011"/>
      <c r="J38" s="352"/>
      <c r="K38" s="1011"/>
      <c r="L38" s="1011"/>
      <c r="M38" s="225"/>
      <c r="N38" s="225"/>
      <c r="O38" s="351"/>
      <c r="P38" s="351"/>
      <c r="Q38" s="351"/>
    </row>
    <row r="39" spans="1:17" s="38" customFormat="1" x14ac:dyDescent="0.25">
      <c r="A39" s="1127"/>
      <c r="B39" s="1139"/>
      <c r="C39" s="1139"/>
      <c r="D39" s="1139"/>
      <c r="E39" s="1140"/>
      <c r="F39" s="1140"/>
      <c r="G39" s="1140"/>
      <c r="H39" s="1141"/>
      <c r="I39" s="1140"/>
      <c r="J39" s="1141"/>
      <c r="K39" s="1140"/>
      <c r="L39" s="1140"/>
      <c r="M39" s="204"/>
      <c r="N39" s="204"/>
      <c r="O39" s="351"/>
      <c r="P39" s="351"/>
      <c r="Q39" s="351"/>
    </row>
    <row r="40" spans="1:17" s="38" customFormat="1" x14ac:dyDescent="0.25">
      <c r="A40" s="1126" t="s">
        <v>1401</v>
      </c>
      <c r="B40" s="1139"/>
      <c r="C40" s="1139"/>
      <c r="D40" s="1139"/>
      <c r="E40" s="1140"/>
      <c r="F40" s="1140"/>
      <c r="G40" s="1140"/>
      <c r="H40" s="1141"/>
      <c r="I40" s="1140"/>
      <c r="J40" s="1141"/>
      <c r="K40" s="1140"/>
      <c r="L40" s="1140"/>
      <c r="M40" s="204"/>
      <c r="N40" s="204"/>
      <c r="O40" s="351"/>
      <c r="P40" s="351"/>
      <c r="Q40" s="351"/>
    </row>
    <row r="41" spans="1:17" s="38" customFormat="1" x14ac:dyDescent="0.25">
      <c r="A41" s="1126" t="s">
        <v>1402</v>
      </c>
      <c r="B41" s="1139"/>
      <c r="C41" s="1139"/>
      <c r="D41" s="1139"/>
      <c r="E41" s="1140"/>
      <c r="F41" s="1140"/>
      <c r="G41" s="1140"/>
      <c r="H41" s="1141"/>
      <c r="I41" s="1140"/>
      <c r="J41" s="1141"/>
      <c r="K41" s="1140"/>
      <c r="L41" s="1140"/>
      <c r="M41" s="204"/>
      <c r="N41" s="204"/>
      <c r="O41" s="351"/>
      <c r="P41" s="351"/>
      <c r="Q41" s="351"/>
    </row>
    <row r="42" spans="1:17" x14ac:dyDescent="0.25">
      <c r="A42" s="353" t="s">
        <v>262</v>
      </c>
      <c r="B42" s="203"/>
      <c r="C42" s="203"/>
      <c r="D42" s="203"/>
      <c r="E42" s="203"/>
      <c r="F42" s="203"/>
      <c r="G42" s="344"/>
      <c r="H42" s="344"/>
      <c r="I42" s="344"/>
      <c r="J42" s="344"/>
      <c r="K42" s="344"/>
      <c r="L42" s="344"/>
      <c r="M42" s="344"/>
      <c r="N42" s="344"/>
      <c r="O42" s="344"/>
      <c r="P42" s="344"/>
      <c r="Q42" s="344"/>
    </row>
  </sheetData>
  <mergeCells count="24">
    <mergeCell ref="A21:N21"/>
    <mergeCell ref="A22:A24"/>
    <mergeCell ref="B22:B24"/>
    <mergeCell ref="C22:F22"/>
    <mergeCell ref="G22:J22"/>
    <mergeCell ref="K22:L22"/>
    <mergeCell ref="M22:N22"/>
    <mergeCell ref="C23:D23"/>
    <mergeCell ref="E23:F23"/>
    <mergeCell ref="G23:H23"/>
    <mergeCell ref="I23:J23"/>
    <mergeCell ref="K23:K24"/>
    <mergeCell ref="L23:L24"/>
    <mergeCell ref="M23:M24"/>
    <mergeCell ref="N23:N24"/>
    <mergeCell ref="A2:N2"/>
    <mergeCell ref="A3:A4"/>
    <mergeCell ref="B3:B4"/>
    <mergeCell ref="C3:D3"/>
    <mergeCell ref="E3:F3"/>
    <mergeCell ref="G3:H3"/>
    <mergeCell ref="I3:J3"/>
    <mergeCell ref="K3:L3"/>
    <mergeCell ref="M3:N3"/>
  </mergeCells>
  <printOptions horizontalCentered="1"/>
  <pageMargins left="0.7" right="0.7" top="0.75" bottom="0.75" header="0.3" footer="0.3"/>
  <pageSetup scale="71"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9"/>
  <sheetViews>
    <sheetView topLeftCell="A22" zoomScale="91" zoomScaleNormal="91" workbookViewId="0">
      <selection activeCell="A39" sqref="A39"/>
    </sheetView>
  </sheetViews>
  <sheetFormatPr defaultColWidth="9.140625" defaultRowHeight="15.75" x14ac:dyDescent="0.25"/>
  <cols>
    <col min="1" max="1" width="12.28515625" style="299" customWidth="1"/>
    <col min="2" max="2" width="8.7109375" style="299" customWidth="1"/>
    <col min="3" max="3" width="15.140625" style="299" customWidth="1"/>
    <col min="4" max="4" width="10.42578125" style="299" customWidth="1"/>
    <col min="5" max="5" width="12.7109375" style="299" customWidth="1"/>
    <col min="6" max="8" width="11.7109375" style="299" customWidth="1"/>
    <col min="9" max="9" width="11.28515625" style="299" customWidth="1"/>
    <col min="10" max="10" width="11.5703125" style="299" customWidth="1"/>
    <col min="11" max="11" width="10.7109375" style="302" customWidth="1"/>
    <col min="12" max="13" width="10.140625" style="302" customWidth="1"/>
    <col min="14" max="14" width="10.7109375" style="299" customWidth="1"/>
    <col min="15" max="15" width="10.85546875" style="299" customWidth="1"/>
    <col min="16" max="16" width="10.42578125" style="299" bestFit="1" customWidth="1"/>
    <col min="17" max="17" width="9.42578125" style="299" bestFit="1" customWidth="1"/>
    <col min="18" max="16384" width="9.140625" style="299"/>
  </cols>
  <sheetData>
    <row r="1" spans="1:14" x14ac:dyDescent="0.25">
      <c r="A1" s="1013" t="s">
        <v>725</v>
      </c>
      <c r="B1" s="1014"/>
      <c r="C1" s="1014"/>
      <c r="D1" s="1014"/>
      <c r="E1" s="1014"/>
      <c r="F1" s="1014"/>
      <c r="G1" s="1014"/>
      <c r="H1" s="1014"/>
      <c r="I1" s="1014"/>
      <c r="J1" s="1014"/>
      <c r="K1" s="1014"/>
      <c r="L1" s="1014"/>
      <c r="M1" s="1014"/>
      <c r="N1" s="1015"/>
    </row>
    <row r="2" spans="1:14" ht="18.75" x14ac:dyDescent="0.25">
      <c r="A2" s="1541" t="s">
        <v>667</v>
      </c>
      <c r="B2" s="1541"/>
      <c r="C2" s="1541"/>
      <c r="D2" s="1541"/>
      <c r="E2" s="1541"/>
      <c r="F2" s="1541"/>
      <c r="G2" s="1541"/>
      <c r="H2" s="1541"/>
      <c r="I2" s="1541"/>
      <c r="J2" s="1541"/>
      <c r="K2" s="1541"/>
      <c r="L2" s="1541"/>
      <c r="M2" s="1541"/>
      <c r="N2" s="1541"/>
    </row>
    <row r="3" spans="1:14" ht="69" customHeight="1" x14ac:dyDescent="0.25">
      <c r="A3" s="1542" t="s">
        <v>686</v>
      </c>
      <c r="B3" s="1543" t="s">
        <v>691</v>
      </c>
      <c r="C3" s="1545" t="s">
        <v>720</v>
      </c>
      <c r="D3" s="1546"/>
      <c r="E3" s="1545" t="s">
        <v>721</v>
      </c>
      <c r="F3" s="1546"/>
      <c r="G3" s="1545" t="s">
        <v>726</v>
      </c>
      <c r="H3" s="1546"/>
      <c r="I3" s="1545" t="s">
        <v>727</v>
      </c>
      <c r="J3" s="1546"/>
      <c r="K3" s="1545" t="s">
        <v>96</v>
      </c>
      <c r="L3" s="1546"/>
      <c r="M3" s="1542" t="s">
        <v>699</v>
      </c>
      <c r="N3" s="1542"/>
    </row>
    <row r="4" spans="1:14" ht="47.25" x14ac:dyDescent="0.25">
      <c r="A4" s="1542"/>
      <c r="B4" s="1544"/>
      <c r="C4" s="888" t="s">
        <v>700</v>
      </c>
      <c r="D4" s="888" t="s">
        <v>728</v>
      </c>
      <c r="E4" s="888" t="s">
        <v>700</v>
      </c>
      <c r="F4" s="888" t="s">
        <v>728</v>
      </c>
      <c r="G4" s="888" t="s">
        <v>700</v>
      </c>
      <c r="H4" s="888" t="s">
        <v>728</v>
      </c>
      <c r="I4" s="888" t="s">
        <v>700</v>
      </c>
      <c r="J4" s="888" t="s">
        <v>728</v>
      </c>
      <c r="K4" s="888" t="s">
        <v>700</v>
      </c>
      <c r="L4" s="888" t="s">
        <v>728</v>
      </c>
      <c r="M4" s="888" t="s">
        <v>700</v>
      </c>
      <c r="N4" s="888" t="s">
        <v>729</v>
      </c>
    </row>
    <row r="5" spans="1:14" s="1016" customFormat="1" ht="15" customHeight="1" x14ac:dyDescent="0.25">
      <c r="A5" s="1157" t="s">
        <v>532</v>
      </c>
      <c r="B5" s="229">
        <v>254</v>
      </c>
      <c r="C5" s="229">
        <v>0</v>
      </c>
      <c r="D5" s="229">
        <v>0</v>
      </c>
      <c r="E5" s="229">
        <v>101</v>
      </c>
      <c r="F5" s="229">
        <v>10.066040000000001</v>
      </c>
      <c r="G5" s="229">
        <v>111127</v>
      </c>
      <c r="H5" s="229">
        <v>5419.6783786000015</v>
      </c>
      <c r="I5" s="229">
        <v>0</v>
      </c>
      <c r="J5" s="229">
        <v>0</v>
      </c>
      <c r="K5" s="229">
        <v>111228</v>
      </c>
      <c r="L5" s="229">
        <v>5429.2207350000008</v>
      </c>
      <c r="M5" s="229">
        <v>58</v>
      </c>
      <c r="N5" s="229">
        <v>2.4700000000000002</v>
      </c>
    </row>
    <row r="6" spans="1:14" s="394" customFormat="1" x14ac:dyDescent="0.25">
      <c r="A6" s="1158" t="s">
        <v>1413</v>
      </c>
      <c r="B6" s="1017">
        <f>SUM(B7:B18)</f>
        <v>45</v>
      </c>
      <c r="C6" s="1017">
        <f t="shared" ref="C6:L6" si="0">SUM(C7:C18)</f>
        <v>0</v>
      </c>
      <c r="D6" s="1017">
        <f t="shared" si="0"/>
        <v>0</v>
      </c>
      <c r="E6" s="1017">
        <f t="shared" si="0"/>
        <v>25</v>
      </c>
      <c r="F6" s="1017">
        <f t="shared" si="0"/>
        <v>6.4954619999999998</v>
      </c>
      <c r="G6" s="1017">
        <f t="shared" si="0"/>
        <v>284</v>
      </c>
      <c r="H6" s="1017">
        <f t="shared" si="0"/>
        <v>17.820767500000002</v>
      </c>
      <c r="I6" s="1017">
        <f t="shared" si="0"/>
        <v>0</v>
      </c>
      <c r="J6" s="1017">
        <f t="shared" si="0"/>
        <v>0</v>
      </c>
      <c r="K6" s="1017">
        <f t="shared" si="0"/>
        <v>309</v>
      </c>
      <c r="L6" s="1017">
        <f t="shared" si="0"/>
        <v>24.316229500000002</v>
      </c>
      <c r="M6" s="1017">
        <f>INDEX(M7:M18,COUNT(M7:M18))</f>
        <v>25</v>
      </c>
      <c r="N6" s="1017">
        <f>INDEX(N7:N18,COUNT(N7:N18))</f>
        <v>1.8155399999999999</v>
      </c>
    </row>
    <row r="7" spans="1:14" s="394" customFormat="1" x14ac:dyDescent="0.25">
      <c r="A7" s="1029">
        <v>45383</v>
      </c>
      <c r="B7" s="230">
        <v>22</v>
      </c>
      <c r="C7" s="230">
        <v>0</v>
      </c>
      <c r="D7" s="230">
        <v>0</v>
      </c>
      <c r="E7" s="230">
        <v>11</v>
      </c>
      <c r="F7" s="230">
        <v>2.6928329999999998</v>
      </c>
      <c r="G7" s="230">
        <v>150</v>
      </c>
      <c r="H7" s="230">
        <v>8.9870374999999996</v>
      </c>
      <c r="I7" s="230">
        <v>0</v>
      </c>
      <c r="J7" s="230">
        <v>0</v>
      </c>
      <c r="K7" s="230">
        <v>161</v>
      </c>
      <c r="L7" s="230">
        <v>11.6798705</v>
      </c>
      <c r="M7" s="230">
        <v>13</v>
      </c>
      <c r="N7" s="230">
        <v>1.06</v>
      </c>
    </row>
    <row r="8" spans="1:14" s="394" customFormat="1" x14ac:dyDescent="0.25">
      <c r="A8" s="1029">
        <v>45413</v>
      </c>
      <c r="B8" s="230">
        <v>23</v>
      </c>
      <c r="C8" s="230">
        <v>0</v>
      </c>
      <c r="D8" s="230">
        <v>0</v>
      </c>
      <c r="E8" s="230">
        <v>14</v>
      </c>
      <c r="F8" s="230">
        <v>3.802629</v>
      </c>
      <c r="G8" s="230">
        <v>134</v>
      </c>
      <c r="H8" s="230">
        <v>8.8337300000000027</v>
      </c>
      <c r="I8" s="230">
        <v>0</v>
      </c>
      <c r="J8" s="230">
        <v>0</v>
      </c>
      <c r="K8" s="230">
        <v>148</v>
      </c>
      <c r="L8" s="230">
        <v>12.636359000000002</v>
      </c>
      <c r="M8" s="230">
        <v>25</v>
      </c>
      <c r="N8" s="230">
        <v>1.8155399999999999</v>
      </c>
    </row>
    <row r="9" spans="1:14" s="394" customFormat="1" x14ac:dyDescent="0.25">
      <c r="A9" s="1029">
        <v>45444</v>
      </c>
      <c r="B9" s="230"/>
      <c r="C9" s="230"/>
      <c r="D9" s="230"/>
      <c r="E9" s="230"/>
      <c r="F9" s="230"/>
      <c r="G9" s="230"/>
      <c r="H9" s="230"/>
      <c r="I9" s="230"/>
      <c r="J9" s="230"/>
      <c r="K9" s="230"/>
      <c r="L9" s="230"/>
      <c r="M9" s="230"/>
      <c r="N9" s="230"/>
    </row>
    <row r="10" spans="1:14" s="394" customFormat="1" x14ac:dyDescent="0.25">
      <c r="A10" s="1029">
        <v>45474</v>
      </c>
      <c r="B10" s="230"/>
      <c r="C10" s="230"/>
      <c r="D10" s="230"/>
      <c r="E10" s="230"/>
      <c r="F10" s="230"/>
      <c r="G10" s="230"/>
      <c r="H10" s="230"/>
      <c r="I10" s="230"/>
      <c r="J10" s="230"/>
      <c r="K10" s="230"/>
      <c r="L10" s="230"/>
      <c r="M10" s="230"/>
      <c r="N10" s="230"/>
    </row>
    <row r="11" spans="1:14" s="394" customFormat="1" x14ac:dyDescent="0.25">
      <c r="A11" s="1029">
        <v>45505</v>
      </c>
      <c r="B11" s="230"/>
      <c r="C11" s="230"/>
      <c r="D11" s="230"/>
      <c r="E11" s="230"/>
      <c r="F11" s="230"/>
      <c r="G11" s="230"/>
      <c r="H11" s="230"/>
      <c r="I11" s="230"/>
      <c r="J11" s="230"/>
      <c r="K11" s="230"/>
      <c r="L11" s="230"/>
      <c r="M11" s="230"/>
      <c r="N11" s="230"/>
    </row>
    <row r="12" spans="1:14" s="394" customFormat="1" x14ac:dyDescent="0.25">
      <c r="A12" s="1029">
        <v>45536</v>
      </c>
      <c r="B12" s="230"/>
      <c r="C12" s="230"/>
      <c r="D12" s="230"/>
      <c r="E12" s="230"/>
      <c r="F12" s="230"/>
      <c r="G12" s="230"/>
      <c r="H12" s="230"/>
      <c r="I12" s="230"/>
      <c r="J12" s="230"/>
      <c r="K12" s="230"/>
      <c r="L12" s="230"/>
      <c r="M12" s="230"/>
      <c r="N12" s="230"/>
    </row>
    <row r="13" spans="1:14" s="394" customFormat="1" x14ac:dyDescent="0.25">
      <c r="A13" s="1029">
        <v>45566</v>
      </c>
      <c r="B13" s="230"/>
      <c r="C13" s="230"/>
      <c r="D13" s="230"/>
      <c r="E13" s="230"/>
      <c r="F13" s="230"/>
      <c r="G13" s="230"/>
      <c r="H13" s="230"/>
      <c r="I13" s="230"/>
      <c r="J13" s="230"/>
      <c r="K13" s="230"/>
      <c r="L13" s="230"/>
      <c r="M13" s="230"/>
      <c r="N13" s="230"/>
    </row>
    <row r="14" spans="1:14" s="395" customFormat="1" x14ac:dyDescent="0.25">
      <c r="A14" s="1029">
        <v>45597</v>
      </c>
      <c r="B14" s="230"/>
      <c r="C14" s="230"/>
      <c r="D14" s="230"/>
      <c r="E14" s="230"/>
      <c r="F14" s="230"/>
      <c r="G14" s="230"/>
      <c r="H14" s="230"/>
      <c r="I14" s="230"/>
      <c r="J14" s="230"/>
      <c r="K14" s="230"/>
      <c r="L14" s="230"/>
      <c r="M14" s="230"/>
      <c r="N14" s="230"/>
    </row>
    <row r="15" spans="1:14" s="395" customFormat="1" x14ac:dyDescent="0.25">
      <c r="A15" s="1029">
        <v>45627</v>
      </c>
      <c r="B15" s="230"/>
      <c r="C15" s="230"/>
      <c r="D15" s="230"/>
      <c r="E15" s="230"/>
      <c r="F15" s="230"/>
      <c r="G15" s="230"/>
      <c r="H15" s="230"/>
      <c r="I15" s="230"/>
      <c r="J15" s="230"/>
      <c r="K15" s="230"/>
      <c r="L15" s="230"/>
      <c r="M15" s="230"/>
      <c r="N15" s="230"/>
    </row>
    <row r="16" spans="1:14" s="395" customFormat="1" x14ac:dyDescent="0.25">
      <c r="A16" s="1029">
        <v>45658</v>
      </c>
      <c r="B16" s="230"/>
      <c r="C16" s="230"/>
      <c r="D16" s="230"/>
      <c r="E16" s="230"/>
      <c r="F16" s="230"/>
      <c r="G16" s="230"/>
      <c r="H16" s="230"/>
      <c r="I16" s="230"/>
      <c r="J16" s="230"/>
      <c r="K16" s="230"/>
      <c r="L16" s="230"/>
      <c r="M16" s="230"/>
      <c r="N16" s="230"/>
    </row>
    <row r="17" spans="1:15" s="395" customFormat="1" x14ac:dyDescent="0.25">
      <c r="A17" s="1029">
        <v>45689</v>
      </c>
      <c r="B17" s="230"/>
      <c r="C17" s="230"/>
      <c r="D17" s="230"/>
      <c r="E17" s="230"/>
      <c r="F17" s="230"/>
      <c r="G17" s="230"/>
      <c r="H17" s="230"/>
      <c r="I17" s="230"/>
      <c r="J17" s="230"/>
      <c r="K17" s="230"/>
      <c r="L17" s="230"/>
      <c r="M17" s="230"/>
      <c r="N17" s="230"/>
    </row>
    <row r="18" spans="1:15" s="395" customFormat="1" x14ac:dyDescent="0.25">
      <c r="A18" s="1029">
        <v>45717</v>
      </c>
      <c r="B18" s="230"/>
      <c r="C18" s="230"/>
      <c r="D18" s="230"/>
      <c r="E18" s="230"/>
      <c r="F18" s="230"/>
      <c r="G18" s="230"/>
      <c r="H18" s="230"/>
      <c r="I18" s="230"/>
      <c r="J18" s="230"/>
      <c r="K18" s="230"/>
      <c r="L18" s="230"/>
      <c r="M18" s="230"/>
      <c r="N18" s="230"/>
    </row>
    <row r="19" spans="1:15" s="302" customFormat="1" x14ac:dyDescent="0.25"/>
    <row r="20" spans="1:15" ht="18.75" x14ac:dyDescent="0.3">
      <c r="A20" s="1547" t="s">
        <v>690</v>
      </c>
      <c r="B20" s="1548"/>
      <c r="C20" s="1548"/>
      <c r="D20" s="1548"/>
      <c r="E20" s="1548"/>
      <c r="F20" s="1548"/>
      <c r="G20" s="1548"/>
      <c r="H20" s="1548"/>
      <c r="I20" s="1548"/>
      <c r="J20" s="1548"/>
      <c r="K20" s="1548"/>
      <c r="L20" s="1548"/>
      <c r="M20" s="1548"/>
      <c r="N20" s="1548"/>
    </row>
    <row r="21" spans="1:15" ht="81" customHeight="1" x14ac:dyDescent="0.25">
      <c r="A21" s="1549" t="s">
        <v>686</v>
      </c>
      <c r="B21" s="1549" t="s">
        <v>691</v>
      </c>
      <c r="C21" s="1552" t="s">
        <v>706</v>
      </c>
      <c r="D21" s="1553"/>
      <c r="E21" s="1553"/>
      <c r="F21" s="1554"/>
      <c r="G21" s="1555" t="s">
        <v>726</v>
      </c>
      <c r="H21" s="1555"/>
      <c r="I21" s="1555"/>
      <c r="J21" s="1555"/>
      <c r="K21" s="1552" t="s">
        <v>96</v>
      </c>
      <c r="L21" s="1554"/>
      <c r="M21" s="1552" t="s">
        <v>699</v>
      </c>
      <c r="N21" s="1554"/>
    </row>
    <row r="22" spans="1:15" ht="21" customHeight="1" x14ac:dyDescent="0.25">
      <c r="A22" s="1550"/>
      <c r="B22" s="1550"/>
      <c r="C22" s="1556" t="s">
        <v>708</v>
      </c>
      <c r="D22" s="1557"/>
      <c r="E22" s="1556" t="s">
        <v>709</v>
      </c>
      <c r="F22" s="1557"/>
      <c r="G22" s="1558" t="s">
        <v>708</v>
      </c>
      <c r="H22" s="1558"/>
      <c r="I22" s="1558" t="s">
        <v>709</v>
      </c>
      <c r="J22" s="1558"/>
      <c r="K22" s="1543" t="s">
        <v>700</v>
      </c>
      <c r="L22" s="1543" t="s">
        <v>730</v>
      </c>
      <c r="M22" s="1549" t="s">
        <v>703</v>
      </c>
      <c r="N22" s="1549" t="s">
        <v>731</v>
      </c>
    </row>
    <row r="23" spans="1:15" ht="69.75" customHeight="1" x14ac:dyDescent="0.25">
      <c r="A23" s="1551"/>
      <c r="B23" s="1551"/>
      <c r="C23" s="888" t="s">
        <v>700</v>
      </c>
      <c r="D23" s="888" t="s">
        <v>728</v>
      </c>
      <c r="E23" s="888" t="s">
        <v>700</v>
      </c>
      <c r="F23" s="888" t="s">
        <v>728</v>
      </c>
      <c r="G23" s="888" t="s">
        <v>1132</v>
      </c>
      <c r="H23" s="888" t="s">
        <v>1134</v>
      </c>
      <c r="I23" s="888" t="s">
        <v>1132</v>
      </c>
      <c r="J23" s="888" t="s">
        <v>1134</v>
      </c>
      <c r="K23" s="1544"/>
      <c r="L23" s="1544"/>
      <c r="M23" s="1551"/>
      <c r="N23" s="1551"/>
      <c r="O23" s="299" t="s">
        <v>684</v>
      </c>
    </row>
    <row r="24" spans="1:15" x14ac:dyDescent="0.25">
      <c r="A24" s="1157" t="s">
        <v>532</v>
      </c>
      <c r="B24" s="231">
        <v>254</v>
      </c>
      <c r="C24" s="231">
        <v>32528</v>
      </c>
      <c r="D24" s="231">
        <v>3319.1884190000005</v>
      </c>
      <c r="E24" s="231">
        <v>29940</v>
      </c>
      <c r="F24" s="231">
        <v>2809.4286369999995</v>
      </c>
      <c r="G24" s="231">
        <v>1367980</v>
      </c>
      <c r="H24" s="231">
        <v>97565.700477249979</v>
      </c>
      <c r="I24" s="231">
        <v>1668686</v>
      </c>
      <c r="J24" s="231">
        <v>92575.582914250001</v>
      </c>
      <c r="K24" s="231">
        <v>3099134</v>
      </c>
      <c r="L24" s="231">
        <v>196270.16888349998</v>
      </c>
      <c r="M24" s="231">
        <v>439</v>
      </c>
      <c r="N24" s="231">
        <v>33.009750000000004</v>
      </c>
    </row>
    <row r="25" spans="1:15" x14ac:dyDescent="0.25">
      <c r="A25" s="1158" t="s">
        <v>1413</v>
      </c>
      <c r="B25" s="1017">
        <f>SUM(B26:B37)</f>
        <v>45</v>
      </c>
      <c r="C25" s="1017">
        <f t="shared" ref="C25:L25" si="1">SUM(C26:C37)</f>
        <v>6668</v>
      </c>
      <c r="D25" s="1017">
        <f t="shared" si="1"/>
        <v>1795.5422384999995</v>
      </c>
      <c r="E25" s="1017">
        <f t="shared" si="1"/>
        <v>3165</v>
      </c>
      <c r="F25" s="1017">
        <f t="shared" si="1"/>
        <v>777.27537749999976</v>
      </c>
      <c r="G25" s="1017">
        <f t="shared" si="1"/>
        <v>1737809</v>
      </c>
      <c r="H25" s="1017">
        <f t="shared" si="1"/>
        <v>133728.79487524997</v>
      </c>
      <c r="I25" s="1017">
        <f t="shared" si="1"/>
        <v>1550086</v>
      </c>
      <c r="J25" s="1017">
        <f t="shared" si="1"/>
        <v>92949.575620000032</v>
      </c>
      <c r="K25" s="1017">
        <f t="shared" si="1"/>
        <v>3297728</v>
      </c>
      <c r="L25" s="1017">
        <f t="shared" si="1"/>
        <v>229251.18811125</v>
      </c>
      <c r="M25" s="1017">
        <f>INDEX(M26:M37,COUNT(M26:M37))</f>
        <v>799</v>
      </c>
      <c r="N25" s="1017">
        <f>INDEX(N26:N37,COUNT(N26:N37))</f>
        <v>51.811</v>
      </c>
    </row>
    <row r="26" spans="1:15" x14ac:dyDescent="0.25">
      <c r="A26" s="223">
        <v>45044</v>
      </c>
      <c r="B26" s="232">
        <v>22</v>
      </c>
      <c r="C26" s="232">
        <v>4206</v>
      </c>
      <c r="D26" s="232">
        <v>1093.7545334999998</v>
      </c>
      <c r="E26" s="232">
        <v>2232</v>
      </c>
      <c r="F26" s="232">
        <v>533.39063399999986</v>
      </c>
      <c r="G26" s="232">
        <v>469918</v>
      </c>
      <c r="H26" s="232">
        <v>38033.995651250014</v>
      </c>
      <c r="I26" s="232">
        <v>1253338</v>
      </c>
      <c r="J26" s="232">
        <v>75683.183141000016</v>
      </c>
      <c r="K26" s="232">
        <v>1729694</v>
      </c>
      <c r="L26" s="232">
        <v>115344.32395975004</v>
      </c>
      <c r="M26" s="232">
        <v>407</v>
      </c>
      <c r="N26" s="232">
        <v>28.34</v>
      </c>
    </row>
    <row r="27" spans="1:15" x14ac:dyDescent="0.25">
      <c r="A27" s="223">
        <v>45077</v>
      </c>
      <c r="B27" s="232">
        <v>23</v>
      </c>
      <c r="C27" s="232">
        <v>2462</v>
      </c>
      <c r="D27" s="232">
        <v>701.78770499999973</v>
      </c>
      <c r="E27" s="232">
        <v>933</v>
      </c>
      <c r="F27" s="232">
        <v>243.88474349999993</v>
      </c>
      <c r="G27" s="232">
        <v>1267891</v>
      </c>
      <c r="H27" s="232">
        <v>95694.799223999958</v>
      </c>
      <c r="I27" s="232">
        <v>296748</v>
      </c>
      <c r="J27" s="232">
        <v>17266.392479000016</v>
      </c>
      <c r="K27" s="232">
        <v>1568034</v>
      </c>
      <c r="L27" s="232">
        <v>113906.86415149998</v>
      </c>
      <c r="M27" s="232">
        <v>799</v>
      </c>
      <c r="N27" s="232">
        <v>51.811</v>
      </c>
    </row>
    <row r="28" spans="1:15" x14ac:dyDescent="0.25">
      <c r="A28" s="223">
        <v>45107</v>
      </c>
      <c r="B28" s="232"/>
      <c r="C28" s="232"/>
      <c r="D28" s="232"/>
      <c r="E28" s="232"/>
      <c r="F28" s="232"/>
      <c r="G28" s="232"/>
      <c r="H28" s="232"/>
      <c r="I28" s="232"/>
      <c r="J28" s="232"/>
      <c r="K28" s="232"/>
      <c r="L28" s="232"/>
      <c r="M28" s="232"/>
      <c r="N28" s="232"/>
    </row>
    <row r="29" spans="1:15" x14ac:dyDescent="0.25">
      <c r="A29" s="223">
        <v>45138</v>
      </c>
      <c r="B29" s="232"/>
      <c r="C29" s="232"/>
      <c r="D29" s="232"/>
      <c r="E29" s="232"/>
      <c r="F29" s="232"/>
      <c r="G29" s="232"/>
      <c r="H29" s="232"/>
      <c r="I29" s="232"/>
      <c r="J29" s="232"/>
      <c r="K29" s="232"/>
      <c r="L29" s="232"/>
      <c r="M29" s="232"/>
      <c r="N29" s="232"/>
    </row>
    <row r="30" spans="1:15" x14ac:dyDescent="0.25">
      <c r="A30" s="223">
        <v>45169</v>
      </c>
      <c r="B30" s="232"/>
      <c r="C30" s="232"/>
      <c r="D30" s="232"/>
      <c r="E30" s="232"/>
      <c r="F30" s="232"/>
      <c r="G30" s="232"/>
      <c r="H30" s="232"/>
      <c r="I30" s="232"/>
      <c r="J30" s="232"/>
      <c r="K30" s="232"/>
      <c r="L30" s="232"/>
      <c r="M30" s="232"/>
      <c r="N30" s="232"/>
    </row>
    <row r="31" spans="1:15" x14ac:dyDescent="0.25">
      <c r="A31" s="223">
        <v>45199</v>
      </c>
      <c r="B31" s="232"/>
      <c r="C31" s="232"/>
      <c r="D31" s="232"/>
      <c r="E31" s="232"/>
      <c r="F31" s="232"/>
      <c r="G31" s="232"/>
      <c r="H31" s="232"/>
      <c r="I31" s="232"/>
      <c r="J31" s="232"/>
      <c r="K31" s="232"/>
      <c r="L31" s="232"/>
      <c r="M31" s="232"/>
      <c r="N31" s="232"/>
    </row>
    <row r="32" spans="1:15" x14ac:dyDescent="0.25">
      <c r="A32" s="223">
        <v>45230</v>
      </c>
      <c r="B32" s="232"/>
      <c r="C32" s="232"/>
      <c r="D32" s="232"/>
      <c r="E32" s="232"/>
      <c r="F32" s="232"/>
      <c r="G32" s="232"/>
      <c r="H32" s="232"/>
      <c r="I32" s="232"/>
      <c r="J32" s="232"/>
      <c r="K32" s="232"/>
      <c r="L32" s="232"/>
      <c r="M32" s="232"/>
      <c r="N32" s="232"/>
    </row>
    <row r="33" spans="1:16" x14ac:dyDescent="0.25">
      <c r="A33" s="1018">
        <v>45260</v>
      </c>
      <c r="B33" s="232"/>
      <c r="C33" s="232"/>
      <c r="D33" s="232"/>
      <c r="E33" s="232"/>
      <c r="F33" s="232"/>
      <c r="G33" s="232"/>
      <c r="H33" s="232"/>
      <c r="I33" s="232"/>
      <c r="J33" s="232"/>
      <c r="K33" s="232"/>
      <c r="L33" s="232"/>
      <c r="M33" s="232"/>
      <c r="N33" s="232"/>
    </row>
    <row r="34" spans="1:16" x14ac:dyDescent="0.25">
      <c r="A34" s="221">
        <v>45261</v>
      </c>
      <c r="B34" s="232"/>
      <c r="C34" s="232"/>
      <c r="D34" s="232"/>
      <c r="E34" s="232"/>
      <c r="F34" s="232"/>
      <c r="G34" s="232"/>
      <c r="H34" s="232"/>
      <c r="I34" s="232"/>
      <c r="J34" s="232"/>
      <c r="K34" s="232"/>
      <c r="L34" s="232"/>
      <c r="M34" s="232"/>
      <c r="N34" s="232"/>
    </row>
    <row r="35" spans="1:16" x14ac:dyDescent="0.25">
      <c r="A35" s="221">
        <v>45292</v>
      </c>
      <c r="B35" s="232"/>
      <c r="C35" s="232"/>
      <c r="D35" s="232"/>
      <c r="E35" s="232"/>
      <c r="F35" s="232"/>
      <c r="G35" s="232"/>
      <c r="H35" s="232"/>
      <c r="I35" s="232"/>
      <c r="J35" s="232"/>
      <c r="K35" s="232"/>
      <c r="L35" s="232"/>
      <c r="M35" s="232"/>
      <c r="N35" s="232"/>
    </row>
    <row r="36" spans="1:16" x14ac:dyDescent="0.25">
      <c r="A36" s="221">
        <v>45323</v>
      </c>
      <c r="B36" s="232"/>
      <c r="C36" s="232"/>
      <c r="D36" s="232"/>
      <c r="E36" s="232"/>
      <c r="F36" s="232"/>
      <c r="G36" s="232"/>
      <c r="H36" s="232"/>
      <c r="I36" s="232"/>
      <c r="J36" s="232"/>
      <c r="K36" s="232"/>
      <c r="L36" s="232"/>
      <c r="M36" s="232"/>
      <c r="N36" s="232"/>
    </row>
    <row r="37" spans="1:16" x14ac:dyDescent="0.25">
      <c r="A37" s="221">
        <v>45352</v>
      </c>
      <c r="B37" s="232"/>
      <c r="C37" s="232"/>
      <c r="D37" s="232"/>
      <c r="E37" s="232"/>
      <c r="F37" s="232"/>
      <c r="G37" s="232"/>
      <c r="H37" s="232"/>
      <c r="I37" s="232"/>
      <c r="J37" s="232"/>
      <c r="K37" s="232"/>
      <c r="L37" s="232"/>
      <c r="M37" s="232"/>
      <c r="N37" s="232"/>
    </row>
    <row r="38" spans="1:16" s="302" customFormat="1" x14ac:dyDescent="0.25">
      <c r="A38" s="1019" t="s">
        <v>270</v>
      </c>
      <c r="B38" s="1020"/>
      <c r="C38" s="1020"/>
      <c r="D38" s="1020"/>
      <c r="E38" s="1021"/>
      <c r="F38" s="299"/>
      <c r="G38" s="299"/>
      <c r="H38" s="299"/>
      <c r="I38" s="299"/>
      <c r="J38" s="299"/>
      <c r="K38" s="299"/>
      <c r="L38" s="299"/>
      <c r="M38" s="396"/>
      <c r="N38" s="396"/>
      <c r="O38" s="397"/>
      <c r="P38" s="397"/>
    </row>
    <row r="39" spans="1:16" x14ac:dyDescent="0.25">
      <c r="A39" s="1126" t="s">
        <v>1401</v>
      </c>
    </row>
  </sheetData>
  <mergeCells count="24">
    <mergeCell ref="A20:N20"/>
    <mergeCell ref="A21:A23"/>
    <mergeCell ref="B21:B23"/>
    <mergeCell ref="C21:F21"/>
    <mergeCell ref="G21:J21"/>
    <mergeCell ref="K21:L21"/>
    <mergeCell ref="M21:N21"/>
    <mergeCell ref="C22:D22"/>
    <mergeCell ref="E22:F22"/>
    <mergeCell ref="G22:H22"/>
    <mergeCell ref="I22:J22"/>
    <mergeCell ref="K22:K23"/>
    <mergeCell ref="L22:L23"/>
    <mergeCell ref="M22:M23"/>
    <mergeCell ref="N22:N23"/>
    <mergeCell ref="A2:N2"/>
    <mergeCell ref="A3:A4"/>
    <mergeCell ref="B3:B4"/>
    <mergeCell ref="C3:D3"/>
    <mergeCell ref="E3:F3"/>
    <mergeCell ref="G3:H3"/>
    <mergeCell ref="I3:J3"/>
    <mergeCell ref="K3:L3"/>
    <mergeCell ref="M3:N3"/>
  </mergeCells>
  <printOptions horizontalCentered="1"/>
  <pageMargins left="0.7" right="0.7" top="0.75" bottom="0.75" header="0.3" footer="0.3"/>
  <pageSetup scale="7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6"/>
  <sheetViews>
    <sheetView topLeftCell="A49" workbookViewId="0">
      <selection activeCell="A66" sqref="A66"/>
    </sheetView>
  </sheetViews>
  <sheetFormatPr defaultColWidth="9.140625" defaultRowHeight="15" x14ac:dyDescent="0.25"/>
  <cols>
    <col min="1" max="1" width="13.140625" style="38" customWidth="1"/>
    <col min="2" max="4" width="8.7109375" style="38" customWidth="1"/>
    <col min="5" max="5" width="13.28515625" style="38" customWidth="1"/>
    <col min="6" max="7" width="8.7109375" style="38" customWidth="1"/>
    <col min="8" max="11" width="9.28515625" style="38" bestFit="1" customWidth="1"/>
    <col min="12" max="12" width="9.7109375" style="38" bestFit="1" customWidth="1"/>
    <col min="13" max="13" width="9.28515625" style="38" bestFit="1" customWidth="1"/>
    <col min="14" max="14" width="9.5703125" style="38" bestFit="1" customWidth="1"/>
    <col min="15" max="16384" width="9.140625" style="38"/>
  </cols>
  <sheetData>
    <row r="1" spans="1:10" ht="15.75" x14ac:dyDescent="0.25">
      <c r="A1" s="1565" t="s">
        <v>732</v>
      </c>
      <c r="B1" s="1566"/>
      <c r="C1" s="1566"/>
      <c r="D1" s="1566"/>
      <c r="E1" s="1566"/>
      <c r="F1" s="1566"/>
      <c r="G1" s="1566"/>
      <c r="H1" s="1022"/>
      <c r="I1" s="1023"/>
      <c r="J1" s="1023"/>
    </row>
    <row r="2" spans="1:10" ht="96.75" customHeight="1" x14ac:dyDescent="0.25">
      <c r="A2" s="354" t="s">
        <v>733</v>
      </c>
      <c r="B2" s="355" t="s">
        <v>734</v>
      </c>
      <c r="C2" s="355" t="s">
        <v>735</v>
      </c>
      <c r="D2" s="355" t="s">
        <v>736</v>
      </c>
      <c r="E2" s="355" t="s">
        <v>737</v>
      </c>
      <c r="F2" s="355" t="s">
        <v>738</v>
      </c>
      <c r="G2" s="355" t="s">
        <v>306</v>
      </c>
      <c r="H2" s="1022"/>
    </row>
    <row r="3" spans="1:10" ht="15.75" x14ac:dyDescent="0.25">
      <c r="A3" s="1567" t="s">
        <v>76</v>
      </c>
      <c r="B3" s="1568"/>
      <c r="C3" s="1568"/>
      <c r="D3" s="1568"/>
      <c r="E3" s="1568"/>
      <c r="F3" s="1568"/>
      <c r="G3" s="1568"/>
      <c r="H3" s="1022"/>
    </row>
    <row r="4" spans="1:10" ht="15.75" x14ac:dyDescent="0.25">
      <c r="A4" s="1157" t="s">
        <v>532</v>
      </c>
      <c r="B4" s="235">
        <v>1.5620775180048118E-5</v>
      </c>
      <c r="C4" s="235">
        <v>1.8583842689575554</v>
      </c>
      <c r="D4" s="235">
        <v>52.098543558254619</v>
      </c>
      <c r="E4" s="235">
        <v>0.12731865583125868</v>
      </c>
      <c r="F4" s="235">
        <v>0.83925304899422848</v>
      </c>
      <c r="G4" s="235">
        <v>45.077417482594498</v>
      </c>
      <c r="H4" s="1022"/>
    </row>
    <row r="5" spans="1:10" ht="15.75" x14ac:dyDescent="0.25">
      <c r="A5" s="1158" t="s">
        <v>1413</v>
      </c>
      <c r="B5" s="235">
        <v>2.04639223657122E-5</v>
      </c>
      <c r="C5" s="235">
        <v>1.4985911929694009</v>
      </c>
      <c r="D5" s="235">
        <v>53.987148120657181</v>
      </c>
      <c r="E5" s="235">
        <v>6.1374041305228277E-2</v>
      </c>
      <c r="F5" s="235">
        <v>1.0688517055320308</v>
      </c>
      <c r="G5" s="235">
        <v>43.384012458043955</v>
      </c>
      <c r="H5" s="1022"/>
    </row>
    <row r="6" spans="1:10" ht="15.75" x14ac:dyDescent="0.25">
      <c r="A6" s="1029">
        <v>45383</v>
      </c>
      <c r="B6" s="237">
        <v>2.04639223657122E-5</v>
      </c>
      <c r="C6" s="233">
        <v>1.4985911929694009</v>
      </c>
      <c r="D6" s="233">
        <v>53.987148120657181</v>
      </c>
      <c r="E6" s="233">
        <v>6.1374041305228277E-2</v>
      </c>
      <c r="F6" s="238">
        <v>1.0688517055320308</v>
      </c>
      <c r="G6" s="233">
        <v>43.384012458043955</v>
      </c>
      <c r="H6" s="1022"/>
    </row>
    <row r="7" spans="1:10" ht="15.75" x14ac:dyDescent="0.25">
      <c r="A7" s="1029">
        <v>45413</v>
      </c>
      <c r="B7" s="233">
        <v>2.0736362352250552E-6</v>
      </c>
      <c r="C7" s="233">
        <v>1.1974089241918995</v>
      </c>
      <c r="D7" s="233">
        <v>54.182427008513812</v>
      </c>
      <c r="E7" s="233">
        <v>8.8129783954268973E-2</v>
      </c>
      <c r="F7" s="233">
        <v>1.0387463553540826</v>
      </c>
      <c r="G7" s="233">
        <v>43.493286586221387</v>
      </c>
      <c r="H7" s="1022"/>
    </row>
    <row r="8" spans="1:10" ht="15.75" x14ac:dyDescent="0.25">
      <c r="A8" s="1029">
        <v>45444</v>
      </c>
      <c r="B8" s="233"/>
      <c r="C8" s="233"/>
      <c r="D8" s="233"/>
      <c r="E8" s="233"/>
      <c r="F8" s="233"/>
      <c r="G8" s="233"/>
      <c r="H8" s="1022"/>
    </row>
    <row r="9" spans="1:10" ht="15.75" x14ac:dyDescent="0.25">
      <c r="A9" s="1029">
        <v>45474</v>
      </c>
      <c r="B9" s="233"/>
      <c r="C9" s="233"/>
      <c r="D9" s="233"/>
      <c r="E9" s="233"/>
      <c r="F9" s="233"/>
      <c r="G9" s="233"/>
      <c r="H9" s="1022"/>
    </row>
    <row r="10" spans="1:10" ht="15.75" x14ac:dyDescent="0.25">
      <c r="A10" s="1029">
        <v>45505</v>
      </c>
      <c r="B10" s="233"/>
      <c r="C10" s="233"/>
      <c r="D10" s="233"/>
      <c r="E10" s="233"/>
      <c r="F10" s="233"/>
      <c r="G10" s="233"/>
      <c r="H10" s="1022"/>
    </row>
    <row r="11" spans="1:10" ht="15.75" x14ac:dyDescent="0.25">
      <c r="A11" s="1029">
        <v>45536</v>
      </c>
      <c r="B11" s="233"/>
      <c r="C11" s="233"/>
      <c r="D11" s="233"/>
      <c r="E11" s="233"/>
      <c r="F11" s="233"/>
      <c r="G11" s="233"/>
      <c r="H11" s="1022"/>
    </row>
    <row r="12" spans="1:10" ht="15.75" x14ac:dyDescent="0.25">
      <c r="A12" s="1029">
        <v>45566</v>
      </c>
      <c r="B12" s="233"/>
      <c r="C12" s="233"/>
      <c r="D12" s="233"/>
      <c r="E12" s="233"/>
      <c r="F12" s="233"/>
      <c r="G12" s="233"/>
      <c r="H12" s="1022"/>
    </row>
    <row r="13" spans="1:10" ht="15.75" x14ac:dyDescent="0.25">
      <c r="A13" s="1029">
        <v>45597</v>
      </c>
      <c r="B13" s="233"/>
      <c r="C13" s="233"/>
      <c r="D13" s="233"/>
      <c r="E13" s="233"/>
      <c r="F13" s="233"/>
      <c r="G13" s="233"/>
      <c r="H13" s="1022"/>
    </row>
    <row r="14" spans="1:10" ht="15.75" x14ac:dyDescent="0.25">
      <c r="A14" s="1029">
        <v>45627</v>
      </c>
      <c r="B14" s="233"/>
      <c r="C14" s="233"/>
      <c r="D14" s="233"/>
      <c r="E14" s="233"/>
      <c r="F14" s="233"/>
      <c r="G14" s="233"/>
      <c r="H14" s="1022"/>
    </row>
    <row r="15" spans="1:10" s="300" customFormat="1" ht="15.75" x14ac:dyDescent="0.25">
      <c r="A15" s="1029">
        <v>45658</v>
      </c>
      <c r="B15" s="233"/>
      <c r="C15" s="233"/>
      <c r="D15" s="233"/>
      <c r="E15" s="233"/>
      <c r="F15" s="233"/>
      <c r="G15" s="233"/>
      <c r="H15" s="1022"/>
    </row>
    <row r="16" spans="1:10" s="300" customFormat="1" ht="15.75" x14ac:dyDescent="0.25">
      <c r="A16" s="1029">
        <v>45689</v>
      </c>
      <c r="B16" s="233"/>
      <c r="C16" s="233"/>
      <c r="D16" s="233"/>
      <c r="E16" s="233"/>
      <c r="F16" s="233"/>
      <c r="G16" s="233"/>
      <c r="H16" s="1022"/>
    </row>
    <row r="17" spans="1:24" ht="15.75" x14ac:dyDescent="0.25">
      <c r="A17" s="1029">
        <v>45717</v>
      </c>
      <c r="B17" s="237"/>
      <c r="C17" s="233"/>
      <c r="D17" s="233"/>
      <c r="E17" s="233"/>
      <c r="F17" s="238"/>
      <c r="G17" s="233"/>
      <c r="H17" s="1024"/>
      <c r="I17" s="301"/>
      <c r="J17" s="301"/>
      <c r="K17" s="301"/>
      <c r="L17" s="301"/>
      <c r="M17" s="301"/>
      <c r="N17" s="301"/>
      <c r="O17" s="301"/>
    </row>
    <row r="18" spans="1:24" s="301" customFormat="1" ht="15.75" x14ac:dyDescent="0.25">
      <c r="A18" s="1567" t="s">
        <v>77</v>
      </c>
      <c r="B18" s="1568"/>
      <c r="C18" s="1568"/>
      <c r="D18" s="1568"/>
      <c r="E18" s="1568"/>
      <c r="F18" s="1568"/>
      <c r="G18" s="1568"/>
      <c r="H18" s="1022"/>
    </row>
    <row r="19" spans="1:24" s="301" customFormat="1" ht="15.75" x14ac:dyDescent="0.25">
      <c r="A19" s="1157" t="s">
        <v>532</v>
      </c>
      <c r="B19" s="240">
        <v>0.40935803287414579</v>
      </c>
      <c r="C19" s="240">
        <v>5.3006490727428925</v>
      </c>
      <c r="D19" s="240">
        <v>36.346196744198778</v>
      </c>
      <c r="E19" s="240">
        <v>7.3856189843789735E-2</v>
      </c>
      <c r="F19" s="240">
        <v>7.8131563951853273E-4</v>
      </c>
      <c r="G19" s="240">
        <v>57.869158644700846</v>
      </c>
      <c r="H19" s="1025"/>
    </row>
    <row r="20" spans="1:24" s="301" customFormat="1" ht="15.75" x14ac:dyDescent="0.25">
      <c r="A20" s="1158" t="s">
        <v>1413</v>
      </c>
      <c r="B20" s="239">
        <v>0.1409267907744709</v>
      </c>
      <c r="C20" s="239">
        <v>5.9441994742813273</v>
      </c>
      <c r="D20" s="239">
        <v>31.467299620865809</v>
      </c>
      <c r="E20" s="239">
        <v>6.2808510569292902E-2</v>
      </c>
      <c r="F20" s="239">
        <v>0</v>
      </c>
      <c r="G20" s="239">
        <v>62.384765603509088</v>
      </c>
      <c r="H20" s="1025"/>
    </row>
    <row r="21" spans="1:24" s="301" customFormat="1" ht="15.75" x14ac:dyDescent="0.25">
      <c r="A21" s="1029">
        <v>45383</v>
      </c>
      <c r="B21" s="237">
        <v>0.19280189841118459</v>
      </c>
      <c r="C21" s="237">
        <v>8.0141967175694155</v>
      </c>
      <c r="D21" s="239">
        <v>42.517111837456682</v>
      </c>
      <c r="E21" s="239">
        <v>0.12402962931060434</v>
      </c>
      <c r="F21" s="238">
        <v>0</v>
      </c>
      <c r="G21" s="239">
        <v>49.151859917252118</v>
      </c>
      <c r="H21" s="1025"/>
    </row>
    <row r="22" spans="1:24" s="301" customFormat="1" ht="15.75" x14ac:dyDescent="0.25">
      <c r="A22" s="1029">
        <v>45413</v>
      </c>
      <c r="B22" s="239">
        <v>8.9757197212749579E-2</v>
      </c>
      <c r="C22" s="239">
        <v>3.9023546967300344</v>
      </c>
      <c r="D22" s="239">
        <v>20.567767536692642</v>
      </c>
      <c r="E22" s="239">
        <v>2.4200139260646858E-3</v>
      </c>
      <c r="F22" s="239">
        <v>0</v>
      </c>
      <c r="G22" s="239">
        <v>75.437700555438497</v>
      </c>
      <c r="H22" s="1025"/>
    </row>
    <row r="23" spans="1:24" s="301" customFormat="1" ht="15.75" x14ac:dyDescent="0.25">
      <c r="A23" s="1029">
        <v>45444</v>
      </c>
      <c r="B23" s="239"/>
      <c r="C23" s="239"/>
      <c r="D23" s="239"/>
      <c r="E23" s="239"/>
      <c r="F23" s="239"/>
      <c r="G23" s="239"/>
      <c r="H23" s="1025"/>
    </row>
    <row r="24" spans="1:24" s="301" customFormat="1" ht="15.75" x14ac:dyDescent="0.25">
      <c r="A24" s="1029">
        <v>45474</v>
      </c>
      <c r="B24" s="239"/>
      <c r="C24" s="239"/>
      <c r="D24" s="239"/>
      <c r="E24" s="239"/>
      <c r="F24" s="239"/>
      <c r="G24" s="239"/>
      <c r="H24" s="1025"/>
    </row>
    <row r="25" spans="1:24" s="301" customFormat="1" ht="15.75" x14ac:dyDescent="0.25">
      <c r="A25" s="1029">
        <v>45505</v>
      </c>
      <c r="B25" s="239"/>
      <c r="C25" s="239"/>
      <c r="D25" s="239"/>
      <c r="E25" s="239"/>
      <c r="F25" s="239"/>
      <c r="G25" s="239"/>
      <c r="H25" s="1025"/>
    </row>
    <row r="26" spans="1:24" s="301" customFormat="1" ht="15.75" x14ac:dyDescent="0.25">
      <c r="A26" s="1029">
        <v>45536</v>
      </c>
      <c r="B26" s="239"/>
      <c r="C26" s="239"/>
      <c r="D26" s="239"/>
      <c r="E26" s="239"/>
      <c r="F26" s="239"/>
      <c r="G26" s="239"/>
      <c r="H26" s="1025"/>
    </row>
    <row r="27" spans="1:24" s="301" customFormat="1" ht="15.75" x14ac:dyDescent="0.25">
      <c r="A27" s="1029">
        <v>45566</v>
      </c>
      <c r="B27" s="239"/>
      <c r="C27" s="239"/>
      <c r="D27" s="239"/>
      <c r="E27" s="239"/>
      <c r="F27" s="239"/>
      <c r="G27" s="239"/>
      <c r="H27" s="1025"/>
    </row>
    <row r="28" spans="1:24" s="301" customFormat="1" ht="15.75" x14ac:dyDescent="0.25">
      <c r="A28" s="1029">
        <v>45597</v>
      </c>
      <c r="B28" s="239"/>
      <c r="C28" s="239"/>
      <c r="D28" s="239"/>
      <c r="E28" s="239"/>
      <c r="F28" s="239"/>
      <c r="G28" s="239"/>
      <c r="H28" s="1025"/>
    </row>
    <row r="29" spans="1:24" s="398" customFormat="1" ht="15.75" x14ac:dyDescent="0.25">
      <c r="A29" s="1029">
        <v>45627</v>
      </c>
      <c r="B29" s="239"/>
      <c r="C29" s="239"/>
      <c r="D29" s="239"/>
      <c r="E29" s="239"/>
      <c r="F29" s="239"/>
      <c r="G29" s="239"/>
      <c r="H29" s="1025"/>
      <c r="I29" s="301"/>
      <c r="J29" s="301"/>
      <c r="K29" s="301"/>
      <c r="L29" s="301"/>
      <c r="M29" s="301"/>
      <c r="N29" s="301"/>
      <c r="O29" s="301"/>
      <c r="P29" s="301"/>
      <c r="Q29" s="301"/>
      <c r="R29" s="301"/>
      <c r="S29" s="301"/>
      <c r="T29" s="301"/>
      <c r="U29" s="301"/>
      <c r="V29" s="301"/>
      <c r="W29" s="301"/>
      <c r="X29" s="301"/>
    </row>
    <row r="30" spans="1:24" ht="15.75" x14ac:dyDescent="0.25">
      <c r="A30" s="1029">
        <v>45658</v>
      </c>
      <c r="B30" s="239"/>
      <c r="C30" s="239"/>
      <c r="D30" s="239"/>
      <c r="E30" s="239"/>
      <c r="F30" s="239"/>
      <c r="G30" s="239"/>
      <c r="H30" s="1025"/>
      <c r="I30" s="301"/>
      <c r="J30" s="301"/>
      <c r="K30" s="301"/>
      <c r="L30" s="301"/>
      <c r="M30" s="301"/>
      <c r="N30" s="301"/>
      <c r="O30" s="301"/>
      <c r="P30" s="301"/>
      <c r="Q30" s="301"/>
      <c r="R30" s="301"/>
      <c r="S30" s="301"/>
      <c r="T30" s="301"/>
      <c r="U30" s="301"/>
      <c r="V30" s="301"/>
      <c r="W30" s="301"/>
      <c r="X30" s="301"/>
    </row>
    <row r="31" spans="1:24" s="301" customFormat="1" ht="15.75" x14ac:dyDescent="0.25">
      <c r="A31" s="1029">
        <v>45689</v>
      </c>
      <c r="B31" s="239"/>
      <c r="C31" s="239"/>
      <c r="D31" s="239"/>
      <c r="E31" s="239"/>
      <c r="F31" s="239"/>
      <c r="G31" s="239"/>
      <c r="H31" s="1025"/>
    </row>
    <row r="32" spans="1:24" s="301" customFormat="1" ht="15.75" x14ac:dyDescent="0.25">
      <c r="A32" s="1029">
        <v>45717</v>
      </c>
      <c r="B32" s="237"/>
      <c r="C32" s="237"/>
      <c r="D32" s="233"/>
      <c r="E32" s="239"/>
      <c r="F32" s="238"/>
      <c r="G32" s="233"/>
      <c r="H32" s="1025"/>
    </row>
    <row r="33" spans="1:24" s="301" customFormat="1" ht="15.75" x14ac:dyDescent="0.25">
      <c r="A33" s="1569" t="s">
        <v>73</v>
      </c>
      <c r="B33" s="1570"/>
      <c r="C33" s="1570"/>
      <c r="D33" s="1570"/>
      <c r="E33" s="1570"/>
      <c r="F33" s="1570"/>
      <c r="G33" s="1570"/>
      <c r="H33" s="1025"/>
    </row>
    <row r="34" spans="1:24" s="301" customFormat="1" ht="15.75" x14ac:dyDescent="0.25">
      <c r="A34" s="1157" t="s">
        <v>532</v>
      </c>
      <c r="B34" s="240">
        <v>0</v>
      </c>
      <c r="C34" s="240">
        <v>1.5405191424264499</v>
      </c>
      <c r="D34" s="240">
        <v>6.0151927214496297</v>
      </c>
      <c r="E34" s="240">
        <v>0</v>
      </c>
      <c r="F34" s="240">
        <v>0</v>
      </c>
      <c r="G34" s="240">
        <v>92.444288136123902</v>
      </c>
      <c r="H34" s="1025"/>
    </row>
    <row r="35" spans="1:24" s="301" customFormat="1" ht="15.75" x14ac:dyDescent="0.25">
      <c r="A35" s="1158" t="s">
        <v>1413</v>
      </c>
      <c r="B35" s="240">
        <v>0</v>
      </c>
      <c r="C35" s="240">
        <v>0</v>
      </c>
      <c r="D35" s="240">
        <v>50</v>
      </c>
      <c r="E35" s="240">
        <v>0</v>
      </c>
      <c r="F35" s="240">
        <v>0</v>
      </c>
      <c r="G35" s="240">
        <v>50</v>
      </c>
      <c r="H35" s="1025"/>
    </row>
    <row r="36" spans="1:24" s="301" customFormat="1" ht="15.75" x14ac:dyDescent="0.25">
      <c r="A36" s="1029">
        <v>45383</v>
      </c>
      <c r="B36" s="237">
        <v>0</v>
      </c>
      <c r="C36" s="237">
        <v>0</v>
      </c>
      <c r="D36" s="234">
        <v>50</v>
      </c>
      <c r="E36" s="239">
        <v>0</v>
      </c>
      <c r="F36" s="238">
        <v>0</v>
      </c>
      <c r="G36" s="234">
        <v>50</v>
      </c>
      <c r="H36" s="1025"/>
    </row>
    <row r="37" spans="1:24" s="301" customFormat="1" ht="15.75" x14ac:dyDescent="0.25">
      <c r="A37" s="1029">
        <v>45413</v>
      </c>
      <c r="B37" s="239">
        <v>0</v>
      </c>
      <c r="C37" s="239">
        <v>0</v>
      </c>
      <c r="D37" s="239">
        <v>50</v>
      </c>
      <c r="E37" s="239">
        <v>0</v>
      </c>
      <c r="F37" s="239">
        <v>0</v>
      </c>
      <c r="G37" s="239">
        <v>50</v>
      </c>
      <c r="H37" s="1025"/>
    </row>
    <row r="38" spans="1:24" s="301" customFormat="1" ht="15.75" x14ac:dyDescent="0.25">
      <c r="A38" s="1029">
        <v>45444</v>
      </c>
      <c r="B38" s="239"/>
      <c r="C38" s="239"/>
      <c r="D38" s="239"/>
      <c r="E38" s="239"/>
      <c r="F38" s="239"/>
      <c r="G38" s="239"/>
      <c r="H38" s="1025"/>
    </row>
    <row r="39" spans="1:24" s="301" customFormat="1" ht="15.75" x14ac:dyDescent="0.25">
      <c r="A39" s="1029">
        <v>45474</v>
      </c>
      <c r="B39" s="239"/>
      <c r="C39" s="239"/>
      <c r="D39" s="239"/>
      <c r="E39" s="239"/>
      <c r="F39" s="239"/>
      <c r="G39" s="239"/>
      <c r="H39" s="1025"/>
    </row>
    <row r="40" spans="1:24" s="301" customFormat="1" ht="15.75" x14ac:dyDescent="0.25">
      <c r="A40" s="1029">
        <v>45505</v>
      </c>
      <c r="B40" s="239"/>
      <c r="C40" s="239"/>
      <c r="D40" s="239"/>
      <c r="E40" s="239"/>
      <c r="F40" s="239"/>
      <c r="G40" s="239"/>
      <c r="H40" s="1025"/>
    </row>
    <row r="41" spans="1:24" s="301" customFormat="1" ht="15.75" x14ac:dyDescent="0.25">
      <c r="A41" s="1029">
        <v>45536</v>
      </c>
      <c r="B41" s="239"/>
      <c r="C41" s="239"/>
      <c r="D41" s="239"/>
      <c r="E41" s="239"/>
      <c r="F41" s="239"/>
      <c r="G41" s="239"/>
      <c r="H41" s="1025"/>
    </row>
    <row r="42" spans="1:24" s="398" customFormat="1" ht="15.75" x14ac:dyDescent="0.25">
      <c r="A42" s="1029">
        <v>45566</v>
      </c>
      <c r="B42" s="239"/>
      <c r="C42" s="239"/>
      <c r="D42" s="239"/>
      <c r="E42" s="239"/>
      <c r="F42" s="239"/>
      <c r="G42" s="239"/>
      <c r="H42" s="1025"/>
      <c r="I42" s="301"/>
      <c r="J42" s="301"/>
      <c r="K42" s="301"/>
      <c r="L42" s="301"/>
      <c r="M42" s="301"/>
      <c r="N42" s="301"/>
      <c r="O42" s="301"/>
      <c r="P42" s="301"/>
      <c r="Q42" s="301"/>
      <c r="R42" s="301"/>
      <c r="S42" s="301"/>
      <c r="T42" s="301"/>
      <c r="U42" s="301"/>
      <c r="V42" s="301"/>
      <c r="W42" s="301"/>
      <c r="X42" s="301"/>
    </row>
    <row r="43" spans="1:24" ht="15.75" x14ac:dyDescent="0.25">
      <c r="A43" s="1029">
        <v>45597</v>
      </c>
      <c r="B43" s="239"/>
      <c r="C43" s="239"/>
      <c r="D43" s="239"/>
      <c r="E43" s="239"/>
      <c r="F43" s="239"/>
      <c r="G43" s="239"/>
      <c r="H43" s="1025"/>
      <c r="I43" s="301"/>
      <c r="J43" s="301"/>
      <c r="K43" s="301"/>
      <c r="L43" s="301"/>
      <c r="M43" s="301"/>
      <c r="N43" s="301"/>
      <c r="O43" s="301"/>
      <c r="P43" s="301"/>
      <c r="Q43" s="301"/>
      <c r="R43" s="301"/>
      <c r="S43" s="301"/>
      <c r="T43" s="301"/>
      <c r="U43" s="301"/>
      <c r="V43" s="301"/>
      <c r="W43" s="301"/>
      <c r="X43" s="301"/>
    </row>
    <row r="44" spans="1:24" ht="15.75" x14ac:dyDescent="0.25">
      <c r="A44" s="1029">
        <v>45627</v>
      </c>
      <c r="B44" s="239"/>
      <c r="C44" s="239"/>
      <c r="D44" s="239"/>
      <c r="E44" s="239"/>
      <c r="F44" s="239"/>
      <c r="G44" s="239"/>
      <c r="H44" s="1025"/>
      <c r="I44" s="301" t="s">
        <v>684</v>
      </c>
      <c r="J44" s="301"/>
      <c r="K44" s="301"/>
      <c r="L44" s="301"/>
      <c r="M44" s="301"/>
      <c r="N44" s="301"/>
      <c r="O44" s="301"/>
      <c r="P44" s="301"/>
      <c r="Q44" s="301"/>
      <c r="R44" s="301"/>
      <c r="S44" s="301"/>
      <c r="T44" s="301"/>
      <c r="U44" s="301"/>
      <c r="V44" s="301"/>
      <c r="W44" s="301"/>
      <c r="X44" s="301"/>
    </row>
    <row r="45" spans="1:24" ht="15.75" x14ac:dyDescent="0.25">
      <c r="A45" s="1029">
        <v>45658</v>
      </c>
      <c r="B45" s="239"/>
      <c r="C45" s="239"/>
      <c r="D45" s="239"/>
      <c r="E45" s="239"/>
      <c r="F45" s="239"/>
      <c r="G45" s="239"/>
      <c r="H45" s="1025"/>
      <c r="I45" s="301" t="s">
        <v>684</v>
      </c>
      <c r="J45" s="301"/>
      <c r="K45" s="301"/>
      <c r="L45" s="301"/>
      <c r="M45" s="301"/>
      <c r="N45" s="301"/>
      <c r="O45" s="301"/>
      <c r="P45" s="301"/>
      <c r="Q45" s="301"/>
      <c r="R45" s="301"/>
      <c r="S45" s="301"/>
      <c r="T45" s="301"/>
      <c r="U45" s="301"/>
      <c r="V45" s="301"/>
      <c r="W45" s="301"/>
      <c r="X45" s="301"/>
    </row>
    <row r="46" spans="1:24" ht="15.75" x14ac:dyDescent="0.25">
      <c r="A46" s="1029">
        <v>45689</v>
      </c>
      <c r="B46" s="239"/>
      <c r="C46" s="239"/>
      <c r="D46" s="239"/>
      <c r="E46" s="239"/>
      <c r="F46" s="239"/>
      <c r="G46" s="239"/>
      <c r="H46" s="1025"/>
      <c r="I46" s="301"/>
      <c r="J46" s="301"/>
      <c r="K46" s="301"/>
      <c r="L46" s="301"/>
      <c r="M46" s="301"/>
      <c r="N46" s="301"/>
      <c r="O46" s="301"/>
      <c r="P46" s="301"/>
      <c r="Q46" s="301"/>
      <c r="R46" s="301"/>
    </row>
    <row r="47" spans="1:24" ht="15.75" x14ac:dyDescent="0.25">
      <c r="A47" s="1029">
        <v>45717</v>
      </c>
      <c r="B47" s="237"/>
      <c r="C47" s="237"/>
      <c r="D47" s="234"/>
      <c r="E47" s="239"/>
      <c r="F47" s="238"/>
      <c r="G47" s="234"/>
      <c r="H47" s="1025"/>
      <c r="I47" s="301"/>
      <c r="J47" s="301"/>
      <c r="K47" s="301"/>
      <c r="L47" s="301"/>
      <c r="M47" s="301"/>
      <c r="N47" s="301"/>
      <c r="O47" s="301"/>
      <c r="P47" s="301"/>
      <c r="Q47" s="301"/>
      <c r="R47" s="301"/>
    </row>
    <row r="48" spans="1:24" ht="15.75" x14ac:dyDescent="0.25">
      <c r="A48" s="1569" t="s">
        <v>74</v>
      </c>
      <c r="B48" s="1570"/>
      <c r="C48" s="1570"/>
      <c r="D48" s="1570"/>
      <c r="E48" s="1570"/>
      <c r="F48" s="1570"/>
      <c r="G48" s="1570"/>
      <c r="H48" s="1025"/>
      <c r="I48" s="301"/>
      <c r="J48" s="301"/>
      <c r="K48" s="301"/>
      <c r="L48" s="301"/>
      <c r="M48" s="301"/>
      <c r="N48" s="301"/>
      <c r="O48" s="301"/>
      <c r="P48" s="301"/>
      <c r="Q48" s="301"/>
      <c r="R48" s="301"/>
    </row>
    <row r="49" spans="1:18" ht="15.75" x14ac:dyDescent="0.25">
      <c r="A49" s="1157" t="s">
        <v>532</v>
      </c>
      <c r="B49" s="236" t="s">
        <v>238</v>
      </c>
      <c r="C49" s="236">
        <v>5.2353496573370835E-3</v>
      </c>
      <c r="D49" s="236">
        <v>88.170176257583691</v>
      </c>
      <c r="E49" s="236" t="s">
        <v>238</v>
      </c>
      <c r="F49" s="236">
        <v>1.1997863184195538E-2</v>
      </c>
      <c r="G49" s="236">
        <v>11.809894146159598</v>
      </c>
      <c r="H49" s="1025"/>
      <c r="I49" s="301"/>
      <c r="J49" s="301"/>
      <c r="K49" s="301"/>
      <c r="L49" s="301"/>
      <c r="M49" s="301"/>
      <c r="N49" s="301"/>
      <c r="O49" s="301"/>
      <c r="P49" s="301"/>
      <c r="Q49" s="301"/>
      <c r="R49" s="301"/>
    </row>
    <row r="50" spans="1:18" ht="15.75" x14ac:dyDescent="0.25">
      <c r="A50" s="1158" t="s">
        <v>1413</v>
      </c>
      <c r="B50" s="236" t="s">
        <v>238</v>
      </c>
      <c r="C50" s="236" t="s">
        <v>238</v>
      </c>
      <c r="D50" s="1154">
        <v>87.9</v>
      </c>
      <c r="E50" s="1154" t="s">
        <v>238</v>
      </c>
      <c r="F50" s="1154">
        <v>0.04</v>
      </c>
      <c r="G50" s="1154">
        <v>12.06</v>
      </c>
      <c r="H50" s="1025"/>
      <c r="I50" s="301"/>
      <c r="J50" s="301"/>
      <c r="K50" s="301"/>
      <c r="L50" s="301"/>
      <c r="M50" s="301"/>
      <c r="N50" s="301"/>
      <c r="O50" s="301"/>
      <c r="P50" s="301"/>
      <c r="Q50" s="301"/>
      <c r="R50" s="301"/>
    </row>
    <row r="51" spans="1:18" ht="15.75" x14ac:dyDescent="0.25">
      <c r="A51" s="1029">
        <v>45383</v>
      </c>
      <c r="B51" s="239" t="s">
        <v>238</v>
      </c>
      <c r="C51" s="239" t="s">
        <v>238</v>
      </c>
      <c r="D51" s="234">
        <v>87.3</v>
      </c>
      <c r="E51" s="238" t="s">
        <v>238</v>
      </c>
      <c r="F51" s="238">
        <v>0.02</v>
      </c>
      <c r="G51" s="234">
        <v>12.69</v>
      </c>
      <c r="H51" s="1022"/>
      <c r="I51" s="301"/>
      <c r="J51" s="301"/>
      <c r="K51" s="301"/>
      <c r="L51" s="301"/>
      <c r="M51" s="301"/>
      <c r="N51" s="301"/>
      <c r="O51" s="301"/>
      <c r="P51" s="301"/>
      <c r="Q51" s="301"/>
      <c r="R51" s="301"/>
    </row>
    <row r="52" spans="1:18" ht="15.75" x14ac:dyDescent="0.25">
      <c r="A52" s="1029">
        <v>45413</v>
      </c>
      <c r="B52" s="238" t="s">
        <v>238</v>
      </c>
      <c r="C52" s="238" t="s">
        <v>238</v>
      </c>
      <c r="D52" s="238">
        <v>88.52</v>
      </c>
      <c r="E52" s="238" t="s">
        <v>238</v>
      </c>
      <c r="F52" s="238">
        <v>0.06</v>
      </c>
      <c r="G52" s="238">
        <v>11.42</v>
      </c>
      <c r="H52" s="1022"/>
      <c r="I52" s="301"/>
      <c r="J52" s="301"/>
      <c r="K52" s="301"/>
      <c r="L52" s="301"/>
      <c r="M52" s="301"/>
      <c r="N52" s="301"/>
      <c r="O52" s="301"/>
      <c r="P52" s="301"/>
      <c r="Q52" s="301"/>
      <c r="R52" s="301"/>
    </row>
    <row r="53" spans="1:18" ht="15.75" x14ac:dyDescent="0.25">
      <c r="A53" s="1029">
        <v>45444</v>
      </c>
      <c r="B53" s="238"/>
      <c r="C53" s="238"/>
      <c r="D53" s="238"/>
      <c r="E53" s="238"/>
      <c r="F53" s="238"/>
      <c r="G53" s="238"/>
      <c r="H53" s="1022"/>
      <c r="I53" s="301"/>
      <c r="J53" s="301"/>
      <c r="K53" s="301"/>
      <c r="L53" s="301"/>
      <c r="M53" s="301"/>
      <c r="N53" s="301"/>
      <c r="O53" s="301"/>
      <c r="P53" s="301"/>
      <c r="Q53" s="301"/>
      <c r="R53" s="301"/>
    </row>
    <row r="54" spans="1:18" ht="15.75" x14ac:dyDescent="0.25">
      <c r="A54" s="1029">
        <v>45474</v>
      </c>
      <c r="B54" s="238"/>
      <c r="C54" s="238"/>
      <c r="D54" s="238"/>
      <c r="E54" s="238"/>
      <c r="F54" s="238"/>
      <c r="G54" s="238"/>
      <c r="H54" s="1022"/>
      <c r="I54" s="301"/>
      <c r="J54" s="301"/>
      <c r="K54" s="301"/>
      <c r="L54" s="301"/>
      <c r="M54" s="301"/>
      <c r="N54" s="301"/>
      <c r="O54" s="301"/>
      <c r="P54" s="301"/>
      <c r="Q54" s="301"/>
      <c r="R54" s="301"/>
    </row>
    <row r="55" spans="1:18" s="300" customFormat="1" ht="15.75" x14ac:dyDescent="0.25">
      <c r="A55" s="1029">
        <v>45505</v>
      </c>
      <c r="B55" s="238"/>
      <c r="C55" s="238"/>
      <c r="D55" s="238"/>
      <c r="E55" s="238"/>
      <c r="F55" s="238"/>
      <c r="G55" s="238"/>
      <c r="H55" s="1022"/>
      <c r="I55" s="301"/>
      <c r="J55" s="301"/>
      <c r="K55" s="301"/>
      <c r="L55" s="301"/>
      <c r="M55" s="301"/>
      <c r="N55" s="301"/>
      <c r="O55" s="301"/>
      <c r="P55" s="301"/>
      <c r="Q55" s="301"/>
      <c r="R55" s="301"/>
    </row>
    <row r="56" spans="1:18" ht="15.75" x14ac:dyDescent="0.25">
      <c r="A56" s="1029">
        <v>45536</v>
      </c>
      <c r="B56" s="238"/>
      <c r="C56" s="238"/>
      <c r="D56" s="238"/>
      <c r="E56" s="238"/>
      <c r="F56" s="238"/>
      <c r="G56" s="238"/>
      <c r="H56" s="1022"/>
    </row>
    <row r="57" spans="1:18" ht="15.75" x14ac:dyDescent="0.25">
      <c r="A57" s="1029">
        <v>45566</v>
      </c>
      <c r="B57" s="238"/>
      <c r="C57" s="238"/>
      <c r="D57" s="238"/>
      <c r="E57" s="238"/>
      <c r="F57" s="238"/>
      <c r="G57" s="238"/>
      <c r="H57" s="1022"/>
    </row>
    <row r="58" spans="1:18" ht="15.75" customHeight="1" x14ac:dyDescent="0.25">
      <c r="A58" s="1029">
        <v>45597</v>
      </c>
      <c r="B58" s="238"/>
      <c r="C58" s="238"/>
      <c r="D58" s="238"/>
      <c r="E58" s="238"/>
      <c r="F58" s="238"/>
      <c r="G58" s="238"/>
      <c r="H58" s="1022"/>
    </row>
    <row r="59" spans="1:18" ht="15.75" x14ac:dyDescent="0.25">
      <c r="A59" s="1029">
        <v>45627</v>
      </c>
      <c r="B59" s="238"/>
      <c r="C59" s="238"/>
      <c r="D59" s="238"/>
      <c r="E59" s="238"/>
      <c r="F59" s="238"/>
      <c r="G59" s="238"/>
      <c r="H59" s="1022"/>
    </row>
    <row r="60" spans="1:18" ht="15.75" x14ac:dyDescent="0.25">
      <c r="A60" s="1029">
        <v>45658</v>
      </c>
      <c r="B60" s="238"/>
      <c r="C60" s="238"/>
      <c r="D60" s="238"/>
      <c r="E60" s="238"/>
      <c r="F60" s="238"/>
      <c r="G60" s="238"/>
      <c r="H60" s="1022"/>
    </row>
    <row r="61" spans="1:18" ht="15" customHeight="1" x14ac:dyDescent="0.25">
      <c r="A61" s="1029">
        <v>45689</v>
      </c>
      <c r="B61" s="238"/>
      <c r="C61" s="238"/>
      <c r="D61" s="238"/>
      <c r="E61" s="238"/>
      <c r="F61" s="238"/>
      <c r="G61" s="238"/>
      <c r="H61" s="1022"/>
    </row>
    <row r="62" spans="1:18" ht="15.75" x14ac:dyDescent="0.25">
      <c r="A62" s="1029">
        <v>45717</v>
      </c>
      <c r="B62" s="239"/>
      <c r="C62" s="239"/>
      <c r="D62" s="234"/>
      <c r="E62" s="238"/>
      <c r="F62" s="238"/>
      <c r="G62" s="234"/>
      <c r="H62" s="1024"/>
    </row>
    <row r="63" spans="1:18" ht="15.75" x14ac:dyDescent="0.25">
      <c r="A63" s="1559" t="s">
        <v>739</v>
      </c>
      <c r="B63" s="1560"/>
      <c r="C63" s="1560"/>
      <c r="D63" s="1560"/>
      <c r="E63" s="1560"/>
      <c r="F63" s="1560"/>
      <c r="G63" s="1560"/>
      <c r="H63" s="1026"/>
    </row>
    <row r="64" spans="1:18" ht="15.75" x14ac:dyDescent="0.25">
      <c r="A64" s="1561" t="s">
        <v>740</v>
      </c>
      <c r="B64" s="1561"/>
      <c r="C64" s="1561"/>
      <c r="D64" s="1561"/>
      <c r="E64" s="1561"/>
      <c r="F64" s="1561"/>
      <c r="G64" s="1561"/>
      <c r="H64" s="1562"/>
    </row>
    <row r="65" spans="1:8" ht="15.75" x14ac:dyDescent="0.25">
      <c r="A65" s="1563" t="s">
        <v>1143</v>
      </c>
      <c r="B65" s="1564"/>
      <c r="C65" s="1564"/>
      <c r="D65" s="1564"/>
      <c r="E65" s="1564"/>
      <c r="F65" s="1564"/>
      <c r="G65" s="1564"/>
      <c r="H65" s="1026"/>
    </row>
    <row r="66" spans="1:8" x14ac:dyDescent="0.25">
      <c r="A66" s="1126" t="s">
        <v>1401</v>
      </c>
    </row>
  </sheetData>
  <mergeCells count="8">
    <mergeCell ref="A63:G63"/>
    <mergeCell ref="A64:H64"/>
    <mergeCell ref="A65:G65"/>
    <mergeCell ref="A1:G1"/>
    <mergeCell ref="A3:G3"/>
    <mergeCell ref="A18:G18"/>
    <mergeCell ref="A33:G33"/>
    <mergeCell ref="A48:G48"/>
  </mergeCells>
  <printOptions horizontalCentered="1"/>
  <pageMargins left="0.45" right="0.45" top="0.75" bottom="0.75" header="0.3" footer="0.3"/>
  <pageSetup paperSize="9" fitToHeight="0"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Z70"/>
  <sheetViews>
    <sheetView zoomScale="98" zoomScaleNormal="98" workbookViewId="0">
      <selection activeCell="J12" sqref="J12"/>
    </sheetView>
  </sheetViews>
  <sheetFormatPr defaultColWidth="9.140625" defaultRowHeight="12.75" x14ac:dyDescent="0.2"/>
  <cols>
    <col min="1" max="1" width="14" style="241" customWidth="1"/>
    <col min="2" max="2" width="13.140625" style="241" customWidth="1"/>
    <col min="3" max="3" width="21.28515625" style="241" customWidth="1"/>
    <col min="4" max="4" width="18.5703125" style="253" customWidth="1"/>
    <col min="5" max="5" width="11.28515625" style="241" customWidth="1"/>
    <col min="6" max="7" width="10.5703125" style="241" bestFit="1" customWidth="1"/>
    <col min="8" max="8" width="10.7109375" style="241" bestFit="1" customWidth="1"/>
    <col min="9" max="9" width="9.7109375" style="241" customWidth="1"/>
    <col min="10" max="10" width="9.28515625" style="241" bestFit="1" customWidth="1"/>
    <col min="11" max="11" width="15.140625" style="241" customWidth="1"/>
    <col min="12" max="13" width="8.7109375" style="241" customWidth="1"/>
    <col min="14" max="14" width="9.5703125" style="241" customWidth="1"/>
    <col min="15" max="15" width="12.7109375" style="241" customWidth="1"/>
    <col min="16" max="16384" width="9.140625" style="241"/>
  </cols>
  <sheetData>
    <row r="1" spans="1:16" ht="15" x14ac:dyDescent="0.2">
      <c r="A1" s="1571" t="s">
        <v>741</v>
      </c>
      <c r="B1" s="1571"/>
      <c r="C1" s="1571"/>
      <c r="D1" s="1571"/>
      <c r="E1" s="1571"/>
      <c r="F1" s="1571"/>
      <c r="G1" s="1571"/>
      <c r="H1" s="1571"/>
      <c r="I1" s="1571"/>
      <c r="J1" s="1571"/>
      <c r="K1" s="1571"/>
      <c r="L1" s="1571"/>
      <c r="M1" s="1571"/>
      <c r="N1" s="1571"/>
      <c r="O1" s="1571"/>
    </row>
    <row r="2" spans="1:16" ht="63.75" customHeight="1" x14ac:dyDescent="0.2">
      <c r="A2" s="1515" t="s">
        <v>742</v>
      </c>
      <c r="B2" s="1515" t="s">
        <v>743</v>
      </c>
      <c r="C2" s="1515" t="s">
        <v>744</v>
      </c>
      <c r="D2" s="1572" t="s">
        <v>745</v>
      </c>
      <c r="E2" s="1574" t="s">
        <v>700</v>
      </c>
      <c r="F2" s="1575"/>
      <c r="G2" s="1522"/>
      <c r="H2" s="1515" t="s">
        <v>746</v>
      </c>
      <c r="I2" s="1515"/>
      <c r="J2" s="1515"/>
      <c r="K2" s="1531" t="s">
        <v>747</v>
      </c>
      <c r="L2" s="1515" t="s">
        <v>748</v>
      </c>
      <c r="M2" s="1515"/>
      <c r="N2" s="1515" t="s">
        <v>1242</v>
      </c>
      <c r="O2" s="1515"/>
    </row>
    <row r="3" spans="1:16" ht="79.5" customHeight="1" x14ac:dyDescent="0.2">
      <c r="A3" s="1515"/>
      <c r="B3" s="1515"/>
      <c r="C3" s="1515"/>
      <c r="D3" s="1573"/>
      <c r="E3" s="672" t="s">
        <v>1237</v>
      </c>
      <c r="F3" s="672">
        <v>45383</v>
      </c>
      <c r="G3" s="672">
        <v>45413</v>
      </c>
      <c r="H3" s="672" t="s">
        <v>1237</v>
      </c>
      <c r="I3" s="672">
        <v>45383</v>
      </c>
      <c r="J3" s="672">
        <v>45413</v>
      </c>
      <c r="K3" s="1505"/>
      <c r="L3" s="672">
        <v>45383</v>
      </c>
      <c r="M3" s="672">
        <v>45413</v>
      </c>
      <c r="N3" s="1074" t="s">
        <v>700</v>
      </c>
      <c r="O3" s="439" t="s">
        <v>749</v>
      </c>
    </row>
    <row r="4" spans="1:16" ht="12.6" customHeight="1" x14ac:dyDescent="0.2">
      <c r="A4" s="1576" t="s">
        <v>750</v>
      </c>
      <c r="B4" s="1576" t="s">
        <v>751</v>
      </c>
      <c r="C4" s="440" t="s">
        <v>752</v>
      </c>
      <c r="D4" s="425" t="s">
        <v>753</v>
      </c>
      <c r="E4" s="426">
        <v>401499</v>
      </c>
      <c r="F4" s="426">
        <v>192735</v>
      </c>
      <c r="G4" s="426">
        <v>208764</v>
      </c>
      <c r="H4" s="426">
        <v>287920.14678999997</v>
      </c>
      <c r="I4" s="426">
        <v>137323.37449000002</v>
      </c>
      <c r="J4" s="426">
        <v>150596.77229999998</v>
      </c>
      <c r="K4" s="427" t="s">
        <v>754</v>
      </c>
      <c r="L4" s="428">
        <v>70415</v>
      </c>
      <c r="M4" s="428">
        <v>71834</v>
      </c>
      <c r="N4" s="673">
        <v>22915.565217391304</v>
      </c>
      <c r="O4" s="673">
        <v>16554.120511304347</v>
      </c>
    </row>
    <row r="5" spans="1:16" ht="12.6" customHeight="1" x14ac:dyDescent="0.2">
      <c r="A5" s="1577"/>
      <c r="B5" s="1577"/>
      <c r="C5" s="441" t="s">
        <v>755</v>
      </c>
      <c r="D5" s="425" t="s">
        <v>756</v>
      </c>
      <c r="E5" s="426">
        <v>1072608</v>
      </c>
      <c r="F5" s="426">
        <v>603921</v>
      </c>
      <c r="G5" s="426">
        <v>468687</v>
      </c>
      <c r="H5" s="426">
        <v>76863.351236999995</v>
      </c>
      <c r="I5" s="426">
        <v>43057.577000000005</v>
      </c>
      <c r="J5" s="426">
        <v>33805.774236999998</v>
      </c>
      <c r="K5" s="427" t="s">
        <v>754</v>
      </c>
      <c r="L5" s="428">
        <v>70434</v>
      </c>
      <c r="M5" s="428">
        <v>71772</v>
      </c>
      <c r="N5" s="673">
        <v>20837.217391304348</v>
      </c>
      <c r="O5" s="673">
        <v>1504.068093521739</v>
      </c>
    </row>
    <row r="6" spans="1:16" ht="12.6" customHeight="1" x14ac:dyDescent="0.2">
      <c r="A6" s="1577"/>
      <c r="B6" s="1577"/>
      <c r="C6" s="441" t="s">
        <v>757</v>
      </c>
      <c r="D6" s="425" t="s">
        <v>758</v>
      </c>
      <c r="E6" s="426">
        <v>141013</v>
      </c>
      <c r="F6" s="426">
        <v>83806</v>
      </c>
      <c r="G6" s="426">
        <v>57207</v>
      </c>
      <c r="H6" s="426">
        <v>816.76922449999984</v>
      </c>
      <c r="I6" s="426">
        <v>481.74591129999999</v>
      </c>
      <c r="J6" s="426">
        <v>335.0233131999999</v>
      </c>
      <c r="K6" s="427" t="s">
        <v>759</v>
      </c>
      <c r="L6" s="428">
        <v>57134</v>
      </c>
      <c r="M6" s="428">
        <v>58522</v>
      </c>
      <c r="N6" s="673">
        <v>4601.869565217391</v>
      </c>
      <c r="O6" s="673">
        <v>26.896444104347832</v>
      </c>
    </row>
    <row r="7" spans="1:16" ht="12.6" customHeight="1" x14ac:dyDescent="0.2">
      <c r="A7" s="1577"/>
      <c r="B7" s="1577"/>
      <c r="C7" s="441" t="s">
        <v>760</v>
      </c>
      <c r="D7" s="425" t="s">
        <v>761</v>
      </c>
      <c r="E7" s="426">
        <v>1734803</v>
      </c>
      <c r="F7" s="426">
        <v>1032405</v>
      </c>
      <c r="G7" s="426">
        <v>702398</v>
      </c>
      <c r="H7" s="426">
        <v>1228.919987</v>
      </c>
      <c r="I7" s="426">
        <v>727.82698249999999</v>
      </c>
      <c r="J7" s="426">
        <v>501.09300450000001</v>
      </c>
      <c r="K7" s="427" t="s">
        <v>762</v>
      </c>
      <c r="L7" s="428">
        <v>7002</v>
      </c>
      <c r="M7" s="428">
        <v>7139</v>
      </c>
      <c r="N7" s="673">
        <v>65912.782608695648</v>
      </c>
      <c r="O7" s="673">
        <v>46.971733208695646</v>
      </c>
    </row>
    <row r="8" spans="1:16" ht="12.6" customHeight="1" x14ac:dyDescent="0.2">
      <c r="A8" s="1577"/>
      <c r="B8" s="1577"/>
      <c r="C8" s="441" t="s">
        <v>763</v>
      </c>
      <c r="D8" s="425" t="s">
        <v>764</v>
      </c>
      <c r="E8" s="426">
        <v>1007737</v>
      </c>
      <c r="F8" s="426">
        <v>522262</v>
      </c>
      <c r="G8" s="426">
        <v>485475</v>
      </c>
      <c r="H8" s="426">
        <v>258400.987968</v>
      </c>
      <c r="I8" s="426">
        <v>127931.01634500003</v>
      </c>
      <c r="J8" s="426">
        <v>130469.971623</v>
      </c>
      <c r="K8" s="427" t="s">
        <v>765</v>
      </c>
      <c r="L8" s="428">
        <v>80851</v>
      </c>
      <c r="M8" s="428">
        <v>91570</v>
      </c>
      <c r="N8" s="673">
        <v>29176.82608695652</v>
      </c>
      <c r="O8" s="673">
        <v>7775.2610786086934</v>
      </c>
    </row>
    <row r="9" spans="1:16" ht="12.6" customHeight="1" x14ac:dyDescent="0.2">
      <c r="A9" s="1577"/>
      <c r="B9" s="1577"/>
      <c r="C9" s="441" t="s">
        <v>766</v>
      </c>
      <c r="D9" s="425" t="s">
        <v>767</v>
      </c>
      <c r="E9" s="426">
        <v>2562377</v>
      </c>
      <c r="F9" s="426">
        <v>1246921</v>
      </c>
      <c r="G9" s="426">
        <v>1315456</v>
      </c>
      <c r="H9" s="426">
        <v>110087.011545</v>
      </c>
      <c r="I9" s="426">
        <v>50977.626605500009</v>
      </c>
      <c r="J9" s="426">
        <v>59109.3849395</v>
      </c>
      <c r="K9" s="427" t="s">
        <v>765</v>
      </c>
      <c r="L9" s="428">
        <v>80856</v>
      </c>
      <c r="M9" s="428">
        <v>91537</v>
      </c>
      <c r="N9" s="673">
        <v>45057.130434782608</v>
      </c>
      <c r="O9" s="673">
        <v>2005.133345304348</v>
      </c>
    </row>
    <row r="10" spans="1:16" ht="12.6" customHeight="1" x14ac:dyDescent="0.2">
      <c r="A10" s="1577"/>
      <c r="B10" s="1577"/>
      <c r="C10" s="441" t="s">
        <v>768</v>
      </c>
      <c r="D10" s="425" t="s">
        <v>769</v>
      </c>
      <c r="E10" s="426">
        <v>8688186</v>
      </c>
      <c r="F10" s="426">
        <v>4166363</v>
      </c>
      <c r="G10" s="426">
        <v>4521823</v>
      </c>
      <c r="H10" s="426">
        <v>74681.073902799995</v>
      </c>
      <c r="I10" s="426">
        <v>34081.656906400007</v>
      </c>
      <c r="J10" s="426">
        <v>40599.416996399996</v>
      </c>
      <c r="K10" s="427" t="s">
        <v>765</v>
      </c>
      <c r="L10" s="428">
        <v>80842</v>
      </c>
      <c r="M10" s="428">
        <v>91494</v>
      </c>
      <c r="N10" s="673">
        <v>177880.13043478262</v>
      </c>
      <c r="O10" s="673">
        <v>1585.5469235260873</v>
      </c>
    </row>
    <row r="11" spans="1:16" ht="25.5" x14ac:dyDescent="0.2">
      <c r="A11" s="1577"/>
      <c r="B11" s="1578"/>
      <c r="C11" s="442" t="s">
        <v>770</v>
      </c>
      <c r="D11" s="429"/>
      <c r="E11" s="430">
        <v>15608223</v>
      </c>
      <c r="F11" s="430">
        <v>7848413</v>
      </c>
      <c r="G11" s="430">
        <v>7759810</v>
      </c>
      <c r="H11" s="430">
        <v>809998.26065429999</v>
      </c>
      <c r="I11" s="430">
        <v>394580.82424070005</v>
      </c>
      <c r="J11" s="430">
        <v>415417.43641359999</v>
      </c>
      <c r="K11" s="443"/>
      <c r="L11" s="438"/>
      <c r="M11" s="438"/>
      <c r="N11" s="674"/>
      <c r="O11" s="674"/>
    </row>
    <row r="12" spans="1:16" ht="12.6" customHeight="1" x14ac:dyDescent="0.2">
      <c r="A12" s="1577"/>
      <c r="B12" s="1579" t="s">
        <v>771</v>
      </c>
      <c r="C12" s="440" t="s">
        <v>772</v>
      </c>
      <c r="D12" s="431" t="s">
        <v>773</v>
      </c>
      <c r="E12" s="432">
        <v>118426</v>
      </c>
      <c r="F12" s="426">
        <v>55138</v>
      </c>
      <c r="G12" s="426">
        <v>63288</v>
      </c>
      <c r="H12" s="426">
        <v>13979.105950000001</v>
      </c>
      <c r="I12" s="426">
        <v>6397.0990750000001</v>
      </c>
      <c r="J12" s="426">
        <v>7582.006875</v>
      </c>
      <c r="K12" s="427" t="s">
        <v>765</v>
      </c>
      <c r="L12" s="428">
        <v>236.4</v>
      </c>
      <c r="M12" s="428">
        <v>240.9</v>
      </c>
      <c r="N12" s="673">
        <v>4221.478260869565</v>
      </c>
      <c r="O12" s="673">
        <v>502.53691630434793</v>
      </c>
      <c r="P12" s="675"/>
    </row>
    <row r="13" spans="1:16" ht="12.6" customHeight="1" x14ac:dyDescent="0.2">
      <c r="A13" s="1577"/>
      <c r="B13" s="1580"/>
      <c r="C13" s="444" t="s">
        <v>774</v>
      </c>
      <c r="D13" s="431" t="s">
        <v>775</v>
      </c>
      <c r="E13" s="426">
        <v>155990</v>
      </c>
      <c r="F13" s="426">
        <v>72120</v>
      </c>
      <c r="G13" s="426">
        <v>83870</v>
      </c>
      <c r="H13" s="426">
        <v>3691.2865900000006</v>
      </c>
      <c r="I13" s="426">
        <v>1673.0035900000003</v>
      </c>
      <c r="J13" s="426">
        <v>2018.2830000000004</v>
      </c>
      <c r="K13" s="427" t="s">
        <v>765</v>
      </c>
      <c r="L13" s="428">
        <v>236.9</v>
      </c>
      <c r="M13" s="428">
        <v>241.8</v>
      </c>
      <c r="N13" s="673">
        <v>2197.521739130435</v>
      </c>
      <c r="O13" s="673">
        <v>52.488385652173896</v>
      </c>
      <c r="P13" s="675"/>
    </row>
    <row r="14" spans="1:16" ht="12.6" customHeight="1" x14ac:dyDescent="0.2">
      <c r="A14" s="1577"/>
      <c r="B14" s="1580"/>
      <c r="C14" s="441" t="s">
        <v>776</v>
      </c>
      <c r="D14" s="431" t="s">
        <v>777</v>
      </c>
      <c r="E14" s="426">
        <v>379917</v>
      </c>
      <c r="F14" s="426">
        <v>153010</v>
      </c>
      <c r="G14" s="426">
        <v>226907</v>
      </c>
      <c r="H14" s="426">
        <v>82284.073362499999</v>
      </c>
      <c r="I14" s="426">
        <v>31758.991362500001</v>
      </c>
      <c r="J14" s="426">
        <v>50525.082000000002</v>
      </c>
      <c r="K14" s="427" t="s">
        <v>765</v>
      </c>
      <c r="L14" s="428">
        <v>860.5</v>
      </c>
      <c r="M14" s="428">
        <v>871.8</v>
      </c>
      <c r="N14" s="673">
        <v>7605.869565217391</v>
      </c>
      <c r="O14" s="673">
        <v>1687.4982869565213</v>
      </c>
      <c r="P14" s="675"/>
    </row>
    <row r="15" spans="1:16" ht="12.6" customHeight="1" x14ac:dyDescent="0.2">
      <c r="A15" s="1577"/>
      <c r="B15" s="1580"/>
      <c r="C15" s="441" t="s">
        <v>778</v>
      </c>
      <c r="D15" s="431" t="s">
        <v>773</v>
      </c>
      <c r="E15" s="426">
        <v>33052</v>
      </c>
      <c r="F15" s="426">
        <v>16962</v>
      </c>
      <c r="G15" s="426">
        <v>16090</v>
      </c>
      <c r="H15" s="426">
        <v>3147.706475</v>
      </c>
      <c r="I15" s="426">
        <v>1590.5228750000001</v>
      </c>
      <c r="J15" s="426">
        <v>1557.1836000000001</v>
      </c>
      <c r="K15" s="427" t="s">
        <v>765</v>
      </c>
      <c r="L15" s="428">
        <v>191.55</v>
      </c>
      <c r="M15" s="428">
        <v>191.7</v>
      </c>
      <c r="N15" s="673">
        <v>1197.7391304347825</v>
      </c>
      <c r="O15" s="673">
        <v>115.82157826086956</v>
      </c>
      <c r="P15" s="675"/>
    </row>
    <row r="16" spans="1:16" ht="12.6" customHeight="1" x14ac:dyDescent="0.2">
      <c r="A16" s="1577"/>
      <c r="B16" s="1580"/>
      <c r="C16" s="444" t="s">
        <v>779</v>
      </c>
      <c r="D16" s="431" t="s">
        <v>775</v>
      </c>
      <c r="E16" s="426">
        <v>35798</v>
      </c>
      <c r="F16" s="426">
        <v>19037</v>
      </c>
      <c r="G16" s="426">
        <v>16761</v>
      </c>
      <c r="H16" s="426">
        <v>681.25806499999999</v>
      </c>
      <c r="I16" s="426">
        <v>357.17511499999995</v>
      </c>
      <c r="J16" s="426">
        <v>324.08294999999998</v>
      </c>
      <c r="K16" s="427" t="s">
        <v>765</v>
      </c>
      <c r="L16" s="428">
        <v>191.55</v>
      </c>
      <c r="M16" s="428">
        <v>191.75</v>
      </c>
      <c r="N16" s="673">
        <v>517.95652173913038</v>
      </c>
      <c r="O16" s="673">
        <v>10.01807304347826</v>
      </c>
      <c r="P16" s="675"/>
    </row>
    <row r="17" spans="1:16" ht="12.6" customHeight="1" x14ac:dyDescent="0.2">
      <c r="A17" s="1577"/>
      <c r="B17" s="1580"/>
      <c r="C17" s="441" t="s">
        <v>780</v>
      </c>
      <c r="D17" s="431" t="s">
        <v>781</v>
      </c>
      <c r="E17" s="426">
        <v>0</v>
      </c>
      <c r="F17" s="426">
        <v>0</v>
      </c>
      <c r="G17" s="426">
        <v>0</v>
      </c>
      <c r="H17" s="426">
        <v>0</v>
      </c>
      <c r="I17" s="426">
        <v>0</v>
      </c>
      <c r="J17" s="426">
        <v>0</v>
      </c>
      <c r="K17" s="427" t="s">
        <v>765</v>
      </c>
      <c r="L17" s="428">
        <v>1616.8</v>
      </c>
      <c r="M17" s="428">
        <v>1702.1</v>
      </c>
      <c r="N17" s="433">
        <v>0</v>
      </c>
      <c r="O17" s="433">
        <v>0</v>
      </c>
      <c r="P17" s="675"/>
    </row>
    <row r="18" spans="1:16" ht="12.6" customHeight="1" x14ac:dyDescent="0.2">
      <c r="A18" s="1577"/>
      <c r="B18" s="1580"/>
      <c r="C18" s="445" t="s">
        <v>1152</v>
      </c>
      <c r="D18" s="431" t="s">
        <v>773</v>
      </c>
      <c r="E18" s="426">
        <v>0</v>
      </c>
      <c r="F18" s="426">
        <v>0</v>
      </c>
      <c r="G18" s="426">
        <v>0</v>
      </c>
      <c r="H18" s="426">
        <v>0</v>
      </c>
      <c r="I18" s="426">
        <v>0</v>
      </c>
      <c r="J18" s="426">
        <v>0</v>
      </c>
      <c r="K18" s="434" t="s">
        <v>889</v>
      </c>
      <c r="L18" s="435">
        <v>52340</v>
      </c>
      <c r="M18" s="428">
        <v>54910</v>
      </c>
      <c r="N18" s="433">
        <v>0</v>
      </c>
      <c r="O18" s="433">
        <v>0</v>
      </c>
      <c r="P18" s="675"/>
    </row>
    <row r="19" spans="1:16" ht="12.6" customHeight="1" x14ac:dyDescent="0.2">
      <c r="A19" s="1577"/>
      <c r="B19" s="1580"/>
      <c r="C19" s="441" t="s">
        <v>782</v>
      </c>
      <c r="D19" s="431" t="s">
        <v>773</v>
      </c>
      <c r="E19" s="426">
        <v>240988</v>
      </c>
      <c r="F19" s="426">
        <v>122728</v>
      </c>
      <c r="G19" s="426">
        <v>118260</v>
      </c>
      <c r="H19" s="426">
        <v>30674.707750000001</v>
      </c>
      <c r="I19" s="426">
        <v>14957.756224999999</v>
      </c>
      <c r="J19" s="426">
        <v>15716.951525</v>
      </c>
      <c r="K19" s="427" t="s">
        <v>765</v>
      </c>
      <c r="L19" s="428">
        <v>257.2</v>
      </c>
      <c r="M19" s="428">
        <v>265.60000000000002</v>
      </c>
      <c r="N19" s="673">
        <v>4087.3478260869565</v>
      </c>
      <c r="O19" s="673">
        <v>543.29308260869573</v>
      </c>
      <c r="P19" s="675"/>
    </row>
    <row r="20" spans="1:16" ht="12.6" customHeight="1" x14ac:dyDescent="0.2">
      <c r="A20" s="1577"/>
      <c r="B20" s="1580"/>
      <c r="C20" s="444" t="s">
        <v>783</v>
      </c>
      <c r="D20" s="431" t="s">
        <v>775</v>
      </c>
      <c r="E20" s="426">
        <v>350865</v>
      </c>
      <c r="F20" s="426">
        <v>178124</v>
      </c>
      <c r="G20" s="426">
        <v>172741</v>
      </c>
      <c r="H20" s="426">
        <v>8933.4261750000005</v>
      </c>
      <c r="I20" s="426">
        <v>4352.3443200000002</v>
      </c>
      <c r="J20" s="426">
        <v>4581.0818549999995</v>
      </c>
      <c r="K20" s="427" t="s">
        <v>765</v>
      </c>
      <c r="L20" s="428">
        <v>257.05</v>
      </c>
      <c r="M20" s="428">
        <v>265.5</v>
      </c>
      <c r="N20" s="428">
        <v>3127.6521739130435</v>
      </c>
      <c r="O20" s="428">
        <v>82.900345652173897</v>
      </c>
      <c r="P20" s="675"/>
    </row>
    <row r="21" spans="1:16" ht="25.5" x14ac:dyDescent="0.2">
      <c r="A21" s="1577"/>
      <c r="B21" s="1581"/>
      <c r="C21" s="442" t="s">
        <v>784</v>
      </c>
      <c r="D21" s="436"/>
      <c r="E21" s="430">
        <v>1315036</v>
      </c>
      <c r="F21" s="430">
        <v>617119</v>
      </c>
      <c r="G21" s="430">
        <v>697917</v>
      </c>
      <c r="H21" s="430">
        <v>143391.56436749999</v>
      </c>
      <c r="I21" s="430">
        <v>61086.892562499997</v>
      </c>
      <c r="J21" s="430">
        <v>82304.671804999991</v>
      </c>
      <c r="K21" s="437"/>
      <c r="L21" s="438"/>
      <c r="M21" s="438"/>
      <c r="N21" s="674"/>
      <c r="O21" s="674"/>
      <c r="P21" s="242"/>
    </row>
    <row r="22" spans="1:16" ht="12.6" customHeight="1" x14ac:dyDescent="0.2">
      <c r="A22" s="1577"/>
      <c r="B22" s="1579" t="s">
        <v>785</v>
      </c>
      <c r="C22" s="441" t="s">
        <v>786</v>
      </c>
      <c r="D22" s="425" t="s">
        <v>787</v>
      </c>
      <c r="E22" s="446" t="s">
        <v>238</v>
      </c>
      <c r="F22" s="433" t="s">
        <v>238</v>
      </c>
      <c r="G22" s="433" t="s">
        <v>238</v>
      </c>
      <c r="H22" s="433" t="s">
        <v>238</v>
      </c>
      <c r="I22" s="433" t="s">
        <v>238</v>
      </c>
      <c r="J22" s="433" t="s">
        <v>238</v>
      </c>
      <c r="K22" s="427" t="s">
        <v>788</v>
      </c>
      <c r="L22" s="435" t="s">
        <v>225</v>
      </c>
      <c r="M22" s="435" t="s">
        <v>225</v>
      </c>
      <c r="N22" s="433">
        <v>0</v>
      </c>
      <c r="O22" s="433">
        <v>0</v>
      </c>
    </row>
    <row r="23" spans="1:16" ht="12.6" customHeight="1" x14ac:dyDescent="0.2">
      <c r="A23" s="1577"/>
      <c r="B23" s="1580"/>
      <c r="C23" s="440" t="s">
        <v>789</v>
      </c>
      <c r="D23" s="447" t="s">
        <v>790</v>
      </c>
      <c r="E23" s="446">
        <v>1736</v>
      </c>
      <c r="F23" s="433">
        <v>563</v>
      </c>
      <c r="G23" s="433">
        <v>1173</v>
      </c>
      <c r="H23" s="433">
        <v>483.35414400000002</v>
      </c>
      <c r="I23" s="433">
        <v>161.037408</v>
      </c>
      <c r="J23" s="433">
        <v>322.31673600000005</v>
      </c>
      <c r="K23" s="448" t="s">
        <v>791</v>
      </c>
      <c r="L23" s="428">
        <v>57560</v>
      </c>
      <c r="M23" s="428">
        <v>57600</v>
      </c>
      <c r="N23" s="676">
        <v>427.17391304347825</v>
      </c>
      <c r="O23" s="676">
        <v>117.54071373913045</v>
      </c>
    </row>
    <row r="24" spans="1:16" ht="12.6" customHeight="1" x14ac:dyDescent="0.2">
      <c r="A24" s="1577"/>
      <c r="B24" s="1580"/>
      <c r="C24" s="441" t="s">
        <v>792</v>
      </c>
      <c r="D24" s="425" t="s">
        <v>793</v>
      </c>
      <c r="E24" s="449" t="s">
        <v>238</v>
      </c>
      <c r="F24" s="449" t="s">
        <v>238</v>
      </c>
      <c r="G24" s="449" t="s">
        <v>238</v>
      </c>
      <c r="H24" s="449" t="s">
        <v>238</v>
      </c>
      <c r="I24" s="449" t="s">
        <v>238</v>
      </c>
      <c r="J24" s="449" t="s">
        <v>238</v>
      </c>
      <c r="K24" s="427" t="s">
        <v>794</v>
      </c>
      <c r="L24" s="435" t="s">
        <v>225</v>
      </c>
      <c r="M24" s="435" t="s">
        <v>225</v>
      </c>
      <c r="N24" s="673">
        <v>3.2464545454545454E-2</v>
      </c>
      <c r="O24" s="673">
        <v>3.2464545454545454E-2</v>
      </c>
    </row>
    <row r="25" spans="1:16" ht="12.6" customHeight="1" x14ac:dyDescent="0.2">
      <c r="A25" s="1577"/>
      <c r="B25" s="1580"/>
      <c r="C25" s="450" t="s">
        <v>795</v>
      </c>
      <c r="D25" s="425" t="s">
        <v>796</v>
      </c>
      <c r="E25" s="433">
        <v>6717</v>
      </c>
      <c r="F25" s="433">
        <v>3662</v>
      </c>
      <c r="G25" s="433">
        <v>3055</v>
      </c>
      <c r="H25" s="433">
        <v>223.3114056</v>
      </c>
      <c r="I25" s="433">
        <v>120.3596172</v>
      </c>
      <c r="J25" s="433">
        <v>102.9517884</v>
      </c>
      <c r="K25" s="427" t="s">
        <v>765</v>
      </c>
      <c r="L25" s="428">
        <v>919.4</v>
      </c>
      <c r="M25" s="428">
        <v>916.7</v>
      </c>
      <c r="N25" s="673">
        <v>642.26086956521738</v>
      </c>
      <c r="O25" s="673">
        <v>21.680336191304345</v>
      </c>
    </row>
    <row r="26" spans="1:16" ht="12.6" customHeight="1" x14ac:dyDescent="0.2">
      <c r="A26" s="1577"/>
      <c r="B26" s="1580"/>
      <c r="C26" s="441" t="s">
        <v>797</v>
      </c>
      <c r="D26" s="425" t="s">
        <v>798</v>
      </c>
      <c r="E26" s="433">
        <v>0</v>
      </c>
      <c r="F26" s="449">
        <v>0</v>
      </c>
      <c r="G26" s="449">
        <v>0</v>
      </c>
      <c r="H26" s="433">
        <v>0</v>
      </c>
      <c r="I26" s="449">
        <v>3.3110000000000001E-2</v>
      </c>
      <c r="J26" s="449">
        <v>0</v>
      </c>
      <c r="K26" s="427" t="s">
        <v>799</v>
      </c>
      <c r="L26" s="428">
        <v>1440</v>
      </c>
      <c r="M26" s="428">
        <v>1440</v>
      </c>
      <c r="N26" s="433">
        <v>0</v>
      </c>
      <c r="O26" s="433">
        <v>0</v>
      </c>
    </row>
    <row r="27" spans="1:16" ht="12.6" customHeight="1" x14ac:dyDescent="0.2">
      <c r="A27" s="1577"/>
      <c r="B27" s="1580"/>
      <c r="C27" s="441" t="s">
        <v>800</v>
      </c>
      <c r="D27" s="425" t="s">
        <v>775</v>
      </c>
      <c r="E27" s="433" t="s">
        <v>238</v>
      </c>
      <c r="F27" s="449" t="s">
        <v>238</v>
      </c>
      <c r="G27" s="449" t="s">
        <v>238</v>
      </c>
      <c r="H27" s="433" t="s">
        <v>238</v>
      </c>
      <c r="I27" s="449" t="s">
        <v>238</v>
      </c>
      <c r="J27" s="449" t="s">
        <v>238</v>
      </c>
      <c r="K27" s="427" t="s">
        <v>801</v>
      </c>
      <c r="L27" s="435" t="s">
        <v>225</v>
      </c>
      <c r="M27" s="435" t="s">
        <v>225</v>
      </c>
      <c r="N27" s="433">
        <v>0</v>
      </c>
      <c r="O27" s="433">
        <v>0</v>
      </c>
    </row>
    <row r="28" spans="1:16" ht="15" customHeight="1" x14ac:dyDescent="0.2">
      <c r="A28" s="1577"/>
      <c r="B28" s="1581"/>
      <c r="C28" s="443" t="s">
        <v>802</v>
      </c>
      <c r="D28" s="436"/>
      <c r="E28" s="430">
        <v>8453</v>
      </c>
      <c r="F28" s="430">
        <v>4225</v>
      </c>
      <c r="G28" s="430">
        <v>4228</v>
      </c>
      <c r="H28" s="430">
        <v>706.66554960000008</v>
      </c>
      <c r="I28" s="430">
        <v>281.39702520000003</v>
      </c>
      <c r="J28" s="430">
        <v>425.26852440000005</v>
      </c>
      <c r="K28" s="437"/>
      <c r="L28" s="438"/>
      <c r="M28" s="438"/>
      <c r="N28" s="674"/>
      <c r="O28" s="674"/>
    </row>
    <row r="29" spans="1:16" ht="12.6" customHeight="1" x14ac:dyDescent="0.2">
      <c r="A29" s="1577"/>
      <c r="B29" s="1579" t="s">
        <v>694</v>
      </c>
      <c r="C29" s="440" t="s">
        <v>803</v>
      </c>
      <c r="D29" s="431" t="s">
        <v>804</v>
      </c>
      <c r="E29" s="426">
        <v>929715</v>
      </c>
      <c r="F29" s="426">
        <v>467745</v>
      </c>
      <c r="G29" s="426">
        <v>461970</v>
      </c>
      <c r="H29" s="426">
        <v>63236.108429999993</v>
      </c>
      <c r="I29" s="426">
        <v>32902.943509999997</v>
      </c>
      <c r="J29" s="426">
        <v>30333.164919999999</v>
      </c>
      <c r="K29" s="427" t="s">
        <v>805</v>
      </c>
      <c r="L29" s="428">
        <v>6838</v>
      </c>
      <c r="M29" s="428">
        <v>6453</v>
      </c>
      <c r="N29" s="673">
        <v>9469.2608695652179</v>
      </c>
      <c r="O29" s="673">
        <v>621.16786391304356</v>
      </c>
    </row>
    <row r="30" spans="1:16" ht="12.6" customHeight="1" x14ac:dyDescent="0.2">
      <c r="A30" s="1577"/>
      <c r="B30" s="1580"/>
      <c r="C30" s="440" t="s">
        <v>806</v>
      </c>
      <c r="D30" s="451" t="s">
        <v>807</v>
      </c>
      <c r="E30" s="426">
        <v>992576</v>
      </c>
      <c r="F30" s="426">
        <v>499809</v>
      </c>
      <c r="G30" s="426">
        <v>492767</v>
      </c>
      <c r="H30" s="426">
        <v>6741.003643</v>
      </c>
      <c r="I30" s="426">
        <v>3507.0234700000001</v>
      </c>
      <c r="J30" s="426">
        <v>3233.9801729999995</v>
      </c>
      <c r="K30" s="427" t="s">
        <v>805</v>
      </c>
      <c r="L30" s="428">
        <v>6840</v>
      </c>
      <c r="M30" s="428">
        <v>6455</v>
      </c>
      <c r="N30" s="673">
        <v>9053.826086956522</v>
      </c>
      <c r="O30" s="673">
        <v>59.323909565217392</v>
      </c>
    </row>
    <row r="31" spans="1:16" ht="12.6" customHeight="1" x14ac:dyDescent="0.2">
      <c r="A31" s="1577"/>
      <c r="B31" s="1580"/>
      <c r="C31" s="441" t="s">
        <v>808</v>
      </c>
      <c r="D31" s="431" t="s">
        <v>809</v>
      </c>
      <c r="E31" s="426">
        <v>5804264</v>
      </c>
      <c r="F31" s="426">
        <v>2716663</v>
      </c>
      <c r="G31" s="426">
        <v>3087601</v>
      </c>
      <c r="H31" s="426">
        <v>133109.526025</v>
      </c>
      <c r="I31" s="426">
        <v>53157.2552125</v>
      </c>
      <c r="J31" s="426">
        <v>79952.270812500006</v>
      </c>
      <c r="K31" s="427" t="s">
        <v>810</v>
      </c>
      <c r="L31" s="428">
        <v>164.9</v>
      </c>
      <c r="M31" s="428">
        <v>215.2</v>
      </c>
      <c r="N31" s="673">
        <v>28286.869565217392</v>
      </c>
      <c r="O31" s="673">
        <v>727.29949347826096</v>
      </c>
    </row>
    <row r="32" spans="1:16" ht="12.6" customHeight="1" x14ac:dyDescent="0.2">
      <c r="A32" s="1577"/>
      <c r="B32" s="1580"/>
      <c r="C32" s="440" t="s">
        <v>811</v>
      </c>
      <c r="D32" s="451" t="s">
        <v>812</v>
      </c>
      <c r="E32" s="426">
        <v>2628201</v>
      </c>
      <c r="F32" s="426">
        <v>1173608</v>
      </c>
      <c r="G32" s="426">
        <v>1454593</v>
      </c>
      <c r="H32" s="426">
        <v>12238.306367500001</v>
      </c>
      <c r="I32" s="426">
        <v>4637.4112825000002</v>
      </c>
      <c r="J32" s="426">
        <v>7600.895085000001</v>
      </c>
      <c r="K32" s="427" t="s">
        <v>810</v>
      </c>
      <c r="L32" s="428">
        <v>165.1</v>
      </c>
      <c r="M32" s="428">
        <v>215.3</v>
      </c>
      <c r="N32" s="673">
        <v>16178.869565217392</v>
      </c>
      <c r="O32" s="673">
        <v>83.464575978260868</v>
      </c>
    </row>
    <row r="33" spans="1:15" ht="15" customHeight="1" x14ac:dyDescent="0.2">
      <c r="A33" s="1577"/>
      <c r="B33" s="1581"/>
      <c r="C33" s="443" t="s">
        <v>813</v>
      </c>
      <c r="D33" s="436"/>
      <c r="E33" s="430">
        <v>10354756</v>
      </c>
      <c r="F33" s="430">
        <v>4857825</v>
      </c>
      <c r="G33" s="430">
        <v>5496931</v>
      </c>
      <c r="H33" s="430">
        <v>215324.94446550001</v>
      </c>
      <c r="I33" s="430">
        <v>94204.633474999995</v>
      </c>
      <c r="J33" s="430">
        <v>121120.3109905</v>
      </c>
      <c r="K33" s="437"/>
      <c r="L33" s="438"/>
      <c r="M33" s="438"/>
      <c r="N33" s="674"/>
      <c r="O33" s="674"/>
    </row>
    <row r="34" spans="1:15" ht="25.5" x14ac:dyDescent="0.2">
      <c r="A34" s="1577"/>
      <c r="B34" s="1579" t="s">
        <v>814</v>
      </c>
      <c r="C34" s="450" t="s">
        <v>815</v>
      </c>
      <c r="D34" s="452">
        <v>50</v>
      </c>
      <c r="E34" s="432">
        <v>12166</v>
      </c>
      <c r="F34" s="426">
        <v>6892</v>
      </c>
      <c r="G34" s="426">
        <v>5274</v>
      </c>
      <c r="H34" s="426">
        <v>1112.1689799999999</v>
      </c>
      <c r="I34" s="426">
        <v>621.72975999999994</v>
      </c>
      <c r="J34" s="426">
        <v>490.43921999999992</v>
      </c>
      <c r="K34" s="427" t="s">
        <v>816</v>
      </c>
      <c r="L34" s="428">
        <v>17817</v>
      </c>
      <c r="M34" s="428">
        <v>18684</v>
      </c>
      <c r="N34" s="673">
        <v>390.39130434782606</v>
      </c>
      <c r="O34" s="673">
        <v>36.245287391304345</v>
      </c>
    </row>
    <row r="35" spans="1:15" ht="25.5" x14ac:dyDescent="0.2">
      <c r="A35" s="1577"/>
      <c r="B35" s="1580"/>
      <c r="C35" s="450" t="s">
        <v>696</v>
      </c>
      <c r="D35" s="452">
        <v>125</v>
      </c>
      <c r="E35" s="426">
        <v>0</v>
      </c>
      <c r="F35" s="426">
        <v>0</v>
      </c>
      <c r="G35" s="426">
        <v>0</v>
      </c>
      <c r="H35" s="426">
        <v>0</v>
      </c>
      <c r="I35" s="426">
        <v>0</v>
      </c>
      <c r="J35" s="426">
        <v>0</v>
      </c>
      <c r="K35" s="427" t="s">
        <v>816</v>
      </c>
      <c r="L35" s="435" t="s">
        <v>225</v>
      </c>
      <c r="M35" s="435" t="s">
        <v>225</v>
      </c>
      <c r="N35" s="676">
        <v>0</v>
      </c>
      <c r="O35" s="676">
        <v>0</v>
      </c>
    </row>
    <row r="36" spans="1:15" ht="25.5" customHeight="1" x14ac:dyDescent="0.2">
      <c r="A36" s="1577"/>
      <c r="B36" s="1580"/>
      <c r="C36" s="450" t="s">
        <v>697</v>
      </c>
      <c r="D36" s="452">
        <v>50</v>
      </c>
      <c r="E36" s="426">
        <v>0</v>
      </c>
      <c r="F36" s="426">
        <v>0</v>
      </c>
      <c r="G36" s="426">
        <v>0</v>
      </c>
      <c r="H36" s="426">
        <v>0</v>
      </c>
      <c r="I36" s="426">
        <v>0</v>
      </c>
      <c r="J36" s="426">
        <v>0</v>
      </c>
      <c r="K36" s="427" t="s">
        <v>816</v>
      </c>
      <c r="L36" s="428">
        <v>17565</v>
      </c>
      <c r="M36" s="428">
        <v>17878</v>
      </c>
      <c r="N36" s="676">
        <v>0</v>
      </c>
      <c r="O36" s="676">
        <v>0</v>
      </c>
    </row>
    <row r="37" spans="1:15" ht="29.25" customHeight="1" x14ac:dyDescent="0.2">
      <c r="A37" s="1577"/>
      <c r="B37" s="1581"/>
      <c r="C37" s="442" t="s">
        <v>817</v>
      </c>
      <c r="D37" s="437"/>
      <c r="E37" s="430">
        <v>12166</v>
      </c>
      <c r="F37" s="430">
        <v>6892</v>
      </c>
      <c r="G37" s="430">
        <v>5274</v>
      </c>
      <c r="H37" s="430">
        <v>1112.1689799999999</v>
      </c>
      <c r="I37" s="430">
        <v>621.72975999999994</v>
      </c>
      <c r="J37" s="430">
        <v>490.43921999999992</v>
      </c>
      <c r="K37" s="437"/>
      <c r="L37" s="438"/>
      <c r="M37" s="438"/>
      <c r="N37" s="674"/>
      <c r="O37" s="674"/>
    </row>
    <row r="38" spans="1:15" ht="50.25" customHeight="1" x14ac:dyDescent="0.2">
      <c r="A38" s="1578"/>
      <c r="B38" s="453" t="s">
        <v>818</v>
      </c>
      <c r="C38" s="454" t="s">
        <v>818</v>
      </c>
      <c r="D38" s="455"/>
      <c r="E38" s="456">
        <v>27298634</v>
      </c>
      <c r="F38" s="456">
        <v>13334474</v>
      </c>
      <c r="G38" s="456">
        <v>13964160</v>
      </c>
      <c r="H38" s="456">
        <v>1170533.6040169001</v>
      </c>
      <c r="I38" s="456">
        <v>550775.47706340009</v>
      </c>
      <c r="J38" s="456">
        <v>619758.12695349997</v>
      </c>
      <c r="K38" s="457"/>
      <c r="L38" s="458"/>
      <c r="M38" s="458"/>
      <c r="N38" s="677"/>
      <c r="O38" s="677"/>
    </row>
    <row r="39" spans="1:15" ht="12.6" customHeight="1" x14ac:dyDescent="0.2">
      <c r="A39" s="1579" t="s">
        <v>819</v>
      </c>
      <c r="B39" s="1576" t="s">
        <v>692</v>
      </c>
      <c r="C39" s="441" t="s">
        <v>752</v>
      </c>
      <c r="D39" s="425" t="s">
        <v>753</v>
      </c>
      <c r="E39" s="459">
        <v>744855</v>
      </c>
      <c r="F39" s="460">
        <v>215681</v>
      </c>
      <c r="G39" s="460">
        <v>529174</v>
      </c>
      <c r="H39" s="460">
        <v>536841.93075000006</v>
      </c>
      <c r="I39" s="460">
        <v>152833.78605000002</v>
      </c>
      <c r="J39" s="460">
        <v>384008.1447</v>
      </c>
      <c r="K39" s="427" t="s">
        <v>754</v>
      </c>
      <c r="L39" s="461" t="s">
        <v>225</v>
      </c>
      <c r="M39" s="461" t="s">
        <v>225</v>
      </c>
      <c r="N39" s="673">
        <v>12363</v>
      </c>
      <c r="O39" s="673">
        <v>8765.3018539130444</v>
      </c>
    </row>
    <row r="40" spans="1:15" ht="12.6" customHeight="1" x14ac:dyDescent="0.2">
      <c r="A40" s="1580"/>
      <c r="B40" s="1577"/>
      <c r="C40" s="441" t="s">
        <v>755</v>
      </c>
      <c r="D40" s="425" t="s">
        <v>756</v>
      </c>
      <c r="E40" s="460">
        <v>1336249</v>
      </c>
      <c r="F40" s="460">
        <v>615117</v>
      </c>
      <c r="G40" s="460">
        <v>721132</v>
      </c>
      <c r="H40" s="460">
        <v>96548.365973500011</v>
      </c>
      <c r="I40" s="460">
        <v>44070.990432000006</v>
      </c>
      <c r="J40" s="460">
        <v>52477.375541500005</v>
      </c>
      <c r="K40" s="427" t="s">
        <v>754</v>
      </c>
      <c r="L40" s="461" t="s">
        <v>225</v>
      </c>
      <c r="M40" s="461" t="s">
        <v>225</v>
      </c>
      <c r="N40" s="673">
        <v>9874.2608695652179</v>
      </c>
      <c r="O40" s="673">
        <v>715.6102604782609</v>
      </c>
    </row>
    <row r="41" spans="1:15" ht="12.6" customHeight="1" x14ac:dyDescent="0.2">
      <c r="A41" s="1580"/>
      <c r="B41" s="1577"/>
      <c r="C41" s="441" t="s">
        <v>820</v>
      </c>
      <c r="D41" s="425" t="s">
        <v>764</v>
      </c>
      <c r="E41" s="460">
        <v>1133635</v>
      </c>
      <c r="F41" s="460">
        <v>875264</v>
      </c>
      <c r="G41" s="460">
        <v>258371</v>
      </c>
      <c r="H41" s="460">
        <v>284942.8257855</v>
      </c>
      <c r="I41" s="460">
        <v>214754.04065399998</v>
      </c>
      <c r="J41" s="460">
        <v>70188.785131500001</v>
      </c>
      <c r="K41" s="427" t="s">
        <v>821</v>
      </c>
      <c r="L41" s="461" t="s">
        <v>225</v>
      </c>
      <c r="M41" s="461" t="s">
        <v>225</v>
      </c>
      <c r="N41" s="673">
        <v>8796.391304347826</v>
      </c>
      <c r="O41" s="673">
        <v>2326.8751009565221</v>
      </c>
    </row>
    <row r="42" spans="1:15" ht="12.6" customHeight="1" x14ac:dyDescent="0.2">
      <c r="A42" s="1580"/>
      <c r="B42" s="1577"/>
      <c r="C42" s="441" t="s">
        <v>766</v>
      </c>
      <c r="D42" s="425" t="s">
        <v>767</v>
      </c>
      <c r="E42" s="460">
        <v>979397</v>
      </c>
      <c r="F42" s="460">
        <v>565401</v>
      </c>
      <c r="G42" s="460">
        <v>413996</v>
      </c>
      <c r="H42" s="460">
        <v>42203.539365000004</v>
      </c>
      <c r="I42" s="460">
        <v>23185.733285249997</v>
      </c>
      <c r="J42" s="460">
        <v>19017.806079750004</v>
      </c>
      <c r="K42" s="427" t="s">
        <v>821</v>
      </c>
      <c r="L42" s="461" t="s">
        <v>225</v>
      </c>
      <c r="M42" s="461" t="s">
        <v>225</v>
      </c>
      <c r="N42" s="673">
        <v>12990.782608695652</v>
      </c>
      <c r="O42" s="673">
        <v>570.04253323913053</v>
      </c>
    </row>
    <row r="43" spans="1:15" ht="27.75" customHeight="1" x14ac:dyDescent="0.2">
      <c r="A43" s="1580"/>
      <c r="B43" s="1578"/>
      <c r="C43" s="442" t="s">
        <v>770</v>
      </c>
      <c r="D43" s="436"/>
      <c r="E43" s="430">
        <v>4194136</v>
      </c>
      <c r="F43" s="430">
        <v>2271463</v>
      </c>
      <c r="G43" s="430">
        <v>1922673</v>
      </c>
      <c r="H43" s="430">
        <v>960536.6618740001</v>
      </c>
      <c r="I43" s="430">
        <v>434844.55042125005</v>
      </c>
      <c r="J43" s="430">
        <v>525692.11145274993</v>
      </c>
      <c r="K43" s="437"/>
      <c r="L43" s="438"/>
      <c r="M43" s="438"/>
      <c r="N43" s="674"/>
      <c r="O43" s="674"/>
    </row>
    <row r="44" spans="1:15" ht="12.6" customHeight="1" x14ac:dyDescent="0.2">
      <c r="A44" s="1580"/>
      <c r="B44" s="1579" t="s">
        <v>771</v>
      </c>
      <c r="C44" s="462" t="s">
        <v>776</v>
      </c>
      <c r="D44" s="431" t="s">
        <v>777</v>
      </c>
      <c r="E44" s="426">
        <v>14590</v>
      </c>
      <c r="F44" s="426">
        <v>5467</v>
      </c>
      <c r="G44" s="426">
        <v>9123</v>
      </c>
      <c r="H44" s="426">
        <v>3181.8356475000001</v>
      </c>
      <c r="I44" s="426">
        <v>1130.5609500000003</v>
      </c>
      <c r="J44" s="426">
        <v>2051.2746975</v>
      </c>
      <c r="K44" s="427" t="s">
        <v>821</v>
      </c>
      <c r="L44" s="461" t="s">
        <v>225</v>
      </c>
      <c r="M44" s="461" t="s">
        <v>225</v>
      </c>
      <c r="N44" s="673">
        <v>306.60869565217394</v>
      </c>
      <c r="O44" s="673">
        <v>68.577340434782613</v>
      </c>
    </row>
    <row r="45" spans="1:15" ht="12.6" customHeight="1" x14ac:dyDescent="0.2">
      <c r="A45" s="1580"/>
      <c r="B45" s="1580"/>
      <c r="C45" s="441" t="s">
        <v>780</v>
      </c>
      <c r="D45" s="431" t="s">
        <v>781</v>
      </c>
      <c r="E45" s="426">
        <v>0</v>
      </c>
      <c r="F45" s="426">
        <v>0</v>
      </c>
      <c r="G45" s="426">
        <v>0</v>
      </c>
      <c r="H45" s="426">
        <v>0</v>
      </c>
      <c r="I45" s="426">
        <v>0</v>
      </c>
      <c r="J45" s="426">
        <v>0</v>
      </c>
      <c r="K45" s="427" t="s">
        <v>821</v>
      </c>
      <c r="L45" s="461" t="s">
        <v>225</v>
      </c>
      <c r="M45" s="461" t="s">
        <v>225</v>
      </c>
      <c r="N45" s="676">
        <v>0</v>
      </c>
      <c r="O45" s="676">
        <v>0</v>
      </c>
    </row>
    <row r="46" spans="1:15" ht="12.6" customHeight="1" x14ac:dyDescent="0.2">
      <c r="A46" s="1580"/>
      <c r="B46" s="1580"/>
      <c r="C46" s="462" t="s">
        <v>782</v>
      </c>
      <c r="D46" s="431" t="s">
        <v>773</v>
      </c>
      <c r="E46" s="426">
        <v>2072</v>
      </c>
      <c r="F46" s="426">
        <v>1527</v>
      </c>
      <c r="G46" s="426">
        <v>545</v>
      </c>
      <c r="H46" s="426">
        <v>260.81029999999998</v>
      </c>
      <c r="I46" s="426">
        <v>187.61375500000003</v>
      </c>
      <c r="J46" s="426">
        <v>73.196544999999986</v>
      </c>
      <c r="K46" s="427" t="s">
        <v>821</v>
      </c>
      <c r="L46" s="461" t="s">
        <v>225</v>
      </c>
      <c r="M46" s="461" t="s">
        <v>225</v>
      </c>
      <c r="N46" s="673">
        <v>43</v>
      </c>
      <c r="O46" s="673">
        <v>5.7274145652173925</v>
      </c>
    </row>
    <row r="47" spans="1:15" ht="27" customHeight="1" x14ac:dyDescent="0.2">
      <c r="A47" s="1580"/>
      <c r="B47" s="1581"/>
      <c r="C47" s="442" t="s">
        <v>822</v>
      </c>
      <c r="D47" s="436"/>
      <c r="E47" s="430">
        <v>16662</v>
      </c>
      <c r="F47" s="430">
        <v>6994</v>
      </c>
      <c r="G47" s="430">
        <v>9668</v>
      </c>
      <c r="H47" s="430">
        <v>3442.6459475000001</v>
      </c>
      <c r="I47" s="430">
        <v>1318.1747050000004</v>
      </c>
      <c r="J47" s="430">
        <v>2124.4712424999998</v>
      </c>
      <c r="K47" s="437"/>
      <c r="L47" s="438"/>
      <c r="M47" s="438"/>
      <c r="N47" s="674"/>
      <c r="O47" s="674"/>
    </row>
    <row r="48" spans="1:15" ht="12.6" customHeight="1" x14ac:dyDescent="0.2">
      <c r="A48" s="1580"/>
      <c r="B48" s="1579" t="s">
        <v>694</v>
      </c>
      <c r="C48" s="462" t="s">
        <v>803</v>
      </c>
      <c r="D48" s="431" t="s">
        <v>804</v>
      </c>
      <c r="E48" s="460">
        <v>68383337</v>
      </c>
      <c r="F48" s="460">
        <v>31815275</v>
      </c>
      <c r="G48" s="460">
        <v>36568062</v>
      </c>
      <c r="H48" s="460">
        <v>4721918.5225530006</v>
      </c>
      <c r="I48" s="460">
        <v>2281114.1943139997</v>
      </c>
      <c r="J48" s="460">
        <v>2440804.3282390004</v>
      </c>
      <c r="K48" s="427" t="s">
        <v>805</v>
      </c>
      <c r="L48" s="461" t="s">
        <v>225</v>
      </c>
      <c r="M48" s="461" t="s">
        <v>225</v>
      </c>
      <c r="N48" s="678">
        <v>132105.86956521738</v>
      </c>
      <c r="O48" s="678">
        <v>9002.8605722173888</v>
      </c>
    </row>
    <row r="49" spans="1:702" ht="12.6" customHeight="1" x14ac:dyDescent="0.2">
      <c r="A49" s="1580"/>
      <c r="B49" s="1580"/>
      <c r="C49" s="462" t="s">
        <v>806</v>
      </c>
      <c r="D49" s="431" t="s">
        <v>807</v>
      </c>
      <c r="E49" s="460">
        <v>188073</v>
      </c>
      <c r="F49" s="460">
        <v>1261</v>
      </c>
      <c r="G49" s="460">
        <v>186812</v>
      </c>
      <c r="H49" s="460">
        <v>1266.5793266500002</v>
      </c>
      <c r="I49" s="460">
        <v>9.0865812500000001</v>
      </c>
      <c r="J49" s="460">
        <v>1257.4927454000001</v>
      </c>
      <c r="K49" s="427"/>
      <c r="L49" s="461" t="s">
        <v>225</v>
      </c>
      <c r="M49" s="461" t="s">
        <v>225</v>
      </c>
      <c r="N49" s="678">
        <v>2447.9565217391305</v>
      </c>
      <c r="O49" s="678">
        <v>16.598889026086955</v>
      </c>
    </row>
    <row r="50" spans="1:702" ht="12.6" customHeight="1" x14ac:dyDescent="0.2">
      <c r="A50" s="1580"/>
      <c r="B50" s="1580"/>
      <c r="C50" s="441" t="s">
        <v>808</v>
      </c>
      <c r="D50" s="431" t="s">
        <v>809</v>
      </c>
      <c r="E50" s="460">
        <v>28730265</v>
      </c>
      <c r="F50" s="460">
        <v>10141706</v>
      </c>
      <c r="G50" s="460">
        <v>18588559</v>
      </c>
      <c r="H50" s="460">
        <v>709148.57920624991</v>
      </c>
      <c r="I50" s="460">
        <v>201413.85934374999</v>
      </c>
      <c r="J50" s="460">
        <v>507734.71986249997</v>
      </c>
      <c r="K50" s="427" t="s">
        <v>810</v>
      </c>
      <c r="L50" s="461" t="s">
        <v>225</v>
      </c>
      <c r="M50" s="461" t="s">
        <v>225</v>
      </c>
      <c r="N50" s="678">
        <v>120810.47826086957</v>
      </c>
      <c r="O50" s="678">
        <v>3003.2907657608689</v>
      </c>
    </row>
    <row r="51" spans="1:702" ht="12.6" customHeight="1" x14ac:dyDescent="0.2">
      <c r="A51" s="1580"/>
      <c r="B51" s="1580"/>
      <c r="C51" s="441" t="s">
        <v>1243</v>
      </c>
      <c r="D51" s="431" t="s">
        <v>812</v>
      </c>
      <c r="E51" s="460">
        <v>330178</v>
      </c>
      <c r="F51" s="460">
        <v>10350</v>
      </c>
      <c r="G51" s="460">
        <v>319828</v>
      </c>
      <c r="H51" s="460">
        <v>1753.5600037500003</v>
      </c>
      <c r="I51" s="460">
        <v>45.224113750000001</v>
      </c>
      <c r="J51" s="460">
        <v>1708.3358900000003</v>
      </c>
      <c r="K51" s="427"/>
      <c r="L51" s="461" t="s">
        <v>225</v>
      </c>
      <c r="M51" s="461" t="s">
        <v>225</v>
      </c>
      <c r="N51" s="678">
        <v>3262.391304347826</v>
      </c>
      <c r="O51" s="678">
        <v>16.353907989130438</v>
      </c>
    </row>
    <row r="52" spans="1:702" s="243" customFormat="1" ht="25.5" x14ac:dyDescent="0.2">
      <c r="A52" s="1580"/>
      <c r="B52" s="1581"/>
      <c r="C52" s="442" t="s">
        <v>823</v>
      </c>
      <c r="D52" s="436"/>
      <c r="E52" s="430">
        <v>97631853</v>
      </c>
      <c r="F52" s="430">
        <v>41968592</v>
      </c>
      <c r="G52" s="430">
        <v>55663261</v>
      </c>
      <c r="H52" s="430">
        <v>5434087.2410896504</v>
      </c>
      <c r="I52" s="430">
        <v>2482582.3643527497</v>
      </c>
      <c r="J52" s="430">
        <v>2951504.8767369003</v>
      </c>
      <c r="K52" s="437"/>
      <c r="L52" s="463"/>
      <c r="M52" s="463"/>
      <c r="N52" s="463"/>
      <c r="O52" s="463"/>
      <c r="P52" s="241"/>
      <c r="Q52" s="241"/>
      <c r="R52" s="241"/>
    </row>
    <row r="53" spans="1:702" ht="53.25" customHeight="1" x14ac:dyDescent="0.2">
      <c r="A53" s="1581"/>
      <c r="B53" s="454" t="s">
        <v>824</v>
      </c>
      <c r="C53" s="454" t="s">
        <v>824</v>
      </c>
      <c r="D53" s="464"/>
      <c r="E53" s="456">
        <v>101842651</v>
      </c>
      <c r="F53" s="456">
        <v>44247049</v>
      </c>
      <c r="G53" s="456">
        <v>57595602</v>
      </c>
      <c r="H53" s="456">
        <v>6398066.5489111505</v>
      </c>
      <c r="I53" s="456">
        <v>2918745.0894789998</v>
      </c>
      <c r="J53" s="456">
        <v>3479321.4594321502</v>
      </c>
      <c r="K53" s="457"/>
      <c r="L53" s="465"/>
      <c r="M53" s="465"/>
      <c r="N53" s="465"/>
      <c r="O53" s="465"/>
    </row>
    <row r="54" spans="1:702" s="247" customFormat="1" x14ac:dyDescent="0.2">
      <c r="A54" s="244" t="s">
        <v>1331</v>
      </c>
      <c r="B54" s="244"/>
      <c r="C54" s="245"/>
      <c r="D54" s="246"/>
      <c r="E54" s="245"/>
      <c r="F54" s="245"/>
      <c r="G54" s="245"/>
      <c r="H54" s="245"/>
      <c r="I54" s="245"/>
      <c r="J54" s="245"/>
      <c r="K54" s="245"/>
      <c r="L54" s="245"/>
      <c r="M54" s="245"/>
      <c r="N54" s="245"/>
      <c r="O54" s="245"/>
      <c r="P54" s="241"/>
      <c r="Q54" s="241"/>
      <c r="R54" s="241"/>
    </row>
    <row r="55" spans="1:702" s="247" customFormat="1" x14ac:dyDescent="0.2">
      <c r="A55" s="248" t="s">
        <v>536</v>
      </c>
      <c r="B55" s="249"/>
      <c r="C55" s="249"/>
      <c r="D55" s="250"/>
      <c r="E55" s="249"/>
      <c r="F55" s="249"/>
      <c r="G55" s="249"/>
      <c r="H55" s="249"/>
      <c r="I55" s="249"/>
      <c r="J55" s="249"/>
      <c r="K55" s="249"/>
      <c r="L55" s="249"/>
      <c r="M55" s="249"/>
      <c r="N55" s="249"/>
      <c r="O55" s="249"/>
      <c r="P55" s="241"/>
      <c r="Q55" s="241"/>
      <c r="R55" s="241"/>
    </row>
    <row r="56" spans="1:702" s="247" customFormat="1" x14ac:dyDescent="0.2">
      <c r="A56" s="249" t="s">
        <v>825</v>
      </c>
      <c r="B56" s="249"/>
      <c r="C56" s="249"/>
      <c r="D56" s="250"/>
      <c r="E56" s="249"/>
      <c r="F56" s="249"/>
      <c r="G56" s="249"/>
      <c r="H56" s="249"/>
      <c r="I56" s="249"/>
      <c r="J56" s="205"/>
      <c r="K56" s="249"/>
      <c r="L56" s="249"/>
      <c r="M56" s="249"/>
      <c r="N56" s="249"/>
      <c r="O56" s="249"/>
      <c r="P56" s="241"/>
      <c r="Q56" s="241"/>
      <c r="R56" s="241"/>
    </row>
    <row r="57" spans="1:702" s="247" customFormat="1" x14ac:dyDescent="0.2">
      <c r="A57" s="249" t="s">
        <v>826</v>
      </c>
      <c r="B57" s="249"/>
      <c r="C57" s="249"/>
      <c r="D57" s="250"/>
      <c r="E57" s="249"/>
      <c r="F57" s="249"/>
      <c r="G57" s="249"/>
      <c r="H57" s="249"/>
      <c r="I57" s="249"/>
      <c r="J57" s="249"/>
      <c r="K57" s="249"/>
      <c r="L57" s="249"/>
      <c r="M57" s="249"/>
      <c r="N57" s="249"/>
      <c r="O57" s="249"/>
      <c r="P57" s="241"/>
      <c r="Q57" s="241"/>
      <c r="R57" s="241"/>
    </row>
    <row r="58" spans="1:702" s="247" customFormat="1" x14ac:dyDescent="0.2">
      <c r="A58" s="249" t="s">
        <v>827</v>
      </c>
      <c r="B58" s="249"/>
      <c r="C58" s="249"/>
      <c r="D58" s="250"/>
      <c r="E58" s="249"/>
      <c r="F58" s="249"/>
      <c r="G58" s="249"/>
      <c r="H58" s="249"/>
      <c r="I58" s="249"/>
      <c r="J58" s="249"/>
      <c r="K58" s="249"/>
      <c r="L58" s="249"/>
      <c r="M58" s="249"/>
      <c r="N58" s="249"/>
      <c r="O58" s="249"/>
      <c r="P58" s="241"/>
      <c r="Q58" s="241"/>
      <c r="R58" s="241"/>
    </row>
    <row r="59" spans="1:702" s="247" customFormat="1" x14ac:dyDescent="0.2">
      <c r="A59" s="466" t="s">
        <v>1153</v>
      </c>
      <c r="B59" s="249"/>
      <c r="C59" s="249"/>
      <c r="D59" s="250"/>
      <c r="E59" s="249"/>
      <c r="F59" s="249"/>
      <c r="G59" s="249"/>
      <c r="H59" s="249"/>
      <c r="I59" s="249"/>
      <c r="J59" s="249"/>
      <c r="K59" s="249"/>
      <c r="L59" s="249"/>
      <c r="M59" s="249"/>
      <c r="N59" s="249"/>
      <c r="O59" s="249"/>
      <c r="P59" s="242"/>
      <c r="Q59" s="242"/>
    </row>
    <row r="60" spans="1:702" s="247" customFormat="1" x14ac:dyDescent="0.2">
      <c r="A60" s="251" t="s">
        <v>828</v>
      </c>
      <c r="B60" s="251"/>
      <c r="D60" s="252"/>
      <c r="P60" s="242"/>
      <c r="Q60" s="242"/>
    </row>
    <row r="61" spans="1:702" s="254" customFormat="1" x14ac:dyDescent="0.2">
      <c r="A61" s="241"/>
      <c r="B61" s="241"/>
      <c r="C61" s="241"/>
      <c r="D61" s="253"/>
      <c r="E61" s="241"/>
      <c r="F61" s="241"/>
      <c r="G61" s="241"/>
      <c r="H61" s="241"/>
      <c r="I61" s="241"/>
      <c r="J61" s="241"/>
      <c r="K61" s="241"/>
      <c r="L61" s="241"/>
      <c r="M61" s="241"/>
      <c r="N61" s="241"/>
      <c r="O61" s="241"/>
      <c r="P61" s="241"/>
      <c r="Q61" s="241"/>
      <c r="R61" s="241"/>
      <c r="S61" s="241"/>
      <c r="T61" s="241"/>
      <c r="U61" s="241"/>
      <c r="V61" s="241"/>
      <c r="W61" s="241"/>
      <c r="X61" s="241"/>
      <c r="Y61" s="241"/>
      <c r="Z61" s="241"/>
      <c r="AA61" s="241"/>
      <c r="AB61" s="241"/>
      <c r="AC61" s="241"/>
      <c r="AD61" s="241"/>
      <c r="AE61" s="241"/>
      <c r="AF61" s="241"/>
      <c r="AG61" s="241"/>
      <c r="AH61" s="241"/>
      <c r="AI61" s="241"/>
      <c r="AJ61" s="241"/>
      <c r="AK61" s="241"/>
      <c r="AL61" s="241"/>
      <c r="AM61" s="241"/>
      <c r="AN61" s="241"/>
      <c r="AO61" s="241"/>
      <c r="AP61" s="241"/>
      <c r="AQ61" s="241"/>
      <c r="AR61" s="241"/>
      <c r="AS61" s="241"/>
      <c r="AT61" s="241"/>
      <c r="AU61" s="241"/>
      <c r="AV61" s="241"/>
      <c r="AW61" s="241"/>
      <c r="AX61" s="241"/>
      <c r="AY61" s="241"/>
      <c r="AZ61" s="241"/>
      <c r="BA61" s="241"/>
      <c r="BB61" s="241"/>
      <c r="BC61" s="241"/>
      <c r="BD61" s="241"/>
      <c r="BE61" s="241"/>
      <c r="BF61" s="241"/>
      <c r="BG61" s="241"/>
      <c r="BH61" s="241"/>
      <c r="BI61" s="241"/>
      <c r="BJ61" s="241"/>
      <c r="BK61" s="241"/>
      <c r="BL61" s="241"/>
      <c r="BM61" s="241"/>
      <c r="BN61" s="241"/>
      <c r="BO61" s="241"/>
      <c r="BP61" s="241"/>
      <c r="BQ61" s="241"/>
      <c r="BR61" s="241"/>
      <c r="BS61" s="241"/>
      <c r="BT61" s="241"/>
      <c r="BU61" s="241"/>
      <c r="BV61" s="241"/>
      <c r="BW61" s="241"/>
      <c r="BX61" s="241"/>
      <c r="BY61" s="241"/>
      <c r="BZ61" s="241"/>
      <c r="CA61" s="241"/>
      <c r="CB61" s="241"/>
      <c r="CC61" s="241"/>
      <c r="CD61" s="241"/>
      <c r="CE61" s="241"/>
      <c r="CF61" s="241"/>
      <c r="CG61" s="241"/>
      <c r="CH61" s="241"/>
      <c r="CI61" s="241"/>
      <c r="CJ61" s="241"/>
      <c r="CK61" s="241"/>
      <c r="CL61" s="241"/>
      <c r="CM61" s="241"/>
      <c r="CN61" s="241"/>
      <c r="CO61" s="241"/>
      <c r="CP61" s="241"/>
      <c r="CQ61" s="241"/>
      <c r="CR61" s="241"/>
      <c r="CS61" s="241"/>
      <c r="CT61" s="241"/>
      <c r="CU61" s="241"/>
      <c r="CV61" s="241"/>
      <c r="CW61" s="241"/>
      <c r="CX61" s="241"/>
      <c r="CY61" s="241"/>
      <c r="CZ61" s="241"/>
      <c r="DA61" s="241"/>
      <c r="DB61" s="241"/>
      <c r="DC61" s="241"/>
      <c r="DD61" s="241"/>
      <c r="DE61" s="241"/>
      <c r="DF61" s="241"/>
      <c r="DG61" s="241"/>
      <c r="DH61" s="241"/>
      <c r="DI61" s="241"/>
      <c r="DJ61" s="241"/>
      <c r="DK61" s="241"/>
      <c r="DL61" s="241"/>
      <c r="DM61" s="241"/>
      <c r="DN61" s="241"/>
      <c r="DO61" s="241"/>
      <c r="DP61" s="241"/>
      <c r="DQ61" s="241"/>
      <c r="DR61" s="241"/>
      <c r="DS61" s="241"/>
      <c r="DT61" s="241"/>
      <c r="DU61" s="241"/>
      <c r="DV61" s="241"/>
      <c r="DW61" s="241"/>
      <c r="DX61" s="241"/>
      <c r="DY61" s="241"/>
      <c r="DZ61" s="241"/>
      <c r="EA61" s="241"/>
      <c r="EB61" s="241"/>
      <c r="EC61" s="241"/>
      <c r="ED61" s="241"/>
      <c r="EE61" s="241"/>
      <c r="EF61" s="241"/>
      <c r="EG61" s="241"/>
      <c r="EH61" s="241"/>
      <c r="EI61" s="241"/>
      <c r="EJ61" s="241"/>
      <c r="EK61" s="241"/>
      <c r="EL61" s="241"/>
      <c r="EM61" s="241"/>
      <c r="EN61" s="241"/>
      <c r="EO61" s="241"/>
      <c r="EP61" s="241"/>
      <c r="EQ61" s="241"/>
      <c r="ER61" s="241"/>
      <c r="ES61" s="241"/>
      <c r="ET61" s="241"/>
      <c r="EU61" s="241"/>
      <c r="EV61" s="241"/>
      <c r="EW61" s="241"/>
      <c r="EX61" s="241"/>
      <c r="EY61" s="241"/>
      <c r="EZ61" s="241"/>
      <c r="FA61" s="241"/>
      <c r="FB61" s="241"/>
      <c r="FC61" s="241"/>
      <c r="FD61" s="241"/>
      <c r="FE61" s="241"/>
      <c r="FF61" s="241"/>
      <c r="FG61" s="241"/>
      <c r="FH61" s="241"/>
      <c r="FI61" s="241"/>
      <c r="FJ61" s="241"/>
      <c r="FK61" s="241"/>
      <c r="FL61" s="241"/>
      <c r="FM61" s="241"/>
      <c r="FN61" s="241"/>
      <c r="FO61" s="241"/>
      <c r="FP61" s="241"/>
      <c r="FQ61" s="241"/>
      <c r="FR61" s="241"/>
      <c r="FS61" s="241"/>
      <c r="FT61" s="241"/>
      <c r="FU61" s="241"/>
      <c r="FV61" s="241"/>
      <c r="FW61" s="241"/>
      <c r="FX61" s="241"/>
      <c r="FY61" s="241"/>
      <c r="FZ61" s="241"/>
      <c r="GA61" s="241"/>
      <c r="GB61" s="241"/>
      <c r="GC61" s="241"/>
      <c r="GD61" s="241"/>
      <c r="GE61" s="241"/>
      <c r="GF61" s="241"/>
      <c r="GG61" s="241"/>
      <c r="GH61" s="241"/>
      <c r="GI61" s="241"/>
      <c r="GJ61" s="241"/>
      <c r="GK61" s="241"/>
      <c r="GL61" s="241"/>
      <c r="GM61" s="241"/>
      <c r="GN61" s="241"/>
      <c r="GO61" s="241"/>
      <c r="GP61" s="241"/>
      <c r="GQ61" s="241"/>
      <c r="GR61" s="241"/>
      <c r="GS61" s="241"/>
      <c r="GT61" s="241"/>
      <c r="GU61" s="241"/>
      <c r="GV61" s="241"/>
      <c r="GW61" s="241"/>
      <c r="GX61" s="241"/>
      <c r="GY61" s="241"/>
      <c r="GZ61" s="241"/>
      <c r="HA61" s="241"/>
      <c r="HB61" s="241"/>
      <c r="HC61" s="241"/>
      <c r="HD61" s="241"/>
      <c r="HE61" s="241"/>
      <c r="HF61" s="241"/>
      <c r="HG61" s="241"/>
      <c r="HH61" s="241"/>
      <c r="HI61" s="241"/>
      <c r="HJ61" s="241"/>
      <c r="HK61" s="241"/>
      <c r="HL61" s="241"/>
      <c r="HM61" s="241"/>
      <c r="HN61" s="241"/>
      <c r="HO61" s="241"/>
      <c r="HP61" s="241"/>
      <c r="HQ61" s="241"/>
      <c r="HR61" s="241"/>
      <c r="HS61" s="241"/>
      <c r="HT61" s="241"/>
      <c r="HU61" s="241"/>
      <c r="HV61" s="241"/>
      <c r="HW61" s="241"/>
      <c r="HX61" s="241"/>
      <c r="HY61" s="241"/>
      <c r="HZ61" s="241"/>
      <c r="IA61" s="241"/>
      <c r="IB61" s="241"/>
      <c r="IC61" s="241"/>
      <c r="ID61" s="241"/>
      <c r="IE61" s="241"/>
      <c r="IF61" s="241"/>
      <c r="IG61" s="241"/>
      <c r="IH61" s="241"/>
      <c r="II61" s="241"/>
      <c r="IJ61" s="241"/>
      <c r="IK61" s="241"/>
      <c r="IL61" s="241"/>
      <c r="IM61" s="241"/>
      <c r="IN61" s="241"/>
      <c r="IO61" s="241"/>
      <c r="IP61" s="241"/>
      <c r="IQ61" s="241"/>
      <c r="IR61" s="241"/>
      <c r="IS61" s="241"/>
      <c r="IT61" s="241"/>
      <c r="IU61" s="241"/>
      <c r="IV61" s="241"/>
      <c r="IW61" s="241"/>
      <c r="IX61" s="241"/>
      <c r="IY61" s="241"/>
      <c r="IZ61" s="241"/>
      <c r="JA61" s="241"/>
      <c r="JB61" s="241"/>
      <c r="JC61" s="241"/>
      <c r="JD61" s="241"/>
      <c r="JE61" s="241"/>
      <c r="JF61" s="241"/>
      <c r="JG61" s="241"/>
      <c r="JH61" s="241"/>
      <c r="JI61" s="241"/>
      <c r="JJ61" s="241"/>
      <c r="JK61" s="241"/>
      <c r="JL61" s="241"/>
      <c r="JM61" s="241"/>
      <c r="JN61" s="241"/>
      <c r="JO61" s="241"/>
      <c r="JP61" s="241"/>
      <c r="JQ61" s="241"/>
      <c r="JR61" s="241"/>
      <c r="JS61" s="241"/>
      <c r="JT61" s="241"/>
      <c r="JU61" s="241"/>
      <c r="JV61" s="241"/>
      <c r="JW61" s="241"/>
      <c r="JX61" s="241"/>
      <c r="JY61" s="241"/>
      <c r="JZ61" s="241"/>
      <c r="KA61" s="241"/>
      <c r="KB61" s="241"/>
      <c r="KC61" s="241"/>
      <c r="KD61" s="241"/>
      <c r="KE61" s="241"/>
      <c r="KF61" s="241"/>
      <c r="KG61" s="241"/>
      <c r="KH61" s="241"/>
      <c r="KI61" s="241"/>
      <c r="KJ61" s="241"/>
      <c r="KK61" s="241"/>
      <c r="KL61" s="241"/>
      <c r="KM61" s="241"/>
      <c r="KN61" s="241"/>
      <c r="KO61" s="241"/>
      <c r="KP61" s="241"/>
      <c r="KQ61" s="241"/>
      <c r="KR61" s="241"/>
      <c r="KS61" s="241"/>
      <c r="KT61" s="241"/>
      <c r="KU61" s="241"/>
      <c r="KV61" s="241"/>
      <c r="KW61" s="241"/>
      <c r="KX61" s="241"/>
      <c r="KY61" s="241"/>
      <c r="KZ61" s="241"/>
      <c r="LA61" s="241"/>
      <c r="LB61" s="241"/>
      <c r="LC61" s="241"/>
      <c r="LD61" s="241"/>
      <c r="LE61" s="241"/>
      <c r="LF61" s="241"/>
      <c r="LG61" s="241"/>
      <c r="LH61" s="241"/>
      <c r="LI61" s="241"/>
      <c r="LJ61" s="241"/>
      <c r="LK61" s="241"/>
      <c r="LL61" s="241"/>
      <c r="LM61" s="241"/>
      <c r="LN61" s="241"/>
      <c r="LO61" s="241"/>
      <c r="LP61" s="241"/>
      <c r="LQ61" s="241"/>
      <c r="LR61" s="241"/>
      <c r="LS61" s="241"/>
      <c r="LT61" s="241"/>
      <c r="LU61" s="241"/>
      <c r="LV61" s="241"/>
      <c r="LW61" s="241"/>
      <c r="LX61" s="241"/>
      <c r="LY61" s="241"/>
      <c r="LZ61" s="241"/>
      <c r="MA61" s="241"/>
      <c r="MB61" s="241"/>
      <c r="MC61" s="241"/>
      <c r="MD61" s="241"/>
      <c r="ME61" s="241"/>
      <c r="MF61" s="241"/>
      <c r="MG61" s="241"/>
      <c r="MH61" s="241"/>
      <c r="MI61" s="241"/>
      <c r="MJ61" s="241"/>
      <c r="MK61" s="241"/>
      <c r="ML61" s="241"/>
      <c r="MM61" s="241"/>
      <c r="MN61" s="241"/>
      <c r="MO61" s="241"/>
      <c r="MP61" s="241"/>
      <c r="MQ61" s="241"/>
      <c r="MR61" s="241"/>
      <c r="MS61" s="241"/>
      <c r="MT61" s="241"/>
      <c r="MU61" s="241"/>
      <c r="MV61" s="241"/>
      <c r="MW61" s="241"/>
      <c r="MX61" s="241"/>
      <c r="MY61" s="241"/>
      <c r="MZ61" s="241"/>
      <c r="NA61" s="241"/>
      <c r="NB61" s="241"/>
      <c r="NC61" s="241"/>
      <c r="ND61" s="241"/>
      <c r="NE61" s="241"/>
      <c r="NF61" s="241"/>
      <c r="NG61" s="241"/>
      <c r="NH61" s="241"/>
      <c r="NI61" s="241"/>
      <c r="NJ61" s="241"/>
      <c r="NK61" s="241"/>
      <c r="NL61" s="241"/>
      <c r="NM61" s="241"/>
      <c r="NN61" s="241"/>
      <c r="NO61" s="241"/>
      <c r="NP61" s="241"/>
      <c r="NQ61" s="241"/>
      <c r="NR61" s="241"/>
      <c r="NS61" s="241"/>
      <c r="NT61" s="241"/>
      <c r="NU61" s="241"/>
      <c r="NV61" s="241"/>
      <c r="NW61" s="241"/>
      <c r="NX61" s="241"/>
      <c r="NY61" s="241"/>
      <c r="NZ61" s="241"/>
      <c r="OA61" s="241"/>
      <c r="OB61" s="241"/>
      <c r="OC61" s="241"/>
      <c r="OD61" s="241"/>
      <c r="OE61" s="241"/>
      <c r="OF61" s="241"/>
      <c r="OG61" s="241"/>
      <c r="OH61" s="241"/>
      <c r="OI61" s="241"/>
      <c r="OJ61" s="241"/>
      <c r="OK61" s="241"/>
      <c r="OL61" s="241"/>
      <c r="OM61" s="241"/>
      <c r="ON61" s="241"/>
      <c r="OO61" s="241"/>
      <c r="OP61" s="241"/>
      <c r="OQ61" s="241"/>
      <c r="OR61" s="241"/>
      <c r="OS61" s="241"/>
      <c r="OT61" s="241"/>
      <c r="OU61" s="241"/>
      <c r="OV61" s="241"/>
      <c r="OW61" s="241"/>
      <c r="OX61" s="241"/>
      <c r="OY61" s="241"/>
      <c r="OZ61" s="241"/>
      <c r="PA61" s="241"/>
      <c r="PB61" s="241"/>
      <c r="PC61" s="241"/>
      <c r="PD61" s="241"/>
      <c r="PE61" s="241"/>
      <c r="PF61" s="241"/>
      <c r="PG61" s="241"/>
      <c r="PH61" s="241"/>
      <c r="PI61" s="241"/>
      <c r="PJ61" s="241"/>
      <c r="PK61" s="241"/>
      <c r="PL61" s="241"/>
      <c r="PM61" s="241"/>
      <c r="PN61" s="241"/>
      <c r="PO61" s="241"/>
      <c r="PP61" s="241"/>
      <c r="PQ61" s="241"/>
      <c r="PR61" s="241"/>
      <c r="PS61" s="241"/>
      <c r="PT61" s="241"/>
      <c r="PU61" s="241"/>
      <c r="PV61" s="241"/>
      <c r="PW61" s="241"/>
      <c r="PX61" s="241"/>
      <c r="PY61" s="241"/>
      <c r="PZ61" s="241"/>
      <c r="QA61" s="241"/>
      <c r="QB61" s="241"/>
      <c r="QC61" s="241"/>
      <c r="QD61" s="241"/>
      <c r="QE61" s="241"/>
      <c r="QF61" s="241"/>
      <c r="QG61" s="241"/>
      <c r="QH61" s="241"/>
      <c r="QI61" s="241"/>
      <c r="QJ61" s="241"/>
      <c r="QK61" s="241"/>
      <c r="QL61" s="241"/>
      <c r="QM61" s="241"/>
      <c r="QN61" s="241"/>
      <c r="QO61" s="241"/>
      <c r="QP61" s="241"/>
      <c r="QQ61" s="241"/>
      <c r="QR61" s="241"/>
      <c r="QS61" s="241"/>
      <c r="QT61" s="241"/>
      <c r="QU61" s="241"/>
      <c r="QV61" s="241"/>
      <c r="QW61" s="241"/>
      <c r="QX61" s="241"/>
      <c r="QY61" s="241"/>
      <c r="QZ61" s="241"/>
      <c r="RA61" s="241"/>
      <c r="RB61" s="241"/>
      <c r="RC61" s="241"/>
      <c r="RD61" s="241"/>
      <c r="RE61" s="241"/>
      <c r="RF61" s="241"/>
      <c r="RG61" s="241"/>
      <c r="RH61" s="241"/>
      <c r="RI61" s="241"/>
      <c r="RJ61" s="241"/>
      <c r="RK61" s="241"/>
      <c r="RL61" s="241"/>
      <c r="RM61" s="241"/>
      <c r="RN61" s="241"/>
      <c r="RO61" s="241"/>
      <c r="RP61" s="241"/>
      <c r="RQ61" s="241"/>
      <c r="RR61" s="241"/>
      <c r="RS61" s="241"/>
      <c r="RT61" s="241"/>
      <c r="RU61" s="241"/>
      <c r="RV61" s="241"/>
      <c r="RW61" s="241"/>
      <c r="RX61" s="241"/>
      <c r="RY61" s="241"/>
      <c r="RZ61" s="241"/>
      <c r="SA61" s="241"/>
      <c r="SB61" s="241"/>
      <c r="SC61" s="241"/>
      <c r="SD61" s="241"/>
      <c r="SE61" s="241"/>
      <c r="SF61" s="241"/>
      <c r="SG61" s="241"/>
      <c r="SH61" s="241"/>
      <c r="SI61" s="241"/>
      <c r="SJ61" s="241"/>
      <c r="SK61" s="241"/>
      <c r="SL61" s="241"/>
      <c r="SM61" s="241"/>
      <c r="SN61" s="241"/>
      <c r="SO61" s="241"/>
      <c r="SP61" s="241"/>
      <c r="SQ61" s="241"/>
      <c r="SR61" s="241"/>
      <c r="SS61" s="241"/>
      <c r="ST61" s="241"/>
      <c r="SU61" s="241"/>
      <c r="SV61" s="241"/>
      <c r="SW61" s="241"/>
      <c r="SX61" s="241"/>
      <c r="SY61" s="241"/>
      <c r="SZ61" s="241"/>
      <c r="TA61" s="241"/>
      <c r="TB61" s="241"/>
      <c r="TC61" s="241"/>
      <c r="TD61" s="241"/>
      <c r="TE61" s="241"/>
      <c r="TF61" s="241"/>
      <c r="TG61" s="241"/>
      <c r="TH61" s="241"/>
      <c r="TI61" s="241"/>
      <c r="TJ61" s="241"/>
      <c r="TK61" s="241"/>
      <c r="TL61" s="241"/>
      <c r="TM61" s="241"/>
      <c r="TN61" s="241"/>
      <c r="TO61" s="241"/>
      <c r="TP61" s="241"/>
      <c r="TQ61" s="241"/>
      <c r="TR61" s="241"/>
      <c r="TS61" s="241"/>
      <c r="TT61" s="241"/>
      <c r="TU61" s="241"/>
      <c r="TV61" s="241"/>
      <c r="TW61" s="241"/>
      <c r="TX61" s="241"/>
      <c r="TY61" s="241"/>
      <c r="TZ61" s="241"/>
      <c r="UA61" s="241"/>
      <c r="UB61" s="241"/>
      <c r="UC61" s="241"/>
      <c r="UD61" s="241"/>
      <c r="UE61" s="241"/>
      <c r="UF61" s="241"/>
      <c r="UG61" s="241"/>
      <c r="UH61" s="241"/>
      <c r="UI61" s="241"/>
      <c r="UJ61" s="241"/>
      <c r="UK61" s="241"/>
      <c r="UL61" s="241"/>
      <c r="UM61" s="241"/>
      <c r="UN61" s="241"/>
      <c r="UO61" s="241"/>
      <c r="UP61" s="241"/>
      <c r="UQ61" s="241"/>
      <c r="UR61" s="241"/>
      <c r="US61" s="241"/>
      <c r="UT61" s="241"/>
      <c r="UU61" s="241"/>
      <c r="UV61" s="241"/>
      <c r="UW61" s="241"/>
      <c r="UX61" s="241"/>
      <c r="UY61" s="241"/>
      <c r="UZ61" s="241"/>
      <c r="VA61" s="241"/>
      <c r="VB61" s="241"/>
      <c r="VC61" s="241"/>
      <c r="VD61" s="241"/>
      <c r="VE61" s="241"/>
      <c r="VF61" s="241"/>
      <c r="VG61" s="241"/>
      <c r="VH61" s="241"/>
      <c r="VI61" s="241"/>
      <c r="VJ61" s="241"/>
      <c r="VK61" s="241"/>
      <c r="VL61" s="241"/>
      <c r="VM61" s="241"/>
      <c r="VN61" s="241"/>
      <c r="VO61" s="241"/>
      <c r="VP61" s="241"/>
      <c r="VQ61" s="241"/>
      <c r="VR61" s="241"/>
      <c r="VS61" s="241"/>
      <c r="VT61" s="241"/>
      <c r="VU61" s="241"/>
      <c r="VV61" s="241"/>
      <c r="VW61" s="241"/>
      <c r="VX61" s="241"/>
      <c r="VY61" s="241"/>
      <c r="VZ61" s="241"/>
      <c r="WA61" s="241"/>
      <c r="WB61" s="241"/>
      <c r="WC61" s="241"/>
      <c r="WD61" s="241"/>
      <c r="WE61" s="241"/>
      <c r="WF61" s="241"/>
      <c r="WG61" s="241"/>
      <c r="WH61" s="241"/>
      <c r="WI61" s="241"/>
      <c r="WJ61" s="241"/>
      <c r="WK61" s="241"/>
      <c r="WL61" s="241"/>
      <c r="WM61" s="241"/>
      <c r="WN61" s="241"/>
      <c r="WO61" s="241"/>
      <c r="WP61" s="241"/>
      <c r="WQ61" s="241"/>
      <c r="WR61" s="241"/>
      <c r="WS61" s="241"/>
      <c r="WT61" s="241"/>
      <c r="WU61" s="241"/>
      <c r="WV61" s="241"/>
      <c r="WW61" s="241"/>
      <c r="WX61" s="241"/>
      <c r="WY61" s="241"/>
      <c r="WZ61" s="241"/>
      <c r="XA61" s="241"/>
      <c r="XB61" s="241"/>
      <c r="XC61" s="241"/>
      <c r="XD61" s="241"/>
      <c r="XE61" s="241"/>
      <c r="XF61" s="241"/>
      <c r="XG61" s="241"/>
      <c r="XH61" s="241"/>
      <c r="XI61" s="241"/>
      <c r="XJ61" s="241"/>
      <c r="XK61" s="241"/>
      <c r="XL61" s="241"/>
      <c r="XM61" s="241"/>
      <c r="XN61" s="241"/>
      <c r="XO61" s="241"/>
      <c r="XP61" s="241"/>
      <c r="XQ61" s="241"/>
      <c r="XR61" s="241"/>
      <c r="XS61" s="241"/>
      <c r="XT61" s="241"/>
      <c r="XU61" s="241"/>
      <c r="XV61" s="241"/>
      <c r="XW61" s="241"/>
      <c r="XX61" s="241"/>
      <c r="XY61" s="241"/>
      <c r="XZ61" s="241"/>
      <c r="YA61" s="241"/>
      <c r="YB61" s="241"/>
      <c r="YC61" s="241"/>
      <c r="YD61" s="241"/>
      <c r="YE61" s="241"/>
      <c r="YF61" s="241"/>
      <c r="YG61" s="241"/>
      <c r="YH61" s="241"/>
      <c r="YI61" s="241"/>
      <c r="YJ61" s="241"/>
      <c r="YK61" s="241"/>
      <c r="YL61" s="241"/>
      <c r="YM61" s="241"/>
      <c r="YN61" s="241"/>
      <c r="YO61" s="241"/>
      <c r="YP61" s="241"/>
      <c r="YQ61" s="241"/>
      <c r="YR61" s="241"/>
      <c r="YS61" s="241"/>
      <c r="YT61" s="241"/>
      <c r="YU61" s="241"/>
      <c r="YV61" s="241"/>
      <c r="YW61" s="241"/>
      <c r="YX61" s="241"/>
      <c r="YY61" s="241"/>
      <c r="YZ61" s="241"/>
      <c r="ZA61" s="241"/>
      <c r="ZB61" s="241"/>
      <c r="ZC61" s="241"/>
      <c r="ZD61" s="241"/>
      <c r="ZE61" s="241"/>
      <c r="ZF61" s="241"/>
      <c r="ZG61" s="241"/>
      <c r="ZH61" s="241"/>
      <c r="ZI61" s="241"/>
      <c r="ZJ61" s="241"/>
      <c r="ZK61" s="241"/>
      <c r="ZL61" s="241"/>
      <c r="ZM61" s="241"/>
      <c r="ZN61" s="241"/>
      <c r="ZO61" s="241"/>
      <c r="ZP61" s="241"/>
      <c r="ZQ61" s="241"/>
      <c r="ZR61" s="241"/>
      <c r="ZS61" s="241"/>
      <c r="ZT61" s="241"/>
      <c r="ZU61" s="241"/>
      <c r="ZV61" s="241"/>
      <c r="ZW61" s="241"/>
      <c r="ZX61" s="241"/>
      <c r="ZY61" s="241"/>
      <c r="ZZ61" s="241"/>
    </row>
    <row r="62" spans="1:702" s="254" customFormat="1" x14ac:dyDescent="0.2">
      <c r="A62" s="241"/>
      <c r="B62" s="241"/>
      <c r="C62" s="241"/>
      <c r="D62" s="253"/>
      <c r="E62" s="241"/>
      <c r="F62" s="241"/>
      <c r="G62" s="241"/>
      <c r="H62" s="241"/>
      <c r="I62" s="241"/>
      <c r="J62" s="241"/>
      <c r="K62" s="241"/>
      <c r="L62" s="241"/>
      <c r="M62" s="241"/>
      <c r="N62" s="241"/>
      <c r="O62" s="241"/>
      <c r="P62" s="241"/>
      <c r="Q62" s="241"/>
      <c r="R62" s="241"/>
      <c r="S62" s="241"/>
      <c r="T62" s="241"/>
      <c r="U62" s="241"/>
      <c r="V62" s="241"/>
      <c r="W62" s="241"/>
      <c r="X62" s="241"/>
      <c r="Y62" s="241"/>
      <c r="Z62" s="241"/>
      <c r="AA62" s="241"/>
      <c r="AB62" s="241"/>
      <c r="AC62" s="241"/>
      <c r="AD62" s="241"/>
      <c r="AE62" s="241"/>
      <c r="AF62" s="241"/>
      <c r="AG62" s="241"/>
      <c r="AH62" s="241"/>
      <c r="AI62" s="241"/>
      <c r="AJ62" s="241"/>
      <c r="AK62" s="241"/>
      <c r="AL62" s="241"/>
      <c r="AM62" s="241"/>
      <c r="AN62" s="241"/>
      <c r="AO62" s="241"/>
      <c r="AP62" s="241"/>
      <c r="AQ62" s="241"/>
      <c r="AR62" s="241"/>
      <c r="AS62" s="241"/>
      <c r="AT62" s="241"/>
      <c r="AU62" s="241"/>
      <c r="AV62" s="241"/>
      <c r="AW62" s="241"/>
      <c r="AX62" s="241"/>
      <c r="AY62" s="241"/>
      <c r="AZ62" s="241"/>
      <c r="BA62" s="241"/>
      <c r="BB62" s="241"/>
      <c r="BC62" s="241"/>
      <c r="BD62" s="241"/>
      <c r="BE62" s="241"/>
      <c r="BF62" s="241"/>
      <c r="BG62" s="241"/>
      <c r="BH62" s="241"/>
      <c r="BI62" s="241"/>
      <c r="BJ62" s="241"/>
      <c r="BK62" s="241"/>
      <c r="BL62" s="241"/>
      <c r="BM62" s="241"/>
      <c r="BN62" s="241"/>
      <c r="BO62" s="241"/>
      <c r="BP62" s="241"/>
      <c r="BQ62" s="241"/>
      <c r="BR62" s="241"/>
      <c r="BS62" s="241"/>
      <c r="BT62" s="241"/>
      <c r="BU62" s="241"/>
      <c r="BV62" s="241"/>
      <c r="BW62" s="241"/>
      <c r="BX62" s="241"/>
      <c r="BY62" s="241"/>
      <c r="BZ62" s="241"/>
      <c r="CA62" s="241"/>
      <c r="CB62" s="241"/>
      <c r="CC62" s="241"/>
      <c r="CD62" s="241"/>
      <c r="CE62" s="241"/>
      <c r="CF62" s="241"/>
      <c r="CG62" s="241"/>
      <c r="CH62" s="241"/>
      <c r="CI62" s="241"/>
      <c r="CJ62" s="241"/>
      <c r="CK62" s="241"/>
      <c r="CL62" s="241"/>
      <c r="CM62" s="241"/>
      <c r="CN62" s="241"/>
      <c r="CO62" s="241"/>
      <c r="CP62" s="241"/>
      <c r="CQ62" s="241"/>
      <c r="CR62" s="241"/>
      <c r="CS62" s="241"/>
      <c r="CT62" s="241"/>
      <c r="CU62" s="241"/>
      <c r="CV62" s="241"/>
      <c r="CW62" s="241"/>
      <c r="CX62" s="241"/>
      <c r="CY62" s="241"/>
      <c r="CZ62" s="241"/>
      <c r="DA62" s="241"/>
      <c r="DB62" s="241"/>
      <c r="DC62" s="241"/>
      <c r="DD62" s="241"/>
      <c r="DE62" s="241"/>
      <c r="DF62" s="241"/>
      <c r="DG62" s="241"/>
      <c r="DH62" s="241"/>
      <c r="DI62" s="241"/>
      <c r="DJ62" s="241"/>
      <c r="DK62" s="241"/>
      <c r="DL62" s="241"/>
      <c r="DM62" s="241"/>
      <c r="DN62" s="241"/>
      <c r="DO62" s="241"/>
      <c r="DP62" s="241"/>
      <c r="DQ62" s="241"/>
      <c r="DR62" s="241"/>
      <c r="DS62" s="241"/>
      <c r="DT62" s="241"/>
      <c r="DU62" s="241"/>
      <c r="DV62" s="241"/>
      <c r="DW62" s="241"/>
      <c r="DX62" s="241"/>
      <c r="DY62" s="241"/>
      <c r="DZ62" s="241"/>
      <c r="EA62" s="241"/>
      <c r="EB62" s="241"/>
      <c r="EC62" s="241"/>
      <c r="ED62" s="241"/>
      <c r="EE62" s="241"/>
      <c r="EF62" s="241"/>
      <c r="EG62" s="241"/>
      <c r="EH62" s="241"/>
      <c r="EI62" s="241"/>
      <c r="EJ62" s="241"/>
      <c r="EK62" s="241"/>
      <c r="EL62" s="241"/>
      <c r="EM62" s="241"/>
      <c r="EN62" s="241"/>
      <c r="EO62" s="241"/>
      <c r="EP62" s="241"/>
      <c r="EQ62" s="241"/>
      <c r="ER62" s="241"/>
      <c r="ES62" s="241"/>
      <c r="ET62" s="241"/>
      <c r="EU62" s="241"/>
      <c r="EV62" s="241"/>
      <c r="EW62" s="241"/>
      <c r="EX62" s="241"/>
      <c r="EY62" s="241"/>
      <c r="EZ62" s="241"/>
      <c r="FA62" s="241"/>
      <c r="FB62" s="241"/>
      <c r="FC62" s="241"/>
      <c r="FD62" s="241"/>
      <c r="FE62" s="241"/>
      <c r="FF62" s="241"/>
      <c r="FG62" s="241"/>
      <c r="FH62" s="241"/>
      <c r="FI62" s="241"/>
      <c r="FJ62" s="241"/>
      <c r="FK62" s="241"/>
      <c r="FL62" s="241"/>
      <c r="FM62" s="241"/>
      <c r="FN62" s="241"/>
      <c r="FO62" s="241"/>
      <c r="FP62" s="241"/>
      <c r="FQ62" s="241"/>
      <c r="FR62" s="241"/>
      <c r="FS62" s="241"/>
      <c r="FT62" s="241"/>
      <c r="FU62" s="241"/>
      <c r="FV62" s="241"/>
      <c r="FW62" s="241"/>
      <c r="FX62" s="241"/>
      <c r="FY62" s="241"/>
      <c r="FZ62" s="241"/>
      <c r="GA62" s="241"/>
      <c r="GB62" s="241"/>
      <c r="GC62" s="241"/>
      <c r="GD62" s="241"/>
      <c r="GE62" s="241"/>
      <c r="GF62" s="241"/>
      <c r="GG62" s="241"/>
      <c r="GH62" s="241"/>
      <c r="GI62" s="241"/>
      <c r="GJ62" s="241"/>
      <c r="GK62" s="241"/>
      <c r="GL62" s="241"/>
      <c r="GM62" s="241"/>
      <c r="GN62" s="241"/>
      <c r="GO62" s="241"/>
      <c r="GP62" s="241"/>
      <c r="GQ62" s="241"/>
      <c r="GR62" s="241"/>
      <c r="GS62" s="241"/>
      <c r="GT62" s="241"/>
      <c r="GU62" s="241"/>
      <c r="GV62" s="241"/>
      <c r="GW62" s="241"/>
      <c r="GX62" s="241"/>
      <c r="GY62" s="241"/>
      <c r="GZ62" s="241"/>
      <c r="HA62" s="241"/>
      <c r="HB62" s="241"/>
      <c r="HC62" s="241"/>
      <c r="HD62" s="241"/>
      <c r="HE62" s="241"/>
      <c r="HF62" s="241"/>
      <c r="HG62" s="241"/>
      <c r="HH62" s="241"/>
      <c r="HI62" s="241"/>
      <c r="HJ62" s="241"/>
      <c r="HK62" s="241"/>
      <c r="HL62" s="241"/>
      <c r="HM62" s="241"/>
      <c r="HN62" s="241"/>
      <c r="HO62" s="241"/>
      <c r="HP62" s="241"/>
      <c r="HQ62" s="241"/>
      <c r="HR62" s="241"/>
      <c r="HS62" s="241"/>
      <c r="HT62" s="241"/>
      <c r="HU62" s="241"/>
      <c r="HV62" s="241"/>
      <c r="HW62" s="241"/>
      <c r="HX62" s="241"/>
      <c r="HY62" s="241"/>
      <c r="HZ62" s="241"/>
      <c r="IA62" s="241"/>
      <c r="IB62" s="241"/>
      <c r="IC62" s="241"/>
      <c r="ID62" s="241"/>
      <c r="IE62" s="241"/>
      <c r="IF62" s="241"/>
      <c r="IG62" s="241"/>
      <c r="IH62" s="241"/>
      <c r="II62" s="241"/>
      <c r="IJ62" s="241"/>
      <c r="IK62" s="241"/>
      <c r="IL62" s="241"/>
      <c r="IM62" s="241"/>
      <c r="IN62" s="241"/>
      <c r="IO62" s="241"/>
      <c r="IP62" s="241"/>
      <c r="IQ62" s="241"/>
      <c r="IR62" s="241"/>
      <c r="IS62" s="241"/>
      <c r="IT62" s="241"/>
      <c r="IU62" s="241"/>
      <c r="IV62" s="241"/>
      <c r="IW62" s="241"/>
      <c r="IX62" s="241"/>
      <c r="IY62" s="241"/>
      <c r="IZ62" s="241"/>
      <c r="JA62" s="241"/>
      <c r="JB62" s="241"/>
      <c r="JC62" s="241"/>
      <c r="JD62" s="241"/>
      <c r="JE62" s="241"/>
      <c r="JF62" s="241"/>
      <c r="JG62" s="241"/>
      <c r="JH62" s="241"/>
      <c r="JI62" s="241"/>
      <c r="JJ62" s="241"/>
      <c r="JK62" s="241"/>
      <c r="JL62" s="241"/>
      <c r="JM62" s="241"/>
      <c r="JN62" s="241"/>
      <c r="JO62" s="241"/>
      <c r="JP62" s="241"/>
      <c r="JQ62" s="241"/>
      <c r="JR62" s="241"/>
      <c r="JS62" s="241"/>
      <c r="JT62" s="241"/>
      <c r="JU62" s="241"/>
      <c r="JV62" s="241"/>
      <c r="JW62" s="241"/>
      <c r="JX62" s="241"/>
      <c r="JY62" s="241"/>
      <c r="JZ62" s="241"/>
      <c r="KA62" s="241"/>
      <c r="KB62" s="241"/>
      <c r="KC62" s="241"/>
      <c r="KD62" s="241"/>
      <c r="KE62" s="241"/>
      <c r="KF62" s="241"/>
      <c r="KG62" s="241"/>
      <c r="KH62" s="241"/>
      <c r="KI62" s="241"/>
      <c r="KJ62" s="241"/>
      <c r="KK62" s="241"/>
      <c r="KL62" s="241"/>
      <c r="KM62" s="241"/>
      <c r="KN62" s="241"/>
      <c r="KO62" s="241"/>
      <c r="KP62" s="241"/>
      <c r="KQ62" s="241"/>
      <c r="KR62" s="241"/>
      <c r="KS62" s="241"/>
      <c r="KT62" s="241"/>
      <c r="KU62" s="241"/>
      <c r="KV62" s="241"/>
      <c r="KW62" s="241"/>
      <c r="KX62" s="241"/>
      <c r="KY62" s="241"/>
      <c r="KZ62" s="241"/>
      <c r="LA62" s="241"/>
      <c r="LB62" s="241"/>
      <c r="LC62" s="241"/>
      <c r="LD62" s="241"/>
      <c r="LE62" s="241"/>
      <c r="LF62" s="241"/>
      <c r="LG62" s="241"/>
      <c r="LH62" s="241"/>
      <c r="LI62" s="241"/>
      <c r="LJ62" s="241"/>
      <c r="LK62" s="241"/>
      <c r="LL62" s="241"/>
      <c r="LM62" s="241"/>
      <c r="LN62" s="241"/>
      <c r="LO62" s="241"/>
      <c r="LP62" s="241"/>
      <c r="LQ62" s="241"/>
      <c r="LR62" s="241"/>
      <c r="LS62" s="241"/>
      <c r="LT62" s="241"/>
      <c r="LU62" s="241"/>
      <c r="LV62" s="241"/>
      <c r="LW62" s="241"/>
      <c r="LX62" s="241"/>
      <c r="LY62" s="241"/>
      <c r="LZ62" s="241"/>
      <c r="MA62" s="241"/>
      <c r="MB62" s="241"/>
      <c r="MC62" s="241"/>
      <c r="MD62" s="241"/>
      <c r="ME62" s="241"/>
      <c r="MF62" s="241"/>
      <c r="MG62" s="241"/>
      <c r="MH62" s="241"/>
      <c r="MI62" s="241"/>
      <c r="MJ62" s="241"/>
      <c r="MK62" s="241"/>
      <c r="ML62" s="241"/>
      <c r="MM62" s="241"/>
      <c r="MN62" s="241"/>
      <c r="MO62" s="241"/>
      <c r="MP62" s="241"/>
      <c r="MQ62" s="241"/>
      <c r="MR62" s="241"/>
      <c r="MS62" s="241"/>
      <c r="MT62" s="241"/>
      <c r="MU62" s="241"/>
      <c r="MV62" s="241"/>
      <c r="MW62" s="241"/>
      <c r="MX62" s="241"/>
      <c r="MY62" s="241"/>
      <c r="MZ62" s="241"/>
      <c r="NA62" s="241"/>
      <c r="NB62" s="241"/>
      <c r="NC62" s="241"/>
      <c r="ND62" s="241"/>
      <c r="NE62" s="241"/>
      <c r="NF62" s="241"/>
      <c r="NG62" s="241"/>
      <c r="NH62" s="241"/>
      <c r="NI62" s="241"/>
      <c r="NJ62" s="241"/>
      <c r="NK62" s="241"/>
      <c r="NL62" s="241"/>
      <c r="NM62" s="241"/>
      <c r="NN62" s="241"/>
      <c r="NO62" s="241"/>
      <c r="NP62" s="241"/>
      <c r="NQ62" s="241"/>
      <c r="NR62" s="241"/>
      <c r="NS62" s="241"/>
      <c r="NT62" s="241"/>
      <c r="NU62" s="241"/>
      <c r="NV62" s="241"/>
      <c r="NW62" s="241"/>
      <c r="NX62" s="241"/>
      <c r="NY62" s="241"/>
      <c r="NZ62" s="241"/>
      <c r="OA62" s="241"/>
      <c r="OB62" s="241"/>
      <c r="OC62" s="241"/>
      <c r="OD62" s="241"/>
      <c r="OE62" s="241"/>
      <c r="OF62" s="241"/>
      <c r="OG62" s="241"/>
      <c r="OH62" s="241"/>
      <c r="OI62" s="241"/>
      <c r="OJ62" s="241"/>
      <c r="OK62" s="241"/>
      <c r="OL62" s="241"/>
      <c r="OM62" s="241"/>
      <c r="ON62" s="241"/>
      <c r="OO62" s="241"/>
      <c r="OP62" s="241"/>
      <c r="OQ62" s="241"/>
      <c r="OR62" s="241"/>
      <c r="OS62" s="241"/>
      <c r="OT62" s="241"/>
      <c r="OU62" s="241"/>
      <c r="OV62" s="241"/>
      <c r="OW62" s="241"/>
      <c r="OX62" s="241"/>
      <c r="OY62" s="241"/>
      <c r="OZ62" s="241"/>
      <c r="PA62" s="241"/>
      <c r="PB62" s="241"/>
      <c r="PC62" s="241"/>
      <c r="PD62" s="241"/>
      <c r="PE62" s="241"/>
      <c r="PF62" s="241"/>
      <c r="PG62" s="241"/>
      <c r="PH62" s="241"/>
      <c r="PI62" s="241"/>
      <c r="PJ62" s="241"/>
      <c r="PK62" s="241"/>
      <c r="PL62" s="241"/>
      <c r="PM62" s="241"/>
      <c r="PN62" s="241"/>
      <c r="PO62" s="241"/>
      <c r="PP62" s="241"/>
      <c r="PQ62" s="241"/>
      <c r="PR62" s="241"/>
      <c r="PS62" s="241"/>
      <c r="PT62" s="241"/>
      <c r="PU62" s="241"/>
      <c r="PV62" s="241"/>
      <c r="PW62" s="241"/>
      <c r="PX62" s="241"/>
      <c r="PY62" s="241"/>
      <c r="PZ62" s="241"/>
      <c r="QA62" s="241"/>
      <c r="QB62" s="241"/>
      <c r="QC62" s="241"/>
      <c r="QD62" s="241"/>
      <c r="QE62" s="241"/>
      <c r="QF62" s="241"/>
      <c r="QG62" s="241"/>
      <c r="QH62" s="241"/>
      <c r="QI62" s="241"/>
      <c r="QJ62" s="241"/>
      <c r="QK62" s="241"/>
      <c r="QL62" s="241"/>
      <c r="QM62" s="241"/>
      <c r="QN62" s="241"/>
      <c r="QO62" s="241"/>
      <c r="QP62" s="241"/>
      <c r="QQ62" s="241"/>
      <c r="QR62" s="241"/>
      <c r="QS62" s="241"/>
      <c r="QT62" s="241"/>
      <c r="QU62" s="241"/>
      <c r="QV62" s="241"/>
      <c r="QW62" s="241"/>
      <c r="QX62" s="241"/>
      <c r="QY62" s="241"/>
      <c r="QZ62" s="241"/>
      <c r="RA62" s="241"/>
      <c r="RB62" s="241"/>
      <c r="RC62" s="241"/>
      <c r="RD62" s="241"/>
      <c r="RE62" s="241"/>
      <c r="RF62" s="241"/>
      <c r="RG62" s="241"/>
      <c r="RH62" s="241"/>
      <c r="RI62" s="241"/>
      <c r="RJ62" s="241"/>
      <c r="RK62" s="241"/>
      <c r="RL62" s="241"/>
      <c r="RM62" s="241"/>
      <c r="RN62" s="241"/>
      <c r="RO62" s="241"/>
      <c r="RP62" s="241"/>
      <c r="RQ62" s="241"/>
      <c r="RR62" s="241"/>
      <c r="RS62" s="241"/>
      <c r="RT62" s="241"/>
      <c r="RU62" s="241"/>
      <c r="RV62" s="241"/>
      <c r="RW62" s="241"/>
      <c r="RX62" s="241"/>
      <c r="RY62" s="241"/>
      <c r="RZ62" s="241"/>
      <c r="SA62" s="241"/>
      <c r="SB62" s="241"/>
      <c r="SC62" s="241"/>
      <c r="SD62" s="241"/>
      <c r="SE62" s="241"/>
      <c r="SF62" s="241"/>
      <c r="SG62" s="241"/>
      <c r="SH62" s="241"/>
      <c r="SI62" s="241"/>
      <c r="SJ62" s="241"/>
      <c r="SK62" s="241"/>
      <c r="SL62" s="241"/>
      <c r="SM62" s="241"/>
      <c r="SN62" s="241"/>
      <c r="SO62" s="241"/>
      <c r="SP62" s="241"/>
      <c r="SQ62" s="241"/>
      <c r="SR62" s="241"/>
      <c r="SS62" s="241"/>
      <c r="ST62" s="241"/>
      <c r="SU62" s="241"/>
      <c r="SV62" s="241"/>
      <c r="SW62" s="241"/>
      <c r="SX62" s="241"/>
      <c r="SY62" s="241"/>
      <c r="SZ62" s="241"/>
      <c r="TA62" s="241"/>
      <c r="TB62" s="241"/>
      <c r="TC62" s="241"/>
      <c r="TD62" s="241"/>
      <c r="TE62" s="241"/>
      <c r="TF62" s="241"/>
      <c r="TG62" s="241"/>
      <c r="TH62" s="241"/>
      <c r="TI62" s="241"/>
      <c r="TJ62" s="241"/>
      <c r="TK62" s="241"/>
      <c r="TL62" s="241"/>
      <c r="TM62" s="241"/>
      <c r="TN62" s="241"/>
      <c r="TO62" s="241"/>
      <c r="TP62" s="241"/>
      <c r="TQ62" s="241"/>
      <c r="TR62" s="241"/>
      <c r="TS62" s="241"/>
      <c r="TT62" s="241"/>
      <c r="TU62" s="241"/>
      <c r="TV62" s="241"/>
      <c r="TW62" s="241"/>
      <c r="TX62" s="241"/>
      <c r="TY62" s="241"/>
      <c r="TZ62" s="241"/>
      <c r="UA62" s="241"/>
      <c r="UB62" s="241"/>
      <c r="UC62" s="241"/>
      <c r="UD62" s="241"/>
      <c r="UE62" s="241"/>
      <c r="UF62" s="241"/>
      <c r="UG62" s="241"/>
      <c r="UH62" s="241"/>
      <c r="UI62" s="241"/>
      <c r="UJ62" s="241"/>
      <c r="UK62" s="241"/>
      <c r="UL62" s="241"/>
      <c r="UM62" s="241"/>
      <c r="UN62" s="241"/>
      <c r="UO62" s="241"/>
      <c r="UP62" s="241"/>
      <c r="UQ62" s="241"/>
      <c r="UR62" s="241"/>
      <c r="US62" s="241"/>
      <c r="UT62" s="241"/>
      <c r="UU62" s="241"/>
      <c r="UV62" s="241"/>
      <c r="UW62" s="241"/>
      <c r="UX62" s="241"/>
      <c r="UY62" s="241"/>
      <c r="UZ62" s="241"/>
      <c r="VA62" s="241"/>
      <c r="VB62" s="241"/>
      <c r="VC62" s="241"/>
      <c r="VD62" s="241"/>
      <c r="VE62" s="241"/>
      <c r="VF62" s="241"/>
      <c r="VG62" s="241"/>
      <c r="VH62" s="241"/>
      <c r="VI62" s="241"/>
      <c r="VJ62" s="241"/>
      <c r="VK62" s="241"/>
      <c r="VL62" s="241"/>
      <c r="VM62" s="241"/>
      <c r="VN62" s="241"/>
      <c r="VO62" s="241"/>
      <c r="VP62" s="241"/>
      <c r="VQ62" s="241"/>
      <c r="VR62" s="241"/>
      <c r="VS62" s="241"/>
      <c r="VT62" s="241"/>
      <c r="VU62" s="241"/>
      <c r="VV62" s="241"/>
      <c r="VW62" s="241"/>
      <c r="VX62" s="241"/>
      <c r="VY62" s="241"/>
      <c r="VZ62" s="241"/>
      <c r="WA62" s="241"/>
      <c r="WB62" s="241"/>
      <c r="WC62" s="241"/>
      <c r="WD62" s="241"/>
      <c r="WE62" s="241"/>
      <c r="WF62" s="241"/>
      <c r="WG62" s="241"/>
      <c r="WH62" s="241"/>
      <c r="WI62" s="241"/>
      <c r="WJ62" s="241"/>
      <c r="WK62" s="241"/>
      <c r="WL62" s="241"/>
      <c r="WM62" s="241"/>
      <c r="WN62" s="241"/>
      <c r="WO62" s="241"/>
      <c r="WP62" s="241"/>
      <c r="WQ62" s="241"/>
      <c r="WR62" s="241"/>
      <c r="WS62" s="241"/>
      <c r="WT62" s="241"/>
      <c r="WU62" s="241"/>
      <c r="WV62" s="241"/>
      <c r="WW62" s="241"/>
      <c r="WX62" s="241"/>
      <c r="WY62" s="241"/>
      <c r="WZ62" s="241"/>
      <c r="XA62" s="241"/>
      <c r="XB62" s="241"/>
      <c r="XC62" s="241"/>
      <c r="XD62" s="241"/>
      <c r="XE62" s="241"/>
      <c r="XF62" s="241"/>
      <c r="XG62" s="241"/>
      <c r="XH62" s="241"/>
      <c r="XI62" s="241"/>
      <c r="XJ62" s="241"/>
      <c r="XK62" s="241"/>
      <c r="XL62" s="241"/>
      <c r="XM62" s="241"/>
      <c r="XN62" s="241"/>
      <c r="XO62" s="241"/>
      <c r="XP62" s="241"/>
      <c r="XQ62" s="241"/>
      <c r="XR62" s="241"/>
      <c r="XS62" s="241"/>
      <c r="XT62" s="241"/>
      <c r="XU62" s="241"/>
      <c r="XV62" s="241"/>
      <c r="XW62" s="241"/>
      <c r="XX62" s="241"/>
      <c r="XY62" s="241"/>
      <c r="XZ62" s="241"/>
      <c r="YA62" s="241"/>
      <c r="YB62" s="241"/>
      <c r="YC62" s="241"/>
      <c r="YD62" s="241"/>
      <c r="YE62" s="241"/>
      <c r="YF62" s="241"/>
      <c r="YG62" s="241"/>
      <c r="YH62" s="241"/>
      <c r="YI62" s="241"/>
      <c r="YJ62" s="241"/>
      <c r="YK62" s="241"/>
      <c r="YL62" s="241"/>
      <c r="YM62" s="241"/>
      <c r="YN62" s="241"/>
      <c r="YO62" s="241"/>
      <c r="YP62" s="241"/>
      <c r="YQ62" s="241"/>
      <c r="YR62" s="241"/>
      <c r="YS62" s="241"/>
      <c r="YT62" s="241"/>
      <c r="YU62" s="241"/>
      <c r="YV62" s="241"/>
      <c r="YW62" s="241"/>
      <c r="YX62" s="241"/>
      <c r="YY62" s="241"/>
      <c r="YZ62" s="241"/>
      <c r="ZA62" s="241"/>
      <c r="ZB62" s="241"/>
      <c r="ZC62" s="241"/>
      <c r="ZD62" s="241"/>
      <c r="ZE62" s="241"/>
      <c r="ZF62" s="241"/>
      <c r="ZG62" s="241"/>
      <c r="ZH62" s="241"/>
      <c r="ZI62" s="241"/>
      <c r="ZJ62" s="241"/>
      <c r="ZK62" s="241"/>
      <c r="ZL62" s="241"/>
      <c r="ZM62" s="241"/>
      <c r="ZN62" s="241"/>
      <c r="ZO62" s="241"/>
      <c r="ZP62" s="241"/>
      <c r="ZQ62" s="241"/>
      <c r="ZR62" s="241"/>
      <c r="ZS62" s="241"/>
      <c r="ZT62" s="241"/>
      <c r="ZU62" s="241"/>
      <c r="ZV62" s="241"/>
      <c r="ZW62" s="241"/>
      <c r="ZX62" s="241"/>
      <c r="ZY62" s="241"/>
      <c r="ZZ62" s="241"/>
    </row>
    <row r="63" spans="1:702" s="254" customFormat="1" x14ac:dyDescent="0.2">
      <c r="A63" s="241"/>
      <c r="B63" s="241"/>
      <c r="C63" s="241"/>
      <c r="D63" s="253"/>
      <c r="E63" s="241"/>
      <c r="F63" s="241"/>
      <c r="G63" s="241"/>
      <c r="H63" s="241"/>
      <c r="I63" s="241"/>
      <c r="J63" s="241"/>
      <c r="K63" s="241"/>
      <c r="L63" s="241"/>
      <c r="M63" s="241"/>
      <c r="N63" s="241"/>
      <c r="O63" s="241"/>
      <c r="P63" s="241"/>
      <c r="Q63" s="241"/>
      <c r="R63" s="241"/>
      <c r="S63" s="241"/>
      <c r="T63" s="241"/>
      <c r="U63" s="241"/>
      <c r="V63" s="241"/>
      <c r="W63" s="241"/>
      <c r="X63" s="241"/>
      <c r="Y63" s="241"/>
      <c r="Z63" s="241"/>
      <c r="AA63" s="241"/>
      <c r="AB63" s="241"/>
      <c r="AC63" s="241"/>
      <c r="AD63" s="241"/>
      <c r="AE63" s="241"/>
      <c r="AF63" s="241"/>
      <c r="AG63" s="241"/>
      <c r="AH63" s="241"/>
      <c r="AI63" s="241"/>
      <c r="AJ63" s="241"/>
      <c r="AK63" s="241"/>
      <c r="AL63" s="241"/>
      <c r="AM63" s="241"/>
      <c r="AN63" s="241"/>
      <c r="AO63" s="241"/>
      <c r="AP63" s="241"/>
      <c r="AQ63" s="241"/>
      <c r="AR63" s="241"/>
      <c r="AS63" s="241"/>
      <c r="AT63" s="241"/>
      <c r="AU63" s="241"/>
      <c r="AV63" s="241"/>
      <c r="AW63" s="241"/>
      <c r="AX63" s="241"/>
      <c r="AY63" s="241"/>
      <c r="AZ63" s="241"/>
      <c r="BA63" s="241"/>
      <c r="BB63" s="241"/>
      <c r="BC63" s="241"/>
      <c r="BD63" s="241"/>
      <c r="BE63" s="241"/>
      <c r="BF63" s="241"/>
      <c r="BG63" s="241"/>
      <c r="BH63" s="241"/>
      <c r="BI63" s="241"/>
      <c r="BJ63" s="241"/>
      <c r="BK63" s="241"/>
      <c r="BL63" s="241"/>
      <c r="BM63" s="241"/>
      <c r="BN63" s="241"/>
      <c r="BO63" s="241"/>
      <c r="BP63" s="241"/>
      <c r="BQ63" s="241"/>
      <c r="BR63" s="241"/>
      <c r="BS63" s="241"/>
      <c r="BT63" s="241"/>
      <c r="BU63" s="241"/>
      <c r="BV63" s="241"/>
      <c r="BW63" s="241"/>
      <c r="BX63" s="241"/>
      <c r="BY63" s="241"/>
      <c r="BZ63" s="241"/>
      <c r="CA63" s="241"/>
      <c r="CB63" s="241"/>
      <c r="CC63" s="241"/>
      <c r="CD63" s="241"/>
      <c r="CE63" s="241"/>
      <c r="CF63" s="241"/>
      <c r="CG63" s="241"/>
      <c r="CH63" s="241"/>
      <c r="CI63" s="241"/>
      <c r="CJ63" s="241"/>
      <c r="CK63" s="241"/>
      <c r="CL63" s="241"/>
      <c r="CM63" s="241"/>
      <c r="CN63" s="241"/>
      <c r="CO63" s="241"/>
      <c r="CP63" s="241"/>
      <c r="CQ63" s="241"/>
      <c r="CR63" s="241"/>
      <c r="CS63" s="241"/>
      <c r="CT63" s="241"/>
      <c r="CU63" s="241"/>
      <c r="CV63" s="241"/>
      <c r="CW63" s="241"/>
      <c r="CX63" s="241"/>
      <c r="CY63" s="241"/>
      <c r="CZ63" s="241"/>
      <c r="DA63" s="241"/>
      <c r="DB63" s="241"/>
      <c r="DC63" s="241"/>
      <c r="DD63" s="241"/>
      <c r="DE63" s="241"/>
      <c r="DF63" s="241"/>
      <c r="DG63" s="241"/>
      <c r="DH63" s="241"/>
      <c r="DI63" s="241"/>
      <c r="DJ63" s="241"/>
      <c r="DK63" s="241"/>
      <c r="DL63" s="241"/>
      <c r="DM63" s="241"/>
      <c r="DN63" s="241"/>
      <c r="DO63" s="241"/>
      <c r="DP63" s="241"/>
      <c r="DQ63" s="241"/>
      <c r="DR63" s="241"/>
      <c r="DS63" s="241"/>
      <c r="DT63" s="241"/>
      <c r="DU63" s="241"/>
      <c r="DV63" s="241"/>
      <c r="DW63" s="241"/>
      <c r="DX63" s="241"/>
      <c r="DY63" s="241"/>
      <c r="DZ63" s="241"/>
      <c r="EA63" s="241"/>
      <c r="EB63" s="241"/>
      <c r="EC63" s="241"/>
      <c r="ED63" s="241"/>
      <c r="EE63" s="241"/>
      <c r="EF63" s="241"/>
      <c r="EG63" s="241"/>
      <c r="EH63" s="241"/>
      <c r="EI63" s="241"/>
      <c r="EJ63" s="241"/>
      <c r="EK63" s="241"/>
      <c r="EL63" s="241"/>
      <c r="EM63" s="241"/>
      <c r="EN63" s="241"/>
      <c r="EO63" s="241"/>
      <c r="EP63" s="241"/>
      <c r="EQ63" s="241"/>
      <c r="ER63" s="241"/>
      <c r="ES63" s="241"/>
      <c r="ET63" s="241"/>
      <c r="EU63" s="241"/>
      <c r="EV63" s="241"/>
      <c r="EW63" s="241"/>
      <c r="EX63" s="241"/>
      <c r="EY63" s="241"/>
      <c r="EZ63" s="241"/>
      <c r="FA63" s="241"/>
      <c r="FB63" s="241"/>
      <c r="FC63" s="241"/>
      <c r="FD63" s="241"/>
      <c r="FE63" s="241"/>
      <c r="FF63" s="241"/>
      <c r="FG63" s="241"/>
      <c r="FH63" s="241"/>
      <c r="FI63" s="241"/>
      <c r="FJ63" s="241"/>
      <c r="FK63" s="241"/>
      <c r="FL63" s="241"/>
      <c r="FM63" s="241"/>
      <c r="FN63" s="241"/>
      <c r="FO63" s="241"/>
      <c r="FP63" s="241"/>
      <c r="FQ63" s="241"/>
      <c r="FR63" s="241"/>
      <c r="FS63" s="241"/>
      <c r="FT63" s="241"/>
      <c r="FU63" s="241"/>
      <c r="FV63" s="241"/>
      <c r="FW63" s="241"/>
      <c r="FX63" s="241"/>
      <c r="FY63" s="241"/>
      <c r="FZ63" s="241"/>
      <c r="GA63" s="241"/>
      <c r="GB63" s="241"/>
      <c r="GC63" s="241"/>
      <c r="GD63" s="241"/>
      <c r="GE63" s="241"/>
      <c r="GF63" s="241"/>
      <c r="GG63" s="241"/>
      <c r="GH63" s="241"/>
      <c r="GI63" s="241"/>
      <c r="GJ63" s="241"/>
      <c r="GK63" s="241"/>
      <c r="GL63" s="241"/>
      <c r="GM63" s="241"/>
      <c r="GN63" s="241"/>
      <c r="GO63" s="241"/>
      <c r="GP63" s="241"/>
      <c r="GQ63" s="241"/>
      <c r="GR63" s="241"/>
      <c r="GS63" s="241"/>
      <c r="GT63" s="241"/>
      <c r="GU63" s="241"/>
      <c r="GV63" s="241"/>
      <c r="GW63" s="241"/>
      <c r="GX63" s="241"/>
      <c r="GY63" s="241"/>
      <c r="GZ63" s="241"/>
      <c r="HA63" s="241"/>
      <c r="HB63" s="241"/>
      <c r="HC63" s="241"/>
      <c r="HD63" s="241"/>
      <c r="HE63" s="241"/>
      <c r="HF63" s="241"/>
      <c r="HG63" s="241"/>
      <c r="HH63" s="241"/>
      <c r="HI63" s="241"/>
      <c r="HJ63" s="241"/>
      <c r="HK63" s="241"/>
      <c r="HL63" s="241"/>
      <c r="HM63" s="241"/>
      <c r="HN63" s="241"/>
      <c r="HO63" s="241"/>
      <c r="HP63" s="241"/>
      <c r="HQ63" s="241"/>
      <c r="HR63" s="241"/>
      <c r="HS63" s="241"/>
      <c r="HT63" s="241"/>
      <c r="HU63" s="241"/>
      <c r="HV63" s="241"/>
      <c r="HW63" s="241"/>
      <c r="HX63" s="241"/>
      <c r="HY63" s="241"/>
      <c r="HZ63" s="241"/>
      <c r="IA63" s="241"/>
      <c r="IB63" s="241"/>
      <c r="IC63" s="241"/>
      <c r="ID63" s="241"/>
      <c r="IE63" s="241"/>
      <c r="IF63" s="241"/>
      <c r="IG63" s="241"/>
      <c r="IH63" s="241"/>
      <c r="II63" s="241"/>
      <c r="IJ63" s="241"/>
      <c r="IK63" s="241"/>
      <c r="IL63" s="241"/>
      <c r="IM63" s="241"/>
      <c r="IN63" s="241"/>
      <c r="IO63" s="241"/>
      <c r="IP63" s="241"/>
      <c r="IQ63" s="241"/>
      <c r="IR63" s="241"/>
      <c r="IS63" s="241"/>
      <c r="IT63" s="241"/>
      <c r="IU63" s="241"/>
      <c r="IV63" s="241"/>
      <c r="IW63" s="241"/>
      <c r="IX63" s="241"/>
      <c r="IY63" s="241"/>
      <c r="IZ63" s="241"/>
      <c r="JA63" s="241"/>
      <c r="JB63" s="241"/>
      <c r="JC63" s="241"/>
      <c r="JD63" s="241"/>
      <c r="JE63" s="241"/>
      <c r="JF63" s="241"/>
      <c r="JG63" s="241"/>
      <c r="JH63" s="241"/>
      <c r="JI63" s="241"/>
      <c r="JJ63" s="241"/>
      <c r="JK63" s="241"/>
      <c r="JL63" s="241"/>
      <c r="JM63" s="241"/>
      <c r="JN63" s="241"/>
      <c r="JO63" s="241"/>
      <c r="JP63" s="241"/>
      <c r="JQ63" s="241"/>
      <c r="JR63" s="241"/>
      <c r="JS63" s="241"/>
      <c r="JT63" s="241"/>
      <c r="JU63" s="241"/>
      <c r="JV63" s="241"/>
      <c r="JW63" s="241"/>
      <c r="JX63" s="241"/>
      <c r="JY63" s="241"/>
      <c r="JZ63" s="241"/>
      <c r="KA63" s="241"/>
      <c r="KB63" s="241"/>
      <c r="KC63" s="241"/>
      <c r="KD63" s="241"/>
      <c r="KE63" s="241"/>
      <c r="KF63" s="241"/>
      <c r="KG63" s="241"/>
      <c r="KH63" s="241"/>
      <c r="KI63" s="241"/>
      <c r="KJ63" s="241"/>
      <c r="KK63" s="241"/>
      <c r="KL63" s="241"/>
      <c r="KM63" s="241"/>
      <c r="KN63" s="241"/>
      <c r="KO63" s="241"/>
      <c r="KP63" s="241"/>
      <c r="KQ63" s="241"/>
      <c r="KR63" s="241"/>
      <c r="KS63" s="241"/>
      <c r="KT63" s="241"/>
      <c r="KU63" s="241"/>
      <c r="KV63" s="241"/>
      <c r="KW63" s="241"/>
      <c r="KX63" s="241"/>
      <c r="KY63" s="241"/>
      <c r="KZ63" s="241"/>
      <c r="LA63" s="241"/>
      <c r="LB63" s="241"/>
      <c r="LC63" s="241"/>
      <c r="LD63" s="241"/>
      <c r="LE63" s="241"/>
      <c r="LF63" s="241"/>
      <c r="LG63" s="241"/>
      <c r="LH63" s="241"/>
      <c r="LI63" s="241"/>
      <c r="LJ63" s="241"/>
      <c r="LK63" s="241"/>
      <c r="LL63" s="241"/>
      <c r="LM63" s="241"/>
      <c r="LN63" s="241"/>
      <c r="LO63" s="241"/>
      <c r="LP63" s="241"/>
      <c r="LQ63" s="241"/>
      <c r="LR63" s="241"/>
      <c r="LS63" s="241"/>
      <c r="LT63" s="241"/>
      <c r="LU63" s="241"/>
      <c r="LV63" s="241"/>
      <c r="LW63" s="241"/>
      <c r="LX63" s="241"/>
      <c r="LY63" s="241"/>
      <c r="LZ63" s="241"/>
      <c r="MA63" s="241"/>
      <c r="MB63" s="241"/>
      <c r="MC63" s="241"/>
      <c r="MD63" s="241"/>
      <c r="ME63" s="241"/>
      <c r="MF63" s="241"/>
      <c r="MG63" s="241"/>
      <c r="MH63" s="241"/>
      <c r="MI63" s="241"/>
      <c r="MJ63" s="241"/>
      <c r="MK63" s="241"/>
      <c r="ML63" s="241"/>
      <c r="MM63" s="241"/>
      <c r="MN63" s="241"/>
      <c r="MO63" s="241"/>
      <c r="MP63" s="241"/>
      <c r="MQ63" s="241"/>
      <c r="MR63" s="241"/>
      <c r="MS63" s="241"/>
      <c r="MT63" s="241"/>
      <c r="MU63" s="241"/>
      <c r="MV63" s="241"/>
      <c r="MW63" s="241"/>
      <c r="MX63" s="241"/>
      <c r="MY63" s="241"/>
      <c r="MZ63" s="241"/>
      <c r="NA63" s="241"/>
      <c r="NB63" s="241"/>
      <c r="NC63" s="241"/>
      <c r="ND63" s="241"/>
      <c r="NE63" s="241"/>
      <c r="NF63" s="241"/>
      <c r="NG63" s="241"/>
      <c r="NH63" s="241"/>
      <c r="NI63" s="241"/>
      <c r="NJ63" s="241"/>
      <c r="NK63" s="241"/>
      <c r="NL63" s="241"/>
      <c r="NM63" s="241"/>
      <c r="NN63" s="241"/>
      <c r="NO63" s="241"/>
      <c r="NP63" s="241"/>
      <c r="NQ63" s="241"/>
      <c r="NR63" s="241"/>
      <c r="NS63" s="241"/>
      <c r="NT63" s="241"/>
      <c r="NU63" s="241"/>
      <c r="NV63" s="241"/>
      <c r="NW63" s="241"/>
      <c r="NX63" s="241"/>
      <c r="NY63" s="241"/>
      <c r="NZ63" s="241"/>
      <c r="OA63" s="241"/>
      <c r="OB63" s="241"/>
      <c r="OC63" s="241"/>
      <c r="OD63" s="241"/>
      <c r="OE63" s="241"/>
      <c r="OF63" s="241"/>
      <c r="OG63" s="241"/>
      <c r="OH63" s="241"/>
      <c r="OI63" s="241"/>
      <c r="OJ63" s="241"/>
      <c r="OK63" s="241"/>
      <c r="OL63" s="241"/>
      <c r="OM63" s="241"/>
      <c r="ON63" s="241"/>
      <c r="OO63" s="241"/>
      <c r="OP63" s="241"/>
      <c r="OQ63" s="241"/>
      <c r="OR63" s="241"/>
      <c r="OS63" s="241"/>
      <c r="OT63" s="241"/>
      <c r="OU63" s="241"/>
      <c r="OV63" s="241"/>
      <c r="OW63" s="241"/>
      <c r="OX63" s="241"/>
      <c r="OY63" s="241"/>
      <c r="OZ63" s="241"/>
      <c r="PA63" s="241"/>
      <c r="PB63" s="241"/>
      <c r="PC63" s="241"/>
      <c r="PD63" s="241"/>
      <c r="PE63" s="241"/>
      <c r="PF63" s="241"/>
      <c r="PG63" s="241"/>
      <c r="PH63" s="241"/>
      <c r="PI63" s="241"/>
      <c r="PJ63" s="241"/>
      <c r="PK63" s="241"/>
      <c r="PL63" s="241"/>
      <c r="PM63" s="241"/>
      <c r="PN63" s="241"/>
      <c r="PO63" s="241"/>
      <c r="PP63" s="241"/>
      <c r="PQ63" s="241"/>
      <c r="PR63" s="241"/>
      <c r="PS63" s="241"/>
      <c r="PT63" s="241"/>
      <c r="PU63" s="241"/>
      <c r="PV63" s="241"/>
      <c r="PW63" s="241"/>
      <c r="PX63" s="241"/>
      <c r="PY63" s="241"/>
      <c r="PZ63" s="241"/>
      <c r="QA63" s="241"/>
      <c r="QB63" s="241"/>
      <c r="QC63" s="241"/>
      <c r="QD63" s="241"/>
      <c r="QE63" s="241"/>
      <c r="QF63" s="241"/>
      <c r="QG63" s="241"/>
      <c r="QH63" s="241"/>
      <c r="QI63" s="241"/>
      <c r="QJ63" s="241"/>
      <c r="QK63" s="241"/>
      <c r="QL63" s="241"/>
      <c r="QM63" s="241"/>
      <c r="QN63" s="241"/>
      <c r="QO63" s="241"/>
      <c r="QP63" s="241"/>
      <c r="QQ63" s="241"/>
      <c r="QR63" s="241"/>
      <c r="QS63" s="241"/>
      <c r="QT63" s="241"/>
      <c r="QU63" s="241"/>
      <c r="QV63" s="241"/>
      <c r="QW63" s="241"/>
      <c r="QX63" s="241"/>
      <c r="QY63" s="241"/>
      <c r="QZ63" s="241"/>
      <c r="RA63" s="241"/>
      <c r="RB63" s="241"/>
      <c r="RC63" s="241"/>
      <c r="RD63" s="241"/>
      <c r="RE63" s="241"/>
      <c r="RF63" s="241"/>
      <c r="RG63" s="241"/>
      <c r="RH63" s="241"/>
      <c r="RI63" s="241"/>
      <c r="RJ63" s="241"/>
      <c r="RK63" s="241"/>
      <c r="RL63" s="241"/>
      <c r="RM63" s="241"/>
      <c r="RN63" s="241"/>
      <c r="RO63" s="241"/>
      <c r="RP63" s="241"/>
      <c r="RQ63" s="241"/>
      <c r="RR63" s="241"/>
      <c r="RS63" s="241"/>
      <c r="RT63" s="241"/>
      <c r="RU63" s="241"/>
      <c r="RV63" s="241"/>
      <c r="RW63" s="241"/>
      <c r="RX63" s="241"/>
      <c r="RY63" s="241"/>
      <c r="RZ63" s="241"/>
      <c r="SA63" s="241"/>
      <c r="SB63" s="241"/>
      <c r="SC63" s="241"/>
      <c r="SD63" s="241"/>
      <c r="SE63" s="241"/>
      <c r="SF63" s="241"/>
      <c r="SG63" s="241"/>
      <c r="SH63" s="241"/>
      <c r="SI63" s="241"/>
      <c r="SJ63" s="241"/>
      <c r="SK63" s="241"/>
      <c r="SL63" s="241"/>
      <c r="SM63" s="241"/>
      <c r="SN63" s="241"/>
      <c r="SO63" s="241"/>
      <c r="SP63" s="241"/>
      <c r="SQ63" s="241"/>
      <c r="SR63" s="241"/>
      <c r="SS63" s="241"/>
      <c r="ST63" s="241"/>
      <c r="SU63" s="241"/>
      <c r="SV63" s="241"/>
      <c r="SW63" s="241"/>
      <c r="SX63" s="241"/>
      <c r="SY63" s="241"/>
      <c r="SZ63" s="241"/>
      <c r="TA63" s="241"/>
      <c r="TB63" s="241"/>
      <c r="TC63" s="241"/>
      <c r="TD63" s="241"/>
      <c r="TE63" s="241"/>
      <c r="TF63" s="241"/>
      <c r="TG63" s="241"/>
      <c r="TH63" s="241"/>
      <c r="TI63" s="241"/>
      <c r="TJ63" s="241"/>
      <c r="TK63" s="241"/>
      <c r="TL63" s="241"/>
      <c r="TM63" s="241"/>
      <c r="TN63" s="241"/>
      <c r="TO63" s="241"/>
      <c r="TP63" s="241"/>
      <c r="TQ63" s="241"/>
      <c r="TR63" s="241"/>
      <c r="TS63" s="241"/>
      <c r="TT63" s="241"/>
      <c r="TU63" s="241"/>
      <c r="TV63" s="241"/>
      <c r="TW63" s="241"/>
      <c r="TX63" s="241"/>
      <c r="TY63" s="241"/>
      <c r="TZ63" s="241"/>
      <c r="UA63" s="241"/>
      <c r="UB63" s="241"/>
      <c r="UC63" s="241"/>
      <c r="UD63" s="241"/>
      <c r="UE63" s="241"/>
      <c r="UF63" s="241"/>
      <c r="UG63" s="241"/>
      <c r="UH63" s="241"/>
      <c r="UI63" s="241"/>
      <c r="UJ63" s="241"/>
      <c r="UK63" s="241"/>
      <c r="UL63" s="241"/>
      <c r="UM63" s="241"/>
      <c r="UN63" s="241"/>
      <c r="UO63" s="241"/>
      <c r="UP63" s="241"/>
      <c r="UQ63" s="241"/>
      <c r="UR63" s="241"/>
      <c r="US63" s="241"/>
      <c r="UT63" s="241"/>
      <c r="UU63" s="241"/>
      <c r="UV63" s="241"/>
      <c r="UW63" s="241"/>
      <c r="UX63" s="241"/>
      <c r="UY63" s="241"/>
      <c r="UZ63" s="241"/>
      <c r="VA63" s="241"/>
      <c r="VB63" s="241"/>
      <c r="VC63" s="241"/>
      <c r="VD63" s="241"/>
      <c r="VE63" s="241"/>
      <c r="VF63" s="241"/>
      <c r="VG63" s="241"/>
      <c r="VH63" s="241"/>
      <c r="VI63" s="241"/>
      <c r="VJ63" s="241"/>
      <c r="VK63" s="241"/>
      <c r="VL63" s="241"/>
      <c r="VM63" s="241"/>
      <c r="VN63" s="241"/>
      <c r="VO63" s="241"/>
      <c r="VP63" s="241"/>
      <c r="VQ63" s="241"/>
      <c r="VR63" s="241"/>
      <c r="VS63" s="241"/>
      <c r="VT63" s="241"/>
      <c r="VU63" s="241"/>
      <c r="VV63" s="241"/>
      <c r="VW63" s="241"/>
      <c r="VX63" s="241"/>
      <c r="VY63" s="241"/>
      <c r="VZ63" s="241"/>
      <c r="WA63" s="241"/>
      <c r="WB63" s="241"/>
      <c r="WC63" s="241"/>
      <c r="WD63" s="241"/>
      <c r="WE63" s="241"/>
      <c r="WF63" s="241"/>
      <c r="WG63" s="241"/>
      <c r="WH63" s="241"/>
      <c r="WI63" s="241"/>
      <c r="WJ63" s="241"/>
      <c r="WK63" s="241"/>
      <c r="WL63" s="241"/>
      <c r="WM63" s="241"/>
      <c r="WN63" s="241"/>
      <c r="WO63" s="241"/>
      <c r="WP63" s="241"/>
      <c r="WQ63" s="241"/>
      <c r="WR63" s="241"/>
      <c r="WS63" s="241"/>
      <c r="WT63" s="241"/>
      <c r="WU63" s="241"/>
      <c r="WV63" s="241"/>
      <c r="WW63" s="241"/>
      <c r="WX63" s="241"/>
      <c r="WY63" s="241"/>
      <c r="WZ63" s="241"/>
      <c r="XA63" s="241"/>
      <c r="XB63" s="241"/>
      <c r="XC63" s="241"/>
      <c r="XD63" s="241"/>
      <c r="XE63" s="241"/>
      <c r="XF63" s="241"/>
      <c r="XG63" s="241"/>
      <c r="XH63" s="241"/>
      <c r="XI63" s="241"/>
      <c r="XJ63" s="241"/>
      <c r="XK63" s="241"/>
      <c r="XL63" s="241"/>
      <c r="XM63" s="241"/>
      <c r="XN63" s="241"/>
      <c r="XO63" s="241"/>
      <c r="XP63" s="241"/>
      <c r="XQ63" s="241"/>
      <c r="XR63" s="241"/>
      <c r="XS63" s="241"/>
      <c r="XT63" s="241"/>
      <c r="XU63" s="241"/>
      <c r="XV63" s="241"/>
      <c r="XW63" s="241"/>
      <c r="XX63" s="241"/>
      <c r="XY63" s="241"/>
      <c r="XZ63" s="241"/>
      <c r="YA63" s="241"/>
      <c r="YB63" s="241"/>
      <c r="YC63" s="241"/>
      <c r="YD63" s="241"/>
      <c r="YE63" s="241"/>
      <c r="YF63" s="241"/>
      <c r="YG63" s="241"/>
      <c r="YH63" s="241"/>
      <c r="YI63" s="241"/>
      <c r="YJ63" s="241"/>
      <c r="YK63" s="241"/>
      <c r="YL63" s="241"/>
      <c r="YM63" s="241"/>
      <c r="YN63" s="241"/>
      <c r="YO63" s="241"/>
      <c r="YP63" s="241"/>
      <c r="YQ63" s="241"/>
      <c r="YR63" s="241"/>
      <c r="YS63" s="241"/>
      <c r="YT63" s="241"/>
      <c r="YU63" s="241"/>
      <c r="YV63" s="241"/>
      <c r="YW63" s="241"/>
      <c r="YX63" s="241"/>
      <c r="YY63" s="241"/>
      <c r="YZ63" s="241"/>
      <c r="ZA63" s="241"/>
      <c r="ZB63" s="241"/>
      <c r="ZC63" s="241"/>
      <c r="ZD63" s="241"/>
      <c r="ZE63" s="241"/>
      <c r="ZF63" s="241"/>
      <c r="ZG63" s="241"/>
      <c r="ZH63" s="241"/>
      <c r="ZI63" s="241"/>
      <c r="ZJ63" s="241"/>
      <c r="ZK63" s="241"/>
      <c r="ZL63" s="241"/>
      <c r="ZM63" s="241"/>
      <c r="ZN63" s="241"/>
      <c r="ZO63" s="241"/>
      <c r="ZP63" s="241"/>
      <c r="ZQ63" s="241"/>
      <c r="ZR63" s="241"/>
      <c r="ZS63" s="241"/>
      <c r="ZT63" s="241"/>
      <c r="ZU63" s="241"/>
      <c r="ZV63" s="241"/>
      <c r="ZW63" s="241"/>
      <c r="ZX63" s="241"/>
      <c r="ZY63" s="241"/>
      <c r="ZZ63" s="241"/>
    </row>
    <row r="64" spans="1:702" s="254" customFormat="1" x14ac:dyDescent="0.2">
      <c r="A64" s="241"/>
      <c r="B64" s="241"/>
      <c r="C64" s="241"/>
      <c r="D64" s="253"/>
      <c r="E64" s="241"/>
      <c r="F64" s="241"/>
      <c r="G64" s="241"/>
      <c r="H64" s="241"/>
      <c r="I64" s="241"/>
      <c r="J64" s="241"/>
      <c r="K64" s="241"/>
      <c r="L64" s="241"/>
      <c r="M64" s="241"/>
      <c r="N64" s="241"/>
      <c r="O64" s="241"/>
      <c r="P64" s="241"/>
      <c r="Q64" s="241"/>
      <c r="R64" s="241"/>
      <c r="S64" s="241"/>
      <c r="T64" s="241"/>
      <c r="U64" s="241"/>
      <c r="V64" s="241"/>
      <c r="W64" s="241"/>
      <c r="X64" s="241"/>
      <c r="Y64" s="241"/>
      <c r="Z64" s="241"/>
      <c r="AA64" s="241"/>
      <c r="AB64" s="241"/>
      <c r="AC64" s="241"/>
      <c r="AD64" s="241"/>
      <c r="AE64" s="241"/>
      <c r="AF64" s="241"/>
      <c r="AG64" s="241"/>
      <c r="AH64" s="241"/>
      <c r="AI64" s="241"/>
      <c r="AJ64" s="241"/>
      <c r="AK64" s="241"/>
      <c r="AL64" s="241"/>
      <c r="AM64" s="241"/>
      <c r="AN64" s="241"/>
      <c r="AO64" s="241"/>
      <c r="AP64" s="241"/>
      <c r="AQ64" s="241"/>
      <c r="AR64" s="241"/>
      <c r="AS64" s="241"/>
      <c r="AT64" s="241"/>
      <c r="AU64" s="241"/>
      <c r="AV64" s="241"/>
      <c r="AW64" s="241"/>
      <c r="AX64" s="241"/>
      <c r="AY64" s="241"/>
      <c r="AZ64" s="241"/>
      <c r="BA64" s="241"/>
      <c r="BB64" s="241"/>
      <c r="BC64" s="241"/>
      <c r="BD64" s="241"/>
      <c r="BE64" s="241"/>
      <c r="BF64" s="241"/>
      <c r="BG64" s="241"/>
      <c r="BH64" s="241"/>
      <c r="BI64" s="241"/>
      <c r="BJ64" s="241"/>
      <c r="BK64" s="241"/>
      <c r="BL64" s="241"/>
      <c r="BM64" s="241"/>
      <c r="BN64" s="241"/>
      <c r="BO64" s="241"/>
      <c r="BP64" s="241"/>
      <c r="BQ64" s="241"/>
      <c r="BR64" s="241"/>
      <c r="BS64" s="241"/>
      <c r="BT64" s="241"/>
      <c r="BU64" s="241"/>
      <c r="BV64" s="241"/>
      <c r="BW64" s="241"/>
      <c r="BX64" s="241"/>
      <c r="BY64" s="241"/>
      <c r="BZ64" s="241"/>
      <c r="CA64" s="241"/>
      <c r="CB64" s="241"/>
      <c r="CC64" s="241"/>
      <c r="CD64" s="241"/>
      <c r="CE64" s="241"/>
      <c r="CF64" s="241"/>
      <c r="CG64" s="241"/>
      <c r="CH64" s="241"/>
      <c r="CI64" s="241"/>
      <c r="CJ64" s="241"/>
      <c r="CK64" s="241"/>
      <c r="CL64" s="241"/>
      <c r="CM64" s="241"/>
      <c r="CN64" s="241"/>
      <c r="CO64" s="241"/>
      <c r="CP64" s="241"/>
      <c r="CQ64" s="241"/>
      <c r="CR64" s="241"/>
      <c r="CS64" s="241"/>
      <c r="CT64" s="241"/>
      <c r="CU64" s="241"/>
      <c r="CV64" s="241"/>
      <c r="CW64" s="241"/>
      <c r="CX64" s="241"/>
      <c r="CY64" s="241"/>
      <c r="CZ64" s="241"/>
      <c r="DA64" s="241"/>
      <c r="DB64" s="241"/>
      <c r="DC64" s="241"/>
      <c r="DD64" s="241"/>
      <c r="DE64" s="241"/>
      <c r="DF64" s="241"/>
      <c r="DG64" s="241"/>
      <c r="DH64" s="241"/>
      <c r="DI64" s="241"/>
      <c r="DJ64" s="241"/>
      <c r="DK64" s="241"/>
      <c r="DL64" s="241"/>
      <c r="DM64" s="241"/>
      <c r="DN64" s="241"/>
      <c r="DO64" s="241"/>
      <c r="DP64" s="241"/>
      <c r="DQ64" s="241"/>
      <c r="DR64" s="241"/>
      <c r="DS64" s="241"/>
      <c r="DT64" s="241"/>
      <c r="DU64" s="241"/>
      <c r="DV64" s="241"/>
      <c r="DW64" s="241"/>
      <c r="DX64" s="241"/>
      <c r="DY64" s="241"/>
      <c r="DZ64" s="241"/>
      <c r="EA64" s="241"/>
      <c r="EB64" s="241"/>
      <c r="EC64" s="241"/>
      <c r="ED64" s="241"/>
      <c r="EE64" s="241"/>
      <c r="EF64" s="241"/>
      <c r="EG64" s="241"/>
      <c r="EH64" s="241"/>
      <c r="EI64" s="241"/>
      <c r="EJ64" s="241"/>
      <c r="EK64" s="241"/>
      <c r="EL64" s="241"/>
      <c r="EM64" s="241"/>
      <c r="EN64" s="241"/>
      <c r="EO64" s="241"/>
      <c r="EP64" s="241"/>
      <c r="EQ64" s="241"/>
      <c r="ER64" s="241"/>
      <c r="ES64" s="241"/>
      <c r="ET64" s="241"/>
      <c r="EU64" s="241"/>
      <c r="EV64" s="241"/>
      <c r="EW64" s="241"/>
      <c r="EX64" s="241"/>
      <c r="EY64" s="241"/>
      <c r="EZ64" s="241"/>
      <c r="FA64" s="241"/>
      <c r="FB64" s="241"/>
      <c r="FC64" s="241"/>
      <c r="FD64" s="241"/>
      <c r="FE64" s="241"/>
      <c r="FF64" s="241"/>
      <c r="FG64" s="241"/>
      <c r="FH64" s="241"/>
      <c r="FI64" s="241"/>
      <c r="FJ64" s="241"/>
      <c r="FK64" s="241"/>
      <c r="FL64" s="241"/>
      <c r="FM64" s="241"/>
      <c r="FN64" s="241"/>
      <c r="FO64" s="241"/>
      <c r="FP64" s="241"/>
      <c r="FQ64" s="241"/>
      <c r="FR64" s="241"/>
      <c r="FS64" s="241"/>
      <c r="FT64" s="241"/>
      <c r="FU64" s="241"/>
      <c r="FV64" s="241"/>
      <c r="FW64" s="241"/>
      <c r="FX64" s="241"/>
      <c r="FY64" s="241"/>
      <c r="FZ64" s="241"/>
      <c r="GA64" s="241"/>
      <c r="GB64" s="241"/>
      <c r="GC64" s="241"/>
      <c r="GD64" s="241"/>
      <c r="GE64" s="241"/>
      <c r="GF64" s="241"/>
      <c r="GG64" s="241"/>
      <c r="GH64" s="241"/>
      <c r="GI64" s="241"/>
      <c r="GJ64" s="241"/>
      <c r="GK64" s="241"/>
      <c r="GL64" s="241"/>
      <c r="GM64" s="241"/>
      <c r="GN64" s="241"/>
      <c r="GO64" s="241"/>
      <c r="GP64" s="241"/>
      <c r="GQ64" s="241"/>
      <c r="GR64" s="241"/>
      <c r="GS64" s="241"/>
      <c r="GT64" s="241"/>
      <c r="GU64" s="241"/>
      <c r="GV64" s="241"/>
      <c r="GW64" s="241"/>
      <c r="GX64" s="241"/>
      <c r="GY64" s="241"/>
      <c r="GZ64" s="241"/>
      <c r="HA64" s="241"/>
      <c r="HB64" s="241"/>
      <c r="HC64" s="241"/>
      <c r="HD64" s="241"/>
      <c r="HE64" s="241"/>
      <c r="HF64" s="241"/>
      <c r="HG64" s="241"/>
      <c r="HH64" s="241"/>
      <c r="HI64" s="241"/>
      <c r="HJ64" s="241"/>
      <c r="HK64" s="241"/>
      <c r="HL64" s="241"/>
      <c r="HM64" s="241"/>
      <c r="HN64" s="241"/>
      <c r="HO64" s="241"/>
      <c r="HP64" s="241"/>
      <c r="HQ64" s="241"/>
      <c r="HR64" s="241"/>
      <c r="HS64" s="241"/>
      <c r="HT64" s="241"/>
      <c r="HU64" s="241"/>
      <c r="HV64" s="241"/>
      <c r="HW64" s="241"/>
      <c r="HX64" s="241"/>
      <c r="HY64" s="241"/>
      <c r="HZ64" s="241"/>
      <c r="IA64" s="241"/>
      <c r="IB64" s="241"/>
      <c r="IC64" s="241"/>
      <c r="ID64" s="241"/>
      <c r="IE64" s="241"/>
      <c r="IF64" s="241"/>
      <c r="IG64" s="241"/>
      <c r="IH64" s="241"/>
      <c r="II64" s="241"/>
      <c r="IJ64" s="241"/>
      <c r="IK64" s="241"/>
      <c r="IL64" s="241"/>
      <c r="IM64" s="241"/>
      <c r="IN64" s="241"/>
      <c r="IO64" s="241"/>
      <c r="IP64" s="241"/>
      <c r="IQ64" s="241"/>
      <c r="IR64" s="241"/>
      <c r="IS64" s="241"/>
      <c r="IT64" s="241"/>
      <c r="IU64" s="241"/>
      <c r="IV64" s="241"/>
      <c r="IW64" s="241"/>
      <c r="IX64" s="241"/>
      <c r="IY64" s="241"/>
      <c r="IZ64" s="241"/>
      <c r="JA64" s="241"/>
      <c r="JB64" s="241"/>
      <c r="JC64" s="241"/>
      <c r="JD64" s="241"/>
      <c r="JE64" s="241"/>
      <c r="JF64" s="241"/>
      <c r="JG64" s="241"/>
      <c r="JH64" s="241"/>
      <c r="JI64" s="241"/>
      <c r="JJ64" s="241"/>
      <c r="JK64" s="241"/>
      <c r="JL64" s="241"/>
      <c r="JM64" s="241"/>
      <c r="JN64" s="241"/>
      <c r="JO64" s="241"/>
      <c r="JP64" s="241"/>
      <c r="JQ64" s="241"/>
      <c r="JR64" s="241"/>
      <c r="JS64" s="241"/>
      <c r="JT64" s="241"/>
      <c r="JU64" s="241"/>
      <c r="JV64" s="241"/>
      <c r="JW64" s="241"/>
      <c r="JX64" s="241"/>
      <c r="JY64" s="241"/>
      <c r="JZ64" s="241"/>
      <c r="KA64" s="241"/>
      <c r="KB64" s="241"/>
      <c r="KC64" s="241"/>
      <c r="KD64" s="241"/>
      <c r="KE64" s="241"/>
      <c r="KF64" s="241"/>
      <c r="KG64" s="241"/>
      <c r="KH64" s="241"/>
      <c r="KI64" s="241"/>
      <c r="KJ64" s="241"/>
      <c r="KK64" s="241"/>
      <c r="KL64" s="241"/>
      <c r="KM64" s="241"/>
      <c r="KN64" s="241"/>
      <c r="KO64" s="241"/>
      <c r="KP64" s="241"/>
      <c r="KQ64" s="241"/>
      <c r="KR64" s="241"/>
      <c r="KS64" s="241"/>
      <c r="KT64" s="241"/>
      <c r="KU64" s="241"/>
      <c r="KV64" s="241"/>
      <c r="KW64" s="241"/>
      <c r="KX64" s="241"/>
      <c r="KY64" s="241"/>
      <c r="KZ64" s="241"/>
      <c r="LA64" s="241"/>
      <c r="LB64" s="241"/>
      <c r="LC64" s="241"/>
      <c r="LD64" s="241"/>
      <c r="LE64" s="241"/>
      <c r="LF64" s="241"/>
      <c r="LG64" s="241"/>
      <c r="LH64" s="241"/>
      <c r="LI64" s="241"/>
      <c r="LJ64" s="241"/>
      <c r="LK64" s="241"/>
      <c r="LL64" s="241"/>
      <c r="LM64" s="241"/>
      <c r="LN64" s="241"/>
      <c r="LO64" s="241"/>
      <c r="LP64" s="241"/>
      <c r="LQ64" s="241"/>
      <c r="LR64" s="241"/>
      <c r="LS64" s="241"/>
      <c r="LT64" s="241"/>
      <c r="LU64" s="241"/>
      <c r="LV64" s="241"/>
      <c r="LW64" s="241"/>
      <c r="LX64" s="241"/>
      <c r="LY64" s="241"/>
      <c r="LZ64" s="241"/>
      <c r="MA64" s="241"/>
      <c r="MB64" s="241"/>
      <c r="MC64" s="241"/>
      <c r="MD64" s="241"/>
      <c r="ME64" s="241"/>
      <c r="MF64" s="241"/>
      <c r="MG64" s="241"/>
      <c r="MH64" s="241"/>
      <c r="MI64" s="241"/>
      <c r="MJ64" s="241"/>
      <c r="MK64" s="241"/>
      <c r="ML64" s="241"/>
      <c r="MM64" s="241"/>
      <c r="MN64" s="241"/>
      <c r="MO64" s="241"/>
      <c r="MP64" s="241"/>
      <c r="MQ64" s="241"/>
      <c r="MR64" s="241"/>
      <c r="MS64" s="241"/>
      <c r="MT64" s="241"/>
      <c r="MU64" s="241"/>
      <c r="MV64" s="241"/>
      <c r="MW64" s="241"/>
      <c r="MX64" s="241"/>
      <c r="MY64" s="241"/>
      <c r="MZ64" s="241"/>
      <c r="NA64" s="241"/>
      <c r="NB64" s="241"/>
      <c r="NC64" s="241"/>
      <c r="ND64" s="241"/>
      <c r="NE64" s="241"/>
      <c r="NF64" s="241"/>
      <c r="NG64" s="241"/>
      <c r="NH64" s="241"/>
      <c r="NI64" s="241"/>
      <c r="NJ64" s="241"/>
      <c r="NK64" s="241"/>
      <c r="NL64" s="241"/>
      <c r="NM64" s="241"/>
      <c r="NN64" s="241"/>
      <c r="NO64" s="241"/>
      <c r="NP64" s="241"/>
      <c r="NQ64" s="241"/>
      <c r="NR64" s="241"/>
      <c r="NS64" s="241"/>
      <c r="NT64" s="241"/>
      <c r="NU64" s="241"/>
      <c r="NV64" s="241"/>
      <c r="NW64" s="241"/>
      <c r="NX64" s="241"/>
      <c r="NY64" s="241"/>
      <c r="NZ64" s="241"/>
      <c r="OA64" s="241"/>
      <c r="OB64" s="241"/>
      <c r="OC64" s="241"/>
      <c r="OD64" s="241"/>
      <c r="OE64" s="241"/>
      <c r="OF64" s="241"/>
      <c r="OG64" s="241"/>
      <c r="OH64" s="241"/>
      <c r="OI64" s="241"/>
      <c r="OJ64" s="241"/>
      <c r="OK64" s="241"/>
      <c r="OL64" s="241"/>
      <c r="OM64" s="241"/>
      <c r="ON64" s="241"/>
      <c r="OO64" s="241"/>
      <c r="OP64" s="241"/>
      <c r="OQ64" s="241"/>
      <c r="OR64" s="241"/>
      <c r="OS64" s="241"/>
      <c r="OT64" s="241"/>
      <c r="OU64" s="241"/>
      <c r="OV64" s="241"/>
      <c r="OW64" s="241"/>
      <c r="OX64" s="241"/>
      <c r="OY64" s="241"/>
      <c r="OZ64" s="241"/>
      <c r="PA64" s="241"/>
      <c r="PB64" s="241"/>
      <c r="PC64" s="241"/>
      <c r="PD64" s="241"/>
      <c r="PE64" s="241"/>
      <c r="PF64" s="241"/>
      <c r="PG64" s="241"/>
      <c r="PH64" s="241"/>
      <c r="PI64" s="241"/>
      <c r="PJ64" s="241"/>
      <c r="PK64" s="241"/>
      <c r="PL64" s="241"/>
      <c r="PM64" s="241"/>
      <c r="PN64" s="241"/>
      <c r="PO64" s="241"/>
      <c r="PP64" s="241"/>
      <c r="PQ64" s="241"/>
      <c r="PR64" s="241"/>
      <c r="PS64" s="241"/>
      <c r="PT64" s="241"/>
      <c r="PU64" s="241"/>
      <c r="PV64" s="241"/>
      <c r="PW64" s="241"/>
      <c r="PX64" s="241"/>
      <c r="PY64" s="241"/>
      <c r="PZ64" s="241"/>
      <c r="QA64" s="241"/>
      <c r="QB64" s="241"/>
      <c r="QC64" s="241"/>
      <c r="QD64" s="241"/>
      <c r="QE64" s="241"/>
      <c r="QF64" s="241"/>
      <c r="QG64" s="241"/>
      <c r="QH64" s="241"/>
      <c r="QI64" s="241"/>
      <c r="QJ64" s="241"/>
      <c r="QK64" s="241"/>
      <c r="QL64" s="241"/>
      <c r="QM64" s="241"/>
      <c r="QN64" s="241"/>
      <c r="QO64" s="241"/>
      <c r="QP64" s="241"/>
      <c r="QQ64" s="241"/>
      <c r="QR64" s="241"/>
      <c r="QS64" s="241"/>
      <c r="QT64" s="241"/>
      <c r="QU64" s="241"/>
      <c r="QV64" s="241"/>
      <c r="QW64" s="241"/>
      <c r="QX64" s="241"/>
      <c r="QY64" s="241"/>
      <c r="QZ64" s="241"/>
      <c r="RA64" s="241"/>
      <c r="RB64" s="241"/>
      <c r="RC64" s="241"/>
      <c r="RD64" s="241"/>
      <c r="RE64" s="241"/>
      <c r="RF64" s="241"/>
      <c r="RG64" s="241"/>
      <c r="RH64" s="241"/>
      <c r="RI64" s="241"/>
      <c r="RJ64" s="241"/>
      <c r="RK64" s="241"/>
      <c r="RL64" s="241"/>
      <c r="RM64" s="241"/>
      <c r="RN64" s="241"/>
      <c r="RO64" s="241"/>
      <c r="RP64" s="241"/>
      <c r="RQ64" s="241"/>
      <c r="RR64" s="241"/>
      <c r="RS64" s="241"/>
      <c r="RT64" s="241"/>
      <c r="RU64" s="241"/>
      <c r="RV64" s="241"/>
      <c r="RW64" s="241"/>
      <c r="RX64" s="241"/>
      <c r="RY64" s="241"/>
      <c r="RZ64" s="241"/>
      <c r="SA64" s="241"/>
      <c r="SB64" s="241"/>
      <c r="SC64" s="241"/>
      <c r="SD64" s="241"/>
      <c r="SE64" s="241"/>
      <c r="SF64" s="241"/>
      <c r="SG64" s="241"/>
      <c r="SH64" s="241"/>
      <c r="SI64" s="241"/>
      <c r="SJ64" s="241"/>
      <c r="SK64" s="241"/>
      <c r="SL64" s="241"/>
      <c r="SM64" s="241"/>
      <c r="SN64" s="241"/>
      <c r="SO64" s="241"/>
      <c r="SP64" s="241"/>
      <c r="SQ64" s="241"/>
      <c r="SR64" s="241"/>
      <c r="SS64" s="241"/>
      <c r="ST64" s="241"/>
      <c r="SU64" s="241"/>
      <c r="SV64" s="241"/>
      <c r="SW64" s="241"/>
      <c r="SX64" s="241"/>
      <c r="SY64" s="241"/>
      <c r="SZ64" s="241"/>
      <c r="TA64" s="241"/>
      <c r="TB64" s="241"/>
      <c r="TC64" s="241"/>
      <c r="TD64" s="241"/>
      <c r="TE64" s="241"/>
      <c r="TF64" s="241"/>
      <c r="TG64" s="241"/>
      <c r="TH64" s="241"/>
      <c r="TI64" s="241"/>
      <c r="TJ64" s="241"/>
      <c r="TK64" s="241"/>
      <c r="TL64" s="241"/>
      <c r="TM64" s="241"/>
      <c r="TN64" s="241"/>
      <c r="TO64" s="241"/>
      <c r="TP64" s="241"/>
      <c r="TQ64" s="241"/>
      <c r="TR64" s="241"/>
      <c r="TS64" s="241"/>
      <c r="TT64" s="241"/>
      <c r="TU64" s="241"/>
      <c r="TV64" s="241"/>
      <c r="TW64" s="241"/>
      <c r="TX64" s="241"/>
      <c r="TY64" s="241"/>
      <c r="TZ64" s="241"/>
      <c r="UA64" s="241"/>
      <c r="UB64" s="241"/>
      <c r="UC64" s="241"/>
      <c r="UD64" s="241"/>
      <c r="UE64" s="241"/>
      <c r="UF64" s="241"/>
      <c r="UG64" s="241"/>
      <c r="UH64" s="241"/>
      <c r="UI64" s="241"/>
      <c r="UJ64" s="241"/>
      <c r="UK64" s="241"/>
      <c r="UL64" s="241"/>
      <c r="UM64" s="241"/>
      <c r="UN64" s="241"/>
      <c r="UO64" s="241"/>
      <c r="UP64" s="241"/>
      <c r="UQ64" s="241"/>
      <c r="UR64" s="241"/>
      <c r="US64" s="241"/>
      <c r="UT64" s="241"/>
      <c r="UU64" s="241"/>
      <c r="UV64" s="241"/>
      <c r="UW64" s="241"/>
      <c r="UX64" s="241"/>
      <c r="UY64" s="241"/>
      <c r="UZ64" s="241"/>
      <c r="VA64" s="241"/>
      <c r="VB64" s="241"/>
      <c r="VC64" s="241"/>
      <c r="VD64" s="241"/>
      <c r="VE64" s="241"/>
      <c r="VF64" s="241"/>
      <c r="VG64" s="241"/>
      <c r="VH64" s="241"/>
      <c r="VI64" s="241"/>
      <c r="VJ64" s="241"/>
      <c r="VK64" s="241"/>
      <c r="VL64" s="241"/>
      <c r="VM64" s="241"/>
      <c r="VN64" s="241"/>
      <c r="VO64" s="241"/>
      <c r="VP64" s="241"/>
      <c r="VQ64" s="241"/>
      <c r="VR64" s="241"/>
      <c r="VS64" s="241"/>
      <c r="VT64" s="241"/>
      <c r="VU64" s="241"/>
      <c r="VV64" s="241"/>
      <c r="VW64" s="241"/>
      <c r="VX64" s="241"/>
      <c r="VY64" s="241"/>
      <c r="VZ64" s="241"/>
      <c r="WA64" s="241"/>
      <c r="WB64" s="241"/>
      <c r="WC64" s="241"/>
      <c r="WD64" s="241"/>
      <c r="WE64" s="241"/>
      <c r="WF64" s="241"/>
      <c r="WG64" s="241"/>
      <c r="WH64" s="241"/>
      <c r="WI64" s="241"/>
      <c r="WJ64" s="241"/>
      <c r="WK64" s="241"/>
      <c r="WL64" s="241"/>
      <c r="WM64" s="241"/>
      <c r="WN64" s="241"/>
      <c r="WO64" s="241"/>
      <c r="WP64" s="241"/>
      <c r="WQ64" s="241"/>
      <c r="WR64" s="241"/>
      <c r="WS64" s="241"/>
      <c r="WT64" s="241"/>
      <c r="WU64" s="241"/>
      <c r="WV64" s="241"/>
      <c r="WW64" s="241"/>
      <c r="WX64" s="241"/>
      <c r="WY64" s="241"/>
      <c r="WZ64" s="241"/>
      <c r="XA64" s="241"/>
      <c r="XB64" s="241"/>
      <c r="XC64" s="241"/>
      <c r="XD64" s="241"/>
      <c r="XE64" s="241"/>
      <c r="XF64" s="241"/>
      <c r="XG64" s="241"/>
      <c r="XH64" s="241"/>
      <c r="XI64" s="241"/>
      <c r="XJ64" s="241"/>
      <c r="XK64" s="241"/>
      <c r="XL64" s="241"/>
      <c r="XM64" s="241"/>
      <c r="XN64" s="241"/>
      <c r="XO64" s="241"/>
      <c r="XP64" s="241"/>
      <c r="XQ64" s="241"/>
      <c r="XR64" s="241"/>
      <c r="XS64" s="241"/>
      <c r="XT64" s="241"/>
      <c r="XU64" s="241"/>
      <c r="XV64" s="241"/>
      <c r="XW64" s="241"/>
      <c r="XX64" s="241"/>
      <c r="XY64" s="241"/>
      <c r="XZ64" s="241"/>
      <c r="YA64" s="241"/>
      <c r="YB64" s="241"/>
      <c r="YC64" s="241"/>
      <c r="YD64" s="241"/>
      <c r="YE64" s="241"/>
      <c r="YF64" s="241"/>
      <c r="YG64" s="241"/>
      <c r="YH64" s="241"/>
      <c r="YI64" s="241"/>
      <c r="YJ64" s="241"/>
      <c r="YK64" s="241"/>
      <c r="YL64" s="241"/>
      <c r="YM64" s="241"/>
      <c r="YN64" s="241"/>
      <c r="YO64" s="241"/>
      <c r="YP64" s="241"/>
      <c r="YQ64" s="241"/>
      <c r="YR64" s="241"/>
      <c r="YS64" s="241"/>
      <c r="YT64" s="241"/>
      <c r="YU64" s="241"/>
      <c r="YV64" s="241"/>
      <c r="YW64" s="241"/>
      <c r="YX64" s="241"/>
      <c r="YY64" s="241"/>
      <c r="YZ64" s="241"/>
      <c r="ZA64" s="241"/>
      <c r="ZB64" s="241"/>
      <c r="ZC64" s="241"/>
      <c r="ZD64" s="241"/>
      <c r="ZE64" s="241"/>
      <c r="ZF64" s="241"/>
      <c r="ZG64" s="241"/>
      <c r="ZH64" s="241"/>
      <c r="ZI64" s="241"/>
      <c r="ZJ64" s="241"/>
      <c r="ZK64" s="241"/>
      <c r="ZL64" s="241"/>
      <c r="ZM64" s="241"/>
      <c r="ZN64" s="241"/>
      <c r="ZO64" s="241"/>
      <c r="ZP64" s="241"/>
      <c r="ZQ64" s="241"/>
      <c r="ZR64" s="241"/>
      <c r="ZS64" s="241"/>
      <c r="ZT64" s="241"/>
      <c r="ZU64" s="241"/>
      <c r="ZV64" s="241"/>
      <c r="ZW64" s="241"/>
      <c r="ZX64" s="241"/>
      <c r="ZY64" s="241"/>
      <c r="ZZ64" s="241"/>
    </row>
    <row r="65" spans="1:702" s="254" customFormat="1" x14ac:dyDescent="0.2">
      <c r="A65" s="241"/>
      <c r="B65" s="241"/>
      <c r="C65" s="241"/>
      <c r="D65" s="253"/>
      <c r="E65" s="241"/>
      <c r="F65" s="241"/>
      <c r="G65" s="241"/>
      <c r="H65" s="241"/>
      <c r="I65" s="241"/>
      <c r="J65" s="241"/>
      <c r="K65" s="241"/>
      <c r="L65" s="241"/>
      <c r="M65" s="241"/>
      <c r="N65" s="241"/>
      <c r="O65" s="241"/>
      <c r="P65" s="241"/>
      <c r="Q65" s="241"/>
      <c r="R65" s="241"/>
      <c r="S65" s="241"/>
      <c r="T65" s="241"/>
      <c r="U65" s="241"/>
      <c r="V65" s="241"/>
      <c r="W65" s="241"/>
      <c r="X65" s="241"/>
      <c r="Y65" s="241"/>
      <c r="Z65" s="241"/>
      <c r="AA65" s="241"/>
      <c r="AB65" s="241"/>
      <c r="AC65" s="241"/>
      <c r="AD65" s="241"/>
      <c r="AE65" s="241"/>
      <c r="AF65" s="241"/>
      <c r="AG65" s="241"/>
      <c r="AH65" s="241"/>
      <c r="AI65" s="241"/>
      <c r="AJ65" s="241"/>
      <c r="AK65" s="241"/>
      <c r="AL65" s="241"/>
      <c r="AM65" s="241"/>
      <c r="AN65" s="241"/>
      <c r="AO65" s="241"/>
      <c r="AP65" s="241"/>
      <c r="AQ65" s="241"/>
      <c r="AR65" s="241"/>
      <c r="AS65" s="241"/>
      <c r="AT65" s="241"/>
      <c r="AU65" s="241"/>
      <c r="AV65" s="241"/>
      <c r="AW65" s="241"/>
      <c r="AX65" s="241"/>
      <c r="AY65" s="241"/>
      <c r="AZ65" s="241"/>
      <c r="BA65" s="241"/>
      <c r="BB65" s="241"/>
      <c r="BC65" s="241"/>
      <c r="BD65" s="241"/>
      <c r="BE65" s="241"/>
      <c r="BF65" s="241"/>
      <c r="BG65" s="241"/>
      <c r="BH65" s="241"/>
      <c r="BI65" s="241"/>
      <c r="BJ65" s="241"/>
      <c r="BK65" s="241"/>
      <c r="BL65" s="241"/>
      <c r="BM65" s="241"/>
      <c r="BN65" s="241"/>
      <c r="BO65" s="241"/>
      <c r="BP65" s="241"/>
      <c r="BQ65" s="241"/>
      <c r="BR65" s="241"/>
      <c r="BS65" s="241"/>
      <c r="BT65" s="241"/>
      <c r="BU65" s="241"/>
      <c r="BV65" s="241"/>
      <c r="BW65" s="241"/>
      <c r="BX65" s="241"/>
      <c r="BY65" s="241"/>
      <c r="BZ65" s="241"/>
      <c r="CA65" s="241"/>
      <c r="CB65" s="241"/>
      <c r="CC65" s="241"/>
      <c r="CD65" s="241"/>
      <c r="CE65" s="241"/>
      <c r="CF65" s="241"/>
      <c r="CG65" s="241"/>
      <c r="CH65" s="241"/>
      <c r="CI65" s="241"/>
      <c r="CJ65" s="241"/>
      <c r="CK65" s="241"/>
      <c r="CL65" s="241"/>
      <c r="CM65" s="241"/>
      <c r="CN65" s="241"/>
      <c r="CO65" s="241"/>
      <c r="CP65" s="241"/>
      <c r="CQ65" s="241"/>
      <c r="CR65" s="241"/>
      <c r="CS65" s="241"/>
      <c r="CT65" s="241"/>
      <c r="CU65" s="241"/>
      <c r="CV65" s="241"/>
      <c r="CW65" s="241"/>
      <c r="CX65" s="241"/>
      <c r="CY65" s="241"/>
      <c r="CZ65" s="241"/>
      <c r="DA65" s="241"/>
      <c r="DB65" s="241"/>
      <c r="DC65" s="241"/>
      <c r="DD65" s="241"/>
      <c r="DE65" s="241"/>
      <c r="DF65" s="241"/>
      <c r="DG65" s="241"/>
      <c r="DH65" s="241"/>
      <c r="DI65" s="241"/>
      <c r="DJ65" s="241"/>
      <c r="DK65" s="241"/>
      <c r="DL65" s="241"/>
      <c r="DM65" s="241"/>
      <c r="DN65" s="241"/>
      <c r="DO65" s="241"/>
      <c r="DP65" s="241"/>
      <c r="DQ65" s="241"/>
      <c r="DR65" s="241"/>
      <c r="DS65" s="241"/>
      <c r="DT65" s="241"/>
      <c r="DU65" s="241"/>
      <c r="DV65" s="241"/>
      <c r="DW65" s="241"/>
      <c r="DX65" s="241"/>
      <c r="DY65" s="241"/>
      <c r="DZ65" s="241"/>
      <c r="EA65" s="241"/>
      <c r="EB65" s="241"/>
      <c r="EC65" s="241"/>
      <c r="ED65" s="241"/>
      <c r="EE65" s="241"/>
      <c r="EF65" s="241"/>
      <c r="EG65" s="241"/>
      <c r="EH65" s="241"/>
      <c r="EI65" s="241"/>
      <c r="EJ65" s="241"/>
      <c r="EK65" s="241"/>
      <c r="EL65" s="241"/>
      <c r="EM65" s="241"/>
      <c r="EN65" s="241"/>
      <c r="EO65" s="241"/>
      <c r="EP65" s="241"/>
      <c r="EQ65" s="241"/>
      <c r="ER65" s="241"/>
      <c r="ES65" s="241"/>
      <c r="ET65" s="241"/>
      <c r="EU65" s="241"/>
      <c r="EV65" s="241"/>
      <c r="EW65" s="241"/>
      <c r="EX65" s="241"/>
      <c r="EY65" s="241"/>
      <c r="EZ65" s="241"/>
      <c r="FA65" s="241"/>
      <c r="FB65" s="241"/>
      <c r="FC65" s="241"/>
      <c r="FD65" s="241"/>
      <c r="FE65" s="241"/>
      <c r="FF65" s="241"/>
      <c r="FG65" s="241"/>
      <c r="FH65" s="241"/>
      <c r="FI65" s="241"/>
      <c r="FJ65" s="241"/>
      <c r="FK65" s="241"/>
      <c r="FL65" s="241"/>
      <c r="FM65" s="241"/>
      <c r="FN65" s="241"/>
      <c r="FO65" s="241"/>
      <c r="FP65" s="241"/>
      <c r="FQ65" s="241"/>
      <c r="FR65" s="241"/>
      <c r="FS65" s="241"/>
      <c r="FT65" s="241"/>
      <c r="FU65" s="241"/>
      <c r="FV65" s="241"/>
      <c r="FW65" s="241"/>
      <c r="FX65" s="241"/>
      <c r="FY65" s="241"/>
      <c r="FZ65" s="241"/>
      <c r="GA65" s="241"/>
      <c r="GB65" s="241"/>
      <c r="GC65" s="241"/>
      <c r="GD65" s="241"/>
      <c r="GE65" s="241"/>
      <c r="GF65" s="241"/>
      <c r="GG65" s="241"/>
      <c r="GH65" s="241"/>
      <c r="GI65" s="241"/>
      <c r="GJ65" s="241"/>
      <c r="GK65" s="241"/>
      <c r="GL65" s="241"/>
      <c r="GM65" s="241"/>
      <c r="GN65" s="241"/>
      <c r="GO65" s="241"/>
      <c r="GP65" s="241"/>
      <c r="GQ65" s="241"/>
      <c r="GR65" s="241"/>
      <c r="GS65" s="241"/>
      <c r="GT65" s="241"/>
      <c r="GU65" s="241"/>
      <c r="GV65" s="241"/>
      <c r="GW65" s="241"/>
      <c r="GX65" s="241"/>
      <c r="GY65" s="241"/>
      <c r="GZ65" s="241"/>
      <c r="HA65" s="241"/>
      <c r="HB65" s="241"/>
      <c r="HC65" s="241"/>
      <c r="HD65" s="241"/>
      <c r="HE65" s="241"/>
      <c r="HF65" s="241"/>
      <c r="HG65" s="241"/>
      <c r="HH65" s="241"/>
      <c r="HI65" s="241"/>
      <c r="HJ65" s="241"/>
      <c r="HK65" s="241"/>
      <c r="HL65" s="241"/>
      <c r="HM65" s="241"/>
      <c r="HN65" s="241"/>
      <c r="HO65" s="241"/>
      <c r="HP65" s="241"/>
      <c r="HQ65" s="241"/>
      <c r="HR65" s="241"/>
      <c r="HS65" s="241"/>
      <c r="HT65" s="241"/>
      <c r="HU65" s="241"/>
      <c r="HV65" s="241"/>
      <c r="HW65" s="241"/>
      <c r="HX65" s="241"/>
      <c r="HY65" s="241"/>
      <c r="HZ65" s="241"/>
      <c r="IA65" s="241"/>
      <c r="IB65" s="241"/>
      <c r="IC65" s="241"/>
      <c r="ID65" s="241"/>
      <c r="IE65" s="241"/>
      <c r="IF65" s="241"/>
      <c r="IG65" s="241"/>
      <c r="IH65" s="241"/>
      <c r="II65" s="241"/>
      <c r="IJ65" s="241"/>
      <c r="IK65" s="241"/>
      <c r="IL65" s="241"/>
      <c r="IM65" s="241"/>
      <c r="IN65" s="241"/>
      <c r="IO65" s="241"/>
      <c r="IP65" s="241"/>
      <c r="IQ65" s="241"/>
      <c r="IR65" s="241"/>
      <c r="IS65" s="241"/>
      <c r="IT65" s="241"/>
      <c r="IU65" s="241"/>
      <c r="IV65" s="241"/>
      <c r="IW65" s="241"/>
      <c r="IX65" s="241"/>
      <c r="IY65" s="241"/>
      <c r="IZ65" s="241"/>
      <c r="JA65" s="241"/>
      <c r="JB65" s="241"/>
      <c r="JC65" s="241"/>
      <c r="JD65" s="241"/>
      <c r="JE65" s="241"/>
      <c r="JF65" s="241"/>
      <c r="JG65" s="241"/>
      <c r="JH65" s="241"/>
      <c r="JI65" s="241"/>
      <c r="JJ65" s="241"/>
      <c r="JK65" s="241"/>
      <c r="JL65" s="241"/>
      <c r="JM65" s="241"/>
      <c r="JN65" s="241"/>
      <c r="JO65" s="241"/>
      <c r="JP65" s="241"/>
      <c r="JQ65" s="241"/>
      <c r="JR65" s="241"/>
      <c r="JS65" s="241"/>
      <c r="JT65" s="241"/>
      <c r="JU65" s="241"/>
      <c r="JV65" s="241"/>
      <c r="JW65" s="241"/>
      <c r="JX65" s="241"/>
      <c r="JY65" s="241"/>
      <c r="JZ65" s="241"/>
      <c r="KA65" s="241"/>
      <c r="KB65" s="241"/>
      <c r="KC65" s="241"/>
      <c r="KD65" s="241"/>
      <c r="KE65" s="241"/>
      <c r="KF65" s="241"/>
      <c r="KG65" s="241"/>
      <c r="KH65" s="241"/>
      <c r="KI65" s="241"/>
      <c r="KJ65" s="241"/>
      <c r="KK65" s="241"/>
      <c r="KL65" s="241"/>
      <c r="KM65" s="241"/>
      <c r="KN65" s="241"/>
      <c r="KO65" s="241"/>
      <c r="KP65" s="241"/>
      <c r="KQ65" s="241"/>
      <c r="KR65" s="241"/>
      <c r="KS65" s="241"/>
      <c r="KT65" s="241"/>
      <c r="KU65" s="241"/>
      <c r="KV65" s="241"/>
      <c r="KW65" s="241"/>
      <c r="KX65" s="241"/>
      <c r="KY65" s="241"/>
      <c r="KZ65" s="241"/>
      <c r="LA65" s="241"/>
      <c r="LB65" s="241"/>
      <c r="LC65" s="241"/>
      <c r="LD65" s="241"/>
      <c r="LE65" s="241"/>
      <c r="LF65" s="241"/>
      <c r="LG65" s="241"/>
      <c r="LH65" s="241"/>
      <c r="LI65" s="241"/>
      <c r="LJ65" s="241"/>
      <c r="LK65" s="241"/>
      <c r="LL65" s="241"/>
      <c r="LM65" s="241"/>
      <c r="LN65" s="241"/>
      <c r="LO65" s="241"/>
      <c r="LP65" s="241"/>
      <c r="LQ65" s="241"/>
      <c r="LR65" s="241"/>
      <c r="LS65" s="241"/>
      <c r="LT65" s="241"/>
      <c r="LU65" s="241"/>
      <c r="LV65" s="241"/>
      <c r="LW65" s="241"/>
      <c r="LX65" s="241"/>
      <c r="LY65" s="241"/>
      <c r="LZ65" s="241"/>
      <c r="MA65" s="241"/>
      <c r="MB65" s="241"/>
      <c r="MC65" s="241"/>
      <c r="MD65" s="241"/>
      <c r="ME65" s="241"/>
      <c r="MF65" s="241"/>
      <c r="MG65" s="241"/>
      <c r="MH65" s="241"/>
      <c r="MI65" s="241"/>
      <c r="MJ65" s="241"/>
      <c r="MK65" s="241"/>
      <c r="ML65" s="241"/>
      <c r="MM65" s="241"/>
      <c r="MN65" s="241"/>
      <c r="MO65" s="241"/>
      <c r="MP65" s="241"/>
      <c r="MQ65" s="241"/>
      <c r="MR65" s="241"/>
      <c r="MS65" s="241"/>
      <c r="MT65" s="241"/>
      <c r="MU65" s="241"/>
      <c r="MV65" s="241"/>
      <c r="MW65" s="241"/>
      <c r="MX65" s="241"/>
      <c r="MY65" s="241"/>
      <c r="MZ65" s="241"/>
      <c r="NA65" s="241"/>
      <c r="NB65" s="241"/>
      <c r="NC65" s="241"/>
      <c r="ND65" s="241"/>
      <c r="NE65" s="241"/>
      <c r="NF65" s="241"/>
      <c r="NG65" s="241"/>
      <c r="NH65" s="241"/>
      <c r="NI65" s="241"/>
      <c r="NJ65" s="241"/>
      <c r="NK65" s="241"/>
      <c r="NL65" s="241"/>
      <c r="NM65" s="241"/>
      <c r="NN65" s="241"/>
      <c r="NO65" s="241"/>
      <c r="NP65" s="241"/>
      <c r="NQ65" s="241"/>
      <c r="NR65" s="241"/>
      <c r="NS65" s="241"/>
      <c r="NT65" s="241"/>
      <c r="NU65" s="241"/>
      <c r="NV65" s="241"/>
      <c r="NW65" s="241"/>
      <c r="NX65" s="241"/>
      <c r="NY65" s="241"/>
      <c r="NZ65" s="241"/>
      <c r="OA65" s="241"/>
      <c r="OB65" s="241"/>
      <c r="OC65" s="241"/>
      <c r="OD65" s="241"/>
      <c r="OE65" s="241"/>
      <c r="OF65" s="241"/>
      <c r="OG65" s="241"/>
      <c r="OH65" s="241"/>
      <c r="OI65" s="241"/>
      <c r="OJ65" s="241"/>
      <c r="OK65" s="241"/>
      <c r="OL65" s="241"/>
      <c r="OM65" s="241"/>
      <c r="ON65" s="241"/>
      <c r="OO65" s="241"/>
      <c r="OP65" s="241"/>
      <c r="OQ65" s="241"/>
      <c r="OR65" s="241"/>
      <c r="OS65" s="241"/>
      <c r="OT65" s="241"/>
      <c r="OU65" s="241"/>
      <c r="OV65" s="241"/>
      <c r="OW65" s="241"/>
      <c r="OX65" s="241"/>
      <c r="OY65" s="241"/>
      <c r="OZ65" s="241"/>
      <c r="PA65" s="241"/>
      <c r="PB65" s="241"/>
      <c r="PC65" s="241"/>
      <c r="PD65" s="241"/>
      <c r="PE65" s="241"/>
      <c r="PF65" s="241"/>
      <c r="PG65" s="241"/>
      <c r="PH65" s="241"/>
      <c r="PI65" s="241"/>
      <c r="PJ65" s="241"/>
      <c r="PK65" s="241"/>
      <c r="PL65" s="241"/>
      <c r="PM65" s="241"/>
      <c r="PN65" s="241"/>
      <c r="PO65" s="241"/>
      <c r="PP65" s="241"/>
      <c r="PQ65" s="241"/>
      <c r="PR65" s="241"/>
      <c r="PS65" s="241"/>
      <c r="PT65" s="241"/>
      <c r="PU65" s="241"/>
      <c r="PV65" s="241"/>
      <c r="PW65" s="241"/>
      <c r="PX65" s="241"/>
      <c r="PY65" s="241"/>
      <c r="PZ65" s="241"/>
      <c r="QA65" s="241"/>
      <c r="QB65" s="241"/>
      <c r="QC65" s="241"/>
      <c r="QD65" s="241"/>
      <c r="QE65" s="241"/>
      <c r="QF65" s="241"/>
      <c r="QG65" s="241"/>
      <c r="QH65" s="241"/>
      <c r="QI65" s="241"/>
      <c r="QJ65" s="241"/>
      <c r="QK65" s="241"/>
      <c r="QL65" s="241"/>
      <c r="QM65" s="241"/>
      <c r="QN65" s="241"/>
      <c r="QO65" s="241"/>
      <c r="QP65" s="241"/>
      <c r="QQ65" s="241"/>
      <c r="QR65" s="241"/>
      <c r="QS65" s="241"/>
      <c r="QT65" s="241"/>
      <c r="QU65" s="241"/>
      <c r="QV65" s="241"/>
      <c r="QW65" s="241"/>
      <c r="QX65" s="241"/>
      <c r="QY65" s="241"/>
      <c r="QZ65" s="241"/>
      <c r="RA65" s="241"/>
      <c r="RB65" s="241"/>
      <c r="RC65" s="241"/>
      <c r="RD65" s="241"/>
      <c r="RE65" s="241"/>
      <c r="RF65" s="241"/>
      <c r="RG65" s="241"/>
      <c r="RH65" s="241"/>
      <c r="RI65" s="241"/>
      <c r="RJ65" s="241"/>
      <c r="RK65" s="241"/>
      <c r="RL65" s="241"/>
      <c r="RM65" s="241"/>
      <c r="RN65" s="241"/>
      <c r="RO65" s="241"/>
      <c r="RP65" s="241"/>
      <c r="RQ65" s="241"/>
      <c r="RR65" s="241"/>
      <c r="RS65" s="241"/>
      <c r="RT65" s="241"/>
      <c r="RU65" s="241"/>
      <c r="RV65" s="241"/>
      <c r="RW65" s="241"/>
      <c r="RX65" s="241"/>
      <c r="RY65" s="241"/>
      <c r="RZ65" s="241"/>
      <c r="SA65" s="241"/>
      <c r="SB65" s="241"/>
      <c r="SC65" s="241"/>
      <c r="SD65" s="241"/>
      <c r="SE65" s="241"/>
      <c r="SF65" s="241"/>
      <c r="SG65" s="241"/>
      <c r="SH65" s="241"/>
      <c r="SI65" s="241"/>
      <c r="SJ65" s="241"/>
      <c r="SK65" s="241"/>
      <c r="SL65" s="241"/>
      <c r="SM65" s="241"/>
      <c r="SN65" s="241"/>
      <c r="SO65" s="241"/>
      <c r="SP65" s="241"/>
      <c r="SQ65" s="241"/>
      <c r="SR65" s="241"/>
      <c r="SS65" s="241"/>
      <c r="ST65" s="241"/>
      <c r="SU65" s="241"/>
      <c r="SV65" s="241"/>
      <c r="SW65" s="241"/>
      <c r="SX65" s="241"/>
      <c r="SY65" s="241"/>
      <c r="SZ65" s="241"/>
      <c r="TA65" s="241"/>
      <c r="TB65" s="241"/>
      <c r="TC65" s="241"/>
      <c r="TD65" s="241"/>
      <c r="TE65" s="241"/>
      <c r="TF65" s="241"/>
      <c r="TG65" s="241"/>
      <c r="TH65" s="241"/>
      <c r="TI65" s="241"/>
      <c r="TJ65" s="241"/>
      <c r="TK65" s="241"/>
      <c r="TL65" s="241"/>
      <c r="TM65" s="241"/>
      <c r="TN65" s="241"/>
      <c r="TO65" s="241"/>
      <c r="TP65" s="241"/>
      <c r="TQ65" s="241"/>
      <c r="TR65" s="241"/>
      <c r="TS65" s="241"/>
      <c r="TT65" s="241"/>
      <c r="TU65" s="241"/>
      <c r="TV65" s="241"/>
      <c r="TW65" s="241"/>
      <c r="TX65" s="241"/>
      <c r="TY65" s="241"/>
      <c r="TZ65" s="241"/>
      <c r="UA65" s="241"/>
      <c r="UB65" s="241"/>
      <c r="UC65" s="241"/>
      <c r="UD65" s="241"/>
      <c r="UE65" s="241"/>
      <c r="UF65" s="241"/>
      <c r="UG65" s="241"/>
      <c r="UH65" s="241"/>
      <c r="UI65" s="241"/>
      <c r="UJ65" s="241"/>
      <c r="UK65" s="241"/>
      <c r="UL65" s="241"/>
      <c r="UM65" s="241"/>
      <c r="UN65" s="241"/>
      <c r="UO65" s="241"/>
      <c r="UP65" s="241"/>
      <c r="UQ65" s="241"/>
      <c r="UR65" s="241"/>
      <c r="US65" s="241"/>
      <c r="UT65" s="241"/>
      <c r="UU65" s="241"/>
      <c r="UV65" s="241"/>
      <c r="UW65" s="241"/>
      <c r="UX65" s="241"/>
      <c r="UY65" s="241"/>
      <c r="UZ65" s="241"/>
      <c r="VA65" s="241"/>
      <c r="VB65" s="241"/>
      <c r="VC65" s="241"/>
      <c r="VD65" s="241"/>
      <c r="VE65" s="241"/>
      <c r="VF65" s="241"/>
      <c r="VG65" s="241"/>
      <c r="VH65" s="241"/>
      <c r="VI65" s="241"/>
      <c r="VJ65" s="241"/>
      <c r="VK65" s="241"/>
      <c r="VL65" s="241"/>
      <c r="VM65" s="241"/>
      <c r="VN65" s="241"/>
      <c r="VO65" s="241"/>
      <c r="VP65" s="241"/>
      <c r="VQ65" s="241"/>
      <c r="VR65" s="241"/>
      <c r="VS65" s="241"/>
      <c r="VT65" s="241"/>
      <c r="VU65" s="241"/>
      <c r="VV65" s="241"/>
      <c r="VW65" s="241"/>
      <c r="VX65" s="241"/>
      <c r="VY65" s="241"/>
      <c r="VZ65" s="241"/>
      <c r="WA65" s="241"/>
      <c r="WB65" s="241"/>
      <c r="WC65" s="241"/>
      <c r="WD65" s="241"/>
      <c r="WE65" s="241"/>
      <c r="WF65" s="241"/>
      <c r="WG65" s="241"/>
      <c r="WH65" s="241"/>
      <c r="WI65" s="241"/>
      <c r="WJ65" s="241"/>
      <c r="WK65" s="241"/>
      <c r="WL65" s="241"/>
      <c r="WM65" s="241"/>
      <c r="WN65" s="241"/>
      <c r="WO65" s="241"/>
      <c r="WP65" s="241"/>
      <c r="WQ65" s="241"/>
      <c r="WR65" s="241"/>
      <c r="WS65" s="241"/>
      <c r="WT65" s="241"/>
      <c r="WU65" s="241"/>
      <c r="WV65" s="241"/>
      <c r="WW65" s="241"/>
      <c r="WX65" s="241"/>
      <c r="WY65" s="241"/>
      <c r="WZ65" s="241"/>
      <c r="XA65" s="241"/>
      <c r="XB65" s="241"/>
      <c r="XC65" s="241"/>
      <c r="XD65" s="241"/>
      <c r="XE65" s="241"/>
      <c r="XF65" s="241"/>
      <c r="XG65" s="241"/>
      <c r="XH65" s="241"/>
      <c r="XI65" s="241"/>
      <c r="XJ65" s="241"/>
      <c r="XK65" s="241"/>
      <c r="XL65" s="241"/>
      <c r="XM65" s="241"/>
      <c r="XN65" s="241"/>
      <c r="XO65" s="241"/>
      <c r="XP65" s="241"/>
      <c r="XQ65" s="241"/>
      <c r="XR65" s="241"/>
      <c r="XS65" s="241"/>
      <c r="XT65" s="241"/>
      <c r="XU65" s="241"/>
      <c r="XV65" s="241"/>
      <c r="XW65" s="241"/>
      <c r="XX65" s="241"/>
      <c r="XY65" s="241"/>
      <c r="XZ65" s="241"/>
      <c r="YA65" s="241"/>
      <c r="YB65" s="241"/>
      <c r="YC65" s="241"/>
      <c r="YD65" s="241"/>
      <c r="YE65" s="241"/>
      <c r="YF65" s="241"/>
      <c r="YG65" s="241"/>
      <c r="YH65" s="241"/>
      <c r="YI65" s="241"/>
      <c r="YJ65" s="241"/>
      <c r="YK65" s="241"/>
      <c r="YL65" s="241"/>
      <c r="YM65" s="241"/>
      <c r="YN65" s="241"/>
      <c r="YO65" s="241"/>
      <c r="YP65" s="241"/>
      <c r="YQ65" s="241"/>
      <c r="YR65" s="241"/>
      <c r="YS65" s="241"/>
      <c r="YT65" s="241"/>
      <c r="YU65" s="241"/>
      <c r="YV65" s="241"/>
      <c r="YW65" s="241"/>
      <c r="YX65" s="241"/>
      <c r="YY65" s="241"/>
      <c r="YZ65" s="241"/>
      <c r="ZA65" s="241"/>
      <c r="ZB65" s="241"/>
      <c r="ZC65" s="241"/>
      <c r="ZD65" s="241"/>
      <c r="ZE65" s="241"/>
      <c r="ZF65" s="241"/>
      <c r="ZG65" s="241"/>
      <c r="ZH65" s="241"/>
      <c r="ZI65" s="241"/>
      <c r="ZJ65" s="241"/>
      <c r="ZK65" s="241"/>
      <c r="ZL65" s="241"/>
      <c r="ZM65" s="241"/>
      <c r="ZN65" s="241"/>
      <c r="ZO65" s="241"/>
      <c r="ZP65" s="241"/>
      <c r="ZQ65" s="241"/>
      <c r="ZR65" s="241"/>
      <c r="ZS65" s="241"/>
      <c r="ZT65" s="241"/>
      <c r="ZU65" s="241"/>
      <c r="ZV65" s="241"/>
      <c r="ZW65" s="241"/>
      <c r="ZX65" s="241"/>
      <c r="ZY65" s="241"/>
      <c r="ZZ65" s="241"/>
    </row>
    <row r="66" spans="1:702" s="254" customFormat="1" x14ac:dyDescent="0.2">
      <c r="A66" s="241"/>
      <c r="B66" s="241"/>
      <c r="C66" s="241"/>
      <c r="D66" s="253"/>
      <c r="E66" s="241"/>
      <c r="F66" s="241"/>
      <c r="G66" s="241"/>
      <c r="H66" s="241"/>
      <c r="I66" s="241"/>
      <c r="J66" s="241"/>
      <c r="K66" s="241"/>
      <c r="L66" s="241"/>
      <c r="M66" s="241"/>
      <c r="N66" s="241"/>
      <c r="O66" s="241"/>
      <c r="P66" s="241"/>
      <c r="Q66" s="241"/>
      <c r="R66" s="241"/>
      <c r="S66" s="241"/>
      <c r="T66" s="241"/>
      <c r="U66" s="241"/>
      <c r="V66" s="241"/>
      <c r="W66" s="241"/>
      <c r="X66" s="241"/>
      <c r="Y66" s="241"/>
      <c r="Z66" s="241"/>
      <c r="AA66" s="241"/>
      <c r="AB66" s="241"/>
      <c r="AC66" s="241"/>
      <c r="AD66" s="241"/>
      <c r="AE66" s="241"/>
      <c r="AF66" s="241"/>
      <c r="AG66" s="241"/>
      <c r="AH66" s="241"/>
      <c r="AI66" s="241"/>
      <c r="AJ66" s="241"/>
      <c r="AK66" s="241"/>
      <c r="AL66" s="241"/>
      <c r="AM66" s="241"/>
      <c r="AN66" s="241"/>
      <c r="AO66" s="241"/>
      <c r="AP66" s="241"/>
      <c r="AQ66" s="241"/>
      <c r="AR66" s="241"/>
      <c r="AS66" s="241"/>
      <c r="AT66" s="241"/>
      <c r="AU66" s="241"/>
      <c r="AV66" s="241"/>
      <c r="AW66" s="241"/>
      <c r="AX66" s="241"/>
      <c r="AY66" s="241"/>
      <c r="AZ66" s="241"/>
      <c r="BA66" s="241"/>
      <c r="BB66" s="241"/>
      <c r="BC66" s="241"/>
      <c r="BD66" s="241"/>
      <c r="BE66" s="241"/>
      <c r="BF66" s="241"/>
      <c r="BG66" s="241"/>
      <c r="BH66" s="241"/>
      <c r="BI66" s="241"/>
      <c r="BJ66" s="241"/>
      <c r="BK66" s="241"/>
      <c r="BL66" s="241"/>
      <c r="BM66" s="241"/>
      <c r="BN66" s="241"/>
      <c r="BO66" s="241"/>
      <c r="BP66" s="241"/>
      <c r="BQ66" s="241"/>
      <c r="BR66" s="241"/>
      <c r="BS66" s="241"/>
      <c r="BT66" s="241"/>
      <c r="BU66" s="241"/>
      <c r="BV66" s="241"/>
      <c r="BW66" s="241"/>
      <c r="BX66" s="241"/>
      <c r="BY66" s="241"/>
      <c r="BZ66" s="241"/>
      <c r="CA66" s="241"/>
      <c r="CB66" s="241"/>
      <c r="CC66" s="241"/>
      <c r="CD66" s="241"/>
      <c r="CE66" s="241"/>
      <c r="CF66" s="241"/>
      <c r="CG66" s="241"/>
      <c r="CH66" s="241"/>
      <c r="CI66" s="241"/>
      <c r="CJ66" s="241"/>
      <c r="CK66" s="241"/>
      <c r="CL66" s="241"/>
      <c r="CM66" s="241"/>
      <c r="CN66" s="241"/>
      <c r="CO66" s="241"/>
      <c r="CP66" s="241"/>
      <c r="CQ66" s="241"/>
      <c r="CR66" s="241"/>
      <c r="CS66" s="241"/>
      <c r="CT66" s="241"/>
      <c r="CU66" s="241"/>
      <c r="CV66" s="241"/>
      <c r="CW66" s="241"/>
      <c r="CX66" s="241"/>
      <c r="CY66" s="241"/>
      <c r="CZ66" s="241"/>
      <c r="DA66" s="241"/>
      <c r="DB66" s="241"/>
      <c r="DC66" s="241"/>
      <c r="DD66" s="241"/>
      <c r="DE66" s="241"/>
      <c r="DF66" s="241"/>
      <c r="DG66" s="241"/>
      <c r="DH66" s="241"/>
      <c r="DI66" s="241"/>
      <c r="DJ66" s="241"/>
      <c r="DK66" s="241"/>
      <c r="DL66" s="241"/>
      <c r="DM66" s="241"/>
      <c r="DN66" s="241"/>
      <c r="DO66" s="241"/>
      <c r="DP66" s="241"/>
      <c r="DQ66" s="241"/>
      <c r="DR66" s="241"/>
      <c r="DS66" s="241"/>
      <c r="DT66" s="241"/>
      <c r="DU66" s="241"/>
      <c r="DV66" s="241"/>
      <c r="DW66" s="241"/>
      <c r="DX66" s="241"/>
      <c r="DY66" s="241"/>
      <c r="DZ66" s="241"/>
      <c r="EA66" s="241"/>
      <c r="EB66" s="241"/>
      <c r="EC66" s="241"/>
      <c r="ED66" s="241"/>
      <c r="EE66" s="241"/>
      <c r="EF66" s="241"/>
      <c r="EG66" s="241"/>
      <c r="EH66" s="241"/>
      <c r="EI66" s="241"/>
      <c r="EJ66" s="241"/>
      <c r="EK66" s="241"/>
      <c r="EL66" s="241"/>
      <c r="EM66" s="241"/>
      <c r="EN66" s="241"/>
      <c r="EO66" s="241"/>
      <c r="EP66" s="241"/>
      <c r="EQ66" s="241"/>
      <c r="ER66" s="241"/>
      <c r="ES66" s="241"/>
      <c r="ET66" s="241"/>
      <c r="EU66" s="241"/>
      <c r="EV66" s="241"/>
      <c r="EW66" s="241"/>
      <c r="EX66" s="241"/>
      <c r="EY66" s="241"/>
      <c r="EZ66" s="241"/>
      <c r="FA66" s="241"/>
      <c r="FB66" s="241"/>
      <c r="FC66" s="241"/>
      <c r="FD66" s="241"/>
      <c r="FE66" s="241"/>
      <c r="FF66" s="241"/>
      <c r="FG66" s="241"/>
      <c r="FH66" s="241"/>
      <c r="FI66" s="241"/>
      <c r="FJ66" s="241"/>
      <c r="FK66" s="241"/>
      <c r="FL66" s="241"/>
      <c r="FM66" s="241"/>
      <c r="FN66" s="241"/>
      <c r="FO66" s="241"/>
      <c r="FP66" s="241"/>
      <c r="FQ66" s="241"/>
      <c r="FR66" s="241"/>
      <c r="FS66" s="241"/>
      <c r="FT66" s="241"/>
      <c r="FU66" s="241"/>
      <c r="FV66" s="241"/>
      <c r="FW66" s="241"/>
      <c r="FX66" s="241"/>
      <c r="FY66" s="241"/>
      <c r="FZ66" s="241"/>
      <c r="GA66" s="241"/>
      <c r="GB66" s="241"/>
      <c r="GC66" s="241"/>
      <c r="GD66" s="241"/>
      <c r="GE66" s="241"/>
      <c r="GF66" s="241"/>
      <c r="GG66" s="241"/>
      <c r="GH66" s="241"/>
      <c r="GI66" s="241"/>
      <c r="GJ66" s="241"/>
      <c r="GK66" s="241"/>
      <c r="GL66" s="241"/>
      <c r="GM66" s="241"/>
      <c r="GN66" s="241"/>
      <c r="GO66" s="241"/>
      <c r="GP66" s="241"/>
      <c r="GQ66" s="241"/>
      <c r="GR66" s="241"/>
      <c r="GS66" s="241"/>
      <c r="GT66" s="241"/>
      <c r="GU66" s="241"/>
      <c r="GV66" s="241"/>
      <c r="GW66" s="241"/>
      <c r="GX66" s="241"/>
      <c r="GY66" s="241"/>
      <c r="GZ66" s="241"/>
      <c r="HA66" s="241"/>
      <c r="HB66" s="241"/>
      <c r="HC66" s="241"/>
      <c r="HD66" s="241"/>
      <c r="HE66" s="241"/>
      <c r="HF66" s="241"/>
      <c r="HG66" s="241"/>
      <c r="HH66" s="241"/>
      <c r="HI66" s="241"/>
      <c r="HJ66" s="241"/>
      <c r="HK66" s="241"/>
      <c r="HL66" s="241"/>
      <c r="HM66" s="241"/>
      <c r="HN66" s="241"/>
      <c r="HO66" s="241"/>
      <c r="HP66" s="241"/>
      <c r="HQ66" s="241"/>
      <c r="HR66" s="241"/>
      <c r="HS66" s="241"/>
      <c r="HT66" s="241"/>
      <c r="HU66" s="241"/>
      <c r="HV66" s="241"/>
      <c r="HW66" s="241"/>
      <c r="HX66" s="241"/>
      <c r="HY66" s="241"/>
      <c r="HZ66" s="241"/>
      <c r="IA66" s="241"/>
      <c r="IB66" s="241"/>
      <c r="IC66" s="241"/>
      <c r="ID66" s="241"/>
      <c r="IE66" s="241"/>
      <c r="IF66" s="241"/>
      <c r="IG66" s="241"/>
      <c r="IH66" s="241"/>
      <c r="II66" s="241"/>
      <c r="IJ66" s="241"/>
      <c r="IK66" s="241"/>
      <c r="IL66" s="241"/>
      <c r="IM66" s="241"/>
      <c r="IN66" s="241"/>
      <c r="IO66" s="241"/>
      <c r="IP66" s="241"/>
      <c r="IQ66" s="241"/>
      <c r="IR66" s="241"/>
      <c r="IS66" s="241"/>
      <c r="IT66" s="241"/>
      <c r="IU66" s="241"/>
      <c r="IV66" s="241"/>
      <c r="IW66" s="241"/>
      <c r="IX66" s="241"/>
      <c r="IY66" s="241"/>
      <c r="IZ66" s="241"/>
      <c r="JA66" s="241"/>
      <c r="JB66" s="241"/>
      <c r="JC66" s="241"/>
      <c r="JD66" s="241"/>
      <c r="JE66" s="241"/>
      <c r="JF66" s="241"/>
      <c r="JG66" s="241"/>
      <c r="JH66" s="241"/>
      <c r="JI66" s="241"/>
      <c r="JJ66" s="241"/>
      <c r="JK66" s="241"/>
      <c r="JL66" s="241"/>
      <c r="JM66" s="241"/>
      <c r="JN66" s="241"/>
      <c r="JO66" s="241"/>
      <c r="JP66" s="241"/>
      <c r="JQ66" s="241"/>
      <c r="JR66" s="241"/>
      <c r="JS66" s="241"/>
      <c r="JT66" s="241"/>
      <c r="JU66" s="241"/>
      <c r="JV66" s="241"/>
      <c r="JW66" s="241"/>
      <c r="JX66" s="241"/>
      <c r="JY66" s="241"/>
      <c r="JZ66" s="241"/>
      <c r="KA66" s="241"/>
      <c r="KB66" s="241"/>
      <c r="KC66" s="241"/>
      <c r="KD66" s="241"/>
      <c r="KE66" s="241"/>
      <c r="KF66" s="241"/>
      <c r="KG66" s="241"/>
      <c r="KH66" s="241"/>
      <c r="KI66" s="241"/>
      <c r="KJ66" s="241"/>
      <c r="KK66" s="241"/>
      <c r="KL66" s="241"/>
      <c r="KM66" s="241"/>
      <c r="KN66" s="241"/>
      <c r="KO66" s="241"/>
      <c r="KP66" s="241"/>
      <c r="KQ66" s="241"/>
      <c r="KR66" s="241"/>
      <c r="KS66" s="241"/>
      <c r="KT66" s="241"/>
      <c r="KU66" s="241"/>
      <c r="KV66" s="241"/>
      <c r="KW66" s="241"/>
      <c r="KX66" s="241"/>
      <c r="KY66" s="241"/>
      <c r="KZ66" s="241"/>
      <c r="LA66" s="241"/>
      <c r="LB66" s="241"/>
      <c r="LC66" s="241"/>
      <c r="LD66" s="241"/>
      <c r="LE66" s="241"/>
      <c r="LF66" s="241"/>
      <c r="LG66" s="241"/>
      <c r="LH66" s="241"/>
      <c r="LI66" s="241"/>
      <c r="LJ66" s="241"/>
      <c r="LK66" s="241"/>
      <c r="LL66" s="241"/>
      <c r="LM66" s="241"/>
      <c r="LN66" s="241"/>
      <c r="LO66" s="241"/>
      <c r="LP66" s="241"/>
      <c r="LQ66" s="241"/>
      <c r="LR66" s="241"/>
      <c r="LS66" s="241"/>
      <c r="LT66" s="241"/>
      <c r="LU66" s="241"/>
      <c r="LV66" s="241"/>
      <c r="LW66" s="241"/>
      <c r="LX66" s="241"/>
      <c r="LY66" s="241"/>
      <c r="LZ66" s="241"/>
      <c r="MA66" s="241"/>
      <c r="MB66" s="241"/>
      <c r="MC66" s="241"/>
      <c r="MD66" s="241"/>
      <c r="ME66" s="241"/>
      <c r="MF66" s="241"/>
      <c r="MG66" s="241"/>
      <c r="MH66" s="241"/>
      <c r="MI66" s="241"/>
      <c r="MJ66" s="241"/>
      <c r="MK66" s="241"/>
      <c r="ML66" s="241"/>
      <c r="MM66" s="241"/>
      <c r="MN66" s="241"/>
      <c r="MO66" s="241"/>
      <c r="MP66" s="241"/>
      <c r="MQ66" s="241"/>
      <c r="MR66" s="241"/>
      <c r="MS66" s="241"/>
      <c r="MT66" s="241"/>
      <c r="MU66" s="241"/>
      <c r="MV66" s="241"/>
      <c r="MW66" s="241"/>
      <c r="MX66" s="241"/>
      <c r="MY66" s="241"/>
      <c r="MZ66" s="241"/>
      <c r="NA66" s="241"/>
      <c r="NB66" s="241"/>
      <c r="NC66" s="241"/>
      <c r="ND66" s="241"/>
      <c r="NE66" s="241"/>
      <c r="NF66" s="241"/>
      <c r="NG66" s="241"/>
      <c r="NH66" s="241"/>
      <c r="NI66" s="241"/>
      <c r="NJ66" s="241"/>
      <c r="NK66" s="241"/>
      <c r="NL66" s="241"/>
      <c r="NM66" s="241"/>
      <c r="NN66" s="241"/>
      <c r="NO66" s="241"/>
      <c r="NP66" s="241"/>
      <c r="NQ66" s="241"/>
      <c r="NR66" s="241"/>
      <c r="NS66" s="241"/>
      <c r="NT66" s="241"/>
      <c r="NU66" s="241"/>
      <c r="NV66" s="241"/>
      <c r="NW66" s="241"/>
      <c r="NX66" s="241"/>
      <c r="NY66" s="241"/>
      <c r="NZ66" s="241"/>
      <c r="OA66" s="241"/>
      <c r="OB66" s="241"/>
      <c r="OC66" s="241"/>
      <c r="OD66" s="241"/>
      <c r="OE66" s="241"/>
      <c r="OF66" s="241"/>
      <c r="OG66" s="241"/>
      <c r="OH66" s="241"/>
      <c r="OI66" s="241"/>
      <c r="OJ66" s="241"/>
      <c r="OK66" s="241"/>
      <c r="OL66" s="241"/>
      <c r="OM66" s="241"/>
      <c r="ON66" s="241"/>
      <c r="OO66" s="241"/>
      <c r="OP66" s="241"/>
      <c r="OQ66" s="241"/>
      <c r="OR66" s="241"/>
      <c r="OS66" s="241"/>
      <c r="OT66" s="241"/>
      <c r="OU66" s="241"/>
      <c r="OV66" s="241"/>
      <c r="OW66" s="241"/>
      <c r="OX66" s="241"/>
      <c r="OY66" s="241"/>
      <c r="OZ66" s="241"/>
      <c r="PA66" s="241"/>
      <c r="PB66" s="241"/>
      <c r="PC66" s="241"/>
      <c r="PD66" s="241"/>
      <c r="PE66" s="241"/>
      <c r="PF66" s="241"/>
      <c r="PG66" s="241"/>
      <c r="PH66" s="241"/>
      <c r="PI66" s="241"/>
      <c r="PJ66" s="241"/>
      <c r="PK66" s="241"/>
      <c r="PL66" s="241"/>
      <c r="PM66" s="241"/>
      <c r="PN66" s="241"/>
      <c r="PO66" s="241"/>
      <c r="PP66" s="241"/>
      <c r="PQ66" s="241"/>
      <c r="PR66" s="241"/>
      <c r="PS66" s="241"/>
      <c r="PT66" s="241"/>
      <c r="PU66" s="241"/>
      <c r="PV66" s="241"/>
      <c r="PW66" s="241"/>
      <c r="PX66" s="241"/>
      <c r="PY66" s="241"/>
      <c r="PZ66" s="241"/>
      <c r="QA66" s="241"/>
      <c r="QB66" s="241"/>
      <c r="QC66" s="241"/>
      <c r="QD66" s="241"/>
      <c r="QE66" s="241"/>
      <c r="QF66" s="241"/>
      <c r="QG66" s="241"/>
      <c r="QH66" s="241"/>
      <c r="QI66" s="241"/>
      <c r="QJ66" s="241"/>
      <c r="QK66" s="241"/>
      <c r="QL66" s="241"/>
      <c r="QM66" s="241"/>
      <c r="QN66" s="241"/>
      <c r="QO66" s="241"/>
      <c r="QP66" s="241"/>
      <c r="QQ66" s="241"/>
      <c r="QR66" s="241"/>
      <c r="QS66" s="241"/>
      <c r="QT66" s="241"/>
      <c r="QU66" s="241"/>
      <c r="QV66" s="241"/>
      <c r="QW66" s="241"/>
      <c r="QX66" s="241"/>
      <c r="QY66" s="241"/>
      <c r="QZ66" s="241"/>
      <c r="RA66" s="241"/>
      <c r="RB66" s="241"/>
      <c r="RC66" s="241"/>
      <c r="RD66" s="241"/>
      <c r="RE66" s="241"/>
      <c r="RF66" s="241"/>
      <c r="RG66" s="241"/>
      <c r="RH66" s="241"/>
      <c r="RI66" s="241"/>
      <c r="RJ66" s="241"/>
      <c r="RK66" s="241"/>
      <c r="RL66" s="241"/>
      <c r="RM66" s="241"/>
      <c r="RN66" s="241"/>
      <c r="RO66" s="241"/>
      <c r="RP66" s="241"/>
      <c r="RQ66" s="241"/>
      <c r="RR66" s="241"/>
      <c r="RS66" s="241"/>
      <c r="RT66" s="241"/>
      <c r="RU66" s="241"/>
      <c r="RV66" s="241"/>
      <c r="RW66" s="241"/>
      <c r="RX66" s="241"/>
      <c r="RY66" s="241"/>
      <c r="RZ66" s="241"/>
      <c r="SA66" s="241"/>
      <c r="SB66" s="241"/>
      <c r="SC66" s="241"/>
      <c r="SD66" s="241"/>
      <c r="SE66" s="241"/>
      <c r="SF66" s="241"/>
      <c r="SG66" s="241"/>
      <c r="SH66" s="241"/>
      <c r="SI66" s="241"/>
      <c r="SJ66" s="241"/>
      <c r="SK66" s="241"/>
      <c r="SL66" s="241"/>
      <c r="SM66" s="241"/>
      <c r="SN66" s="241"/>
      <c r="SO66" s="241"/>
      <c r="SP66" s="241"/>
      <c r="SQ66" s="241"/>
      <c r="SR66" s="241"/>
      <c r="SS66" s="241"/>
      <c r="ST66" s="241"/>
      <c r="SU66" s="241"/>
      <c r="SV66" s="241"/>
      <c r="SW66" s="241"/>
      <c r="SX66" s="241"/>
      <c r="SY66" s="241"/>
      <c r="SZ66" s="241"/>
      <c r="TA66" s="241"/>
      <c r="TB66" s="241"/>
      <c r="TC66" s="241"/>
      <c r="TD66" s="241"/>
      <c r="TE66" s="241"/>
      <c r="TF66" s="241"/>
      <c r="TG66" s="241"/>
      <c r="TH66" s="241"/>
      <c r="TI66" s="241"/>
      <c r="TJ66" s="241"/>
      <c r="TK66" s="241"/>
      <c r="TL66" s="241"/>
      <c r="TM66" s="241"/>
      <c r="TN66" s="241"/>
      <c r="TO66" s="241"/>
      <c r="TP66" s="241"/>
      <c r="TQ66" s="241"/>
      <c r="TR66" s="241"/>
      <c r="TS66" s="241"/>
      <c r="TT66" s="241"/>
      <c r="TU66" s="241"/>
      <c r="TV66" s="241"/>
      <c r="TW66" s="241"/>
      <c r="TX66" s="241"/>
      <c r="TY66" s="241"/>
      <c r="TZ66" s="241"/>
      <c r="UA66" s="241"/>
      <c r="UB66" s="241"/>
      <c r="UC66" s="241"/>
      <c r="UD66" s="241"/>
      <c r="UE66" s="241"/>
      <c r="UF66" s="241"/>
      <c r="UG66" s="241"/>
      <c r="UH66" s="241"/>
      <c r="UI66" s="241"/>
      <c r="UJ66" s="241"/>
      <c r="UK66" s="241"/>
      <c r="UL66" s="241"/>
      <c r="UM66" s="241"/>
      <c r="UN66" s="241"/>
      <c r="UO66" s="241"/>
      <c r="UP66" s="241"/>
      <c r="UQ66" s="241"/>
      <c r="UR66" s="241"/>
      <c r="US66" s="241"/>
      <c r="UT66" s="241"/>
      <c r="UU66" s="241"/>
      <c r="UV66" s="241"/>
      <c r="UW66" s="241"/>
      <c r="UX66" s="241"/>
      <c r="UY66" s="241"/>
      <c r="UZ66" s="241"/>
      <c r="VA66" s="241"/>
      <c r="VB66" s="241"/>
      <c r="VC66" s="241"/>
      <c r="VD66" s="241"/>
      <c r="VE66" s="241"/>
      <c r="VF66" s="241"/>
      <c r="VG66" s="241"/>
      <c r="VH66" s="241"/>
      <c r="VI66" s="241"/>
      <c r="VJ66" s="241"/>
      <c r="VK66" s="241"/>
      <c r="VL66" s="241"/>
      <c r="VM66" s="241"/>
      <c r="VN66" s="241"/>
      <c r="VO66" s="241"/>
      <c r="VP66" s="241"/>
      <c r="VQ66" s="241"/>
      <c r="VR66" s="241"/>
      <c r="VS66" s="241"/>
      <c r="VT66" s="241"/>
      <c r="VU66" s="241"/>
      <c r="VV66" s="241"/>
      <c r="VW66" s="241"/>
      <c r="VX66" s="241"/>
      <c r="VY66" s="241"/>
      <c r="VZ66" s="241"/>
      <c r="WA66" s="241"/>
      <c r="WB66" s="241"/>
      <c r="WC66" s="241"/>
      <c r="WD66" s="241"/>
      <c r="WE66" s="241"/>
      <c r="WF66" s="241"/>
      <c r="WG66" s="241"/>
      <c r="WH66" s="241"/>
      <c r="WI66" s="241"/>
      <c r="WJ66" s="241"/>
      <c r="WK66" s="241"/>
      <c r="WL66" s="241"/>
      <c r="WM66" s="241"/>
      <c r="WN66" s="241"/>
      <c r="WO66" s="241"/>
      <c r="WP66" s="241"/>
      <c r="WQ66" s="241"/>
      <c r="WR66" s="241"/>
      <c r="WS66" s="241"/>
      <c r="WT66" s="241"/>
      <c r="WU66" s="241"/>
      <c r="WV66" s="241"/>
      <c r="WW66" s="241"/>
      <c r="WX66" s="241"/>
      <c r="WY66" s="241"/>
      <c r="WZ66" s="241"/>
      <c r="XA66" s="241"/>
      <c r="XB66" s="241"/>
      <c r="XC66" s="241"/>
      <c r="XD66" s="241"/>
      <c r="XE66" s="241"/>
      <c r="XF66" s="241"/>
      <c r="XG66" s="241"/>
      <c r="XH66" s="241"/>
      <c r="XI66" s="241"/>
      <c r="XJ66" s="241"/>
      <c r="XK66" s="241"/>
      <c r="XL66" s="241"/>
      <c r="XM66" s="241"/>
      <c r="XN66" s="241"/>
      <c r="XO66" s="241"/>
      <c r="XP66" s="241"/>
      <c r="XQ66" s="241"/>
      <c r="XR66" s="241"/>
      <c r="XS66" s="241"/>
      <c r="XT66" s="241"/>
      <c r="XU66" s="241"/>
      <c r="XV66" s="241"/>
      <c r="XW66" s="241"/>
      <c r="XX66" s="241"/>
      <c r="XY66" s="241"/>
      <c r="XZ66" s="241"/>
      <c r="YA66" s="241"/>
      <c r="YB66" s="241"/>
      <c r="YC66" s="241"/>
      <c r="YD66" s="241"/>
      <c r="YE66" s="241"/>
      <c r="YF66" s="241"/>
      <c r="YG66" s="241"/>
      <c r="YH66" s="241"/>
      <c r="YI66" s="241"/>
      <c r="YJ66" s="241"/>
      <c r="YK66" s="241"/>
      <c r="YL66" s="241"/>
      <c r="YM66" s="241"/>
      <c r="YN66" s="241"/>
      <c r="YO66" s="241"/>
      <c r="YP66" s="241"/>
      <c r="YQ66" s="241"/>
      <c r="YR66" s="241"/>
      <c r="YS66" s="241"/>
      <c r="YT66" s="241"/>
      <c r="YU66" s="241"/>
      <c r="YV66" s="241"/>
      <c r="YW66" s="241"/>
      <c r="YX66" s="241"/>
      <c r="YY66" s="241"/>
      <c r="YZ66" s="241"/>
      <c r="ZA66" s="241"/>
      <c r="ZB66" s="241"/>
      <c r="ZC66" s="241"/>
      <c r="ZD66" s="241"/>
      <c r="ZE66" s="241"/>
      <c r="ZF66" s="241"/>
      <c r="ZG66" s="241"/>
      <c r="ZH66" s="241"/>
      <c r="ZI66" s="241"/>
      <c r="ZJ66" s="241"/>
      <c r="ZK66" s="241"/>
      <c r="ZL66" s="241"/>
      <c r="ZM66" s="241"/>
      <c r="ZN66" s="241"/>
      <c r="ZO66" s="241"/>
      <c r="ZP66" s="241"/>
      <c r="ZQ66" s="241"/>
      <c r="ZR66" s="241"/>
      <c r="ZS66" s="241"/>
      <c r="ZT66" s="241"/>
      <c r="ZU66" s="241"/>
      <c r="ZV66" s="241"/>
      <c r="ZW66" s="241"/>
      <c r="ZX66" s="241"/>
      <c r="ZY66" s="241"/>
      <c r="ZZ66" s="241"/>
    </row>
    <row r="67" spans="1:702" s="254" customFormat="1" x14ac:dyDescent="0.2">
      <c r="A67" s="241"/>
      <c r="B67" s="241"/>
      <c r="C67" s="241"/>
      <c r="D67" s="253"/>
      <c r="E67" s="241"/>
      <c r="F67" s="241"/>
      <c r="G67" s="241"/>
      <c r="H67" s="241"/>
      <c r="I67" s="241"/>
      <c r="J67" s="241"/>
      <c r="K67" s="241"/>
      <c r="L67" s="241"/>
      <c r="M67" s="241"/>
      <c r="N67" s="241"/>
      <c r="O67" s="241"/>
      <c r="P67" s="241"/>
      <c r="Q67" s="241"/>
      <c r="R67" s="241"/>
      <c r="S67" s="241"/>
      <c r="T67" s="241"/>
      <c r="U67" s="241"/>
      <c r="V67" s="241"/>
      <c r="W67" s="241"/>
      <c r="X67" s="241"/>
      <c r="Y67" s="241"/>
      <c r="Z67" s="241"/>
      <c r="AA67" s="241"/>
      <c r="AB67" s="241"/>
      <c r="AC67" s="241"/>
      <c r="AD67" s="241"/>
      <c r="AE67" s="241"/>
      <c r="AF67" s="241"/>
      <c r="AG67" s="241"/>
      <c r="AH67" s="241"/>
      <c r="AI67" s="241"/>
      <c r="AJ67" s="241"/>
      <c r="AK67" s="241"/>
      <c r="AL67" s="241"/>
      <c r="AM67" s="241"/>
      <c r="AN67" s="241"/>
      <c r="AO67" s="241"/>
      <c r="AP67" s="241"/>
      <c r="AQ67" s="241"/>
      <c r="AR67" s="241"/>
      <c r="AS67" s="241"/>
      <c r="AT67" s="241"/>
      <c r="AU67" s="241"/>
      <c r="AV67" s="241"/>
      <c r="AW67" s="241"/>
      <c r="AX67" s="241"/>
      <c r="AY67" s="241"/>
      <c r="AZ67" s="241"/>
      <c r="BA67" s="241"/>
      <c r="BB67" s="241"/>
      <c r="BC67" s="241"/>
      <c r="BD67" s="241"/>
      <c r="BE67" s="241"/>
      <c r="BF67" s="241"/>
      <c r="BG67" s="241"/>
      <c r="BH67" s="241"/>
      <c r="BI67" s="241"/>
      <c r="BJ67" s="241"/>
      <c r="BK67" s="241"/>
      <c r="BL67" s="241"/>
      <c r="BM67" s="241"/>
      <c r="BN67" s="241"/>
      <c r="BO67" s="241"/>
      <c r="BP67" s="241"/>
      <c r="BQ67" s="241"/>
      <c r="BR67" s="241"/>
      <c r="BS67" s="241"/>
      <c r="BT67" s="241"/>
      <c r="BU67" s="241"/>
      <c r="BV67" s="241"/>
      <c r="BW67" s="241"/>
      <c r="BX67" s="241"/>
      <c r="BY67" s="241"/>
      <c r="BZ67" s="241"/>
      <c r="CA67" s="241"/>
      <c r="CB67" s="241"/>
      <c r="CC67" s="241"/>
      <c r="CD67" s="241"/>
      <c r="CE67" s="241"/>
      <c r="CF67" s="241"/>
      <c r="CG67" s="241"/>
      <c r="CH67" s="241"/>
      <c r="CI67" s="241"/>
      <c r="CJ67" s="241"/>
      <c r="CK67" s="241"/>
      <c r="CL67" s="241"/>
      <c r="CM67" s="241"/>
      <c r="CN67" s="241"/>
      <c r="CO67" s="241"/>
      <c r="CP67" s="241"/>
      <c r="CQ67" s="241"/>
      <c r="CR67" s="241"/>
      <c r="CS67" s="241"/>
      <c r="CT67" s="241"/>
      <c r="CU67" s="241"/>
      <c r="CV67" s="241"/>
      <c r="CW67" s="241"/>
      <c r="CX67" s="241"/>
      <c r="CY67" s="241"/>
      <c r="CZ67" s="241"/>
      <c r="DA67" s="241"/>
      <c r="DB67" s="241"/>
      <c r="DC67" s="241"/>
      <c r="DD67" s="241"/>
      <c r="DE67" s="241"/>
      <c r="DF67" s="241"/>
      <c r="DG67" s="241"/>
      <c r="DH67" s="241"/>
      <c r="DI67" s="241"/>
      <c r="DJ67" s="241"/>
      <c r="DK67" s="241"/>
      <c r="DL67" s="241"/>
      <c r="DM67" s="241"/>
      <c r="DN67" s="241"/>
      <c r="DO67" s="241"/>
      <c r="DP67" s="241"/>
      <c r="DQ67" s="241"/>
      <c r="DR67" s="241"/>
      <c r="DS67" s="241"/>
      <c r="DT67" s="241"/>
      <c r="DU67" s="241"/>
      <c r="DV67" s="241"/>
      <c r="DW67" s="241"/>
      <c r="DX67" s="241"/>
      <c r="DY67" s="241"/>
      <c r="DZ67" s="241"/>
      <c r="EA67" s="241"/>
      <c r="EB67" s="241"/>
      <c r="EC67" s="241"/>
      <c r="ED67" s="241"/>
      <c r="EE67" s="241"/>
      <c r="EF67" s="241"/>
      <c r="EG67" s="241"/>
      <c r="EH67" s="241"/>
      <c r="EI67" s="241"/>
      <c r="EJ67" s="241"/>
      <c r="EK67" s="241"/>
      <c r="EL67" s="241"/>
      <c r="EM67" s="241"/>
      <c r="EN67" s="241"/>
      <c r="EO67" s="241"/>
      <c r="EP67" s="241"/>
      <c r="EQ67" s="241"/>
      <c r="ER67" s="241"/>
      <c r="ES67" s="241"/>
      <c r="ET67" s="241"/>
      <c r="EU67" s="241"/>
      <c r="EV67" s="241"/>
      <c r="EW67" s="241"/>
      <c r="EX67" s="241"/>
      <c r="EY67" s="241"/>
      <c r="EZ67" s="241"/>
      <c r="FA67" s="241"/>
      <c r="FB67" s="241"/>
      <c r="FC67" s="241"/>
      <c r="FD67" s="241"/>
      <c r="FE67" s="241"/>
      <c r="FF67" s="241"/>
      <c r="FG67" s="241"/>
      <c r="FH67" s="241"/>
      <c r="FI67" s="241"/>
      <c r="FJ67" s="241"/>
      <c r="FK67" s="241"/>
      <c r="FL67" s="241"/>
      <c r="FM67" s="241"/>
      <c r="FN67" s="241"/>
      <c r="FO67" s="241"/>
      <c r="FP67" s="241"/>
      <c r="FQ67" s="241"/>
      <c r="FR67" s="241"/>
      <c r="FS67" s="241"/>
      <c r="FT67" s="241"/>
      <c r="FU67" s="241"/>
      <c r="FV67" s="241"/>
      <c r="FW67" s="241"/>
      <c r="FX67" s="241"/>
      <c r="FY67" s="241"/>
      <c r="FZ67" s="241"/>
      <c r="GA67" s="241"/>
      <c r="GB67" s="241"/>
      <c r="GC67" s="241"/>
      <c r="GD67" s="241"/>
      <c r="GE67" s="241"/>
      <c r="GF67" s="241"/>
      <c r="GG67" s="241"/>
      <c r="GH67" s="241"/>
      <c r="GI67" s="241"/>
      <c r="GJ67" s="241"/>
      <c r="GK67" s="241"/>
      <c r="GL67" s="241"/>
      <c r="GM67" s="241"/>
      <c r="GN67" s="241"/>
      <c r="GO67" s="241"/>
      <c r="GP67" s="241"/>
      <c r="GQ67" s="241"/>
      <c r="GR67" s="241"/>
      <c r="GS67" s="241"/>
      <c r="GT67" s="241"/>
      <c r="GU67" s="241"/>
      <c r="GV67" s="241"/>
      <c r="GW67" s="241"/>
      <c r="GX67" s="241"/>
      <c r="GY67" s="241"/>
      <c r="GZ67" s="241"/>
      <c r="HA67" s="241"/>
      <c r="HB67" s="241"/>
      <c r="HC67" s="241"/>
      <c r="HD67" s="241"/>
      <c r="HE67" s="241"/>
      <c r="HF67" s="241"/>
      <c r="HG67" s="241"/>
      <c r="HH67" s="241"/>
      <c r="HI67" s="241"/>
      <c r="HJ67" s="241"/>
      <c r="HK67" s="241"/>
      <c r="HL67" s="241"/>
      <c r="HM67" s="241"/>
      <c r="HN67" s="241"/>
      <c r="HO67" s="241"/>
      <c r="HP67" s="241"/>
      <c r="HQ67" s="241"/>
      <c r="HR67" s="241"/>
      <c r="HS67" s="241"/>
      <c r="HT67" s="241"/>
      <c r="HU67" s="241"/>
      <c r="HV67" s="241"/>
      <c r="HW67" s="241"/>
      <c r="HX67" s="241"/>
      <c r="HY67" s="241"/>
      <c r="HZ67" s="241"/>
      <c r="IA67" s="241"/>
      <c r="IB67" s="241"/>
      <c r="IC67" s="241"/>
      <c r="ID67" s="241"/>
      <c r="IE67" s="241"/>
      <c r="IF67" s="241"/>
      <c r="IG67" s="241"/>
      <c r="IH67" s="241"/>
      <c r="II67" s="241"/>
      <c r="IJ67" s="241"/>
      <c r="IK67" s="241"/>
      <c r="IL67" s="241"/>
      <c r="IM67" s="241"/>
      <c r="IN67" s="241"/>
      <c r="IO67" s="241"/>
      <c r="IP67" s="241"/>
      <c r="IQ67" s="241"/>
      <c r="IR67" s="241"/>
      <c r="IS67" s="241"/>
      <c r="IT67" s="241"/>
      <c r="IU67" s="241"/>
      <c r="IV67" s="241"/>
      <c r="IW67" s="241"/>
      <c r="IX67" s="241"/>
      <c r="IY67" s="241"/>
      <c r="IZ67" s="241"/>
      <c r="JA67" s="241"/>
      <c r="JB67" s="241"/>
      <c r="JC67" s="241"/>
      <c r="JD67" s="241"/>
      <c r="JE67" s="241"/>
      <c r="JF67" s="241"/>
      <c r="JG67" s="241"/>
      <c r="JH67" s="241"/>
      <c r="JI67" s="241"/>
      <c r="JJ67" s="241"/>
      <c r="JK67" s="241"/>
      <c r="JL67" s="241"/>
      <c r="JM67" s="241"/>
      <c r="JN67" s="241"/>
      <c r="JO67" s="241"/>
      <c r="JP67" s="241"/>
      <c r="JQ67" s="241"/>
      <c r="JR67" s="241"/>
      <c r="JS67" s="241"/>
      <c r="JT67" s="241"/>
      <c r="JU67" s="241"/>
      <c r="JV67" s="241"/>
      <c r="JW67" s="241"/>
      <c r="JX67" s="241"/>
      <c r="JY67" s="241"/>
      <c r="JZ67" s="241"/>
      <c r="KA67" s="241"/>
      <c r="KB67" s="241"/>
      <c r="KC67" s="241"/>
      <c r="KD67" s="241"/>
      <c r="KE67" s="241"/>
      <c r="KF67" s="241"/>
      <c r="KG67" s="241"/>
      <c r="KH67" s="241"/>
      <c r="KI67" s="241"/>
      <c r="KJ67" s="241"/>
      <c r="KK67" s="241"/>
      <c r="KL67" s="241"/>
      <c r="KM67" s="241"/>
      <c r="KN67" s="241"/>
      <c r="KO67" s="241"/>
      <c r="KP67" s="241"/>
      <c r="KQ67" s="241"/>
      <c r="KR67" s="241"/>
      <c r="KS67" s="241"/>
      <c r="KT67" s="241"/>
      <c r="KU67" s="241"/>
      <c r="KV67" s="241"/>
      <c r="KW67" s="241"/>
      <c r="KX67" s="241"/>
      <c r="KY67" s="241"/>
      <c r="KZ67" s="241"/>
      <c r="LA67" s="241"/>
      <c r="LB67" s="241"/>
      <c r="LC67" s="241"/>
      <c r="LD67" s="241"/>
      <c r="LE67" s="241"/>
      <c r="LF67" s="241"/>
      <c r="LG67" s="241"/>
      <c r="LH67" s="241"/>
      <c r="LI67" s="241"/>
      <c r="LJ67" s="241"/>
      <c r="LK67" s="241"/>
      <c r="LL67" s="241"/>
      <c r="LM67" s="241"/>
      <c r="LN67" s="241"/>
      <c r="LO67" s="241"/>
      <c r="LP67" s="241"/>
      <c r="LQ67" s="241"/>
      <c r="LR67" s="241"/>
      <c r="LS67" s="241"/>
      <c r="LT67" s="241"/>
      <c r="LU67" s="241"/>
      <c r="LV67" s="241"/>
      <c r="LW67" s="241"/>
      <c r="LX67" s="241"/>
      <c r="LY67" s="241"/>
      <c r="LZ67" s="241"/>
      <c r="MA67" s="241"/>
      <c r="MB67" s="241"/>
      <c r="MC67" s="241"/>
      <c r="MD67" s="241"/>
      <c r="ME67" s="241"/>
      <c r="MF67" s="241"/>
      <c r="MG67" s="241"/>
      <c r="MH67" s="241"/>
      <c r="MI67" s="241"/>
      <c r="MJ67" s="241"/>
      <c r="MK67" s="241"/>
      <c r="ML67" s="241"/>
      <c r="MM67" s="241"/>
      <c r="MN67" s="241"/>
      <c r="MO67" s="241"/>
      <c r="MP67" s="241"/>
      <c r="MQ67" s="241"/>
      <c r="MR67" s="241"/>
      <c r="MS67" s="241"/>
      <c r="MT67" s="241"/>
      <c r="MU67" s="241"/>
      <c r="MV67" s="241"/>
      <c r="MW67" s="241"/>
      <c r="MX67" s="241"/>
      <c r="MY67" s="241"/>
      <c r="MZ67" s="241"/>
      <c r="NA67" s="241"/>
      <c r="NB67" s="241"/>
      <c r="NC67" s="241"/>
      <c r="ND67" s="241"/>
      <c r="NE67" s="241"/>
      <c r="NF67" s="241"/>
      <c r="NG67" s="241"/>
      <c r="NH67" s="241"/>
      <c r="NI67" s="241"/>
      <c r="NJ67" s="241"/>
      <c r="NK67" s="241"/>
      <c r="NL67" s="241"/>
      <c r="NM67" s="241"/>
      <c r="NN67" s="241"/>
      <c r="NO67" s="241"/>
      <c r="NP67" s="241"/>
      <c r="NQ67" s="241"/>
      <c r="NR67" s="241"/>
      <c r="NS67" s="241"/>
      <c r="NT67" s="241"/>
      <c r="NU67" s="241"/>
      <c r="NV67" s="241"/>
      <c r="NW67" s="241"/>
      <c r="NX67" s="241"/>
      <c r="NY67" s="241"/>
      <c r="NZ67" s="241"/>
      <c r="OA67" s="241"/>
      <c r="OB67" s="241"/>
      <c r="OC67" s="241"/>
      <c r="OD67" s="241"/>
      <c r="OE67" s="241"/>
      <c r="OF67" s="241"/>
      <c r="OG67" s="241"/>
      <c r="OH67" s="241"/>
      <c r="OI67" s="241"/>
      <c r="OJ67" s="241"/>
      <c r="OK67" s="241"/>
      <c r="OL67" s="241"/>
      <c r="OM67" s="241"/>
      <c r="ON67" s="241"/>
      <c r="OO67" s="241"/>
      <c r="OP67" s="241"/>
      <c r="OQ67" s="241"/>
      <c r="OR67" s="241"/>
      <c r="OS67" s="241"/>
      <c r="OT67" s="241"/>
      <c r="OU67" s="241"/>
      <c r="OV67" s="241"/>
      <c r="OW67" s="241"/>
      <c r="OX67" s="241"/>
      <c r="OY67" s="241"/>
      <c r="OZ67" s="241"/>
      <c r="PA67" s="241"/>
      <c r="PB67" s="241"/>
      <c r="PC67" s="241"/>
      <c r="PD67" s="241"/>
      <c r="PE67" s="241"/>
      <c r="PF67" s="241"/>
      <c r="PG67" s="241"/>
      <c r="PH67" s="241"/>
      <c r="PI67" s="241"/>
      <c r="PJ67" s="241"/>
      <c r="PK67" s="241"/>
      <c r="PL67" s="241"/>
      <c r="PM67" s="241"/>
      <c r="PN67" s="241"/>
      <c r="PO67" s="241"/>
      <c r="PP67" s="241"/>
      <c r="PQ67" s="241"/>
      <c r="PR67" s="241"/>
      <c r="PS67" s="241"/>
      <c r="PT67" s="241"/>
      <c r="PU67" s="241"/>
      <c r="PV67" s="241"/>
      <c r="PW67" s="241"/>
      <c r="PX67" s="241"/>
      <c r="PY67" s="241"/>
      <c r="PZ67" s="241"/>
      <c r="QA67" s="241"/>
      <c r="QB67" s="241"/>
      <c r="QC67" s="241"/>
      <c r="QD67" s="241"/>
      <c r="QE67" s="241"/>
      <c r="QF67" s="241"/>
      <c r="QG67" s="241"/>
      <c r="QH67" s="241"/>
      <c r="QI67" s="241"/>
      <c r="QJ67" s="241"/>
      <c r="QK67" s="241"/>
      <c r="QL67" s="241"/>
      <c r="QM67" s="241"/>
      <c r="QN67" s="241"/>
      <c r="QO67" s="241"/>
      <c r="QP67" s="241"/>
      <c r="QQ67" s="241"/>
      <c r="QR67" s="241"/>
      <c r="QS67" s="241"/>
      <c r="QT67" s="241"/>
      <c r="QU67" s="241"/>
      <c r="QV67" s="241"/>
      <c r="QW67" s="241"/>
      <c r="QX67" s="241"/>
      <c r="QY67" s="241"/>
      <c r="QZ67" s="241"/>
      <c r="RA67" s="241"/>
      <c r="RB67" s="241"/>
      <c r="RC67" s="241"/>
      <c r="RD67" s="241"/>
      <c r="RE67" s="241"/>
      <c r="RF67" s="241"/>
      <c r="RG67" s="241"/>
      <c r="RH67" s="241"/>
      <c r="RI67" s="241"/>
      <c r="RJ67" s="241"/>
      <c r="RK67" s="241"/>
      <c r="RL67" s="241"/>
      <c r="RM67" s="241"/>
      <c r="RN67" s="241"/>
      <c r="RO67" s="241"/>
      <c r="RP67" s="241"/>
      <c r="RQ67" s="241"/>
      <c r="RR67" s="241"/>
      <c r="RS67" s="241"/>
      <c r="RT67" s="241"/>
      <c r="RU67" s="241"/>
      <c r="RV67" s="241"/>
      <c r="RW67" s="241"/>
      <c r="RX67" s="241"/>
      <c r="RY67" s="241"/>
      <c r="RZ67" s="241"/>
      <c r="SA67" s="241"/>
      <c r="SB67" s="241"/>
      <c r="SC67" s="241"/>
      <c r="SD67" s="241"/>
      <c r="SE67" s="241"/>
      <c r="SF67" s="241"/>
      <c r="SG67" s="241"/>
      <c r="SH67" s="241"/>
      <c r="SI67" s="241"/>
      <c r="SJ67" s="241"/>
      <c r="SK67" s="241"/>
      <c r="SL67" s="241"/>
      <c r="SM67" s="241"/>
      <c r="SN67" s="241"/>
      <c r="SO67" s="241"/>
      <c r="SP67" s="241"/>
      <c r="SQ67" s="241"/>
      <c r="SR67" s="241"/>
      <c r="SS67" s="241"/>
      <c r="ST67" s="241"/>
      <c r="SU67" s="241"/>
      <c r="SV67" s="241"/>
      <c r="SW67" s="241"/>
      <c r="SX67" s="241"/>
      <c r="SY67" s="241"/>
      <c r="SZ67" s="241"/>
      <c r="TA67" s="241"/>
      <c r="TB67" s="241"/>
      <c r="TC67" s="241"/>
      <c r="TD67" s="241"/>
      <c r="TE67" s="241"/>
      <c r="TF67" s="241"/>
      <c r="TG67" s="241"/>
      <c r="TH67" s="241"/>
      <c r="TI67" s="241"/>
      <c r="TJ67" s="241"/>
      <c r="TK67" s="241"/>
      <c r="TL67" s="241"/>
      <c r="TM67" s="241"/>
      <c r="TN67" s="241"/>
      <c r="TO67" s="241"/>
      <c r="TP67" s="241"/>
      <c r="TQ67" s="241"/>
      <c r="TR67" s="241"/>
      <c r="TS67" s="241"/>
      <c r="TT67" s="241"/>
      <c r="TU67" s="241"/>
      <c r="TV67" s="241"/>
      <c r="TW67" s="241"/>
      <c r="TX67" s="241"/>
      <c r="TY67" s="241"/>
      <c r="TZ67" s="241"/>
      <c r="UA67" s="241"/>
      <c r="UB67" s="241"/>
      <c r="UC67" s="241"/>
      <c r="UD67" s="241"/>
      <c r="UE67" s="241"/>
      <c r="UF67" s="241"/>
      <c r="UG67" s="241"/>
      <c r="UH67" s="241"/>
      <c r="UI67" s="241"/>
      <c r="UJ67" s="241"/>
      <c r="UK67" s="241"/>
      <c r="UL67" s="241"/>
      <c r="UM67" s="241"/>
      <c r="UN67" s="241"/>
      <c r="UO67" s="241"/>
      <c r="UP67" s="241"/>
      <c r="UQ67" s="241"/>
      <c r="UR67" s="241"/>
      <c r="US67" s="241"/>
      <c r="UT67" s="241"/>
      <c r="UU67" s="241"/>
      <c r="UV67" s="241"/>
      <c r="UW67" s="241"/>
      <c r="UX67" s="241"/>
      <c r="UY67" s="241"/>
      <c r="UZ67" s="241"/>
      <c r="VA67" s="241"/>
      <c r="VB67" s="241"/>
      <c r="VC67" s="241"/>
      <c r="VD67" s="241"/>
      <c r="VE67" s="241"/>
      <c r="VF67" s="241"/>
      <c r="VG67" s="241"/>
      <c r="VH67" s="241"/>
      <c r="VI67" s="241"/>
      <c r="VJ67" s="241"/>
      <c r="VK67" s="241"/>
      <c r="VL67" s="241"/>
      <c r="VM67" s="241"/>
      <c r="VN67" s="241"/>
      <c r="VO67" s="241"/>
      <c r="VP67" s="241"/>
      <c r="VQ67" s="241"/>
      <c r="VR67" s="241"/>
      <c r="VS67" s="241"/>
      <c r="VT67" s="241"/>
      <c r="VU67" s="241"/>
      <c r="VV67" s="241"/>
      <c r="VW67" s="241"/>
      <c r="VX67" s="241"/>
      <c r="VY67" s="241"/>
      <c r="VZ67" s="241"/>
      <c r="WA67" s="241"/>
      <c r="WB67" s="241"/>
      <c r="WC67" s="241"/>
      <c r="WD67" s="241"/>
      <c r="WE67" s="241"/>
      <c r="WF67" s="241"/>
      <c r="WG67" s="241"/>
      <c r="WH67" s="241"/>
      <c r="WI67" s="241"/>
      <c r="WJ67" s="241"/>
      <c r="WK67" s="241"/>
      <c r="WL67" s="241"/>
      <c r="WM67" s="241"/>
      <c r="WN67" s="241"/>
      <c r="WO67" s="241"/>
      <c r="WP67" s="241"/>
      <c r="WQ67" s="241"/>
      <c r="WR67" s="241"/>
      <c r="WS67" s="241"/>
      <c r="WT67" s="241"/>
      <c r="WU67" s="241"/>
      <c r="WV67" s="241"/>
      <c r="WW67" s="241"/>
      <c r="WX67" s="241"/>
      <c r="WY67" s="241"/>
      <c r="WZ67" s="241"/>
      <c r="XA67" s="241"/>
      <c r="XB67" s="241"/>
      <c r="XC67" s="241"/>
      <c r="XD67" s="241"/>
      <c r="XE67" s="241"/>
      <c r="XF67" s="241"/>
      <c r="XG67" s="241"/>
      <c r="XH67" s="241"/>
      <c r="XI67" s="241"/>
      <c r="XJ67" s="241"/>
      <c r="XK67" s="241"/>
      <c r="XL67" s="241"/>
      <c r="XM67" s="241"/>
      <c r="XN67" s="241"/>
      <c r="XO67" s="241"/>
      <c r="XP67" s="241"/>
      <c r="XQ67" s="241"/>
      <c r="XR67" s="241"/>
      <c r="XS67" s="241"/>
      <c r="XT67" s="241"/>
      <c r="XU67" s="241"/>
      <c r="XV67" s="241"/>
      <c r="XW67" s="241"/>
      <c r="XX67" s="241"/>
      <c r="XY67" s="241"/>
      <c r="XZ67" s="241"/>
      <c r="YA67" s="241"/>
      <c r="YB67" s="241"/>
      <c r="YC67" s="241"/>
      <c r="YD67" s="241"/>
      <c r="YE67" s="241"/>
      <c r="YF67" s="241"/>
      <c r="YG67" s="241"/>
      <c r="YH67" s="241"/>
      <c r="YI67" s="241"/>
      <c r="YJ67" s="241"/>
      <c r="YK67" s="241"/>
      <c r="YL67" s="241"/>
      <c r="YM67" s="241"/>
      <c r="YN67" s="241"/>
      <c r="YO67" s="241"/>
      <c r="YP67" s="241"/>
      <c r="YQ67" s="241"/>
      <c r="YR67" s="241"/>
      <c r="YS67" s="241"/>
      <c r="YT67" s="241"/>
      <c r="YU67" s="241"/>
      <c r="YV67" s="241"/>
      <c r="YW67" s="241"/>
      <c r="YX67" s="241"/>
      <c r="YY67" s="241"/>
      <c r="YZ67" s="241"/>
      <c r="ZA67" s="241"/>
      <c r="ZB67" s="241"/>
      <c r="ZC67" s="241"/>
      <c r="ZD67" s="241"/>
      <c r="ZE67" s="241"/>
      <c r="ZF67" s="241"/>
      <c r="ZG67" s="241"/>
      <c r="ZH67" s="241"/>
      <c r="ZI67" s="241"/>
      <c r="ZJ67" s="241"/>
      <c r="ZK67" s="241"/>
      <c r="ZL67" s="241"/>
      <c r="ZM67" s="241"/>
      <c r="ZN67" s="241"/>
      <c r="ZO67" s="241"/>
      <c r="ZP67" s="241"/>
      <c r="ZQ67" s="241"/>
      <c r="ZR67" s="241"/>
      <c r="ZS67" s="241"/>
      <c r="ZT67" s="241"/>
      <c r="ZU67" s="241"/>
      <c r="ZV67" s="241"/>
      <c r="ZW67" s="241"/>
      <c r="ZX67" s="241"/>
      <c r="ZY67" s="241"/>
      <c r="ZZ67" s="241"/>
    </row>
    <row r="68" spans="1:702" s="254" customFormat="1" x14ac:dyDescent="0.2">
      <c r="A68" s="241"/>
      <c r="B68" s="241"/>
      <c r="C68" s="241"/>
      <c r="D68" s="253"/>
      <c r="E68" s="241"/>
      <c r="F68" s="241"/>
      <c r="G68" s="241"/>
      <c r="H68" s="241"/>
      <c r="I68" s="241"/>
      <c r="J68" s="241"/>
      <c r="K68" s="241"/>
      <c r="L68" s="241"/>
      <c r="M68" s="241"/>
      <c r="N68" s="241"/>
      <c r="O68" s="241"/>
      <c r="P68" s="241"/>
      <c r="Q68" s="241"/>
      <c r="R68" s="241"/>
      <c r="S68" s="241"/>
      <c r="T68" s="241"/>
      <c r="U68" s="241"/>
      <c r="V68" s="241"/>
      <c r="W68" s="241"/>
      <c r="X68" s="241"/>
      <c r="Y68" s="241"/>
      <c r="Z68" s="241"/>
      <c r="AA68" s="241"/>
      <c r="AB68" s="241"/>
      <c r="AC68" s="241"/>
      <c r="AD68" s="241"/>
      <c r="AE68" s="241"/>
      <c r="AF68" s="241"/>
      <c r="AG68" s="241"/>
      <c r="AH68" s="241"/>
      <c r="AI68" s="241"/>
      <c r="AJ68" s="241"/>
      <c r="AK68" s="241"/>
      <c r="AL68" s="241"/>
      <c r="AM68" s="241"/>
      <c r="AN68" s="241"/>
      <c r="AO68" s="241"/>
      <c r="AP68" s="241"/>
      <c r="AQ68" s="241"/>
      <c r="AR68" s="241"/>
      <c r="AS68" s="241"/>
      <c r="AT68" s="241"/>
      <c r="AU68" s="241"/>
      <c r="AV68" s="241"/>
      <c r="AW68" s="241"/>
      <c r="AX68" s="241"/>
      <c r="AY68" s="241"/>
      <c r="AZ68" s="241"/>
      <c r="BA68" s="241"/>
      <c r="BB68" s="241"/>
      <c r="BC68" s="241"/>
      <c r="BD68" s="241"/>
      <c r="BE68" s="241"/>
      <c r="BF68" s="241"/>
      <c r="BG68" s="241"/>
      <c r="BH68" s="241"/>
      <c r="BI68" s="241"/>
      <c r="BJ68" s="241"/>
      <c r="BK68" s="241"/>
      <c r="BL68" s="241"/>
      <c r="BM68" s="241"/>
      <c r="BN68" s="241"/>
      <c r="BO68" s="241"/>
      <c r="BP68" s="241"/>
      <c r="BQ68" s="241"/>
      <c r="BR68" s="241"/>
      <c r="BS68" s="241"/>
      <c r="BT68" s="241"/>
      <c r="BU68" s="241"/>
      <c r="BV68" s="241"/>
      <c r="BW68" s="241"/>
      <c r="BX68" s="241"/>
      <c r="BY68" s="241"/>
      <c r="BZ68" s="241"/>
      <c r="CA68" s="241"/>
      <c r="CB68" s="241"/>
      <c r="CC68" s="241"/>
      <c r="CD68" s="241"/>
      <c r="CE68" s="241"/>
      <c r="CF68" s="241"/>
      <c r="CG68" s="241"/>
      <c r="CH68" s="241"/>
      <c r="CI68" s="241"/>
      <c r="CJ68" s="241"/>
      <c r="CK68" s="241"/>
      <c r="CL68" s="241"/>
      <c r="CM68" s="241"/>
      <c r="CN68" s="241"/>
      <c r="CO68" s="241"/>
      <c r="CP68" s="241"/>
      <c r="CQ68" s="241"/>
      <c r="CR68" s="241"/>
      <c r="CS68" s="241"/>
      <c r="CT68" s="241"/>
      <c r="CU68" s="241"/>
      <c r="CV68" s="241"/>
      <c r="CW68" s="241"/>
      <c r="CX68" s="241"/>
      <c r="CY68" s="241"/>
      <c r="CZ68" s="241"/>
      <c r="DA68" s="241"/>
      <c r="DB68" s="241"/>
      <c r="DC68" s="241"/>
      <c r="DD68" s="241"/>
      <c r="DE68" s="241"/>
      <c r="DF68" s="241"/>
      <c r="DG68" s="241"/>
      <c r="DH68" s="241"/>
      <c r="DI68" s="241"/>
      <c r="DJ68" s="241"/>
      <c r="DK68" s="241"/>
      <c r="DL68" s="241"/>
      <c r="DM68" s="241"/>
      <c r="DN68" s="241"/>
      <c r="DO68" s="241"/>
      <c r="DP68" s="241"/>
      <c r="DQ68" s="241"/>
      <c r="DR68" s="241"/>
      <c r="DS68" s="241"/>
      <c r="DT68" s="241"/>
      <c r="DU68" s="241"/>
      <c r="DV68" s="241"/>
      <c r="DW68" s="241"/>
      <c r="DX68" s="241"/>
      <c r="DY68" s="241"/>
      <c r="DZ68" s="241"/>
      <c r="EA68" s="241"/>
      <c r="EB68" s="241"/>
      <c r="EC68" s="241"/>
      <c r="ED68" s="241"/>
      <c r="EE68" s="241"/>
      <c r="EF68" s="241"/>
      <c r="EG68" s="241"/>
      <c r="EH68" s="241"/>
      <c r="EI68" s="241"/>
      <c r="EJ68" s="241"/>
      <c r="EK68" s="241"/>
      <c r="EL68" s="241"/>
      <c r="EM68" s="241"/>
      <c r="EN68" s="241"/>
      <c r="EO68" s="241"/>
      <c r="EP68" s="241"/>
      <c r="EQ68" s="241"/>
      <c r="ER68" s="241"/>
      <c r="ES68" s="241"/>
      <c r="ET68" s="241"/>
      <c r="EU68" s="241"/>
      <c r="EV68" s="241"/>
      <c r="EW68" s="241"/>
      <c r="EX68" s="241"/>
      <c r="EY68" s="241"/>
      <c r="EZ68" s="241"/>
      <c r="FA68" s="241"/>
      <c r="FB68" s="241"/>
      <c r="FC68" s="241"/>
      <c r="FD68" s="241"/>
      <c r="FE68" s="241"/>
      <c r="FF68" s="241"/>
      <c r="FG68" s="241"/>
      <c r="FH68" s="241"/>
      <c r="FI68" s="241"/>
      <c r="FJ68" s="241"/>
      <c r="FK68" s="241"/>
      <c r="FL68" s="241"/>
      <c r="FM68" s="241"/>
      <c r="FN68" s="241"/>
      <c r="FO68" s="241"/>
      <c r="FP68" s="241"/>
      <c r="FQ68" s="241"/>
      <c r="FR68" s="241"/>
      <c r="FS68" s="241"/>
      <c r="FT68" s="241"/>
      <c r="FU68" s="241"/>
      <c r="FV68" s="241"/>
      <c r="FW68" s="241"/>
      <c r="FX68" s="241"/>
      <c r="FY68" s="241"/>
      <c r="FZ68" s="241"/>
      <c r="GA68" s="241"/>
      <c r="GB68" s="241"/>
      <c r="GC68" s="241"/>
      <c r="GD68" s="241"/>
      <c r="GE68" s="241"/>
      <c r="GF68" s="241"/>
      <c r="GG68" s="241"/>
      <c r="GH68" s="241"/>
      <c r="GI68" s="241"/>
      <c r="GJ68" s="241"/>
      <c r="GK68" s="241"/>
      <c r="GL68" s="241"/>
      <c r="GM68" s="241"/>
      <c r="GN68" s="241"/>
      <c r="GO68" s="241"/>
      <c r="GP68" s="241"/>
      <c r="GQ68" s="241"/>
      <c r="GR68" s="241"/>
      <c r="GS68" s="241"/>
      <c r="GT68" s="241"/>
      <c r="GU68" s="241"/>
      <c r="GV68" s="241"/>
      <c r="GW68" s="241"/>
      <c r="GX68" s="241"/>
      <c r="GY68" s="241"/>
      <c r="GZ68" s="241"/>
      <c r="HA68" s="241"/>
      <c r="HB68" s="241"/>
      <c r="HC68" s="241"/>
      <c r="HD68" s="241"/>
      <c r="HE68" s="241"/>
      <c r="HF68" s="241"/>
      <c r="HG68" s="241"/>
      <c r="HH68" s="241"/>
      <c r="HI68" s="241"/>
      <c r="HJ68" s="241"/>
      <c r="HK68" s="241"/>
      <c r="HL68" s="241"/>
      <c r="HM68" s="241"/>
      <c r="HN68" s="241"/>
      <c r="HO68" s="241"/>
      <c r="HP68" s="241"/>
      <c r="HQ68" s="241"/>
      <c r="HR68" s="241"/>
      <c r="HS68" s="241"/>
      <c r="HT68" s="241"/>
      <c r="HU68" s="241"/>
      <c r="HV68" s="241"/>
      <c r="HW68" s="241"/>
      <c r="HX68" s="241"/>
      <c r="HY68" s="241"/>
      <c r="HZ68" s="241"/>
      <c r="IA68" s="241"/>
      <c r="IB68" s="241"/>
      <c r="IC68" s="241"/>
      <c r="ID68" s="241"/>
      <c r="IE68" s="241"/>
      <c r="IF68" s="241"/>
      <c r="IG68" s="241"/>
      <c r="IH68" s="241"/>
      <c r="II68" s="241"/>
      <c r="IJ68" s="241"/>
      <c r="IK68" s="241"/>
      <c r="IL68" s="241"/>
      <c r="IM68" s="241"/>
      <c r="IN68" s="241"/>
      <c r="IO68" s="241"/>
      <c r="IP68" s="241"/>
      <c r="IQ68" s="241"/>
      <c r="IR68" s="241"/>
      <c r="IS68" s="241"/>
      <c r="IT68" s="241"/>
      <c r="IU68" s="241"/>
      <c r="IV68" s="241"/>
      <c r="IW68" s="241"/>
      <c r="IX68" s="241"/>
      <c r="IY68" s="241"/>
      <c r="IZ68" s="241"/>
      <c r="JA68" s="241"/>
      <c r="JB68" s="241"/>
      <c r="JC68" s="241"/>
      <c r="JD68" s="241"/>
      <c r="JE68" s="241"/>
      <c r="JF68" s="241"/>
      <c r="JG68" s="241"/>
      <c r="JH68" s="241"/>
      <c r="JI68" s="241"/>
      <c r="JJ68" s="241"/>
      <c r="JK68" s="241"/>
      <c r="JL68" s="241"/>
      <c r="JM68" s="241"/>
      <c r="JN68" s="241"/>
      <c r="JO68" s="241"/>
      <c r="JP68" s="241"/>
      <c r="JQ68" s="241"/>
      <c r="JR68" s="241"/>
      <c r="JS68" s="241"/>
      <c r="JT68" s="241"/>
      <c r="JU68" s="241"/>
      <c r="JV68" s="241"/>
      <c r="JW68" s="241"/>
      <c r="JX68" s="241"/>
      <c r="JY68" s="241"/>
      <c r="JZ68" s="241"/>
      <c r="KA68" s="241"/>
      <c r="KB68" s="241"/>
      <c r="KC68" s="241"/>
      <c r="KD68" s="241"/>
      <c r="KE68" s="241"/>
      <c r="KF68" s="241"/>
      <c r="KG68" s="241"/>
      <c r="KH68" s="241"/>
      <c r="KI68" s="241"/>
      <c r="KJ68" s="241"/>
      <c r="KK68" s="241"/>
      <c r="KL68" s="241"/>
      <c r="KM68" s="241"/>
      <c r="KN68" s="241"/>
      <c r="KO68" s="241"/>
      <c r="KP68" s="241"/>
      <c r="KQ68" s="241"/>
      <c r="KR68" s="241"/>
      <c r="KS68" s="241"/>
      <c r="KT68" s="241"/>
      <c r="KU68" s="241"/>
      <c r="KV68" s="241"/>
      <c r="KW68" s="241"/>
      <c r="KX68" s="241"/>
      <c r="KY68" s="241"/>
      <c r="KZ68" s="241"/>
      <c r="LA68" s="241"/>
      <c r="LB68" s="241"/>
      <c r="LC68" s="241"/>
      <c r="LD68" s="241"/>
      <c r="LE68" s="241"/>
      <c r="LF68" s="241"/>
      <c r="LG68" s="241"/>
      <c r="LH68" s="241"/>
      <c r="LI68" s="241"/>
      <c r="LJ68" s="241"/>
      <c r="LK68" s="241"/>
      <c r="LL68" s="241"/>
      <c r="LM68" s="241"/>
      <c r="LN68" s="241"/>
      <c r="LO68" s="241"/>
      <c r="LP68" s="241"/>
      <c r="LQ68" s="241"/>
      <c r="LR68" s="241"/>
      <c r="LS68" s="241"/>
      <c r="LT68" s="241"/>
      <c r="LU68" s="241"/>
      <c r="LV68" s="241"/>
      <c r="LW68" s="241"/>
      <c r="LX68" s="241"/>
      <c r="LY68" s="241"/>
      <c r="LZ68" s="241"/>
      <c r="MA68" s="241"/>
      <c r="MB68" s="241"/>
      <c r="MC68" s="241"/>
      <c r="MD68" s="241"/>
      <c r="ME68" s="241"/>
      <c r="MF68" s="241"/>
      <c r="MG68" s="241"/>
      <c r="MH68" s="241"/>
      <c r="MI68" s="241"/>
      <c r="MJ68" s="241"/>
      <c r="MK68" s="241"/>
      <c r="ML68" s="241"/>
      <c r="MM68" s="241"/>
      <c r="MN68" s="241"/>
      <c r="MO68" s="241"/>
      <c r="MP68" s="241"/>
      <c r="MQ68" s="241"/>
      <c r="MR68" s="241"/>
      <c r="MS68" s="241"/>
      <c r="MT68" s="241"/>
      <c r="MU68" s="241"/>
      <c r="MV68" s="241"/>
      <c r="MW68" s="241"/>
      <c r="MX68" s="241"/>
      <c r="MY68" s="241"/>
      <c r="MZ68" s="241"/>
      <c r="NA68" s="241"/>
      <c r="NB68" s="241"/>
      <c r="NC68" s="241"/>
      <c r="ND68" s="241"/>
      <c r="NE68" s="241"/>
      <c r="NF68" s="241"/>
      <c r="NG68" s="241"/>
      <c r="NH68" s="241"/>
      <c r="NI68" s="241"/>
      <c r="NJ68" s="241"/>
      <c r="NK68" s="241"/>
      <c r="NL68" s="241"/>
      <c r="NM68" s="241"/>
      <c r="NN68" s="241"/>
      <c r="NO68" s="241"/>
      <c r="NP68" s="241"/>
      <c r="NQ68" s="241"/>
      <c r="NR68" s="241"/>
      <c r="NS68" s="241"/>
      <c r="NT68" s="241"/>
      <c r="NU68" s="241"/>
      <c r="NV68" s="241"/>
      <c r="NW68" s="241"/>
      <c r="NX68" s="241"/>
      <c r="NY68" s="241"/>
      <c r="NZ68" s="241"/>
      <c r="OA68" s="241"/>
      <c r="OB68" s="241"/>
      <c r="OC68" s="241"/>
      <c r="OD68" s="241"/>
      <c r="OE68" s="241"/>
      <c r="OF68" s="241"/>
      <c r="OG68" s="241"/>
      <c r="OH68" s="241"/>
      <c r="OI68" s="241"/>
      <c r="OJ68" s="241"/>
      <c r="OK68" s="241"/>
      <c r="OL68" s="241"/>
      <c r="OM68" s="241"/>
      <c r="ON68" s="241"/>
      <c r="OO68" s="241"/>
      <c r="OP68" s="241"/>
      <c r="OQ68" s="241"/>
      <c r="OR68" s="241"/>
      <c r="OS68" s="241"/>
      <c r="OT68" s="241"/>
      <c r="OU68" s="241"/>
      <c r="OV68" s="241"/>
      <c r="OW68" s="241"/>
      <c r="OX68" s="241"/>
      <c r="OY68" s="241"/>
      <c r="OZ68" s="241"/>
      <c r="PA68" s="241"/>
      <c r="PB68" s="241"/>
      <c r="PC68" s="241"/>
      <c r="PD68" s="241"/>
      <c r="PE68" s="241"/>
      <c r="PF68" s="241"/>
      <c r="PG68" s="241"/>
      <c r="PH68" s="241"/>
      <c r="PI68" s="241"/>
      <c r="PJ68" s="241"/>
      <c r="PK68" s="241"/>
      <c r="PL68" s="241"/>
      <c r="PM68" s="241"/>
      <c r="PN68" s="241"/>
      <c r="PO68" s="241"/>
      <c r="PP68" s="241"/>
      <c r="PQ68" s="241"/>
      <c r="PR68" s="241"/>
      <c r="PS68" s="241"/>
      <c r="PT68" s="241"/>
      <c r="PU68" s="241"/>
      <c r="PV68" s="241"/>
      <c r="PW68" s="241"/>
      <c r="PX68" s="241"/>
      <c r="PY68" s="241"/>
      <c r="PZ68" s="241"/>
      <c r="QA68" s="241"/>
      <c r="QB68" s="241"/>
      <c r="QC68" s="241"/>
      <c r="QD68" s="241"/>
      <c r="QE68" s="241"/>
      <c r="QF68" s="241"/>
      <c r="QG68" s="241"/>
      <c r="QH68" s="241"/>
      <c r="QI68" s="241"/>
      <c r="QJ68" s="241"/>
      <c r="QK68" s="241"/>
      <c r="QL68" s="241"/>
      <c r="QM68" s="241"/>
      <c r="QN68" s="241"/>
      <c r="QO68" s="241"/>
      <c r="QP68" s="241"/>
      <c r="QQ68" s="241"/>
      <c r="QR68" s="241"/>
      <c r="QS68" s="241"/>
      <c r="QT68" s="241"/>
      <c r="QU68" s="241"/>
      <c r="QV68" s="241"/>
      <c r="QW68" s="241"/>
      <c r="QX68" s="241"/>
      <c r="QY68" s="241"/>
      <c r="QZ68" s="241"/>
      <c r="RA68" s="241"/>
      <c r="RB68" s="241"/>
      <c r="RC68" s="241"/>
      <c r="RD68" s="241"/>
      <c r="RE68" s="241"/>
      <c r="RF68" s="241"/>
      <c r="RG68" s="241"/>
      <c r="RH68" s="241"/>
      <c r="RI68" s="241"/>
      <c r="RJ68" s="241"/>
      <c r="RK68" s="241"/>
      <c r="RL68" s="241"/>
      <c r="RM68" s="241"/>
      <c r="RN68" s="241"/>
      <c r="RO68" s="241"/>
      <c r="RP68" s="241"/>
      <c r="RQ68" s="241"/>
      <c r="RR68" s="241"/>
      <c r="RS68" s="241"/>
      <c r="RT68" s="241"/>
      <c r="RU68" s="241"/>
      <c r="RV68" s="241"/>
      <c r="RW68" s="241"/>
      <c r="RX68" s="241"/>
      <c r="RY68" s="241"/>
      <c r="RZ68" s="241"/>
      <c r="SA68" s="241"/>
      <c r="SB68" s="241"/>
      <c r="SC68" s="241"/>
      <c r="SD68" s="241"/>
      <c r="SE68" s="241"/>
      <c r="SF68" s="241"/>
      <c r="SG68" s="241"/>
      <c r="SH68" s="241"/>
      <c r="SI68" s="241"/>
      <c r="SJ68" s="241"/>
      <c r="SK68" s="241"/>
      <c r="SL68" s="241"/>
      <c r="SM68" s="241"/>
      <c r="SN68" s="241"/>
      <c r="SO68" s="241"/>
      <c r="SP68" s="241"/>
      <c r="SQ68" s="241"/>
      <c r="SR68" s="241"/>
      <c r="SS68" s="241"/>
      <c r="ST68" s="241"/>
      <c r="SU68" s="241"/>
      <c r="SV68" s="241"/>
      <c r="SW68" s="241"/>
      <c r="SX68" s="241"/>
      <c r="SY68" s="241"/>
      <c r="SZ68" s="241"/>
      <c r="TA68" s="241"/>
      <c r="TB68" s="241"/>
      <c r="TC68" s="241"/>
      <c r="TD68" s="241"/>
      <c r="TE68" s="241"/>
      <c r="TF68" s="241"/>
      <c r="TG68" s="241"/>
      <c r="TH68" s="241"/>
      <c r="TI68" s="241"/>
      <c r="TJ68" s="241"/>
      <c r="TK68" s="241"/>
      <c r="TL68" s="241"/>
      <c r="TM68" s="241"/>
      <c r="TN68" s="241"/>
      <c r="TO68" s="241"/>
      <c r="TP68" s="241"/>
      <c r="TQ68" s="241"/>
      <c r="TR68" s="241"/>
      <c r="TS68" s="241"/>
      <c r="TT68" s="241"/>
      <c r="TU68" s="241"/>
      <c r="TV68" s="241"/>
      <c r="TW68" s="241"/>
      <c r="TX68" s="241"/>
      <c r="TY68" s="241"/>
      <c r="TZ68" s="241"/>
      <c r="UA68" s="241"/>
      <c r="UB68" s="241"/>
      <c r="UC68" s="241"/>
      <c r="UD68" s="241"/>
      <c r="UE68" s="241"/>
      <c r="UF68" s="241"/>
      <c r="UG68" s="241"/>
      <c r="UH68" s="241"/>
      <c r="UI68" s="241"/>
      <c r="UJ68" s="241"/>
      <c r="UK68" s="241"/>
      <c r="UL68" s="241"/>
      <c r="UM68" s="241"/>
      <c r="UN68" s="241"/>
      <c r="UO68" s="241"/>
      <c r="UP68" s="241"/>
      <c r="UQ68" s="241"/>
      <c r="UR68" s="241"/>
      <c r="US68" s="241"/>
      <c r="UT68" s="241"/>
      <c r="UU68" s="241"/>
      <c r="UV68" s="241"/>
      <c r="UW68" s="241"/>
      <c r="UX68" s="241"/>
      <c r="UY68" s="241"/>
      <c r="UZ68" s="241"/>
      <c r="VA68" s="241"/>
      <c r="VB68" s="241"/>
      <c r="VC68" s="241"/>
      <c r="VD68" s="241"/>
      <c r="VE68" s="241"/>
      <c r="VF68" s="241"/>
      <c r="VG68" s="241"/>
      <c r="VH68" s="241"/>
      <c r="VI68" s="241"/>
      <c r="VJ68" s="241"/>
      <c r="VK68" s="241"/>
      <c r="VL68" s="241"/>
      <c r="VM68" s="241"/>
      <c r="VN68" s="241"/>
      <c r="VO68" s="241"/>
      <c r="VP68" s="241"/>
      <c r="VQ68" s="241"/>
      <c r="VR68" s="241"/>
      <c r="VS68" s="241"/>
      <c r="VT68" s="241"/>
      <c r="VU68" s="241"/>
      <c r="VV68" s="241"/>
      <c r="VW68" s="241"/>
      <c r="VX68" s="241"/>
      <c r="VY68" s="241"/>
      <c r="VZ68" s="241"/>
      <c r="WA68" s="241"/>
      <c r="WB68" s="241"/>
      <c r="WC68" s="241"/>
      <c r="WD68" s="241"/>
      <c r="WE68" s="241"/>
      <c r="WF68" s="241"/>
      <c r="WG68" s="241"/>
      <c r="WH68" s="241"/>
      <c r="WI68" s="241"/>
      <c r="WJ68" s="241"/>
      <c r="WK68" s="241"/>
      <c r="WL68" s="241"/>
      <c r="WM68" s="241"/>
      <c r="WN68" s="241"/>
      <c r="WO68" s="241"/>
      <c r="WP68" s="241"/>
      <c r="WQ68" s="241"/>
      <c r="WR68" s="241"/>
      <c r="WS68" s="241"/>
      <c r="WT68" s="241"/>
      <c r="WU68" s="241"/>
      <c r="WV68" s="241"/>
      <c r="WW68" s="241"/>
      <c r="WX68" s="241"/>
      <c r="WY68" s="241"/>
      <c r="WZ68" s="241"/>
      <c r="XA68" s="241"/>
      <c r="XB68" s="241"/>
      <c r="XC68" s="241"/>
      <c r="XD68" s="241"/>
      <c r="XE68" s="241"/>
      <c r="XF68" s="241"/>
      <c r="XG68" s="241"/>
      <c r="XH68" s="241"/>
      <c r="XI68" s="241"/>
      <c r="XJ68" s="241"/>
      <c r="XK68" s="241"/>
      <c r="XL68" s="241"/>
      <c r="XM68" s="241"/>
      <c r="XN68" s="241"/>
      <c r="XO68" s="241"/>
      <c r="XP68" s="241"/>
      <c r="XQ68" s="241"/>
      <c r="XR68" s="241"/>
      <c r="XS68" s="241"/>
      <c r="XT68" s="241"/>
      <c r="XU68" s="241"/>
      <c r="XV68" s="241"/>
      <c r="XW68" s="241"/>
      <c r="XX68" s="241"/>
      <c r="XY68" s="241"/>
      <c r="XZ68" s="241"/>
      <c r="YA68" s="241"/>
      <c r="YB68" s="241"/>
      <c r="YC68" s="241"/>
      <c r="YD68" s="241"/>
      <c r="YE68" s="241"/>
      <c r="YF68" s="241"/>
      <c r="YG68" s="241"/>
      <c r="YH68" s="241"/>
      <c r="YI68" s="241"/>
      <c r="YJ68" s="241"/>
      <c r="YK68" s="241"/>
      <c r="YL68" s="241"/>
      <c r="YM68" s="241"/>
      <c r="YN68" s="241"/>
      <c r="YO68" s="241"/>
      <c r="YP68" s="241"/>
      <c r="YQ68" s="241"/>
      <c r="YR68" s="241"/>
      <c r="YS68" s="241"/>
      <c r="YT68" s="241"/>
      <c r="YU68" s="241"/>
      <c r="YV68" s="241"/>
      <c r="YW68" s="241"/>
      <c r="YX68" s="241"/>
      <c r="YY68" s="241"/>
      <c r="YZ68" s="241"/>
      <c r="ZA68" s="241"/>
      <c r="ZB68" s="241"/>
      <c r="ZC68" s="241"/>
      <c r="ZD68" s="241"/>
      <c r="ZE68" s="241"/>
      <c r="ZF68" s="241"/>
      <c r="ZG68" s="241"/>
      <c r="ZH68" s="241"/>
      <c r="ZI68" s="241"/>
      <c r="ZJ68" s="241"/>
      <c r="ZK68" s="241"/>
      <c r="ZL68" s="241"/>
      <c r="ZM68" s="241"/>
      <c r="ZN68" s="241"/>
      <c r="ZO68" s="241"/>
      <c r="ZP68" s="241"/>
      <c r="ZQ68" s="241"/>
      <c r="ZR68" s="241"/>
      <c r="ZS68" s="241"/>
      <c r="ZT68" s="241"/>
      <c r="ZU68" s="241"/>
      <c r="ZV68" s="241"/>
      <c r="ZW68" s="241"/>
      <c r="ZX68" s="241"/>
      <c r="ZY68" s="241"/>
      <c r="ZZ68" s="241"/>
    </row>
    <row r="69" spans="1:702" s="254" customFormat="1" x14ac:dyDescent="0.2">
      <c r="A69" s="241"/>
      <c r="B69" s="241"/>
      <c r="C69" s="241"/>
      <c r="D69" s="253"/>
      <c r="E69" s="241"/>
      <c r="F69" s="241"/>
      <c r="G69" s="241"/>
      <c r="H69" s="241"/>
      <c r="I69" s="241"/>
      <c r="J69" s="241"/>
      <c r="K69" s="241"/>
      <c r="L69" s="241"/>
      <c r="M69" s="241"/>
      <c r="N69" s="241"/>
      <c r="O69" s="241"/>
      <c r="P69" s="241"/>
      <c r="Q69" s="241"/>
      <c r="R69" s="241"/>
      <c r="S69" s="241"/>
      <c r="T69" s="241"/>
      <c r="U69" s="241"/>
      <c r="V69" s="241"/>
      <c r="W69" s="241"/>
      <c r="X69" s="241"/>
      <c r="Y69" s="241"/>
      <c r="Z69" s="241"/>
      <c r="AA69" s="241"/>
      <c r="AB69" s="241"/>
      <c r="AC69" s="241"/>
      <c r="AD69" s="241"/>
      <c r="AE69" s="241"/>
      <c r="AF69" s="241"/>
      <c r="AG69" s="241"/>
      <c r="AH69" s="241"/>
      <c r="AI69" s="241"/>
      <c r="AJ69" s="241"/>
      <c r="AK69" s="241"/>
      <c r="AL69" s="241"/>
      <c r="AM69" s="241"/>
      <c r="AN69" s="241"/>
      <c r="AO69" s="241"/>
      <c r="AP69" s="241"/>
      <c r="AQ69" s="241"/>
      <c r="AR69" s="241"/>
      <c r="AS69" s="241"/>
      <c r="AT69" s="241"/>
      <c r="AU69" s="241"/>
      <c r="AV69" s="241"/>
      <c r="AW69" s="241"/>
      <c r="AX69" s="241"/>
      <c r="AY69" s="241"/>
      <c r="AZ69" s="241"/>
      <c r="BA69" s="241"/>
      <c r="BB69" s="241"/>
      <c r="BC69" s="241"/>
      <c r="BD69" s="241"/>
      <c r="BE69" s="241"/>
      <c r="BF69" s="241"/>
      <c r="BG69" s="241"/>
      <c r="BH69" s="241"/>
      <c r="BI69" s="241"/>
      <c r="BJ69" s="241"/>
      <c r="BK69" s="241"/>
      <c r="BL69" s="241"/>
      <c r="BM69" s="241"/>
      <c r="BN69" s="241"/>
      <c r="BO69" s="241"/>
      <c r="BP69" s="241"/>
      <c r="BQ69" s="241"/>
      <c r="BR69" s="241"/>
      <c r="BS69" s="241"/>
      <c r="BT69" s="241"/>
      <c r="BU69" s="241"/>
      <c r="BV69" s="241"/>
      <c r="BW69" s="241"/>
      <c r="BX69" s="241"/>
      <c r="BY69" s="241"/>
      <c r="BZ69" s="241"/>
      <c r="CA69" s="241"/>
      <c r="CB69" s="241"/>
      <c r="CC69" s="241"/>
      <c r="CD69" s="241"/>
      <c r="CE69" s="241"/>
      <c r="CF69" s="241"/>
      <c r="CG69" s="241"/>
      <c r="CH69" s="241"/>
      <c r="CI69" s="241"/>
      <c r="CJ69" s="241"/>
      <c r="CK69" s="241"/>
      <c r="CL69" s="241"/>
      <c r="CM69" s="241"/>
      <c r="CN69" s="241"/>
      <c r="CO69" s="241"/>
      <c r="CP69" s="241"/>
      <c r="CQ69" s="241"/>
      <c r="CR69" s="241"/>
      <c r="CS69" s="241"/>
      <c r="CT69" s="241"/>
      <c r="CU69" s="241"/>
      <c r="CV69" s="241"/>
      <c r="CW69" s="241"/>
      <c r="CX69" s="241"/>
      <c r="CY69" s="241"/>
      <c r="CZ69" s="241"/>
      <c r="DA69" s="241"/>
      <c r="DB69" s="241"/>
      <c r="DC69" s="241"/>
      <c r="DD69" s="241"/>
      <c r="DE69" s="241"/>
      <c r="DF69" s="241"/>
      <c r="DG69" s="241"/>
      <c r="DH69" s="241"/>
      <c r="DI69" s="241"/>
      <c r="DJ69" s="241"/>
      <c r="DK69" s="241"/>
      <c r="DL69" s="241"/>
      <c r="DM69" s="241"/>
      <c r="DN69" s="241"/>
      <c r="DO69" s="241"/>
      <c r="DP69" s="241"/>
      <c r="DQ69" s="241"/>
      <c r="DR69" s="241"/>
      <c r="DS69" s="241"/>
      <c r="DT69" s="241"/>
      <c r="DU69" s="241"/>
      <c r="DV69" s="241"/>
      <c r="DW69" s="241"/>
      <c r="DX69" s="241"/>
      <c r="DY69" s="241"/>
      <c r="DZ69" s="241"/>
      <c r="EA69" s="241"/>
      <c r="EB69" s="241"/>
      <c r="EC69" s="241"/>
      <c r="ED69" s="241"/>
      <c r="EE69" s="241"/>
      <c r="EF69" s="241"/>
      <c r="EG69" s="241"/>
      <c r="EH69" s="241"/>
      <c r="EI69" s="241"/>
      <c r="EJ69" s="241"/>
      <c r="EK69" s="241"/>
      <c r="EL69" s="241"/>
      <c r="EM69" s="241"/>
      <c r="EN69" s="241"/>
      <c r="EO69" s="241"/>
      <c r="EP69" s="241"/>
      <c r="EQ69" s="241"/>
      <c r="ER69" s="241"/>
      <c r="ES69" s="241"/>
      <c r="ET69" s="241"/>
      <c r="EU69" s="241"/>
      <c r="EV69" s="241"/>
      <c r="EW69" s="241"/>
      <c r="EX69" s="241"/>
      <c r="EY69" s="241"/>
      <c r="EZ69" s="241"/>
      <c r="FA69" s="241"/>
      <c r="FB69" s="241"/>
      <c r="FC69" s="241"/>
      <c r="FD69" s="241"/>
      <c r="FE69" s="241"/>
      <c r="FF69" s="241"/>
      <c r="FG69" s="241"/>
      <c r="FH69" s="241"/>
      <c r="FI69" s="241"/>
      <c r="FJ69" s="241"/>
      <c r="FK69" s="241"/>
      <c r="FL69" s="241"/>
      <c r="FM69" s="241"/>
      <c r="FN69" s="241"/>
      <c r="FO69" s="241"/>
      <c r="FP69" s="241"/>
      <c r="FQ69" s="241"/>
      <c r="FR69" s="241"/>
      <c r="FS69" s="241"/>
      <c r="FT69" s="241"/>
      <c r="FU69" s="241"/>
      <c r="FV69" s="241"/>
      <c r="FW69" s="241"/>
      <c r="FX69" s="241"/>
      <c r="FY69" s="241"/>
      <c r="FZ69" s="241"/>
      <c r="GA69" s="241"/>
      <c r="GB69" s="241"/>
      <c r="GC69" s="241"/>
      <c r="GD69" s="241"/>
      <c r="GE69" s="241"/>
      <c r="GF69" s="241"/>
      <c r="GG69" s="241"/>
      <c r="GH69" s="241"/>
      <c r="GI69" s="241"/>
      <c r="GJ69" s="241"/>
      <c r="GK69" s="241"/>
      <c r="GL69" s="241"/>
      <c r="GM69" s="241"/>
      <c r="GN69" s="241"/>
      <c r="GO69" s="241"/>
      <c r="GP69" s="241"/>
      <c r="GQ69" s="241"/>
      <c r="GR69" s="241"/>
      <c r="GS69" s="241"/>
      <c r="GT69" s="241"/>
      <c r="GU69" s="241"/>
      <c r="GV69" s="241"/>
      <c r="GW69" s="241"/>
      <c r="GX69" s="241"/>
      <c r="GY69" s="241"/>
      <c r="GZ69" s="241"/>
      <c r="HA69" s="241"/>
      <c r="HB69" s="241"/>
      <c r="HC69" s="241"/>
      <c r="HD69" s="241"/>
      <c r="HE69" s="241"/>
      <c r="HF69" s="241"/>
      <c r="HG69" s="241"/>
      <c r="HH69" s="241"/>
      <c r="HI69" s="241"/>
      <c r="HJ69" s="241"/>
      <c r="HK69" s="241"/>
      <c r="HL69" s="241"/>
      <c r="HM69" s="241"/>
      <c r="HN69" s="241"/>
      <c r="HO69" s="241"/>
      <c r="HP69" s="241"/>
      <c r="HQ69" s="241"/>
      <c r="HR69" s="241"/>
      <c r="HS69" s="241"/>
      <c r="HT69" s="241"/>
      <c r="HU69" s="241"/>
      <c r="HV69" s="241"/>
      <c r="HW69" s="241"/>
      <c r="HX69" s="241"/>
      <c r="HY69" s="241"/>
      <c r="HZ69" s="241"/>
      <c r="IA69" s="241"/>
      <c r="IB69" s="241"/>
      <c r="IC69" s="241"/>
      <c r="ID69" s="241"/>
      <c r="IE69" s="241"/>
      <c r="IF69" s="241"/>
      <c r="IG69" s="241"/>
      <c r="IH69" s="241"/>
      <c r="II69" s="241"/>
      <c r="IJ69" s="241"/>
      <c r="IK69" s="241"/>
      <c r="IL69" s="241"/>
      <c r="IM69" s="241"/>
      <c r="IN69" s="241"/>
      <c r="IO69" s="241"/>
      <c r="IP69" s="241"/>
      <c r="IQ69" s="241"/>
      <c r="IR69" s="241"/>
      <c r="IS69" s="241"/>
      <c r="IT69" s="241"/>
      <c r="IU69" s="241"/>
      <c r="IV69" s="241"/>
      <c r="IW69" s="241"/>
      <c r="IX69" s="241"/>
      <c r="IY69" s="241"/>
      <c r="IZ69" s="241"/>
      <c r="JA69" s="241"/>
      <c r="JB69" s="241"/>
      <c r="JC69" s="241"/>
      <c r="JD69" s="241"/>
      <c r="JE69" s="241"/>
      <c r="JF69" s="241"/>
      <c r="JG69" s="241"/>
      <c r="JH69" s="241"/>
      <c r="JI69" s="241"/>
      <c r="JJ69" s="241"/>
      <c r="JK69" s="241"/>
      <c r="JL69" s="241"/>
      <c r="JM69" s="241"/>
      <c r="JN69" s="241"/>
      <c r="JO69" s="241"/>
      <c r="JP69" s="241"/>
      <c r="JQ69" s="241"/>
      <c r="JR69" s="241"/>
      <c r="JS69" s="241"/>
      <c r="JT69" s="241"/>
      <c r="JU69" s="241"/>
      <c r="JV69" s="241"/>
      <c r="JW69" s="241"/>
      <c r="JX69" s="241"/>
      <c r="JY69" s="241"/>
      <c r="JZ69" s="241"/>
      <c r="KA69" s="241"/>
      <c r="KB69" s="241"/>
      <c r="KC69" s="241"/>
      <c r="KD69" s="241"/>
      <c r="KE69" s="241"/>
      <c r="KF69" s="241"/>
      <c r="KG69" s="241"/>
      <c r="KH69" s="241"/>
      <c r="KI69" s="241"/>
      <c r="KJ69" s="241"/>
      <c r="KK69" s="241"/>
      <c r="KL69" s="241"/>
      <c r="KM69" s="241"/>
      <c r="KN69" s="241"/>
      <c r="KO69" s="241"/>
      <c r="KP69" s="241"/>
      <c r="KQ69" s="241"/>
      <c r="KR69" s="241"/>
      <c r="KS69" s="241"/>
      <c r="KT69" s="241"/>
      <c r="KU69" s="241"/>
      <c r="KV69" s="241"/>
      <c r="KW69" s="241"/>
      <c r="KX69" s="241"/>
      <c r="KY69" s="241"/>
      <c r="KZ69" s="241"/>
      <c r="LA69" s="241"/>
      <c r="LB69" s="241"/>
      <c r="LC69" s="241"/>
      <c r="LD69" s="241"/>
      <c r="LE69" s="241"/>
      <c r="LF69" s="241"/>
      <c r="LG69" s="241"/>
      <c r="LH69" s="241"/>
      <c r="LI69" s="241"/>
      <c r="LJ69" s="241"/>
      <c r="LK69" s="241"/>
      <c r="LL69" s="241"/>
      <c r="LM69" s="241"/>
      <c r="LN69" s="241"/>
      <c r="LO69" s="241"/>
      <c r="LP69" s="241"/>
      <c r="LQ69" s="241"/>
      <c r="LR69" s="241"/>
      <c r="LS69" s="241"/>
      <c r="LT69" s="241"/>
      <c r="LU69" s="241"/>
      <c r="LV69" s="241"/>
      <c r="LW69" s="241"/>
      <c r="LX69" s="241"/>
      <c r="LY69" s="241"/>
      <c r="LZ69" s="241"/>
      <c r="MA69" s="241"/>
      <c r="MB69" s="241"/>
      <c r="MC69" s="241"/>
      <c r="MD69" s="241"/>
      <c r="ME69" s="241"/>
      <c r="MF69" s="241"/>
      <c r="MG69" s="241"/>
      <c r="MH69" s="241"/>
      <c r="MI69" s="241"/>
      <c r="MJ69" s="241"/>
      <c r="MK69" s="241"/>
      <c r="ML69" s="241"/>
      <c r="MM69" s="241"/>
      <c r="MN69" s="241"/>
      <c r="MO69" s="241"/>
      <c r="MP69" s="241"/>
      <c r="MQ69" s="241"/>
      <c r="MR69" s="241"/>
      <c r="MS69" s="241"/>
      <c r="MT69" s="241"/>
      <c r="MU69" s="241"/>
      <c r="MV69" s="241"/>
      <c r="MW69" s="241"/>
      <c r="MX69" s="241"/>
      <c r="MY69" s="241"/>
      <c r="MZ69" s="241"/>
      <c r="NA69" s="241"/>
      <c r="NB69" s="241"/>
      <c r="NC69" s="241"/>
      <c r="ND69" s="241"/>
      <c r="NE69" s="241"/>
      <c r="NF69" s="241"/>
      <c r="NG69" s="241"/>
      <c r="NH69" s="241"/>
      <c r="NI69" s="241"/>
      <c r="NJ69" s="241"/>
      <c r="NK69" s="241"/>
      <c r="NL69" s="241"/>
      <c r="NM69" s="241"/>
      <c r="NN69" s="241"/>
      <c r="NO69" s="241"/>
      <c r="NP69" s="241"/>
      <c r="NQ69" s="241"/>
      <c r="NR69" s="241"/>
      <c r="NS69" s="241"/>
      <c r="NT69" s="241"/>
      <c r="NU69" s="241"/>
      <c r="NV69" s="241"/>
      <c r="NW69" s="241"/>
      <c r="NX69" s="241"/>
      <c r="NY69" s="241"/>
      <c r="NZ69" s="241"/>
      <c r="OA69" s="241"/>
      <c r="OB69" s="241"/>
      <c r="OC69" s="241"/>
      <c r="OD69" s="241"/>
      <c r="OE69" s="241"/>
      <c r="OF69" s="241"/>
      <c r="OG69" s="241"/>
      <c r="OH69" s="241"/>
      <c r="OI69" s="241"/>
      <c r="OJ69" s="241"/>
      <c r="OK69" s="241"/>
      <c r="OL69" s="241"/>
      <c r="OM69" s="241"/>
      <c r="ON69" s="241"/>
      <c r="OO69" s="241"/>
      <c r="OP69" s="241"/>
      <c r="OQ69" s="241"/>
      <c r="OR69" s="241"/>
      <c r="OS69" s="241"/>
      <c r="OT69" s="241"/>
      <c r="OU69" s="241"/>
      <c r="OV69" s="241"/>
      <c r="OW69" s="241"/>
      <c r="OX69" s="241"/>
      <c r="OY69" s="241"/>
      <c r="OZ69" s="241"/>
      <c r="PA69" s="241"/>
      <c r="PB69" s="241"/>
      <c r="PC69" s="241"/>
      <c r="PD69" s="241"/>
      <c r="PE69" s="241"/>
      <c r="PF69" s="241"/>
      <c r="PG69" s="241"/>
      <c r="PH69" s="241"/>
      <c r="PI69" s="241"/>
      <c r="PJ69" s="241"/>
      <c r="PK69" s="241"/>
      <c r="PL69" s="241"/>
      <c r="PM69" s="241"/>
      <c r="PN69" s="241"/>
      <c r="PO69" s="241"/>
      <c r="PP69" s="241"/>
      <c r="PQ69" s="241"/>
      <c r="PR69" s="241"/>
      <c r="PS69" s="241"/>
      <c r="PT69" s="241"/>
      <c r="PU69" s="241"/>
      <c r="PV69" s="241"/>
      <c r="PW69" s="241"/>
      <c r="PX69" s="241"/>
      <c r="PY69" s="241"/>
      <c r="PZ69" s="241"/>
      <c r="QA69" s="241"/>
      <c r="QB69" s="241"/>
      <c r="QC69" s="241"/>
      <c r="QD69" s="241"/>
      <c r="QE69" s="241"/>
      <c r="QF69" s="241"/>
      <c r="QG69" s="241"/>
      <c r="QH69" s="241"/>
      <c r="QI69" s="241"/>
      <c r="QJ69" s="241"/>
      <c r="QK69" s="241"/>
      <c r="QL69" s="241"/>
      <c r="QM69" s="241"/>
      <c r="QN69" s="241"/>
      <c r="QO69" s="241"/>
      <c r="QP69" s="241"/>
      <c r="QQ69" s="241"/>
      <c r="QR69" s="241"/>
      <c r="QS69" s="241"/>
      <c r="QT69" s="241"/>
      <c r="QU69" s="241"/>
      <c r="QV69" s="241"/>
      <c r="QW69" s="241"/>
      <c r="QX69" s="241"/>
      <c r="QY69" s="241"/>
      <c r="QZ69" s="241"/>
      <c r="RA69" s="241"/>
      <c r="RB69" s="241"/>
      <c r="RC69" s="241"/>
      <c r="RD69" s="241"/>
      <c r="RE69" s="241"/>
      <c r="RF69" s="241"/>
      <c r="RG69" s="241"/>
      <c r="RH69" s="241"/>
      <c r="RI69" s="241"/>
      <c r="RJ69" s="241"/>
      <c r="RK69" s="241"/>
      <c r="RL69" s="241"/>
      <c r="RM69" s="241"/>
      <c r="RN69" s="241"/>
      <c r="RO69" s="241"/>
      <c r="RP69" s="241"/>
      <c r="RQ69" s="241"/>
      <c r="RR69" s="241"/>
      <c r="RS69" s="241"/>
      <c r="RT69" s="241"/>
      <c r="RU69" s="241"/>
      <c r="RV69" s="241"/>
      <c r="RW69" s="241"/>
      <c r="RX69" s="241"/>
      <c r="RY69" s="241"/>
      <c r="RZ69" s="241"/>
      <c r="SA69" s="241"/>
      <c r="SB69" s="241"/>
      <c r="SC69" s="241"/>
      <c r="SD69" s="241"/>
      <c r="SE69" s="241"/>
      <c r="SF69" s="241"/>
      <c r="SG69" s="241"/>
      <c r="SH69" s="241"/>
      <c r="SI69" s="241"/>
      <c r="SJ69" s="241"/>
      <c r="SK69" s="241"/>
      <c r="SL69" s="241"/>
      <c r="SM69" s="241"/>
      <c r="SN69" s="241"/>
      <c r="SO69" s="241"/>
      <c r="SP69" s="241"/>
      <c r="SQ69" s="241"/>
      <c r="SR69" s="241"/>
      <c r="SS69" s="241"/>
      <c r="ST69" s="241"/>
      <c r="SU69" s="241"/>
      <c r="SV69" s="241"/>
      <c r="SW69" s="241"/>
      <c r="SX69" s="241"/>
      <c r="SY69" s="241"/>
      <c r="SZ69" s="241"/>
      <c r="TA69" s="241"/>
      <c r="TB69" s="241"/>
      <c r="TC69" s="241"/>
      <c r="TD69" s="241"/>
      <c r="TE69" s="241"/>
      <c r="TF69" s="241"/>
      <c r="TG69" s="241"/>
      <c r="TH69" s="241"/>
      <c r="TI69" s="241"/>
      <c r="TJ69" s="241"/>
      <c r="TK69" s="241"/>
      <c r="TL69" s="241"/>
      <c r="TM69" s="241"/>
      <c r="TN69" s="241"/>
      <c r="TO69" s="241"/>
      <c r="TP69" s="241"/>
      <c r="TQ69" s="241"/>
      <c r="TR69" s="241"/>
      <c r="TS69" s="241"/>
      <c r="TT69" s="241"/>
      <c r="TU69" s="241"/>
      <c r="TV69" s="241"/>
      <c r="TW69" s="241"/>
      <c r="TX69" s="241"/>
      <c r="TY69" s="241"/>
      <c r="TZ69" s="241"/>
      <c r="UA69" s="241"/>
      <c r="UB69" s="241"/>
      <c r="UC69" s="241"/>
      <c r="UD69" s="241"/>
      <c r="UE69" s="241"/>
      <c r="UF69" s="241"/>
      <c r="UG69" s="241"/>
      <c r="UH69" s="241"/>
      <c r="UI69" s="241"/>
      <c r="UJ69" s="241"/>
      <c r="UK69" s="241"/>
      <c r="UL69" s="241"/>
      <c r="UM69" s="241"/>
      <c r="UN69" s="241"/>
      <c r="UO69" s="241"/>
      <c r="UP69" s="241"/>
      <c r="UQ69" s="241"/>
      <c r="UR69" s="241"/>
      <c r="US69" s="241"/>
      <c r="UT69" s="241"/>
      <c r="UU69" s="241"/>
      <c r="UV69" s="241"/>
      <c r="UW69" s="241"/>
      <c r="UX69" s="241"/>
      <c r="UY69" s="241"/>
      <c r="UZ69" s="241"/>
      <c r="VA69" s="241"/>
      <c r="VB69" s="241"/>
      <c r="VC69" s="241"/>
      <c r="VD69" s="241"/>
      <c r="VE69" s="241"/>
      <c r="VF69" s="241"/>
      <c r="VG69" s="241"/>
      <c r="VH69" s="241"/>
      <c r="VI69" s="241"/>
      <c r="VJ69" s="241"/>
      <c r="VK69" s="241"/>
      <c r="VL69" s="241"/>
      <c r="VM69" s="241"/>
      <c r="VN69" s="241"/>
      <c r="VO69" s="241"/>
      <c r="VP69" s="241"/>
      <c r="VQ69" s="241"/>
      <c r="VR69" s="241"/>
      <c r="VS69" s="241"/>
      <c r="VT69" s="241"/>
      <c r="VU69" s="241"/>
      <c r="VV69" s="241"/>
      <c r="VW69" s="241"/>
      <c r="VX69" s="241"/>
      <c r="VY69" s="241"/>
      <c r="VZ69" s="241"/>
      <c r="WA69" s="241"/>
      <c r="WB69" s="241"/>
      <c r="WC69" s="241"/>
      <c r="WD69" s="241"/>
      <c r="WE69" s="241"/>
      <c r="WF69" s="241"/>
      <c r="WG69" s="241"/>
      <c r="WH69" s="241"/>
      <c r="WI69" s="241"/>
      <c r="WJ69" s="241"/>
      <c r="WK69" s="241"/>
      <c r="WL69" s="241"/>
      <c r="WM69" s="241"/>
      <c r="WN69" s="241"/>
      <c r="WO69" s="241"/>
      <c r="WP69" s="241"/>
      <c r="WQ69" s="241"/>
      <c r="WR69" s="241"/>
      <c r="WS69" s="241"/>
      <c r="WT69" s="241"/>
      <c r="WU69" s="241"/>
      <c r="WV69" s="241"/>
      <c r="WW69" s="241"/>
      <c r="WX69" s="241"/>
      <c r="WY69" s="241"/>
      <c r="WZ69" s="241"/>
      <c r="XA69" s="241"/>
      <c r="XB69" s="241"/>
      <c r="XC69" s="241"/>
      <c r="XD69" s="241"/>
      <c r="XE69" s="241"/>
      <c r="XF69" s="241"/>
      <c r="XG69" s="241"/>
      <c r="XH69" s="241"/>
      <c r="XI69" s="241"/>
      <c r="XJ69" s="241"/>
      <c r="XK69" s="241"/>
      <c r="XL69" s="241"/>
      <c r="XM69" s="241"/>
      <c r="XN69" s="241"/>
      <c r="XO69" s="241"/>
      <c r="XP69" s="241"/>
      <c r="XQ69" s="241"/>
      <c r="XR69" s="241"/>
      <c r="XS69" s="241"/>
      <c r="XT69" s="241"/>
      <c r="XU69" s="241"/>
      <c r="XV69" s="241"/>
      <c r="XW69" s="241"/>
      <c r="XX69" s="241"/>
      <c r="XY69" s="241"/>
      <c r="XZ69" s="241"/>
      <c r="YA69" s="241"/>
      <c r="YB69" s="241"/>
      <c r="YC69" s="241"/>
      <c r="YD69" s="241"/>
      <c r="YE69" s="241"/>
      <c r="YF69" s="241"/>
      <c r="YG69" s="241"/>
      <c r="YH69" s="241"/>
      <c r="YI69" s="241"/>
      <c r="YJ69" s="241"/>
      <c r="YK69" s="241"/>
      <c r="YL69" s="241"/>
      <c r="YM69" s="241"/>
      <c r="YN69" s="241"/>
      <c r="YO69" s="241"/>
      <c r="YP69" s="241"/>
      <c r="YQ69" s="241"/>
      <c r="YR69" s="241"/>
      <c r="YS69" s="241"/>
      <c r="YT69" s="241"/>
      <c r="YU69" s="241"/>
      <c r="YV69" s="241"/>
      <c r="YW69" s="241"/>
      <c r="YX69" s="241"/>
      <c r="YY69" s="241"/>
      <c r="YZ69" s="241"/>
      <c r="ZA69" s="241"/>
      <c r="ZB69" s="241"/>
      <c r="ZC69" s="241"/>
      <c r="ZD69" s="241"/>
      <c r="ZE69" s="241"/>
      <c r="ZF69" s="241"/>
      <c r="ZG69" s="241"/>
      <c r="ZH69" s="241"/>
      <c r="ZI69" s="241"/>
      <c r="ZJ69" s="241"/>
      <c r="ZK69" s="241"/>
      <c r="ZL69" s="241"/>
      <c r="ZM69" s="241"/>
      <c r="ZN69" s="241"/>
      <c r="ZO69" s="241"/>
      <c r="ZP69" s="241"/>
      <c r="ZQ69" s="241"/>
      <c r="ZR69" s="241"/>
      <c r="ZS69" s="241"/>
      <c r="ZT69" s="241"/>
      <c r="ZU69" s="241"/>
      <c r="ZV69" s="241"/>
      <c r="ZW69" s="241"/>
      <c r="ZX69" s="241"/>
      <c r="ZY69" s="241"/>
      <c r="ZZ69" s="241"/>
    </row>
    <row r="70" spans="1:702" s="254" customFormat="1" x14ac:dyDescent="0.2">
      <c r="A70" s="241"/>
      <c r="B70" s="241"/>
      <c r="C70" s="241"/>
      <c r="D70" s="253"/>
      <c r="E70" s="241"/>
      <c r="F70" s="241"/>
      <c r="G70" s="241"/>
      <c r="H70" s="241"/>
      <c r="I70" s="241"/>
      <c r="J70" s="241"/>
      <c r="K70" s="241"/>
      <c r="L70" s="241"/>
      <c r="M70" s="241"/>
      <c r="N70" s="241"/>
      <c r="O70" s="241"/>
      <c r="P70" s="241"/>
      <c r="Q70" s="241"/>
      <c r="R70" s="241"/>
      <c r="S70" s="241"/>
      <c r="T70" s="241"/>
      <c r="U70" s="241"/>
      <c r="V70" s="241"/>
      <c r="W70" s="241"/>
      <c r="X70" s="241"/>
      <c r="Y70" s="241"/>
      <c r="Z70" s="241"/>
      <c r="AA70" s="241"/>
      <c r="AB70" s="241"/>
      <c r="AC70" s="241"/>
      <c r="AD70" s="241"/>
      <c r="AE70" s="241"/>
      <c r="AF70" s="241"/>
      <c r="AG70" s="241"/>
      <c r="AH70" s="241"/>
      <c r="AI70" s="241"/>
      <c r="AJ70" s="241"/>
      <c r="AK70" s="241"/>
      <c r="AL70" s="241"/>
      <c r="AM70" s="241"/>
      <c r="AN70" s="241"/>
      <c r="AO70" s="241"/>
      <c r="AP70" s="241"/>
      <c r="AQ70" s="241"/>
      <c r="AR70" s="241"/>
      <c r="AS70" s="241"/>
      <c r="AT70" s="241"/>
      <c r="AU70" s="241"/>
      <c r="AV70" s="241"/>
      <c r="AW70" s="241"/>
      <c r="AX70" s="241"/>
      <c r="AY70" s="241"/>
      <c r="AZ70" s="241"/>
      <c r="BA70" s="241"/>
      <c r="BB70" s="241"/>
      <c r="BC70" s="241"/>
      <c r="BD70" s="241"/>
      <c r="BE70" s="241"/>
      <c r="BF70" s="241"/>
      <c r="BG70" s="241"/>
      <c r="BH70" s="241"/>
      <c r="BI70" s="241"/>
      <c r="BJ70" s="241"/>
      <c r="BK70" s="241"/>
      <c r="BL70" s="241"/>
      <c r="BM70" s="241"/>
      <c r="BN70" s="241"/>
      <c r="BO70" s="241"/>
      <c r="BP70" s="241"/>
      <c r="BQ70" s="241"/>
      <c r="BR70" s="241"/>
      <c r="BS70" s="241"/>
      <c r="BT70" s="241"/>
      <c r="BU70" s="241"/>
      <c r="BV70" s="241"/>
      <c r="BW70" s="241"/>
      <c r="BX70" s="241"/>
      <c r="BY70" s="241"/>
      <c r="BZ70" s="241"/>
      <c r="CA70" s="241"/>
      <c r="CB70" s="241"/>
      <c r="CC70" s="241"/>
      <c r="CD70" s="241"/>
      <c r="CE70" s="241"/>
      <c r="CF70" s="241"/>
      <c r="CG70" s="241"/>
      <c r="CH70" s="241"/>
      <c r="CI70" s="241"/>
      <c r="CJ70" s="241"/>
      <c r="CK70" s="241"/>
      <c r="CL70" s="241"/>
      <c r="CM70" s="241"/>
      <c r="CN70" s="241"/>
      <c r="CO70" s="241"/>
      <c r="CP70" s="241"/>
      <c r="CQ70" s="241"/>
      <c r="CR70" s="241"/>
      <c r="CS70" s="241"/>
      <c r="CT70" s="241"/>
      <c r="CU70" s="241"/>
      <c r="CV70" s="241"/>
      <c r="CW70" s="241"/>
      <c r="CX70" s="241"/>
      <c r="CY70" s="241"/>
      <c r="CZ70" s="241"/>
      <c r="DA70" s="241"/>
      <c r="DB70" s="241"/>
      <c r="DC70" s="241"/>
      <c r="DD70" s="241"/>
      <c r="DE70" s="241"/>
      <c r="DF70" s="241"/>
      <c r="DG70" s="241"/>
      <c r="DH70" s="241"/>
      <c r="DI70" s="241"/>
      <c r="DJ70" s="241"/>
      <c r="DK70" s="241"/>
      <c r="DL70" s="241"/>
      <c r="DM70" s="241"/>
      <c r="DN70" s="241"/>
      <c r="DO70" s="241"/>
      <c r="DP70" s="241"/>
      <c r="DQ70" s="241"/>
      <c r="DR70" s="241"/>
      <c r="DS70" s="241"/>
      <c r="DT70" s="241"/>
      <c r="DU70" s="241"/>
      <c r="DV70" s="241"/>
      <c r="DW70" s="241"/>
      <c r="DX70" s="241"/>
      <c r="DY70" s="241"/>
      <c r="DZ70" s="241"/>
      <c r="EA70" s="241"/>
      <c r="EB70" s="241"/>
      <c r="EC70" s="241"/>
      <c r="ED70" s="241"/>
      <c r="EE70" s="241"/>
      <c r="EF70" s="241"/>
      <c r="EG70" s="241"/>
      <c r="EH70" s="241"/>
      <c r="EI70" s="241"/>
      <c r="EJ70" s="241"/>
      <c r="EK70" s="241"/>
      <c r="EL70" s="241"/>
      <c r="EM70" s="241"/>
      <c r="EN70" s="241"/>
      <c r="EO70" s="241"/>
      <c r="EP70" s="241"/>
      <c r="EQ70" s="241"/>
      <c r="ER70" s="241"/>
      <c r="ES70" s="241"/>
      <c r="ET70" s="241"/>
      <c r="EU70" s="241"/>
      <c r="EV70" s="241"/>
      <c r="EW70" s="241"/>
      <c r="EX70" s="241"/>
      <c r="EY70" s="241"/>
      <c r="EZ70" s="241"/>
      <c r="FA70" s="241"/>
      <c r="FB70" s="241"/>
      <c r="FC70" s="241"/>
      <c r="FD70" s="241"/>
      <c r="FE70" s="241"/>
      <c r="FF70" s="241"/>
      <c r="FG70" s="241"/>
      <c r="FH70" s="241"/>
      <c r="FI70" s="241"/>
      <c r="FJ70" s="241"/>
      <c r="FK70" s="241"/>
      <c r="FL70" s="241"/>
      <c r="FM70" s="241"/>
      <c r="FN70" s="241"/>
      <c r="FO70" s="241"/>
      <c r="FP70" s="241"/>
      <c r="FQ70" s="241"/>
      <c r="FR70" s="241"/>
      <c r="FS70" s="241"/>
      <c r="FT70" s="241"/>
      <c r="FU70" s="241"/>
      <c r="FV70" s="241"/>
      <c r="FW70" s="241"/>
      <c r="FX70" s="241"/>
      <c r="FY70" s="241"/>
      <c r="FZ70" s="241"/>
      <c r="GA70" s="241"/>
      <c r="GB70" s="241"/>
      <c r="GC70" s="241"/>
      <c r="GD70" s="241"/>
      <c r="GE70" s="241"/>
      <c r="GF70" s="241"/>
      <c r="GG70" s="241"/>
      <c r="GH70" s="241"/>
      <c r="GI70" s="241"/>
      <c r="GJ70" s="241"/>
      <c r="GK70" s="241"/>
      <c r="GL70" s="241"/>
      <c r="GM70" s="241"/>
      <c r="GN70" s="241"/>
      <c r="GO70" s="241"/>
      <c r="GP70" s="241"/>
      <c r="GQ70" s="241"/>
      <c r="GR70" s="241"/>
      <c r="GS70" s="241"/>
      <c r="GT70" s="241"/>
      <c r="GU70" s="241"/>
      <c r="GV70" s="241"/>
      <c r="GW70" s="241"/>
      <c r="GX70" s="241"/>
      <c r="GY70" s="241"/>
      <c r="GZ70" s="241"/>
      <c r="HA70" s="241"/>
      <c r="HB70" s="241"/>
      <c r="HC70" s="241"/>
      <c r="HD70" s="241"/>
      <c r="HE70" s="241"/>
      <c r="HF70" s="241"/>
      <c r="HG70" s="241"/>
      <c r="HH70" s="241"/>
      <c r="HI70" s="241"/>
      <c r="HJ70" s="241"/>
      <c r="HK70" s="241"/>
      <c r="HL70" s="241"/>
      <c r="HM70" s="241"/>
      <c r="HN70" s="241"/>
      <c r="HO70" s="241"/>
      <c r="HP70" s="241"/>
      <c r="HQ70" s="241"/>
      <c r="HR70" s="241"/>
      <c r="HS70" s="241"/>
      <c r="HT70" s="241"/>
      <c r="HU70" s="241"/>
      <c r="HV70" s="241"/>
      <c r="HW70" s="241"/>
      <c r="HX70" s="241"/>
      <c r="HY70" s="241"/>
      <c r="HZ70" s="241"/>
      <c r="IA70" s="241"/>
      <c r="IB70" s="241"/>
      <c r="IC70" s="241"/>
      <c r="ID70" s="241"/>
      <c r="IE70" s="241"/>
      <c r="IF70" s="241"/>
      <c r="IG70" s="241"/>
      <c r="IH70" s="241"/>
      <c r="II70" s="241"/>
      <c r="IJ70" s="241"/>
      <c r="IK70" s="241"/>
      <c r="IL70" s="241"/>
      <c r="IM70" s="241"/>
      <c r="IN70" s="241"/>
      <c r="IO70" s="241"/>
      <c r="IP70" s="241"/>
      <c r="IQ70" s="241"/>
      <c r="IR70" s="241"/>
      <c r="IS70" s="241"/>
      <c r="IT70" s="241"/>
      <c r="IU70" s="241"/>
      <c r="IV70" s="241"/>
      <c r="IW70" s="241"/>
      <c r="IX70" s="241"/>
      <c r="IY70" s="241"/>
      <c r="IZ70" s="241"/>
      <c r="JA70" s="241"/>
      <c r="JB70" s="241"/>
      <c r="JC70" s="241"/>
      <c r="JD70" s="241"/>
      <c r="JE70" s="241"/>
      <c r="JF70" s="241"/>
      <c r="JG70" s="241"/>
      <c r="JH70" s="241"/>
      <c r="JI70" s="241"/>
      <c r="JJ70" s="241"/>
      <c r="JK70" s="241"/>
      <c r="JL70" s="241"/>
      <c r="JM70" s="241"/>
      <c r="JN70" s="241"/>
      <c r="JO70" s="241"/>
      <c r="JP70" s="241"/>
      <c r="JQ70" s="241"/>
      <c r="JR70" s="241"/>
      <c r="JS70" s="241"/>
      <c r="JT70" s="241"/>
      <c r="JU70" s="241"/>
      <c r="JV70" s="241"/>
      <c r="JW70" s="241"/>
      <c r="JX70" s="241"/>
      <c r="JY70" s="241"/>
      <c r="JZ70" s="241"/>
      <c r="KA70" s="241"/>
      <c r="KB70" s="241"/>
      <c r="KC70" s="241"/>
      <c r="KD70" s="241"/>
      <c r="KE70" s="241"/>
      <c r="KF70" s="241"/>
      <c r="KG70" s="241"/>
      <c r="KH70" s="241"/>
      <c r="KI70" s="241"/>
      <c r="KJ70" s="241"/>
      <c r="KK70" s="241"/>
      <c r="KL70" s="241"/>
      <c r="KM70" s="241"/>
      <c r="KN70" s="241"/>
      <c r="KO70" s="241"/>
      <c r="KP70" s="241"/>
      <c r="KQ70" s="241"/>
      <c r="KR70" s="241"/>
      <c r="KS70" s="241"/>
      <c r="KT70" s="241"/>
      <c r="KU70" s="241"/>
      <c r="KV70" s="241"/>
      <c r="KW70" s="241"/>
      <c r="KX70" s="241"/>
      <c r="KY70" s="241"/>
      <c r="KZ70" s="241"/>
      <c r="LA70" s="241"/>
      <c r="LB70" s="241"/>
      <c r="LC70" s="241"/>
      <c r="LD70" s="241"/>
      <c r="LE70" s="241"/>
      <c r="LF70" s="241"/>
      <c r="LG70" s="241"/>
      <c r="LH70" s="241"/>
      <c r="LI70" s="241"/>
      <c r="LJ70" s="241"/>
      <c r="LK70" s="241"/>
      <c r="LL70" s="241"/>
      <c r="LM70" s="241"/>
      <c r="LN70" s="241"/>
      <c r="LO70" s="241"/>
      <c r="LP70" s="241"/>
      <c r="LQ70" s="241"/>
      <c r="LR70" s="241"/>
      <c r="LS70" s="241"/>
      <c r="LT70" s="241"/>
      <c r="LU70" s="241"/>
      <c r="LV70" s="241"/>
      <c r="LW70" s="241"/>
      <c r="LX70" s="241"/>
      <c r="LY70" s="241"/>
      <c r="LZ70" s="241"/>
      <c r="MA70" s="241"/>
      <c r="MB70" s="241"/>
      <c r="MC70" s="241"/>
      <c r="MD70" s="241"/>
      <c r="ME70" s="241"/>
      <c r="MF70" s="241"/>
      <c r="MG70" s="241"/>
      <c r="MH70" s="241"/>
      <c r="MI70" s="241"/>
      <c r="MJ70" s="241"/>
      <c r="MK70" s="241"/>
      <c r="ML70" s="241"/>
      <c r="MM70" s="241"/>
      <c r="MN70" s="241"/>
      <c r="MO70" s="241"/>
      <c r="MP70" s="241"/>
      <c r="MQ70" s="241"/>
      <c r="MR70" s="241"/>
      <c r="MS70" s="241"/>
      <c r="MT70" s="241"/>
      <c r="MU70" s="241"/>
      <c r="MV70" s="241"/>
      <c r="MW70" s="241"/>
      <c r="MX70" s="241"/>
      <c r="MY70" s="241"/>
      <c r="MZ70" s="241"/>
      <c r="NA70" s="241"/>
      <c r="NB70" s="241"/>
      <c r="NC70" s="241"/>
      <c r="ND70" s="241"/>
      <c r="NE70" s="241"/>
      <c r="NF70" s="241"/>
      <c r="NG70" s="241"/>
      <c r="NH70" s="241"/>
      <c r="NI70" s="241"/>
      <c r="NJ70" s="241"/>
      <c r="NK70" s="241"/>
      <c r="NL70" s="241"/>
      <c r="NM70" s="241"/>
      <c r="NN70" s="241"/>
      <c r="NO70" s="241"/>
      <c r="NP70" s="241"/>
      <c r="NQ70" s="241"/>
      <c r="NR70" s="241"/>
      <c r="NS70" s="241"/>
      <c r="NT70" s="241"/>
      <c r="NU70" s="241"/>
      <c r="NV70" s="241"/>
      <c r="NW70" s="241"/>
      <c r="NX70" s="241"/>
      <c r="NY70" s="241"/>
      <c r="NZ70" s="241"/>
      <c r="OA70" s="241"/>
      <c r="OB70" s="241"/>
      <c r="OC70" s="241"/>
      <c r="OD70" s="241"/>
      <c r="OE70" s="241"/>
      <c r="OF70" s="241"/>
      <c r="OG70" s="241"/>
      <c r="OH70" s="241"/>
      <c r="OI70" s="241"/>
      <c r="OJ70" s="241"/>
      <c r="OK70" s="241"/>
      <c r="OL70" s="241"/>
      <c r="OM70" s="241"/>
      <c r="ON70" s="241"/>
      <c r="OO70" s="241"/>
      <c r="OP70" s="241"/>
      <c r="OQ70" s="241"/>
      <c r="OR70" s="241"/>
      <c r="OS70" s="241"/>
      <c r="OT70" s="241"/>
      <c r="OU70" s="241"/>
      <c r="OV70" s="241"/>
      <c r="OW70" s="241"/>
      <c r="OX70" s="241"/>
      <c r="OY70" s="241"/>
      <c r="OZ70" s="241"/>
      <c r="PA70" s="241"/>
      <c r="PB70" s="241"/>
      <c r="PC70" s="241"/>
      <c r="PD70" s="241"/>
      <c r="PE70" s="241"/>
      <c r="PF70" s="241"/>
      <c r="PG70" s="241"/>
      <c r="PH70" s="241"/>
      <c r="PI70" s="241"/>
      <c r="PJ70" s="241"/>
      <c r="PK70" s="241"/>
      <c r="PL70" s="241"/>
      <c r="PM70" s="241"/>
      <c r="PN70" s="241"/>
      <c r="PO70" s="241"/>
      <c r="PP70" s="241"/>
      <c r="PQ70" s="241"/>
      <c r="PR70" s="241"/>
      <c r="PS70" s="241"/>
      <c r="PT70" s="241"/>
      <c r="PU70" s="241"/>
      <c r="PV70" s="241"/>
      <c r="PW70" s="241"/>
      <c r="PX70" s="241"/>
      <c r="PY70" s="241"/>
      <c r="PZ70" s="241"/>
      <c r="QA70" s="241"/>
      <c r="QB70" s="241"/>
      <c r="QC70" s="241"/>
      <c r="QD70" s="241"/>
      <c r="QE70" s="241"/>
      <c r="QF70" s="241"/>
      <c r="QG70" s="241"/>
      <c r="QH70" s="241"/>
      <c r="QI70" s="241"/>
      <c r="QJ70" s="241"/>
      <c r="QK70" s="241"/>
      <c r="QL70" s="241"/>
      <c r="QM70" s="241"/>
      <c r="QN70" s="241"/>
      <c r="QO70" s="241"/>
      <c r="QP70" s="241"/>
      <c r="QQ70" s="241"/>
      <c r="QR70" s="241"/>
      <c r="QS70" s="241"/>
      <c r="QT70" s="241"/>
      <c r="QU70" s="241"/>
      <c r="QV70" s="241"/>
      <c r="QW70" s="241"/>
      <c r="QX70" s="241"/>
      <c r="QY70" s="241"/>
      <c r="QZ70" s="241"/>
      <c r="RA70" s="241"/>
      <c r="RB70" s="241"/>
      <c r="RC70" s="241"/>
      <c r="RD70" s="241"/>
      <c r="RE70" s="241"/>
      <c r="RF70" s="241"/>
      <c r="RG70" s="241"/>
      <c r="RH70" s="241"/>
      <c r="RI70" s="241"/>
      <c r="RJ70" s="241"/>
      <c r="RK70" s="241"/>
      <c r="RL70" s="241"/>
      <c r="RM70" s="241"/>
      <c r="RN70" s="241"/>
      <c r="RO70" s="241"/>
      <c r="RP70" s="241"/>
      <c r="RQ70" s="241"/>
      <c r="RR70" s="241"/>
      <c r="RS70" s="241"/>
      <c r="RT70" s="241"/>
      <c r="RU70" s="241"/>
      <c r="RV70" s="241"/>
      <c r="RW70" s="241"/>
      <c r="RX70" s="241"/>
      <c r="RY70" s="241"/>
      <c r="RZ70" s="241"/>
      <c r="SA70" s="241"/>
      <c r="SB70" s="241"/>
      <c r="SC70" s="241"/>
      <c r="SD70" s="241"/>
      <c r="SE70" s="241"/>
      <c r="SF70" s="241"/>
      <c r="SG70" s="241"/>
      <c r="SH70" s="241"/>
      <c r="SI70" s="241"/>
      <c r="SJ70" s="241"/>
      <c r="SK70" s="241"/>
      <c r="SL70" s="241"/>
      <c r="SM70" s="241"/>
      <c r="SN70" s="241"/>
      <c r="SO70" s="241"/>
      <c r="SP70" s="241"/>
      <c r="SQ70" s="241"/>
      <c r="SR70" s="241"/>
      <c r="SS70" s="241"/>
      <c r="ST70" s="241"/>
      <c r="SU70" s="241"/>
      <c r="SV70" s="241"/>
      <c r="SW70" s="241"/>
      <c r="SX70" s="241"/>
      <c r="SY70" s="241"/>
      <c r="SZ70" s="241"/>
      <c r="TA70" s="241"/>
      <c r="TB70" s="241"/>
      <c r="TC70" s="241"/>
      <c r="TD70" s="241"/>
      <c r="TE70" s="241"/>
      <c r="TF70" s="241"/>
      <c r="TG70" s="241"/>
      <c r="TH70" s="241"/>
      <c r="TI70" s="241"/>
      <c r="TJ70" s="241"/>
      <c r="TK70" s="241"/>
      <c r="TL70" s="241"/>
      <c r="TM70" s="241"/>
      <c r="TN70" s="241"/>
      <c r="TO70" s="241"/>
      <c r="TP70" s="241"/>
      <c r="TQ70" s="241"/>
      <c r="TR70" s="241"/>
      <c r="TS70" s="241"/>
      <c r="TT70" s="241"/>
      <c r="TU70" s="241"/>
      <c r="TV70" s="241"/>
      <c r="TW70" s="241"/>
      <c r="TX70" s="241"/>
      <c r="TY70" s="241"/>
      <c r="TZ70" s="241"/>
      <c r="UA70" s="241"/>
      <c r="UB70" s="241"/>
      <c r="UC70" s="241"/>
      <c r="UD70" s="241"/>
      <c r="UE70" s="241"/>
      <c r="UF70" s="241"/>
      <c r="UG70" s="241"/>
      <c r="UH70" s="241"/>
      <c r="UI70" s="241"/>
      <c r="UJ70" s="241"/>
      <c r="UK70" s="241"/>
      <c r="UL70" s="241"/>
      <c r="UM70" s="241"/>
      <c r="UN70" s="241"/>
      <c r="UO70" s="241"/>
      <c r="UP70" s="241"/>
      <c r="UQ70" s="241"/>
      <c r="UR70" s="241"/>
      <c r="US70" s="241"/>
      <c r="UT70" s="241"/>
      <c r="UU70" s="241"/>
      <c r="UV70" s="241"/>
      <c r="UW70" s="241"/>
      <c r="UX70" s="241"/>
      <c r="UY70" s="241"/>
      <c r="UZ70" s="241"/>
      <c r="VA70" s="241"/>
      <c r="VB70" s="241"/>
      <c r="VC70" s="241"/>
      <c r="VD70" s="241"/>
      <c r="VE70" s="241"/>
      <c r="VF70" s="241"/>
      <c r="VG70" s="241"/>
      <c r="VH70" s="241"/>
      <c r="VI70" s="241"/>
      <c r="VJ70" s="241"/>
      <c r="VK70" s="241"/>
      <c r="VL70" s="241"/>
      <c r="VM70" s="241"/>
      <c r="VN70" s="241"/>
      <c r="VO70" s="241"/>
      <c r="VP70" s="241"/>
      <c r="VQ70" s="241"/>
      <c r="VR70" s="241"/>
      <c r="VS70" s="241"/>
      <c r="VT70" s="241"/>
      <c r="VU70" s="241"/>
      <c r="VV70" s="241"/>
      <c r="VW70" s="241"/>
      <c r="VX70" s="241"/>
      <c r="VY70" s="241"/>
      <c r="VZ70" s="241"/>
      <c r="WA70" s="241"/>
      <c r="WB70" s="241"/>
      <c r="WC70" s="241"/>
      <c r="WD70" s="241"/>
      <c r="WE70" s="241"/>
      <c r="WF70" s="241"/>
      <c r="WG70" s="241"/>
      <c r="WH70" s="241"/>
      <c r="WI70" s="241"/>
      <c r="WJ70" s="241"/>
      <c r="WK70" s="241"/>
      <c r="WL70" s="241"/>
      <c r="WM70" s="241"/>
      <c r="WN70" s="241"/>
      <c r="WO70" s="241"/>
      <c r="WP70" s="241"/>
      <c r="WQ70" s="241"/>
      <c r="WR70" s="241"/>
      <c r="WS70" s="241"/>
      <c r="WT70" s="241"/>
      <c r="WU70" s="241"/>
      <c r="WV70" s="241"/>
      <c r="WW70" s="241"/>
      <c r="WX70" s="241"/>
      <c r="WY70" s="241"/>
      <c r="WZ70" s="241"/>
      <c r="XA70" s="241"/>
      <c r="XB70" s="241"/>
      <c r="XC70" s="241"/>
      <c r="XD70" s="241"/>
      <c r="XE70" s="241"/>
      <c r="XF70" s="241"/>
      <c r="XG70" s="241"/>
      <c r="XH70" s="241"/>
      <c r="XI70" s="241"/>
      <c r="XJ70" s="241"/>
      <c r="XK70" s="241"/>
      <c r="XL70" s="241"/>
      <c r="XM70" s="241"/>
      <c r="XN70" s="241"/>
      <c r="XO70" s="241"/>
      <c r="XP70" s="241"/>
      <c r="XQ70" s="241"/>
      <c r="XR70" s="241"/>
      <c r="XS70" s="241"/>
      <c r="XT70" s="241"/>
      <c r="XU70" s="241"/>
      <c r="XV70" s="241"/>
      <c r="XW70" s="241"/>
      <c r="XX70" s="241"/>
      <c r="XY70" s="241"/>
      <c r="XZ70" s="241"/>
      <c r="YA70" s="241"/>
      <c r="YB70" s="241"/>
      <c r="YC70" s="241"/>
      <c r="YD70" s="241"/>
      <c r="YE70" s="241"/>
      <c r="YF70" s="241"/>
      <c r="YG70" s="241"/>
      <c r="YH70" s="241"/>
      <c r="YI70" s="241"/>
      <c r="YJ70" s="241"/>
      <c r="YK70" s="241"/>
      <c r="YL70" s="241"/>
      <c r="YM70" s="241"/>
      <c r="YN70" s="241"/>
      <c r="YO70" s="241"/>
      <c r="YP70" s="241"/>
      <c r="YQ70" s="241"/>
      <c r="YR70" s="241"/>
      <c r="YS70" s="241"/>
      <c r="YT70" s="241"/>
      <c r="YU70" s="241"/>
      <c r="YV70" s="241"/>
      <c r="YW70" s="241"/>
      <c r="YX70" s="241"/>
      <c r="YY70" s="241"/>
      <c r="YZ70" s="241"/>
      <c r="ZA70" s="241"/>
      <c r="ZB70" s="241"/>
      <c r="ZC70" s="241"/>
      <c r="ZD70" s="241"/>
      <c r="ZE70" s="241"/>
      <c r="ZF70" s="241"/>
      <c r="ZG70" s="241"/>
      <c r="ZH70" s="241"/>
      <c r="ZI70" s="241"/>
      <c r="ZJ70" s="241"/>
      <c r="ZK70" s="241"/>
      <c r="ZL70" s="241"/>
      <c r="ZM70" s="241"/>
      <c r="ZN70" s="241"/>
      <c r="ZO70" s="241"/>
      <c r="ZP70" s="241"/>
      <c r="ZQ70" s="241"/>
      <c r="ZR70" s="241"/>
      <c r="ZS70" s="241"/>
      <c r="ZT70" s="241"/>
      <c r="ZU70" s="241"/>
      <c r="ZV70" s="241"/>
      <c r="ZW70" s="241"/>
      <c r="ZX70" s="241"/>
      <c r="ZY70" s="241"/>
      <c r="ZZ70" s="241"/>
    </row>
  </sheetData>
  <mergeCells count="20">
    <mergeCell ref="B39:B43"/>
    <mergeCell ref="B44:B47"/>
    <mergeCell ref="B4:B11"/>
    <mergeCell ref="A4:A38"/>
    <mergeCell ref="B12:B21"/>
    <mergeCell ref="B22:B28"/>
    <mergeCell ref="B29:B33"/>
    <mergeCell ref="B34:B37"/>
    <mergeCell ref="A39:A53"/>
    <mergeCell ref="B48:B52"/>
    <mergeCell ref="A1:O1"/>
    <mergeCell ref="A2:A3"/>
    <mergeCell ref="B2:B3"/>
    <mergeCell ref="C2:C3"/>
    <mergeCell ref="D2:D3"/>
    <mergeCell ref="E2:G2"/>
    <mergeCell ref="H2:J2"/>
    <mergeCell ref="K2:K3"/>
    <mergeCell ref="L2:M2"/>
    <mergeCell ref="N2:O2"/>
  </mergeCells>
  <printOptions horizontalCentered="1"/>
  <pageMargins left="0.7" right="0.7" top="0.75" bottom="0.75" header="0.3" footer="0.3"/>
  <pageSetup paperSize="9" scale="71" fitToHeight="0"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zoomScale="112" zoomScaleNormal="112" workbookViewId="0">
      <selection activeCell="O20" sqref="O20:P20"/>
    </sheetView>
  </sheetViews>
  <sheetFormatPr defaultColWidth="9.140625" defaultRowHeight="11.25" x14ac:dyDescent="0.25"/>
  <cols>
    <col min="1" max="1" width="7.85546875" style="255" customWidth="1"/>
    <col min="2" max="2" width="11.85546875" style="255" customWidth="1"/>
    <col min="3" max="3" width="21.28515625" style="255" customWidth="1"/>
    <col min="4" max="4" width="11" style="255" bestFit="1" customWidth="1"/>
    <col min="5" max="5" width="8.140625" style="255" customWidth="1"/>
    <col min="6" max="6" width="9" style="255" customWidth="1"/>
    <col min="7" max="8" width="7.42578125" style="255" customWidth="1"/>
    <col min="9" max="9" width="8" style="255" bestFit="1" customWidth="1"/>
    <col min="10" max="11" width="7" style="255" bestFit="1" customWidth="1"/>
    <col min="12" max="12" width="14.140625" style="255" customWidth="1"/>
    <col min="13" max="14" width="9" style="255" customWidth="1"/>
    <col min="15" max="16384" width="9.140625" style="255"/>
  </cols>
  <sheetData>
    <row r="1" spans="1:16" ht="18" customHeight="1" x14ac:dyDescent="0.25">
      <c r="A1" s="1582" t="s">
        <v>829</v>
      </c>
      <c r="B1" s="1582"/>
      <c r="C1" s="1582"/>
      <c r="D1" s="1582"/>
      <c r="E1" s="1582"/>
      <c r="F1" s="1582"/>
      <c r="G1" s="1582"/>
      <c r="H1" s="1582"/>
      <c r="I1" s="1582"/>
      <c r="J1" s="1582"/>
      <c r="K1" s="1582"/>
      <c r="L1" s="1582"/>
      <c r="M1" s="1582"/>
      <c r="N1" s="1582"/>
      <c r="O1" s="1582"/>
      <c r="P1" s="1582"/>
    </row>
    <row r="2" spans="1:16" ht="51" customHeight="1" x14ac:dyDescent="0.25">
      <c r="A2" s="1515" t="s">
        <v>742</v>
      </c>
      <c r="B2" s="1515" t="s">
        <v>830</v>
      </c>
      <c r="C2" s="1515" t="s">
        <v>744</v>
      </c>
      <c r="D2" s="1531" t="s">
        <v>831</v>
      </c>
      <c r="E2" s="1531" t="s">
        <v>832</v>
      </c>
      <c r="F2" s="1574" t="s">
        <v>529</v>
      </c>
      <c r="G2" s="1575"/>
      <c r="H2" s="1522"/>
      <c r="I2" s="1515" t="s">
        <v>237</v>
      </c>
      <c r="J2" s="1515"/>
      <c r="K2" s="1515"/>
      <c r="L2" s="1531" t="s">
        <v>747</v>
      </c>
      <c r="M2" s="1575"/>
      <c r="N2" s="1522"/>
      <c r="O2" s="1515" t="s">
        <v>1404</v>
      </c>
      <c r="P2" s="1515"/>
    </row>
    <row r="3" spans="1:16" ht="76.5" customHeight="1" x14ac:dyDescent="0.25">
      <c r="A3" s="1515"/>
      <c r="B3" s="1515"/>
      <c r="C3" s="1515"/>
      <c r="D3" s="1505" t="s">
        <v>833</v>
      </c>
      <c r="E3" s="1505"/>
      <c r="F3" s="672" t="s">
        <v>1237</v>
      </c>
      <c r="G3" s="672">
        <v>45383</v>
      </c>
      <c r="H3" s="672">
        <v>45413</v>
      </c>
      <c r="I3" s="672" t="s">
        <v>1237</v>
      </c>
      <c r="J3" s="672">
        <v>45383</v>
      </c>
      <c r="K3" s="672">
        <v>45413</v>
      </c>
      <c r="L3" s="1505"/>
      <c r="M3" s="672">
        <v>45383</v>
      </c>
      <c r="N3" s="672">
        <v>45413</v>
      </c>
      <c r="O3" s="439" t="s">
        <v>834</v>
      </c>
      <c r="P3" s="439" t="s">
        <v>835</v>
      </c>
    </row>
    <row r="4" spans="1:16" ht="12" customHeight="1" x14ac:dyDescent="0.25">
      <c r="A4" s="1583" t="s">
        <v>836</v>
      </c>
      <c r="B4" s="1583" t="s">
        <v>837</v>
      </c>
      <c r="C4" s="467" t="s">
        <v>838</v>
      </c>
      <c r="D4" s="468" t="s">
        <v>839</v>
      </c>
      <c r="E4" s="469" t="s">
        <v>793</v>
      </c>
      <c r="F4" s="470">
        <v>0</v>
      </c>
      <c r="G4" s="471">
        <v>0</v>
      </c>
      <c r="H4" s="471">
        <v>0</v>
      </c>
      <c r="I4" s="470">
        <v>0</v>
      </c>
      <c r="J4" s="470">
        <v>0</v>
      </c>
      <c r="K4" s="470">
        <v>0</v>
      </c>
      <c r="L4" s="470" t="s">
        <v>840</v>
      </c>
      <c r="M4" s="470">
        <v>2348</v>
      </c>
      <c r="N4" s="470">
        <v>2360</v>
      </c>
      <c r="O4" s="472">
        <v>0</v>
      </c>
      <c r="P4" s="472">
        <v>0</v>
      </c>
    </row>
    <row r="5" spans="1:16" ht="12" customHeight="1" x14ac:dyDescent="0.25">
      <c r="A5" s="1583"/>
      <c r="B5" s="1583"/>
      <c r="C5" s="467" t="s">
        <v>841</v>
      </c>
      <c r="D5" s="473" t="s">
        <v>842</v>
      </c>
      <c r="E5" s="474" t="s">
        <v>793</v>
      </c>
      <c r="F5" s="470">
        <v>3</v>
      </c>
      <c r="G5" s="471">
        <v>3</v>
      </c>
      <c r="H5" s="471">
        <v>0</v>
      </c>
      <c r="I5" s="470">
        <v>0.06</v>
      </c>
      <c r="J5" s="470">
        <v>0.06</v>
      </c>
      <c r="K5" s="470">
        <v>0</v>
      </c>
      <c r="L5" s="470" t="s">
        <v>840</v>
      </c>
      <c r="M5" s="470">
        <v>2017</v>
      </c>
      <c r="N5" s="470">
        <v>2166</v>
      </c>
      <c r="O5" s="470">
        <v>0</v>
      </c>
      <c r="P5" s="470">
        <v>0</v>
      </c>
    </row>
    <row r="6" spans="1:16" ht="12" customHeight="1" x14ac:dyDescent="0.25">
      <c r="A6" s="1583"/>
      <c r="B6" s="1583"/>
      <c r="C6" s="467" t="s">
        <v>843</v>
      </c>
      <c r="D6" s="468" t="s">
        <v>843</v>
      </c>
      <c r="E6" s="469" t="s">
        <v>844</v>
      </c>
      <c r="F6" s="470">
        <v>0</v>
      </c>
      <c r="G6" s="471">
        <v>0</v>
      </c>
      <c r="H6" s="471">
        <v>0</v>
      </c>
      <c r="I6" s="470">
        <v>0</v>
      </c>
      <c r="J6" s="470">
        <v>0</v>
      </c>
      <c r="K6" s="470">
        <v>0</v>
      </c>
      <c r="L6" s="470" t="s">
        <v>845</v>
      </c>
      <c r="M6" s="470">
        <v>1151</v>
      </c>
      <c r="N6" s="470">
        <v>1160</v>
      </c>
      <c r="O6" s="472">
        <v>0</v>
      </c>
      <c r="P6" s="472">
        <v>0</v>
      </c>
    </row>
    <row r="7" spans="1:16" ht="12" customHeight="1" x14ac:dyDescent="0.25">
      <c r="A7" s="1583"/>
      <c r="B7" s="1583"/>
      <c r="C7" s="467" t="s">
        <v>846</v>
      </c>
      <c r="D7" s="473" t="s">
        <v>847</v>
      </c>
      <c r="E7" s="469" t="s">
        <v>773</v>
      </c>
      <c r="F7" s="470">
        <v>75878</v>
      </c>
      <c r="G7" s="470">
        <v>37072</v>
      </c>
      <c r="H7" s="470">
        <v>38806</v>
      </c>
      <c r="I7" s="470">
        <v>2190.5</v>
      </c>
      <c r="J7" s="470">
        <v>1084.5899999999999</v>
      </c>
      <c r="K7" s="470">
        <v>1105.9100000000001</v>
      </c>
      <c r="L7" s="470" t="s">
        <v>840</v>
      </c>
      <c r="M7" s="470">
        <v>5650</v>
      </c>
      <c r="N7" s="470">
        <v>5702</v>
      </c>
      <c r="O7" s="470">
        <v>6379</v>
      </c>
      <c r="P7" s="470">
        <v>182</v>
      </c>
    </row>
    <row r="8" spans="1:16" ht="12" customHeight="1" x14ac:dyDescent="0.25">
      <c r="A8" s="1583"/>
      <c r="B8" s="1583"/>
      <c r="C8" s="475" t="s">
        <v>848</v>
      </c>
      <c r="D8" s="468" t="s">
        <v>849</v>
      </c>
      <c r="E8" s="469" t="s">
        <v>793</v>
      </c>
      <c r="F8" s="470">
        <v>0</v>
      </c>
      <c r="G8" s="470">
        <v>0</v>
      </c>
      <c r="H8" s="470">
        <v>0</v>
      </c>
      <c r="I8" s="470">
        <v>0</v>
      </c>
      <c r="J8" s="470">
        <v>0</v>
      </c>
      <c r="K8" s="470">
        <v>0</v>
      </c>
      <c r="L8" s="470" t="s">
        <v>840</v>
      </c>
      <c r="M8" s="476" t="s">
        <v>225</v>
      </c>
      <c r="N8" s="476" t="s">
        <v>238</v>
      </c>
      <c r="O8" s="472" t="s">
        <v>238</v>
      </c>
      <c r="P8" s="472" t="s">
        <v>238</v>
      </c>
    </row>
    <row r="9" spans="1:16" ht="12" customHeight="1" x14ac:dyDescent="0.25">
      <c r="A9" s="1583"/>
      <c r="B9" s="1583"/>
      <c r="C9" s="467" t="s">
        <v>850</v>
      </c>
      <c r="D9" s="468" t="s">
        <v>851</v>
      </c>
      <c r="E9" s="469" t="s">
        <v>852</v>
      </c>
      <c r="F9" s="470">
        <v>0</v>
      </c>
      <c r="G9" s="470">
        <v>0</v>
      </c>
      <c r="H9" s="470">
        <v>0</v>
      </c>
      <c r="I9" s="470">
        <v>0</v>
      </c>
      <c r="J9" s="470">
        <v>0</v>
      </c>
      <c r="K9" s="470">
        <v>0</v>
      </c>
      <c r="L9" s="470" t="s">
        <v>840</v>
      </c>
      <c r="M9" s="476" t="s">
        <v>225</v>
      </c>
      <c r="N9" s="476" t="s">
        <v>238</v>
      </c>
      <c r="O9" s="472" t="s">
        <v>238</v>
      </c>
      <c r="P9" s="472" t="s">
        <v>238</v>
      </c>
    </row>
    <row r="10" spans="1:16" ht="12" customHeight="1" x14ac:dyDescent="0.25">
      <c r="A10" s="1583"/>
      <c r="B10" s="1583"/>
      <c r="C10" s="467" t="s">
        <v>853</v>
      </c>
      <c r="D10" s="468" t="s">
        <v>854</v>
      </c>
      <c r="E10" s="469" t="s">
        <v>773</v>
      </c>
      <c r="F10" s="470">
        <v>51346</v>
      </c>
      <c r="G10" s="470">
        <v>22354</v>
      </c>
      <c r="H10" s="470">
        <v>28992</v>
      </c>
      <c r="I10" s="470">
        <v>1931.73</v>
      </c>
      <c r="J10" s="470">
        <v>853.05</v>
      </c>
      <c r="K10" s="470">
        <v>1078.68</v>
      </c>
      <c r="L10" s="470" t="s">
        <v>840</v>
      </c>
      <c r="M10" s="476">
        <v>7430</v>
      </c>
      <c r="N10" s="476">
        <v>7422</v>
      </c>
      <c r="O10" s="472">
        <v>5905</v>
      </c>
      <c r="P10" s="472">
        <v>221</v>
      </c>
    </row>
    <row r="11" spans="1:16" x14ac:dyDescent="0.25">
      <c r="A11" s="1583"/>
      <c r="B11" s="1583"/>
      <c r="C11" s="467" t="s">
        <v>855</v>
      </c>
      <c r="D11" s="468" t="s">
        <v>856</v>
      </c>
      <c r="E11" s="469" t="s">
        <v>852</v>
      </c>
      <c r="F11" s="470">
        <v>0</v>
      </c>
      <c r="G11" s="470">
        <v>0</v>
      </c>
      <c r="H11" s="470">
        <v>0</v>
      </c>
      <c r="I11" s="470">
        <v>0</v>
      </c>
      <c r="J11" s="470">
        <v>0</v>
      </c>
      <c r="K11" s="470">
        <v>0</v>
      </c>
      <c r="L11" s="470" t="s">
        <v>857</v>
      </c>
      <c r="M11" s="476">
        <v>27840</v>
      </c>
      <c r="N11" s="476">
        <v>27180</v>
      </c>
      <c r="O11" s="472">
        <v>0</v>
      </c>
      <c r="P11" s="472">
        <v>0</v>
      </c>
    </row>
    <row r="12" spans="1:16" ht="12" customHeight="1" x14ac:dyDescent="0.25">
      <c r="A12" s="1583"/>
      <c r="B12" s="1583"/>
      <c r="C12" s="467" t="s">
        <v>858</v>
      </c>
      <c r="D12" s="468" t="s">
        <v>859</v>
      </c>
      <c r="E12" s="469" t="s">
        <v>793</v>
      </c>
      <c r="F12" s="470">
        <v>133074</v>
      </c>
      <c r="G12" s="470">
        <v>60200</v>
      </c>
      <c r="H12" s="470">
        <v>72874</v>
      </c>
      <c r="I12" s="470">
        <v>3494.3199999999997</v>
      </c>
      <c r="J12" s="470">
        <v>1553.59</v>
      </c>
      <c r="K12" s="470">
        <v>1940.73</v>
      </c>
      <c r="L12" s="470" t="s">
        <v>840</v>
      </c>
      <c r="M12" s="476">
        <v>2543</v>
      </c>
      <c r="N12" s="476">
        <v>2739</v>
      </c>
      <c r="O12" s="472">
        <v>9556</v>
      </c>
      <c r="P12" s="472">
        <v>256</v>
      </c>
    </row>
    <row r="13" spans="1:16" ht="12" customHeight="1" x14ac:dyDescent="0.25">
      <c r="A13" s="1583"/>
      <c r="B13" s="1583"/>
      <c r="C13" s="467" t="s">
        <v>792</v>
      </c>
      <c r="D13" s="468" t="s">
        <v>792</v>
      </c>
      <c r="E13" s="469" t="s">
        <v>793</v>
      </c>
      <c r="F13" s="470">
        <v>0</v>
      </c>
      <c r="G13" s="470">
        <v>0</v>
      </c>
      <c r="H13" s="470">
        <v>0</v>
      </c>
      <c r="I13" s="470">
        <v>0</v>
      </c>
      <c r="J13" s="470">
        <v>0</v>
      </c>
      <c r="K13" s="470">
        <v>0</v>
      </c>
      <c r="L13" s="470" t="s">
        <v>845</v>
      </c>
      <c r="M13" s="476" t="s">
        <v>225</v>
      </c>
      <c r="N13" s="476" t="s">
        <v>238</v>
      </c>
      <c r="O13" s="472" t="s">
        <v>238</v>
      </c>
      <c r="P13" s="472" t="s">
        <v>238</v>
      </c>
    </row>
    <row r="14" spans="1:16" ht="12" customHeight="1" x14ac:dyDescent="0.25">
      <c r="A14" s="1583"/>
      <c r="B14" s="1583"/>
      <c r="C14" s="467" t="s">
        <v>860</v>
      </c>
      <c r="D14" s="468" t="s">
        <v>861</v>
      </c>
      <c r="E14" s="469" t="s">
        <v>793</v>
      </c>
      <c r="F14" s="470">
        <v>218994</v>
      </c>
      <c r="G14" s="470">
        <v>127114</v>
      </c>
      <c r="H14" s="470">
        <v>91880</v>
      </c>
      <c r="I14" s="470">
        <v>5977.6299999999992</v>
      </c>
      <c r="J14" s="470">
        <v>3459.22</v>
      </c>
      <c r="K14" s="470">
        <v>2518.41</v>
      </c>
      <c r="L14" s="470" t="s">
        <v>840</v>
      </c>
      <c r="M14" s="470">
        <v>5512</v>
      </c>
      <c r="N14" s="470">
        <v>5468</v>
      </c>
      <c r="O14" s="472">
        <v>12804</v>
      </c>
      <c r="P14" s="472">
        <v>351</v>
      </c>
    </row>
    <row r="15" spans="1:16" ht="12" customHeight="1" x14ac:dyDescent="0.25">
      <c r="A15" s="1583"/>
      <c r="B15" s="1583"/>
      <c r="C15" s="467" t="s">
        <v>862</v>
      </c>
      <c r="D15" s="468" t="s">
        <v>863</v>
      </c>
      <c r="E15" s="469" t="s">
        <v>773</v>
      </c>
      <c r="F15" s="470">
        <v>104162</v>
      </c>
      <c r="G15" s="470">
        <v>57573</v>
      </c>
      <c r="H15" s="470">
        <v>46589</v>
      </c>
      <c r="I15" s="470">
        <v>5641.3799999999992</v>
      </c>
      <c r="J15" s="470">
        <v>3122.93</v>
      </c>
      <c r="K15" s="470">
        <v>2518.4499999999998</v>
      </c>
      <c r="L15" s="470" t="s">
        <v>840</v>
      </c>
      <c r="M15" s="470">
        <v>11038</v>
      </c>
      <c r="N15" s="470">
        <v>10653</v>
      </c>
      <c r="O15" s="472">
        <v>10125</v>
      </c>
      <c r="P15" s="472">
        <v>546</v>
      </c>
    </row>
    <row r="16" spans="1:16" ht="12" customHeight="1" x14ac:dyDescent="0.25">
      <c r="A16" s="1583"/>
      <c r="B16" s="1583"/>
      <c r="C16" s="467" t="s">
        <v>864</v>
      </c>
      <c r="D16" s="468" t="s">
        <v>865</v>
      </c>
      <c r="E16" s="469" t="s">
        <v>866</v>
      </c>
      <c r="F16" s="470">
        <v>0</v>
      </c>
      <c r="G16" s="470">
        <v>0</v>
      </c>
      <c r="H16" s="470">
        <v>0</v>
      </c>
      <c r="I16" s="470">
        <v>0</v>
      </c>
      <c r="J16" s="470">
        <v>0</v>
      </c>
      <c r="K16" s="470">
        <v>0</v>
      </c>
      <c r="L16" s="470" t="s">
        <v>840</v>
      </c>
      <c r="M16" s="470">
        <v>6289</v>
      </c>
      <c r="N16" s="470">
        <v>6188</v>
      </c>
      <c r="O16" s="472">
        <v>0</v>
      </c>
      <c r="P16" s="472">
        <v>0</v>
      </c>
    </row>
    <row r="17" spans="1:18" ht="12" customHeight="1" x14ac:dyDescent="0.25">
      <c r="A17" s="1583"/>
      <c r="B17" s="1583"/>
      <c r="C17" s="467" t="s">
        <v>867</v>
      </c>
      <c r="D17" s="468" t="s">
        <v>868</v>
      </c>
      <c r="E17" s="469" t="s">
        <v>793</v>
      </c>
      <c r="F17" s="470">
        <v>0</v>
      </c>
      <c r="G17" s="470">
        <v>0</v>
      </c>
      <c r="H17" s="470">
        <v>0</v>
      </c>
      <c r="I17" s="470">
        <v>0</v>
      </c>
      <c r="J17" s="470">
        <v>0</v>
      </c>
      <c r="K17" s="470">
        <v>0</v>
      </c>
      <c r="L17" s="470" t="s">
        <v>869</v>
      </c>
      <c r="M17" s="476" t="s">
        <v>225</v>
      </c>
      <c r="N17" s="476" t="s">
        <v>238</v>
      </c>
      <c r="O17" s="472" t="s">
        <v>238</v>
      </c>
      <c r="P17" s="472" t="s">
        <v>238</v>
      </c>
    </row>
    <row r="18" spans="1:18" ht="12" customHeight="1" x14ac:dyDescent="0.25">
      <c r="A18" s="1583"/>
      <c r="B18" s="1583"/>
      <c r="C18" s="467" t="s">
        <v>870</v>
      </c>
      <c r="D18" s="468" t="s">
        <v>871</v>
      </c>
      <c r="E18" s="469" t="s">
        <v>872</v>
      </c>
      <c r="F18" s="470">
        <v>0</v>
      </c>
      <c r="G18" s="470">
        <v>0</v>
      </c>
      <c r="H18" s="470">
        <v>0</v>
      </c>
      <c r="I18" s="470">
        <v>0</v>
      </c>
      <c r="J18" s="470">
        <v>0</v>
      </c>
      <c r="K18" s="470">
        <v>0</v>
      </c>
      <c r="L18" s="470" t="s">
        <v>840</v>
      </c>
      <c r="M18" s="476">
        <v>14175</v>
      </c>
      <c r="N18" s="476">
        <v>15110</v>
      </c>
      <c r="O18" s="472">
        <v>0</v>
      </c>
      <c r="P18" s="472">
        <v>0</v>
      </c>
    </row>
    <row r="19" spans="1:18" ht="12" customHeight="1" x14ac:dyDescent="0.25">
      <c r="A19" s="1583"/>
      <c r="B19" s="1583"/>
      <c r="C19" s="467" t="s">
        <v>873</v>
      </c>
      <c r="D19" s="468" t="s">
        <v>1148</v>
      </c>
      <c r="E19" s="469"/>
      <c r="F19" s="470">
        <v>21</v>
      </c>
      <c r="G19" s="470">
        <v>20</v>
      </c>
      <c r="H19" s="470">
        <v>1</v>
      </c>
      <c r="I19" s="470">
        <v>0.49</v>
      </c>
      <c r="J19" s="470">
        <v>0.47</v>
      </c>
      <c r="K19" s="470">
        <v>0.02</v>
      </c>
      <c r="L19" s="470"/>
      <c r="M19" s="476">
        <v>23300</v>
      </c>
      <c r="N19" s="476">
        <v>27490</v>
      </c>
      <c r="O19" s="472">
        <v>0</v>
      </c>
      <c r="P19" s="472">
        <v>0</v>
      </c>
    </row>
    <row r="20" spans="1:18" ht="12" customHeight="1" x14ac:dyDescent="0.25">
      <c r="A20" s="1583"/>
      <c r="B20" s="1583"/>
      <c r="C20" s="475" t="s">
        <v>873</v>
      </c>
      <c r="D20" s="468" t="s">
        <v>874</v>
      </c>
      <c r="E20" s="469" t="s">
        <v>872</v>
      </c>
      <c r="F20" s="470">
        <v>28988</v>
      </c>
      <c r="G20" s="470">
        <v>10585</v>
      </c>
      <c r="H20" s="470">
        <v>18403</v>
      </c>
      <c r="I20" s="470">
        <v>2211.7200000000003</v>
      </c>
      <c r="J20" s="470">
        <v>726.56</v>
      </c>
      <c r="K20" s="470">
        <v>1485.16</v>
      </c>
      <c r="L20" s="470" t="s">
        <v>840</v>
      </c>
      <c r="M20" s="470">
        <v>23285</v>
      </c>
      <c r="N20" s="470">
        <v>27090</v>
      </c>
      <c r="O20" s="472">
        <v>1267</v>
      </c>
      <c r="P20" s="472">
        <v>103</v>
      </c>
    </row>
    <row r="21" spans="1:18" ht="12" customHeight="1" x14ac:dyDescent="0.25">
      <c r="A21" s="1583"/>
      <c r="B21" s="1583"/>
      <c r="C21" s="467" t="s">
        <v>797</v>
      </c>
      <c r="D21" s="468" t="s">
        <v>875</v>
      </c>
      <c r="E21" s="469" t="s">
        <v>798</v>
      </c>
      <c r="F21" s="470">
        <v>4944</v>
      </c>
      <c r="G21" s="470">
        <v>4182</v>
      </c>
      <c r="H21" s="470">
        <v>762</v>
      </c>
      <c r="I21" s="470">
        <v>149.88</v>
      </c>
      <c r="J21" s="470">
        <v>125.79</v>
      </c>
      <c r="K21" s="470">
        <v>24.09</v>
      </c>
      <c r="L21" s="470" t="s">
        <v>876</v>
      </c>
      <c r="M21" s="476">
        <v>1455</v>
      </c>
      <c r="N21" s="476">
        <v>1496</v>
      </c>
      <c r="O21" s="472">
        <v>321</v>
      </c>
      <c r="P21" s="472">
        <v>10</v>
      </c>
    </row>
    <row r="22" spans="1:18" ht="12" customHeight="1" x14ac:dyDescent="0.25">
      <c r="A22" s="1583"/>
      <c r="B22" s="1583"/>
      <c r="C22" s="467" t="s">
        <v>877</v>
      </c>
      <c r="D22" s="468" t="s">
        <v>878</v>
      </c>
      <c r="E22" s="469" t="s">
        <v>793</v>
      </c>
      <c r="F22" s="470">
        <v>0</v>
      </c>
      <c r="G22" s="470">
        <v>0</v>
      </c>
      <c r="H22" s="470">
        <v>0</v>
      </c>
      <c r="I22" s="470">
        <v>0</v>
      </c>
      <c r="J22" s="470">
        <v>0</v>
      </c>
      <c r="K22" s="470">
        <v>0</v>
      </c>
      <c r="L22" s="470" t="s">
        <v>840</v>
      </c>
      <c r="M22" s="470">
        <v>2057</v>
      </c>
      <c r="N22" s="470">
        <v>2229</v>
      </c>
      <c r="O22" s="472">
        <v>0</v>
      </c>
      <c r="P22" s="472">
        <v>0</v>
      </c>
    </row>
    <row r="23" spans="1:18" ht="12" customHeight="1" x14ac:dyDescent="0.25">
      <c r="A23" s="1583"/>
      <c r="B23" s="1583"/>
      <c r="C23" s="467" t="s">
        <v>879</v>
      </c>
      <c r="D23" s="468" t="s">
        <v>880</v>
      </c>
      <c r="E23" s="469" t="s">
        <v>773</v>
      </c>
      <c r="F23" s="470">
        <v>0</v>
      </c>
      <c r="G23" s="470">
        <v>0</v>
      </c>
      <c r="H23" s="470">
        <v>0</v>
      </c>
      <c r="I23" s="470">
        <v>0</v>
      </c>
      <c r="J23" s="470">
        <v>0</v>
      </c>
      <c r="K23" s="470">
        <v>0</v>
      </c>
      <c r="L23" s="470" t="s">
        <v>845</v>
      </c>
      <c r="M23" s="476" t="s">
        <v>225</v>
      </c>
      <c r="N23" s="476" t="s">
        <v>238</v>
      </c>
      <c r="O23" s="472" t="s">
        <v>238</v>
      </c>
      <c r="P23" s="472" t="s">
        <v>238</v>
      </c>
    </row>
    <row r="24" spans="1:18" ht="12" customHeight="1" x14ac:dyDescent="0.25">
      <c r="A24" s="1583"/>
      <c r="B24" s="1583"/>
      <c r="C24" s="467" t="s">
        <v>881</v>
      </c>
      <c r="D24" s="468" t="s">
        <v>882</v>
      </c>
      <c r="E24" s="469" t="s">
        <v>793</v>
      </c>
      <c r="F24" s="470">
        <v>0</v>
      </c>
      <c r="G24" s="470">
        <v>0</v>
      </c>
      <c r="H24" s="470">
        <v>0</v>
      </c>
      <c r="I24" s="470">
        <v>0</v>
      </c>
      <c r="J24" s="470">
        <v>0</v>
      </c>
      <c r="K24" s="470">
        <v>0</v>
      </c>
      <c r="L24" s="470" t="s">
        <v>840</v>
      </c>
      <c r="M24" s="476" t="s">
        <v>225</v>
      </c>
      <c r="N24" s="476" t="s">
        <v>238</v>
      </c>
      <c r="O24" s="472" t="s">
        <v>238</v>
      </c>
      <c r="P24" s="472" t="s">
        <v>238</v>
      </c>
    </row>
    <row r="25" spans="1:18" ht="12" customHeight="1" x14ac:dyDescent="0.25">
      <c r="A25" s="1583"/>
      <c r="B25" s="1583"/>
      <c r="C25" s="475" t="s">
        <v>883</v>
      </c>
      <c r="D25" s="468" t="s">
        <v>884</v>
      </c>
      <c r="E25" s="469" t="s">
        <v>773</v>
      </c>
      <c r="F25" s="470">
        <v>0</v>
      </c>
      <c r="G25" s="470">
        <v>0</v>
      </c>
      <c r="H25" s="470">
        <v>0</v>
      </c>
      <c r="I25" s="470">
        <v>0</v>
      </c>
      <c r="J25" s="470">
        <v>0</v>
      </c>
      <c r="K25" s="470">
        <v>0</v>
      </c>
      <c r="L25" s="470" t="s">
        <v>840</v>
      </c>
      <c r="M25" s="476">
        <v>15150</v>
      </c>
      <c r="N25" s="476">
        <v>14560</v>
      </c>
      <c r="O25" s="472">
        <v>0</v>
      </c>
      <c r="P25" s="472">
        <v>0</v>
      </c>
    </row>
    <row r="26" spans="1:18" ht="12" customHeight="1" x14ac:dyDescent="0.25">
      <c r="A26" s="1583"/>
      <c r="B26" s="1583"/>
      <c r="C26" s="467" t="s">
        <v>885</v>
      </c>
      <c r="D26" s="468" t="s">
        <v>886</v>
      </c>
      <c r="E26" s="469" t="s">
        <v>773</v>
      </c>
      <c r="F26" s="470">
        <v>0</v>
      </c>
      <c r="G26" s="470">
        <v>0</v>
      </c>
      <c r="H26" s="470">
        <v>0</v>
      </c>
      <c r="I26" s="470">
        <v>0</v>
      </c>
      <c r="J26" s="470">
        <v>0</v>
      </c>
      <c r="K26" s="470">
        <v>0</v>
      </c>
      <c r="L26" s="470" t="s">
        <v>840</v>
      </c>
      <c r="M26" s="476" t="s">
        <v>225</v>
      </c>
      <c r="N26" s="476" t="s">
        <v>238</v>
      </c>
      <c r="O26" s="472" t="s">
        <v>238</v>
      </c>
      <c r="P26" s="472" t="s">
        <v>238</v>
      </c>
    </row>
    <row r="27" spans="1:18" ht="12" customHeight="1" x14ac:dyDescent="0.25">
      <c r="A27" s="1583"/>
      <c r="B27" s="1583"/>
      <c r="C27" s="467" t="s">
        <v>887</v>
      </c>
      <c r="D27" s="468" t="s">
        <v>888</v>
      </c>
      <c r="E27" s="469" t="s">
        <v>793</v>
      </c>
      <c r="F27" s="470">
        <v>0</v>
      </c>
      <c r="G27" s="470">
        <v>0</v>
      </c>
      <c r="H27" s="470">
        <v>0</v>
      </c>
      <c r="I27" s="470">
        <v>0</v>
      </c>
      <c r="J27" s="470">
        <v>0</v>
      </c>
      <c r="K27" s="470">
        <v>0</v>
      </c>
      <c r="L27" s="470" t="s">
        <v>889</v>
      </c>
      <c r="M27" s="476" t="s">
        <v>225</v>
      </c>
      <c r="N27" s="476" t="s">
        <v>238</v>
      </c>
      <c r="O27" s="472" t="s">
        <v>238</v>
      </c>
      <c r="P27" s="472" t="s">
        <v>238</v>
      </c>
    </row>
    <row r="28" spans="1:18" ht="12" customHeight="1" x14ac:dyDescent="0.25">
      <c r="A28" s="1583"/>
      <c r="B28" s="1583"/>
      <c r="C28" s="467" t="s">
        <v>1154</v>
      </c>
      <c r="D28" s="468" t="s">
        <v>1144</v>
      </c>
      <c r="E28" s="469" t="s">
        <v>773</v>
      </c>
      <c r="F28" s="470">
        <v>1703</v>
      </c>
      <c r="G28" s="470">
        <v>805</v>
      </c>
      <c r="H28" s="470">
        <v>898</v>
      </c>
      <c r="I28" s="470">
        <v>74.349999999999994</v>
      </c>
      <c r="J28" s="470">
        <v>35.04</v>
      </c>
      <c r="K28" s="470">
        <v>39.31</v>
      </c>
      <c r="L28" s="470"/>
      <c r="M28" s="476">
        <v>859</v>
      </c>
      <c r="N28" s="476">
        <v>894</v>
      </c>
      <c r="O28" s="470">
        <v>258</v>
      </c>
      <c r="P28" s="470">
        <v>11</v>
      </c>
    </row>
    <row r="29" spans="1:18" ht="12" customHeight="1" x14ac:dyDescent="0.25">
      <c r="A29" s="1583"/>
      <c r="B29" s="1583"/>
      <c r="C29" s="467" t="s">
        <v>890</v>
      </c>
      <c r="D29" s="468" t="s">
        <v>891</v>
      </c>
      <c r="E29" s="469" t="s">
        <v>773</v>
      </c>
      <c r="F29" s="470">
        <v>48794</v>
      </c>
      <c r="G29" s="470">
        <v>22869</v>
      </c>
      <c r="H29" s="470">
        <v>25925</v>
      </c>
      <c r="I29" s="470">
        <v>4474.55</v>
      </c>
      <c r="J29" s="470">
        <v>2022</v>
      </c>
      <c r="K29" s="470">
        <v>2452.5500000000002</v>
      </c>
      <c r="L29" s="470" t="s">
        <v>840</v>
      </c>
      <c r="M29" s="470">
        <v>19212</v>
      </c>
      <c r="N29" s="470">
        <v>17606</v>
      </c>
      <c r="O29" s="472">
        <v>4274</v>
      </c>
      <c r="P29" s="472">
        <v>401</v>
      </c>
    </row>
    <row r="30" spans="1:18" ht="12" customHeight="1" x14ac:dyDescent="0.25">
      <c r="A30" s="1583"/>
      <c r="B30" s="1583"/>
      <c r="C30" s="467" t="s">
        <v>892</v>
      </c>
      <c r="D30" s="468" t="s">
        <v>893</v>
      </c>
      <c r="E30" s="469" t="s">
        <v>793</v>
      </c>
      <c r="F30" s="470">
        <v>0</v>
      </c>
      <c r="G30" s="470">
        <v>0</v>
      </c>
      <c r="H30" s="470">
        <v>0</v>
      </c>
      <c r="I30" s="470">
        <v>0</v>
      </c>
      <c r="J30" s="470">
        <v>0</v>
      </c>
      <c r="K30" s="470">
        <v>0</v>
      </c>
      <c r="L30" s="470" t="s">
        <v>840</v>
      </c>
      <c r="M30" s="476" t="s">
        <v>225</v>
      </c>
      <c r="N30" s="476" t="s">
        <v>238</v>
      </c>
      <c r="O30" s="472" t="s">
        <v>238</v>
      </c>
      <c r="P30" s="472" t="s">
        <v>238</v>
      </c>
    </row>
    <row r="31" spans="1:18" s="257" customFormat="1" ht="12" customHeight="1" x14ac:dyDescent="0.25">
      <c r="A31" s="1583"/>
      <c r="B31" s="1584"/>
      <c r="C31" s="477" t="s">
        <v>894</v>
      </c>
      <c r="D31" s="477"/>
      <c r="E31" s="478"/>
      <c r="F31" s="478">
        <v>667907</v>
      </c>
      <c r="G31" s="478">
        <v>342777</v>
      </c>
      <c r="H31" s="478">
        <v>325130</v>
      </c>
      <c r="I31" s="478">
        <v>26146.61</v>
      </c>
      <c r="J31" s="478">
        <v>12983.300000000001</v>
      </c>
      <c r="K31" s="478">
        <v>13163.310000000001</v>
      </c>
      <c r="L31" s="478"/>
      <c r="M31" s="479"/>
      <c r="N31" s="479"/>
      <c r="O31" s="478">
        <v>50889</v>
      </c>
      <c r="P31" s="478">
        <v>2081</v>
      </c>
      <c r="Q31" s="255"/>
      <c r="R31" s="255"/>
    </row>
    <row r="32" spans="1:18" ht="12" customHeight="1" x14ac:dyDescent="0.25">
      <c r="A32" s="1583"/>
      <c r="B32" s="1585" t="s">
        <v>727</v>
      </c>
      <c r="C32" s="467" t="s">
        <v>895</v>
      </c>
      <c r="D32" s="468" t="s">
        <v>896</v>
      </c>
      <c r="E32" s="469" t="s">
        <v>793</v>
      </c>
      <c r="F32" s="480">
        <v>16</v>
      </c>
      <c r="G32" s="480">
        <v>16</v>
      </c>
      <c r="H32" s="480">
        <v>0</v>
      </c>
      <c r="I32" s="480">
        <v>0.68</v>
      </c>
      <c r="J32" s="480">
        <v>0.68</v>
      </c>
      <c r="K32" s="480">
        <v>0</v>
      </c>
      <c r="L32" s="470" t="s">
        <v>889</v>
      </c>
      <c r="M32" s="476">
        <v>43720</v>
      </c>
      <c r="N32" s="476">
        <v>47190</v>
      </c>
      <c r="O32" s="470">
        <v>0</v>
      </c>
      <c r="P32" s="470">
        <v>0</v>
      </c>
    </row>
    <row r="33" spans="1:18" s="257" customFormat="1" ht="12" customHeight="1" x14ac:dyDescent="0.25">
      <c r="A33" s="1583"/>
      <c r="B33" s="1586"/>
      <c r="C33" s="477" t="s">
        <v>897</v>
      </c>
      <c r="D33" s="477"/>
      <c r="E33" s="481"/>
      <c r="F33" s="478">
        <v>16</v>
      </c>
      <c r="G33" s="478">
        <v>16</v>
      </c>
      <c r="H33" s="478">
        <v>0</v>
      </c>
      <c r="I33" s="478">
        <v>0.68</v>
      </c>
      <c r="J33" s="478">
        <v>0.68</v>
      </c>
      <c r="K33" s="478">
        <v>0</v>
      </c>
      <c r="L33" s="479"/>
      <c r="M33" s="479"/>
      <c r="N33" s="479"/>
      <c r="O33" s="479"/>
      <c r="P33" s="479"/>
      <c r="Q33" s="255"/>
      <c r="R33" s="255"/>
    </row>
    <row r="34" spans="1:18" ht="12" customHeight="1" x14ac:dyDescent="0.25">
      <c r="A34" s="1583"/>
      <c r="B34" s="1585" t="s">
        <v>898</v>
      </c>
      <c r="C34" s="482" t="s">
        <v>899</v>
      </c>
      <c r="D34" s="468" t="s">
        <v>899</v>
      </c>
      <c r="E34" s="679" t="s">
        <v>900</v>
      </c>
      <c r="F34" s="480">
        <v>0</v>
      </c>
      <c r="G34" s="480">
        <v>0</v>
      </c>
      <c r="H34" s="480">
        <v>0</v>
      </c>
      <c r="I34" s="480">
        <v>0</v>
      </c>
      <c r="J34" s="480">
        <v>0</v>
      </c>
      <c r="K34" s="480">
        <v>0</v>
      </c>
      <c r="L34" s="480" t="s">
        <v>816</v>
      </c>
      <c r="M34" s="476" t="s">
        <v>225</v>
      </c>
      <c r="N34" s="476" t="s">
        <v>225</v>
      </c>
      <c r="O34" s="470">
        <v>0</v>
      </c>
      <c r="P34" s="470">
        <v>0</v>
      </c>
    </row>
    <row r="35" spans="1:18" ht="12" customHeight="1" x14ac:dyDescent="0.25">
      <c r="A35" s="1583"/>
      <c r="B35" s="1587"/>
      <c r="C35" s="468" t="s">
        <v>901</v>
      </c>
      <c r="D35" s="468" t="s">
        <v>901</v>
      </c>
      <c r="E35" s="679" t="s">
        <v>900</v>
      </c>
      <c r="F35" s="480">
        <v>0</v>
      </c>
      <c r="G35" s="480">
        <v>0</v>
      </c>
      <c r="H35" s="480">
        <v>0</v>
      </c>
      <c r="I35" s="480">
        <v>0</v>
      </c>
      <c r="J35" s="480">
        <v>0</v>
      </c>
      <c r="K35" s="480">
        <v>0</v>
      </c>
      <c r="L35" s="480" t="s">
        <v>816</v>
      </c>
      <c r="M35" s="476" t="s">
        <v>225</v>
      </c>
      <c r="N35" s="476" t="s">
        <v>225</v>
      </c>
      <c r="O35" s="470">
        <v>0</v>
      </c>
      <c r="P35" s="470">
        <v>0</v>
      </c>
    </row>
    <row r="36" spans="1:18" ht="12" customHeight="1" x14ac:dyDescent="0.25">
      <c r="A36" s="1583"/>
      <c r="B36" s="1587"/>
      <c r="C36" s="468" t="s">
        <v>902</v>
      </c>
      <c r="D36" s="468" t="s">
        <v>902</v>
      </c>
      <c r="E36" s="679" t="s">
        <v>900</v>
      </c>
      <c r="F36" s="480">
        <v>0</v>
      </c>
      <c r="G36" s="480">
        <v>0</v>
      </c>
      <c r="H36" s="480">
        <v>0</v>
      </c>
      <c r="I36" s="480">
        <v>0</v>
      </c>
      <c r="J36" s="480">
        <v>0</v>
      </c>
      <c r="K36" s="480">
        <v>0</v>
      </c>
      <c r="L36" s="480" t="s">
        <v>816</v>
      </c>
      <c r="M36" s="476" t="s">
        <v>225</v>
      </c>
      <c r="N36" s="476" t="s">
        <v>225</v>
      </c>
      <c r="O36" s="470">
        <v>0</v>
      </c>
      <c r="P36" s="470">
        <v>0</v>
      </c>
    </row>
    <row r="37" spans="1:18" s="257" customFormat="1" ht="21.75" customHeight="1" x14ac:dyDescent="0.25">
      <c r="A37" s="1583"/>
      <c r="B37" s="1586"/>
      <c r="C37" s="477" t="s">
        <v>903</v>
      </c>
      <c r="D37" s="477"/>
      <c r="E37" s="481"/>
      <c r="F37" s="478">
        <v>0</v>
      </c>
      <c r="G37" s="478">
        <v>0</v>
      </c>
      <c r="H37" s="478">
        <v>0</v>
      </c>
      <c r="I37" s="478">
        <v>0</v>
      </c>
      <c r="J37" s="478">
        <v>0</v>
      </c>
      <c r="K37" s="478">
        <v>0</v>
      </c>
      <c r="L37" s="479"/>
      <c r="M37" s="483"/>
      <c r="N37" s="483"/>
      <c r="O37" s="479"/>
      <c r="P37" s="479"/>
      <c r="Q37" s="255"/>
      <c r="R37" s="255"/>
    </row>
    <row r="38" spans="1:18" s="257" customFormat="1" ht="43.5" customHeight="1" x14ac:dyDescent="0.25">
      <c r="A38" s="1584"/>
      <c r="B38" s="484" t="s">
        <v>904</v>
      </c>
      <c r="C38" s="477" t="s">
        <v>905</v>
      </c>
      <c r="D38" s="477"/>
      <c r="E38" s="478"/>
      <c r="F38" s="478">
        <v>342793</v>
      </c>
      <c r="G38" s="478">
        <v>342793</v>
      </c>
      <c r="H38" s="478">
        <v>325130</v>
      </c>
      <c r="I38" s="478">
        <v>26147.29</v>
      </c>
      <c r="J38" s="478">
        <v>12983.980000000001</v>
      </c>
      <c r="K38" s="478">
        <v>13163.310000000001</v>
      </c>
      <c r="L38" s="478"/>
      <c r="M38" s="483"/>
      <c r="N38" s="483"/>
      <c r="O38" s="479"/>
      <c r="P38" s="479"/>
      <c r="Q38" s="255"/>
      <c r="R38" s="255"/>
    </row>
    <row r="39" spans="1:18" ht="12" customHeight="1" x14ac:dyDescent="0.25">
      <c r="A39" s="1588" t="s">
        <v>906</v>
      </c>
      <c r="B39" s="1585" t="s">
        <v>907</v>
      </c>
      <c r="C39" s="475" t="s">
        <v>848</v>
      </c>
      <c r="D39" s="468" t="s">
        <v>849</v>
      </c>
      <c r="E39" s="469" t="s">
        <v>793</v>
      </c>
      <c r="F39" s="480">
        <v>0</v>
      </c>
      <c r="G39" s="485">
        <v>0</v>
      </c>
      <c r="H39" s="485">
        <v>0</v>
      </c>
      <c r="I39" s="480">
        <v>0</v>
      </c>
      <c r="J39" s="480">
        <v>0</v>
      </c>
      <c r="K39" s="480">
        <v>0</v>
      </c>
      <c r="L39" s="470" t="s">
        <v>840</v>
      </c>
      <c r="M39" s="476" t="s">
        <v>225</v>
      </c>
      <c r="N39" s="476" t="s">
        <v>225</v>
      </c>
      <c r="O39" s="472">
        <v>0</v>
      </c>
      <c r="P39" s="470">
        <v>0</v>
      </c>
    </row>
    <row r="40" spans="1:18" ht="12" customHeight="1" x14ac:dyDescent="0.25">
      <c r="A40" s="1583"/>
      <c r="B40" s="1587"/>
      <c r="C40" s="467" t="s">
        <v>854</v>
      </c>
      <c r="D40" s="468" t="s">
        <v>854</v>
      </c>
      <c r="E40" s="469" t="s">
        <v>773</v>
      </c>
      <c r="F40" s="480">
        <v>0</v>
      </c>
      <c r="G40" s="485">
        <v>0</v>
      </c>
      <c r="H40" s="485">
        <v>0</v>
      </c>
      <c r="I40" s="480">
        <v>0</v>
      </c>
      <c r="J40" s="480">
        <v>0</v>
      </c>
      <c r="K40" s="480">
        <v>0</v>
      </c>
      <c r="L40" s="470" t="s">
        <v>840</v>
      </c>
      <c r="M40" s="476" t="s">
        <v>225</v>
      </c>
      <c r="N40" s="476" t="s">
        <v>225</v>
      </c>
      <c r="O40" s="472">
        <v>0</v>
      </c>
      <c r="P40" s="470">
        <v>0</v>
      </c>
    </row>
    <row r="41" spans="1:18" ht="12" customHeight="1" x14ac:dyDescent="0.25">
      <c r="A41" s="1583"/>
      <c r="B41" s="1587"/>
      <c r="C41" s="467" t="s">
        <v>862</v>
      </c>
      <c r="D41" s="468" t="s">
        <v>863</v>
      </c>
      <c r="E41" s="469" t="s">
        <v>773</v>
      </c>
      <c r="F41" s="480">
        <v>0</v>
      </c>
      <c r="G41" s="485">
        <v>0</v>
      </c>
      <c r="H41" s="485">
        <v>0</v>
      </c>
      <c r="I41" s="480">
        <v>0</v>
      </c>
      <c r="J41" s="480">
        <v>0</v>
      </c>
      <c r="K41" s="480">
        <v>0</v>
      </c>
      <c r="L41" s="470" t="s">
        <v>840</v>
      </c>
      <c r="M41" s="476" t="s">
        <v>225</v>
      </c>
      <c r="N41" s="476" t="s">
        <v>225</v>
      </c>
      <c r="O41" s="472">
        <v>0</v>
      </c>
      <c r="P41" s="470">
        <v>0</v>
      </c>
    </row>
    <row r="42" spans="1:18" ht="12" customHeight="1" x14ac:dyDescent="0.25">
      <c r="A42" s="1583"/>
      <c r="B42" s="1587"/>
      <c r="C42" s="467" t="s">
        <v>908</v>
      </c>
      <c r="D42" s="468" t="s">
        <v>861</v>
      </c>
      <c r="E42" s="469" t="s">
        <v>773</v>
      </c>
      <c r="F42" s="480">
        <v>0</v>
      </c>
      <c r="G42" s="485">
        <v>0</v>
      </c>
      <c r="H42" s="485">
        <v>0</v>
      </c>
      <c r="I42" s="480">
        <v>0</v>
      </c>
      <c r="J42" s="480">
        <v>0</v>
      </c>
      <c r="K42" s="480">
        <v>0</v>
      </c>
      <c r="L42" s="470" t="s">
        <v>840</v>
      </c>
      <c r="M42" s="476" t="s">
        <v>225</v>
      </c>
      <c r="N42" s="476" t="s">
        <v>225</v>
      </c>
      <c r="O42" s="472">
        <v>0</v>
      </c>
      <c r="P42" s="470">
        <v>0</v>
      </c>
    </row>
    <row r="43" spans="1:18" ht="12" customHeight="1" x14ac:dyDescent="0.25">
      <c r="A43" s="1583"/>
      <c r="B43" s="1587"/>
      <c r="C43" s="467" t="s">
        <v>873</v>
      </c>
      <c r="D43" s="468" t="s">
        <v>874</v>
      </c>
      <c r="E43" s="469" t="s">
        <v>872</v>
      </c>
      <c r="F43" s="480">
        <v>0</v>
      </c>
      <c r="G43" s="485">
        <v>0</v>
      </c>
      <c r="H43" s="485">
        <v>0</v>
      </c>
      <c r="I43" s="480">
        <v>0</v>
      </c>
      <c r="J43" s="480">
        <v>0</v>
      </c>
      <c r="K43" s="480">
        <v>0</v>
      </c>
      <c r="L43" s="470" t="s">
        <v>840</v>
      </c>
      <c r="M43" s="476" t="s">
        <v>225</v>
      </c>
      <c r="N43" s="476" t="s">
        <v>225</v>
      </c>
      <c r="O43" s="472">
        <v>0</v>
      </c>
      <c r="P43" s="470">
        <v>0</v>
      </c>
    </row>
    <row r="44" spans="1:18" ht="12" customHeight="1" x14ac:dyDescent="0.25">
      <c r="A44" s="1583"/>
      <c r="B44" s="1587"/>
      <c r="C44" s="467" t="s">
        <v>909</v>
      </c>
      <c r="D44" s="468" t="s">
        <v>886</v>
      </c>
      <c r="E44" s="469" t="s">
        <v>773</v>
      </c>
      <c r="F44" s="480">
        <v>0</v>
      </c>
      <c r="G44" s="485">
        <v>0</v>
      </c>
      <c r="H44" s="485">
        <v>0</v>
      </c>
      <c r="I44" s="480">
        <v>0</v>
      </c>
      <c r="J44" s="480">
        <v>0</v>
      </c>
      <c r="K44" s="480">
        <v>0</v>
      </c>
      <c r="L44" s="470" t="s">
        <v>840</v>
      </c>
      <c r="M44" s="476" t="s">
        <v>225</v>
      </c>
      <c r="N44" s="476" t="s">
        <v>225</v>
      </c>
      <c r="O44" s="472">
        <v>0</v>
      </c>
      <c r="P44" s="470">
        <v>0</v>
      </c>
    </row>
    <row r="45" spans="1:18" ht="12" customHeight="1" x14ac:dyDescent="0.25">
      <c r="A45" s="1583"/>
      <c r="B45" s="1587"/>
      <c r="C45" s="467" t="s">
        <v>877</v>
      </c>
      <c r="D45" s="468" t="s">
        <v>878</v>
      </c>
      <c r="E45" s="469" t="s">
        <v>793</v>
      </c>
      <c r="F45" s="480">
        <v>0</v>
      </c>
      <c r="G45" s="485">
        <v>0</v>
      </c>
      <c r="H45" s="485">
        <v>0</v>
      </c>
      <c r="I45" s="480">
        <v>0</v>
      </c>
      <c r="J45" s="480">
        <v>0</v>
      </c>
      <c r="K45" s="480">
        <v>0</v>
      </c>
      <c r="L45" s="470" t="s">
        <v>840</v>
      </c>
      <c r="M45" s="476" t="s">
        <v>225</v>
      </c>
      <c r="N45" s="476" t="s">
        <v>225</v>
      </c>
      <c r="O45" s="472">
        <v>0</v>
      </c>
      <c r="P45" s="470">
        <v>0</v>
      </c>
    </row>
    <row r="46" spans="1:18" ht="12" customHeight="1" x14ac:dyDescent="0.25">
      <c r="A46" s="1583"/>
      <c r="B46" s="1587"/>
      <c r="C46" s="467" t="s">
        <v>910</v>
      </c>
      <c r="D46" s="468" t="s">
        <v>882</v>
      </c>
      <c r="E46" s="469" t="s">
        <v>793</v>
      </c>
      <c r="F46" s="480">
        <v>0</v>
      </c>
      <c r="G46" s="485">
        <v>0</v>
      </c>
      <c r="H46" s="485">
        <v>0</v>
      </c>
      <c r="I46" s="480">
        <v>0</v>
      </c>
      <c r="J46" s="480">
        <v>0</v>
      </c>
      <c r="K46" s="480">
        <v>0</v>
      </c>
      <c r="L46" s="470" t="s">
        <v>840</v>
      </c>
      <c r="M46" s="476" t="s">
        <v>225</v>
      </c>
      <c r="N46" s="476" t="s">
        <v>225</v>
      </c>
      <c r="O46" s="472">
        <v>0</v>
      </c>
      <c r="P46" s="470">
        <v>0</v>
      </c>
    </row>
    <row r="47" spans="1:18" ht="12" customHeight="1" x14ac:dyDescent="0.25">
      <c r="A47" s="1583"/>
      <c r="B47" s="1587"/>
      <c r="C47" s="467" t="s">
        <v>892</v>
      </c>
      <c r="D47" s="468" t="s">
        <v>893</v>
      </c>
      <c r="E47" s="469" t="s">
        <v>793</v>
      </c>
      <c r="F47" s="480">
        <v>0</v>
      </c>
      <c r="G47" s="485">
        <v>0</v>
      </c>
      <c r="H47" s="485">
        <v>0</v>
      </c>
      <c r="I47" s="480">
        <v>0</v>
      </c>
      <c r="J47" s="480">
        <v>0</v>
      </c>
      <c r="K47" s="480">
        <v>0</v>
      </c>
      <c r="L47" s="470" t="s">
        <v>840</v>
      </c>
      <c r="M47" s="476" t="s">
        <v>225</v>
      </c>
      <c r="N47" s="476" t="s">
        <v>225</v>
      </c>
      <c r="O47" s="472">
        <v>0</v>
      </c>
      <c r="P47" s="470">
        <v>0</v>
      </c>
    </row>
    <row r="48" spans="1:18" ht="12" customHeight="1" x14ac:dyDescent="0.25">
      <c r="A48" s="1583"/>
      <c r="B48" s="1586"/>
      <c r="C48" s="467" t="s">
        <v>890</v>
      </c>
      <c r="D48" s="468" t="s">
        <v>891</v>
      </c>
      <c r="E48" s="469" t="s">
        <v>773</v>
      </c>
      <c r="F48" s="480">
        <v>0</v>
      </c>
      <c r="G48" s="485">
        <v>0</v>
      </c>
      <c r="H48" s="485">
        <v>0</v>
      </c>
      <c r="I48" s="480">
        <v>0</v>
      </c>
      <c r="J48" s="480">
        <v>0</v>
      </c>
      <c r="K48" s="480">
        <v>0</v>
      </c>
      <c r="L48" s="470" t="s">
        <v>840</v>
      </c>
      <c r="M48" s="476" t="s">
        <v>225</v>
      </c>
      <c r="N48" s="476" t="s">
        <v>225</v>
      </c>
      <c r="O48" s="472">
        <v>0</v>
      </c>
      <c r="P48" s="470">
        <v>0</v>
      </c>
    </row>
    <row r="49" spans="1:17" s="257" customFormat="1" ht="51" customHeight="1" x14ac:dyDescent="0.25">
      <c r="A49" s="1584"/>
      <c r="B49" s="484" t="s">
        <v>911</v>
      </c>
      <c r="C49" s="477" t="s">
        <v>912</v>
      </c>
      <c r="D49" s="477"/>
      <c r="E49" s="478"/>
      <c r="F49" s="486">
        <v>0</v>
      </c>
      <c r="G49" s="486">
        <v>0</v>
      </c>
      <c r="H49" s="486">
        <v>0</v>
      </c>
      <c r="I49" s="486">
        <v>0</v>
      </c>
      <c r="J49" s="486">
        <v>0</v>
      </c>
      <c r="K49" s="486">
        <v>0</v>
      </c>
      <c r="L49" s="478"/>
      <c r="M49" s="483"/>
      <c r="N49" s="483"/>
      <c r="O49" s="483"/>
      <c r="P49" s="483"/>
      <c r="Q49" s="255"/>
    </row>
    <row r="50" spans="1:17" x14ac:dyDescent="0.25">
      <c r="A50" s="549" t="s">
        <v>1238</v>
      </c>
      <c r="C50" s="257"/>
      <c r="D50" s="257"/>
      <c r="E50" s="257"/>
      <c r="F50" s="257"/>
      <c r="G50" s="257"/>
      <c r="H50" s="257"/>
      <c r="I50" s="257"/>
      <c r="J50" s="257"/>
      <c r="K50" s="257"/>
      <c r="L50" s="257"/>
      <c r="M50" s="257"/>
      <c r="N50" s="257"/>
    </row>
    <row r="51" spans="1:17" x14ac:dyDescent="0.25">
      <c r="A51" s="255" t="s">
        <v>1155</v>
      </c>
      <c r="C51" s="257"/>
      <c r="D51" s="257"/>
      <c r="E51" s="257"/>
      <c r="F51" s="257"/>
      <c r="G51" s="257"/>
      <c r="H51" s="257"/>
      <c r="I51" s="257"/>
      <c r="J51" s="257"/>
      <c r="K51" s="257"/>
      <c r="L51" s="257"/>
      <c r="M51" s="257"/>
      <c r="N51" s="257"/>
    </row>
    <row r="52" spans="1:17" x14ac:dyDescent="0.25">
      <c r="A52" s="255" t="s">
        <v>1156</v>
      </c>
      <c r="I52" s="257"/>
    </row>
    <row r="53" spans="1:17" x14ac:dyDescent="0.25">
      <c r="A53" s="257" t="s">
        <v>718</v>
      </c>
      <c r="I53" s="257"/>
      <c r="Q53" s="256"/>
    </row>
  </sheetData>
  <mergeCells count="17">
    <mergeCell ref="A4:A38"/>
    <mergeCell ref="B4:B31"/>
    <mergeCell ref="B32:B33"/>
    <mergeCell ref="B34:B37"/>
    <mergeCell ref="A39:A49"/>
    <mergeCell ref="B39:B48"/>
    <mergeCell ref="A1:P1"/>
    <mergeCell ref="A2:A3"/>
    <mergeCell ref="B2:B3"/>
    <mergeCell ref="C2:C3"/>
    <mergeCell ref="D2:D3"/>
    <mergeCell ref="E2:E3"/>
    <mergeCell ref="F2:H2"/>
    <mergeCell ref="I2:K2"/>
    <mergeCell ref="L2:L3"/>
    <mergeCell ref="M2:N2"/>
    <mergeCell ref="O2:P2"/>
  </mergeCells>
  <printOptions horizontalCentered="1"/>
  <pageMargins left="0.7" right="0.7" top="0.75" bottom="0.75" header="0.3" footer="0.3"/>
  <pageSetup paperSize="9" scale="94" fitToHeight="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155"/>
  <sheetViews>
    <sheetView topLeftCell="A16" zoomScaleNormal="100" workbookViewId="0">
      <selection activeCell="L15" sqref="L15"/>
    </sheetView>
  </sheetViews>
  <sheetFormatPr defaultColWidth="9.140625" defaultRowHeight="12.75" x14ac:dyDescent="0.2"/>
  <cols>
    <col min="1" max="1" width="8.5703125" style="268" customWidth="1"/>
    <col min="2" max="2" width="17.42578125" style="262" bestFit="1" customWidth="1"/>
    <col min="3" max="3" width="27.7109375" style="243" customWidth="1"/>
    <col min="4" max="4" width="12.5703125" style="243" customWidth="1"/>
    <col min="5" max="5" width="8.7109375" style="500" customWidth="1"/>
    <col min="6" max="10" width="8.7109375" style="243" customWidth="1"/>
    <col min="11" max="11" width="12.7109375" style="266" customWidth="1"/>
    <col min="12" max="13" width="8.28515625" style="243" customWidth="1"/>
    <col min="14" max="14" width="9.42578125" style="243" customWidth="1"/>
    <col min="15" max="15" width="9.85546875" style="243" customWidth="1"/>
    <col min="16" max="16384" width="9.140625" style="243"/>
  </cols>
  <sheetData>
    <row r="1" spans="1:54" ht="20.25" customHeight="1" x14ac:dyDescent="0.2">
      <c r="A1" s="1595" t="s">
        <v>913</v>
      </c>
      <c r="B1" s="1595"/>
      <c r="C1" s="1595"/>
      <c r="D1" s="1595"/>
      <c r="E1" s="1595"/>
      <c r="F1" s="1595"/>
      <c r="G1" s="1595"/>
      <c r="H1" s="1595"/>
      <c r="I1" s="1595"/>
      <c r="J1" s="1595"/>
      <c r="K1" s="1595"/>
      <c r="L1" s="1595"/>
      <c r="M1" s="1595"/>
      <c r="N1" s="1595"/>
      <c r="O1" s="1595"/>
    </row>
    <row r="2" spans="1:54" ht="30" customHeight="1" x14ac:dyDescent="0.2">
      <c r="A2" s="1515" t="s">
        <v>914</v>
      </c>
      <c r="B2" s="1515" t="s">
        <v>830</v>
      </c>
      <c r="C2" s="1531" t="s">
        <v>744</v>
      </c>
      <c r="D2" s="1531" t="s">
        <v>832</v>
      </c>
      <c r="E2" s="1574" t="s">
        <v>529</v>
      </c>
      <c r="F2" s="1575"/>
      <c r="G2" s="1522"/>
      <c r="H2" s="1515" t="s">
        <v>237</v>
      </c>
      <c r="I2" s="1515"/>
      <c r="J2" s="1515"/>
      <c r="K2" s="1515" t="s">
        <v>747</v>
      </c>
      <c r="L2" s="1515" t="s">
        <v>1405</v>
      </c>
      <c r="M2" s="1515"/>
      <c r="N2" s="1515" t="s">
        <v>1404</v>
      </c>
      <c r="O2" s="1515"/>
    </row>
    <row r="3" spans="1:54" ht="40.5" customHeight="1" x14ac:dyDescent="0.2">
      <c r="A3" s="1515"/>
      <c r="B3" s="1515"/>
      <c r="C3" s="1505"/>
      <c r="D3" s="1505"/>
      <c r="E3" s="439" t="s">
        <v>1237</v>
      </c>
      <c r="F3" s="439">
        <v>45383</v>
      </c>
      <c r="G3" s="439">
        <v>45413</v>
      </c>
      <c r="H3" s="439" t="s">
        <v>1237</v>
      </c>
      <c r="I3" s="439">
        <v>45352</v>
      </c>
      <c r="J3" s="439">
        <v>45383</v>
      </c>
      <c r="K3" s="1515"/>
      <c r="L3" s="439">
        <v>45383</v>
      </c>
      <c r="M3" s="439">
        <v>45413</v>
      </c>
      <c r="N3" s="439" t="s">
        <v>528</v>
      </c>
      <c r="O3" s="439" t="s">
        <v>1406</v>
      </c>
    </row>
    <row r="4" spans="1:54" s="259" customFormat="1" ht="12.75" customHeight="1" x14ac:dyDescent="0.2">
      <c r="A4" s="1589" t="s">
        <v>915</v>
      </c>
      <c r="B4" s="1589" t="s">
        <v>692</v>
      </c>
      <c r="C4" s="445" t="s">
        <v>752</v>
      </c>
      <c r="D4" s="445" t="s">
        <v>916</v>
      </c>
      <c r="E4" s="680">
        <v>0</v>
      </c>
      <c r="F4" s="681" t="s">
        <v>238</v>
      </c>
      <c r="G4" s="681" t="s">
        <v>238</v>
      </c>
      <c r="H4" s="681">
        <v>0</v>
      </c>
      <c r="I4" s="681" t="s">
        <v>238</v>
      </c>
      <c r="J4" s="681" t="s">
        <v>238</v>
      </c>
      <c r="K4" s="487" t="s">
        <v>754</v>
      </c>
      <c r="L4" s="488">
        <v>70415</v>
      </c>
      <c r="M4" s="488">
        <v>71886</v>
      </c>
      <c r="N4" s="487">
        <v>0</v>
      </c>
      <c r="O4" s="487">
        <v>0</v>
      </c>
      <c r="P4" s="258"/>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row>
    <row r="5" spans="1:54" s="259" customFormat="1" x14ac:dyDescent="0.2">
      <c r="A5" s="1590"/>
      <c r="B5" s="1594"/>
      <c r="C5" s="445" t="s">
        <v>820</v>
      </c>
      <c r="D5" s="445" t="s">
        <v>917</v>
      </c>
      <c r="E5" s="680">
        <v>0</v>
      </c>
      <c r="F5" s="681" t="s">
        <v>238</v>
      </c>
      <c r="G5" s="681" t="s">
        <v>238</v>
      </c>
      <c r="H5" s="681">
        <v>0</v>
      </c>
      <c r="I5" s="681" t="s">
        <v>238</v>
      </c>
      <c r="J5" s="681" t="s">
        <v>238</v>
      </c>
      <c r="K5" s="487" t="s">
        <v>765</v>
      </c>
      <c r="L5" s="488">
        <v>79508</v>
      </c>
      <c r="M5" s="488">
        <v>92351</v>
      </c>
      <c r="N5" s="487">
        <v>0</v>
      </c>
      <c r="O5" s="487">
        <v>0</v>
      </c>
      <c r="P5" s="258"/>
      <c r="Q5" s="243"/>
      <c r="R5" s="243"/>
      <c r="S5" s="243"/>
      <c r="T5" s="243"/>
      <c r="U5" s="243"/>
      <c r="V5" s="243"/>
      <c r="W5" s="243"/>
      <c r="X5" s="243"/>
      <c r="Y5" s="243"/>
      <c r="Z5" s="243"/>
      <c r="AA5" s="243"/>
      <c r="AB5" s="243"/>
      <c r="AC5" s="243"/>
      <c r="AD5" s="243"/>
      <c r="AE5" s="243"/>
      <c r="AF5" s="243"/>
      <c r="AG5" s="243"/>
      <c r="AH5" s="243"/>
      <c r="AI5" s="243"/>
      <c r="AJ5" s="243"/>
      <c r="AK5" s="243"/>
      <c r="AL5" s="243"/>
      <c r="AM5" s="243"/>
      <c r="AN5" s="243"/>
      <c r="AO5" s="243"/>
      <c r="AP5" s="243"/>
      <c r="AQ5" s="243"/>
      <c r="AR5" s="243"/>
      <c r="AS5" s="243"/>
      <c r="AT5" s="243"/>
      <c r="AU5" s="243"/>
      <c r="AV5" s="243"/>
      <c r="AW5" s="243"/>
      <c r="AX5" s="243"/>
      <c r="AY5" s="243"/>
      <c r="AZ5" s="243"/>
      <c r="BA5" s="243"/>
      <c r="BB5" s="243"/>
    </row>
    <row r="6" spans="1:54" s="259" customFormat="1" x14ac:dyDescent="0.2">
      <c r="A6" s="1590"/>
      <c r="B6" s="1594"/>
      <c r="C6" s="445" t="s">
        <v>918</v>
      </c>
      <c r="D6" s="445" t="s">
        <v>919</v>
      </c>
      <c r="E6" s="680">
        <v>0</v>
      </c>
      <c r="F6" s="680" t="s">
        <v>238</v>
      </c>
      <c r="G6" s="680" t="s">
        <v>238</v>
      </c>
      <c r="H6" s="680">
        <v>0</v>
      </c>
      <c r="I6" s="680" t="s">
        <v>238</v>
      </c>
      <c r="J6" s="680" t="s">
        <v>238</v>
      </c>
      <c r="K6" s="487" t="s">
        <v>754</v>
      </c>
      <c r="L6" s="488">
        <v>70969</v>
      </c>
      <c r="M6" s="488">
        <v>71703</v>
      </c>
      <c r="N6" s="487">
        <v>0</v>
      </c>
      <c r="O6" s="487">
        <v>0</v>
      </c>
      <c r="P6" s="258"/>
      <c r="Q6" s="243"/>
      <c r="R6" s="243"/>
      <c r="S6" s="243"/>
      <c r="T6" s="243"/>
      <c r="U6" s="243"/>
      <c r="V6" s="243"/>
      <c r="W6" s="243"/>
      <c r="X6" s="243"/>
      <c r="Y6" s="243"/>
      <c r="Z6" s="243"/>
      <c r="AA6" s="243"/>
      <c r="AB6" s="243"/>
      <c r="AC6" s="243"/>
      <c r="AD6" s="243"/>
      <c r="AE6" s="243"/>
      <c r="AF6" s="243"/>
      <c r="AG6" s="243"/>
      <c r="AH6" s="243"/>
      <c r="AI6" s="243"/>
      <c r="AJ6" s="243"/>
      <c r="AK6" s="243"/>
      <c r="AL6" s="243"/>
      <c r="AM6" s="243"/>
      <c r="AN6" s="243"/>
      <c r="AO6" s="243"/>
      <c r="AP6" s="243"/>
      <c r="AQ6" s="243"/>
      <c r="AR6" s="243"/>
      <c r="AS6" s="243"/>
      <c r="AT6" s="243"/>
      <c r="AU6" s="243"/>
      <c r="AV6" s="243"/>
      <c r="AW6" s="243"/>
      <c r="AX6" s="243"/>
      <c r="AY6" s="243"/>
      <c r="AZ6" s="243"/>
      <c r="BA6" s="243"/>
      <c r="BB6" s="243"/>
    </row>
    <row r="7" spans="1:54" s="259" customFormat="1" x14ac:dyDescent="0.2">
      <c r="A7" s="1590"/>
      <c r="B7" s="1594"/>
      <c r="C7" s="445" t="s">
        <v>920</v>
      </c>
      <c r="D7" s="445" t="s">
        <v>921</v>
      </c>
      <c r="E7" s="680">
        <v>0</v>
      </c>
      <c r="F7" s="681" t="s">
        <v>238</v>
      </c>
      <c r="G7" s="681" t="s">
        <v>238</v>
      </c>
      <c r="H7" s="681">
        <v>0</v>
      </c>
      <c r="I7" s="681" t="s">
        <v>238</v>
      </c>
      <c r="J7" s="681" t="s">
        <v>238</v>
      </c>
      <c r="K7" s="487" t="s">
        <v>765</v>
      </c>
      <c r="L7" s="488">
        <v>80711</v>
      </c>
      <c r="M7" s="488">
        <v>93028</v>
      </c>
      <c r="N7" s="487">
        <v>0</v>
      </c>
      <c r="O7" s="487">
        <v>0</v>
      </c>
      <c r="P7" s="258"/>
      <c r="Q7" s="243"/>
      <c r="R7" s="243"/>
      <c r="S7" s="243"/>
      <c r="T7" s="243"/>
      <c r="U7" s="243"/>
      <c r="V7" s="243"/>
      <c r="W7" s="243"/>
      <c r="X7" s="243"/>
      <c r="Y7" s="243"/>
      <c r="Z7" s="243"/>
      <c r="AA7" s="243"/>
      <c r="AB7" s="243"/>
      <c r="AC7" s="243"/>
      <c r="AD7" s="243"/>
      <c r="AE7" s="243"/>
      <c r="AF7" s="243"/>
      <c r="AG7" s="243"/>
      <c r="AH7" s="243"/>
      <c r="AI7" s="243"/>
      <c r="AJ7" s="243"/>
      <c r="AK7" s="243"/>
      <c r="AL7" s="243"/>
      <c r="AM7" s="243"/>
      <c r="AN7" s="243"/>
      <c r="AO7" s="243"/>
      <c r="AP7" s="243"/>
      <c r="AQ7" s="243"/>
      <c r="AR7" s="243"/>
      <c r="AS7" s="243"/>
      <c r="AT7" s="243"/>
      <c r="AU7" s="243"/>
      <c r="AV7" s="243"/>
      <c r="AW7" s="243"/>
      <c r="AX7" s="243"/>
      <c r="AY7" s="243"/>
      <c r="AZ7" s="243"/>
      <c r="BA7" s="243"/>
      <c r="BB7" s="243"/>
    </row>
    <row r="8" spans="1:54" s="259" customFormat="1" x14ac:dyDescent="0.2">
      <c r="A8" s="1590"/>
      <c r="B8" s="1594"/>
      <c r="C8" s="445" t="s">
        <v>922</v>
      </c>
      <c r="D8" s="445" t="s">
        <v>923</v>
      </c>
      <c r="E8" s="680">
        <v>0</v>
      </c>
      <c r="F8" s="681" t="s">
        <v>238</v>
      </c>
      <c r="G8" s="681" t="s">
        <v>238</v>
      </c>
      <c r="H8" s="681">
        <v>0</v>
      </c>
      <c r="I8" s="681" t="s">
        <v>238</v>
      </c>
      <c r="J8" s="681" t="s">
        <v>238</v>
      </c>
      <c r="K8" s="487" t="s">
        <v>765</v>
      </c>
      <c r="L8" s="488">
        <v>80711</v>
      </c>
      <c r="M8" s="488">
        <v>93028</v>
      </c>
      <c r="N8" s="487">
        <v>0</v>
      </c>
      <c r="O8" s="487">
        <v>0</v>
      </c>
      <c r="P8" s="258"/>
      <c r="Q8" s="243"/>
      <c r="R8" s="243"/>
      <c r="S8" s="243"/>
      <c r="T8" s="243"/>
      <c r="U8" s="243"/>
      <c r="V8" s="243"/>
      <c r="W8" s="243"/>
      <c r="X8" s="243"/>
      <c r="Y8" s="243"/>
      <c r="Z8" s="243"/>
      <c r="AA8" s="243"/>
      <c r="AB8" s="243"/>
      <c r="AC8" s="243"/>
      <c r="AD8" s="243"/>
      <c r="AE8" s="243"/>
      <c r="AF8" s="243"/>
      <c r="AG8" s="243"/>
      <c r="AH8" s="243"/>
      <c r="AI8" s="243"/>
      <c r="AJ8" s="243"/>
      <c r="AK8" s="243"/>
      <c r="AL8" s="243"/>
      <c r="AM8" s="243"/>
      <c r="AN8" s="243"/>
      <c r="AO8" s="243"/>
      <c r="AP8" s="243"/>
      <c r="AQ8" s="243"/>
      <c r="AR8" s="243"/>
      <c r="AS8" s="243"/>
      <c r="AT8" s="243"/>
      <c r="AU8" s="243"/>
      <c r="AV8" s="243"/>
      <c r="AW8" s="243"/>
      <c r="AX8" s="243"/>
      <c r="AY8" s="243"/>
      <c r="AZ8" s="243"/>
      <c r="BA8" s="243"/>
      <c r="BB8" s="243"/>
    </row>
    <row r="9" spans="1:54" s="259" customFormat="1" x14ac:dyDescent="0.2">
      <c r="A9" s="1590"/>
      <c r="B9" s="1593"/>
      <c r="C9" s="489" t="s">
        <v>924</v>
      </c>
      <c r="D9" s="489"/>
      <c r="E9" s="682">
        <v>0</v>
      </c>
      <c r="F9" s="682">
        <v>0</v>
      </c>
      <c r="G9" s="682">
        <v>0</v>
      </c>
      <c r="H9" s="682">
        <v>0</v>
      </c>
      <c r="I9" s="682">
        <v>0</v>
      </c>
      <c r="J9" s="682">
        <v>0</v>
      </c>
      <c r="K9" s="490"/>
      <c r="L9" s="683">
        <v>382314</v>
      </c>
      <c r="M9" s="683">
        <v>421996</v>
      </c>
      <c r="N9" s="683">
        <v>0</v>
      </c>
      <c r="O9" s="683">
        <v>0</v>
      </c>
      <c r="P9" s="258"/>
      <c r="Q9" s="243"/>
      <c r="R9" s="243"/>
      <c r="S9" s="243"/>
      <c r="T9" s="243"/>
      <c r="U9" s="243"/>
      <c r="V9" s="243"/>
      <c r="W9" s="243"/>
      <c r="X9" s="243"/>
      <c r="Y9" s="243"/>
      <c r="Z9" s="243"/>
      <c r="AA9" s="243"/>
      <c r="AB9" s="243"/>
      <c r="AC9" s="243"/>
      <c r="AD9" s="243"/>
      <c r="AE9" s="243"/>
      <c r="AF9" s="243"/>
      <c r="AG9" s="243"/>
      <c r="AH9" s="243"/>
      <c r="AI9" s="243"/>
      <c r="AJ9" s="243"/>
      <c r="AK9" s="243"/>
      <c r="AL9" s="243"/>
      <c r="AM9" s="243"/>
      <c r="AN9" s="243"/>
      <c r="AO9" s="243"/>
      <c r="AP9" s="243"/>
      <c r="AQ9" s="243"/>
      <c r="AR9" s="243"/>
      <c r="AS9" s="243"/>
      <c r="AT9" s="243"/>
      <c r="AU9" s="243"/>
      <c r="AV9" s="243"/>
      <c r="AW9" s="243"/>
      <c r="AX9" s="243"/>
      <c r="AY9" s="243"/>
      <c r="AZ9" s="243"/>
      <c r="BA9" s="243"/>
      <c r="BB9" s="243"/>
    </row>
    <row r="10" spans="1:54" s="259" customFormat="1" x14ac:dyDescent="0.2">
      <c r="A10" s="1590"/>
      <c r="B10" s="1589" t="s">
        <v>925</v>
      </c>
      <c r="C10" s="444" t="s">
        <v>890</v>
      </c>
      <c r="D10" s="445" t="s">
        <v>793</v>
      </c>
      <c r="E10" s="684">
        <v>0</v>
      </c>
      <c r="F10" s="680" t="s">
        <v>238</v>
      </c>
      <c r="G10" s="680" t="s">
        <v>238</v>
      </c>
      <c r="H10" s="684">
        <v>0</v>
      </c>
      <c r="I10" s="680" t="s">
        <v>238</v>
      </c>
      <c r="J10" s="680" t="s">
        <v>238</v>
      </c>
      <c r="K10" s="487" t="s">
        <v>840</v>
      </c>
      <c r="L10" s="685" t="s">
        <v>225</v>
      </c>
      <c r="M10" s="685" t="s">
        <v>225</v>
      </c>
      <c r="N10" s="686">
        <v>0</v>
      </c>
      <c r="O10" s="686">
        <v>0</v>
      </c>
      <c r="P10" s="258"/>
      <c r="Q10" s="243"/>
      <c r="R10" s="243"/>
      <c r="S10" s="243"/>
      <c r="T10" s="243"/>
      <c r="U10" s="243"/>
      <c r="V10" s="243"/>
      <c r="W10" s="243"/>
      <c r="X10" s="243"/>
      <c r="Y10" s="243" t="s">
        <v>238</v>
      </c>
      <c r="Z10" s="243" t="s">
        <v>238</v>
      </c>
      <c r="AA10" s="243"/>
      <c r="AB10" s="243"/>
      <c r="AC10" s="243"/>
      <c r="AD10" s="243"/>
      <c r="AE10" s="243"/>
      <c r="AF10" s="243"/>
      <c r="AG10" s="243"/>
      <c r="AH10" s="243"/>
      <c r="AI10" s="243"/>
      <c r="AJ10" s="243"/>
      <c r="AK10" s="243"/>
      <c r="AL10" s="243"/>
      <c r="AM10" s="243"/>
      <c r="AN10" s="243"/>
      <c r="AO10" s="243"/>
      <c r="AP10" s="243"/>
      <c r="AQ10" s="243"/>
      <c r="AR10" s="243"/>
      <c r="AS10" s="243"/>
      <c r="AT10" s="243"/>
      <c r="AU10" s="243"/>
      <c r="AV10" s="243"/>
      <c r="AW10" s="243"/>
      <c r="AX10" s="243"/>
      <c r="AY10" s="243"/>
      <c r="AZ10" s="243"/>
      <c r="BA10" s="243"/>
      <c r="BB10" s="243"/>
    </row>
    <row r="11" spans="1:54" s="259" customFormat="1" x14ac:dyDescent="0.2">
      <c r="A11" s="1590"/>
      <c r="B11" s="1594"/>
      <c r="C11" s="445" t="s">
        <v>926</v>
      </c>
      <c r="D11" s="445" t="s">
        <v>927</v>
      </c>
      <c r="E11" s="684">
        <v>0</v>
      </c>
      <c r="F11" s="680" t="s">
        <v>238</v>
      </c>
      <c r="G11" s="680" t="s">
        <v>238</v>
      </c>
      <c r="H11" s="684">
        <v>0</v>
      </c>
      <c r="I11" s="680" t="s">
        <v>238</v>
      </c>
      <c r="J11" s="680" t="s">
        <v>238</v>
      </c>
      <c r="K11" s="487" t="s">
        <v>765</v>
      </c>
      <c r="L11" s="687">
        <v>352.3</v>
      </c>
      <c r="M11" s="687">
        <v>357</v>
      </c>
      <c r="N11" s="686">
        <v>0</v>
      </c>
      <c r="O11" s="686">
        <v>0</v>
      </c>
      <c r="P11" s="258"/>
      <c r="Q11" s="243"/>
      <c r="R11" s="243"/>
      <c r="S11" s="243"/>
      <c r="T11" s="243"/>
      <c r="U11" s="243"/>
      <c r="V11" s="243"/>
      <c r="W11" s="243"/>
      <c r="X11" s="243"/>
      <c r="Y11" s="243"/>
      <c r="Z11" s="243"/>
      <c r="AA11" s="243"/>
      <c r="AB11" s="243"/>
      <c r="AC11" s="243"/>
      <c r="AD11" s="243"/>
      <c r="AE11" s="243"/>
      <c r="AF11" s="243"/>
      <c r="AG11" s="243"/>
      <c r="AH11" s="243"/>
      <c r="AI11" s="243"/>
      <c r="AJ11" s="243"/>
      <c r="AK11" s="243"/>
      <c r="AL11" s="243"/>
      <c r="AM11" s="243"/>
      <c r="AN11" s="243"/>
      <c r="AO11" s="243"/>
      <c r="AP11" s="243"/>
      <c r="AQ11" s="243"/>
      <c r="AR11" s="243"/>
      <c r="AS11" s="243"/>
      <c r="AT11" s="243"/>
      <c r="AU11" s="243"/>
      <c r="AV11" s="243"/>
      <c r="AW11" s="243"/>
      <c r="AX11" s="243"/>
      <c r="AY11" s="243"/>
      <c r="AZ11" s="243"/>
      <c r="BA11" s="243"/>
      <c r="BB11" s="243"/>
    </row>
    <row r="12" spans="1:54" s="259" customFormat="1" x14ac:dyDescent="0.2">
      <c r="A12" s="1590"/>
      <c r="B12" s="1594"/>
      <c r="C12" s="445" t="s">
        <v>928</v>
      </c>
      <c r="D12" s="688" t="s">
        <v>929</v>
      </c>
      <c r="E12" s="680">
        <v>0</v>
      </c>
      <c r="F12" s="680" t="s">
        <v>238</v>
      </c>
      <c r="G12" s="680" t="s">
        <v>238</v>
      </c>
      <c r="H12" s="680">
        <v>0</v>
      </c>
      <c r="I12" s="680" t="s">
        <v>238</v>
      </c>
      <c r="J12" s="680" t="s">
        <v>238</v>
      </c>
      <c r="K12" s="487" t="s">
        <v>857</v>
      </c>
      <c r="L12" s="685" t="s">
        <v>225</v>
      </c>
      <c r="M12" s="685" t="s">
        <v>225</v>
      </c>
      <c r="N12" s="686">
        <v>0</v>
      </c>
      <c r="O12" s="686">
        <v>0</v>
      </c>
      <c r="P12" s="258"/>
      <c r="Q12" s="243"/>
      <c r="R12" s="243"/>
      <c r="S12" s="243"/>
      <c r="T12" s="243"/>
      <c r="U12" s="243"/>
      <c r="V12" s="243"/>
      <c r="W12" s="243"/>
      <c r="X12" s="243"/>
      <c r="Y12" s="243"/>
      <c r="Z12" s="243"/>
      <c r="AA12" s="243"/>
      <c r="AB12" s="243"/>
      <c r="AC12" s="243"/>
      <c r="AD12" s="243"/>
      <c r="AE12" s="243"/>
      <c r="AF12" s="243"/>
      <c r="AG12" s="243"/>
      <c r="AH12" s="243"/>
      <c r="AI12" s="243"/>
      <c r="AJ12" s="243"/>
      <c r="AK12" s="243"/>
      <c r="AL12" s="243"/>
      <c r="AM12" s="243"/>
      <c r="AN12" s="243"/>
      <c r="AO12" s="243"/>
      <c r="AP12" s="243"/>
      <c r="AQ12" s="243"/>
      <c r="AR12" s="243"/>
      <c r="AS12" s="243"/>
      <c r="AT12" s="243"/>
      <c r="AU12" s="243"/>
      <c r="AV12" s="243"/>
      <c r="AW12" s="243"/>
      <c r="AX12" s="243"/>
      <c r="AY12" s="243"/>
      <c r="AZ12" s="243"/>
      <c r="BA12" s="243"/>
      <c r="BB12" s="243"/>
    </row>
    <row r="13" spans="1:54" s="259" customFormat="1" x14ac:dyDescent="0.2">
      <c r="A13" s="1590"/>
      <c r="B13" s="1593"/>
      <c r="C13" s="489" t="s">
        <v>894</v>
      </c>
      <c r="D13" s="489"/>
      <c r="E13" s="682">
        <v>0</v>
      </c>
      <c r="F13" s="682">
        <v>0</v>
      </c>
      <c r="G13" s="682">
        <v>0</v>
      </c>
      <c r="H13" s="682">
        <v>0</v>
      </c>
      <c r="I13" s="682">
        <v>0</v>
      </c>
      <c r="J13" s="682">
        <v>0</v>
      </c>
      <c r="K13" s="490"/>
      <c r="L13" s="683">
        <v>352.3</v>
      </c>
      <c r="M13" s="683">
        <v>357</v>
      </c>
      <c r="N13" s="683">
        <v>0</v>
      </c>
      <c r="O13" s="683">
        <v>0</v>
      </c>
      <c r="P13" s="258"/>
      <c r="Q13" s="243"/>
      <c r="R13" s="243"/>
      <c r="S13" s="243"/>
      <c r="T13" s="243"/>
      <c r="U13" s="243"/>
      <c r="V13" s="243"/>
      <c r="W13" s="243"/>
      <c r="X13" s="243"/>
      <c r="Y13" s="243"/>
      <c r="Z13" s="243"/>
      <c r="AA13" s="243"/>
      <c r="AB13" s="243"/>
      <c r="AC13" s="243"/>
      <c r="AD13" s="243"/>
      <c r="AE13" s="243"/>
      <c r="AF13" s="243"/>
      <c r="AG13" s="243"/>
      <c r="AH13" s="243"/>
      <c r="AI13" s="243"/>
      <c r="AJ13" s="243"/>
      <c r="AK13" s="243"/>
      <c r="AL13" s="243"/>
      <c r="AM13" s="243"/>
      <c r="AN13" s="243"/>
      <c r="AO13" s="243"/>
      <c r="AP13" s="243"/>
      <c r="AQ13" s="243"/>
      <c r="AR13" s="243"/>
      <c r="AS13" s="243"/>
      <c r="AT13" s="243"/>
      <c r="AU13" s="243"/>
      <c r="AV13" s="243"/>
      <c r="AW13" s="243"/>
      <c r="AX13" s="243"/>
      <c r="AY13" s="243"/>
      <c r="AZ13" s="243"/>
      <c r="BA13" s="243"/>
      <c r="BB13" s="243"/>
    </row>
    <row r="14" spans="1:54" s="259" customFormat="1" x14ac:dyDescent="0.2">
      <c r="A14" s="1590"/>
      <c r="B14" s="1589" t="s">
        <v>714</v>
      </c>
      <c r="C14" s="491" t="s">
        <v>1407</v>
      </c>
      <c r="D14" s="445" t="s">
        <v>793</v>
      </c>
      <c r="E14" s="684">
        <v>0</v>
      </c>
      <c r="F14" s="680" t="s">
        <v>238</v>
      </c>
      <c r="G14" s="680" t="s">
        <v>238</v>
      </c>
      <c r="H14" s="684">
        <v>0</v>
      </c>
      <c r="I14" s="680" t="s">
        <v>238</v>
      </c>
      <c r="J14" s="680" t="s">
        <v>238</v>
      </c>
      <c r="K14" s="487" t="s">
        <v>889</v>
      </c>
      <c r="L14" s="689">
        <v>45100</v>
      </c>
      <c r="M14" s="488">
        <v>46270</v>
      </c>
      <c r="N14" s="487">
        <v>0</v>
      </c>
      <c r="O14" s="487">
        <v>0</v>
      </c>
      <c r="P14" s="258"/>
      <c r="Q14" s="243"/>
      <c r="R14" s="243"/>
      <c r="S14" s="243"/>
      <c r="T14" s="243"/>
      <c r="U14" s="243"/>
      <c r="V14" s="243"/>
      <c r="W14" s="243"/>
      <c r="X14" s="243"/>
      <c r="Y14" s="243"/>
      <c r="Z14" s="243"/>
      <c r="AA14" s="243"/>
      <c r="AB14" s="243"/>
      <c r="AC14" s="243"/>
      <c r="AD14" s="243"/>
      <c r="AE14" s="243"/>
      <c r="AF14" s="243"/>
      <c r="AG14" s="243"/>
      <c r="AH14" s="243"/>
      <c r="AI14" s="243"/>
      <c r="AJ14" s="243"/>
      <c r="AK14" s="243"/>
      <c r="AL14" s="243"/>
      <c r="AM14" s="243"/>
      <c r="AN14" s="243"/>
      <c r="AO14" s="243"/>
      <c r="AP14" s="243"/>
      <c r="AQ14" s="243"/>
      <c r="AR14" s="243"/>
      <c r="AS14" s="243"/>
      <c r="AT14" s="243"/>
      <c r="AU14" s="243"/>
      <c r="AV14" s="243"/>
      <c r="AW14" s="243"/>
      <c r="AX14" s="243"/>
      <c r="AY14" s="243"/>
      <c r="AZ14" s="243"/>
      <c r="BA14" s="243"/>
      <c r="BB14" s="243"/>
    </row>
    <row r="15" spans="1:54" s="259" customFormat="1" x14ac:dyDescent="0.2">
      <c r="A15" s="1590"/>
      <c r="B15" s="1594"/>
      <c r="C15" s="445" t="s">
        <v>776</v>
      </c>
      <c r="D15" s="445" t="s">
        <v>777</v>
      </c>
      <c r="E15" s="681">
        <v>0</v>
      </c>
      <c r="F15" s="681" t="s">
        <v>238</v>
      </c>
      <c r="G15" s="681" t="s">
        <v>238</v>
      </c>
      <c r="H15" s="681">
        <v>0</v>
      </c>
      <c r="I15" s="681" t="s">
        <v>238</v>
      </c>
      <c r="J15" s="681" t="s">
        <v>238</v>
      </c>
      <c r="K15" s="487" t="s">
        <v>765</v>
      </c>
      <c r="L15" s="685">
        <v>863.8</v>
      </c>
      <c r="M15" s="488">
        <v>891.7</v>
      </c>
      <c r="N15" s="487">
        <v>0</v>
      </c>
      <c r="O15" s="487">
        <v>0</v>
      </c>
      <c r="P15" s="258"/>
      <c r="Q15" s="243"/>
      <c r="R15" s="243"/>
      <c r="S15" s="243"/>
      <c r="T15" s="243"/>
      <c r="U15" s="243"/>
      <c r="V15" s="243"/>
      <c r="W15" s="243"/>
      <c r="X15" s="243"/>
      <c r="Y15" s="243"/>
      <c r="Z15" s="243"/>
      <c r="AA15" s="243"/>
      <c r="AB15" s="243"/>
      <c r="AC15" s="243"/>
      <c r="AD15" s="243"/>
      <c r="AE15" s="243"/>
      <c r="AF15" s="243"/>
      <c r="AG15" s="243"/>
      <c r="AH15" s="243"/>
      <c r="AI15" s="243"/>
      <c r="AJ15" s="243"/>
      <c r="AK15" s="243"/>
      <c r="AL15" s="243"/>
      <c r="AM15" s="243"/>
      <c r="AN15" s="243"/>
      <c r="AO15" s="243"/>
      <c r="AP15" s="243"/>
      <c r="AQ15" s="243"/>
      <c r="AR15" s="243"/>
      <c r="AS15" s="243"/>
      <c r="AT15" s="243"/>
      <c r="AU15" s="243"/>
      <c r="AV15" s="243"/>
      <c r="AW15" s="243"/>
      <c r="AX15" s="243"/>
      <c r="AY15" s="243"/>
      <c r="AZ15" s="243"/>
      <c r="BA15" s="243"/>
      <c r="BB15" s="243"/>
    </row>
    <row r="16" spans="1:54" s="259" customFormat="1" x14ac:dyDescent="0.2">
      <c r="A16" s="1590"/>
      <c r="B16" s="1594"/>
      <c r="C16" s="445" t="s">
        <v>772</v>
      </c>
      <c r="D16" s="445" t="s">
        <v>773</v>
      </c>
      <c r="E16" s="681">
        <v>0</v>
      </c>
      <c r="F16" s="681" t="s">
        <v>238</v>
      </c>
      <c r="G16" s="681" t="s">
        <v>238</v>
      </c>
      <c r="H16" s="681">
        <v>0</v>
      </c>
      <c r="I16" s="681" t="s">
        <v>238</v>
      </c>
      <c r="J16" s="681" t="s">
        <v>238</v>
      </c>
      <c r="K16" s="487"/>
      <c r="L16" s="685"/>
      <c r="M16" s="488"/>
      <c r="N16" s="487">
        <v>0</v>
      </c>
      <c r="O16" s="487">
        <v>0</v>
      </c>
      <c r="P16" s="258"/>
      <c r="Q16" s="243"/>
      <c r="R16" s="243"/>
      <c r="S16" s="243"/>
      <c r="T16" s="243"/>
      <c r="U16" s="243"/>
      <c r="V16" s="243"/>
      <c r="W16" s="243"/>
      <c r="X16" s="243"/>
      <c r="Y16" s="243"/>
      <c r="Z16" s="243"/>
      <c r="AA16" s="243"/>
      <c r="AB16" s="243"/>
      <c r="AC16" s="243"/>
      <c r="AD16" s="243"/>
      <c r="AE16" s="243"/>
      <c r="AF16" s="243"/>
      <c r="AG16" s="243"/>
      <c r="AH16" s="243"/>
      <c r="AI16" s="243"/>
      <c r="AJ16" s="243"/>
      <c r="AK16" s="243"/>
      <c r="AL16" s="243"/>
      <c r="AM16" s="243"/>
      <c r="AN16" s="243"/>
      <c r="AO16" s="243"/>
      <c r="AP16" s="243"/>
      <c r="AQ16" s="243"/>
      <c r="AR16" s="243"/>
      <c r="AS16" s="243"/>
      <c r="AT16" s="243"/>
      <c r="AU16" s="243"/>
      <c r="AV16" s="243"/>
      <c r="AW16" s="243"/>
      <c r="AX16" s="243"/>
      <c r="AY16" s="243"/>
      <c r="AZ16" s="243"/>
      <c r="BA16" s="243"/>
      <c r="BB16" s="243"/>
    </row>
    <row r="17" spans="1:54" s="259" customFormat="1" x14ac:dyDescent="0.2">
      <c r="A17" s="1590"/>
      <c r="B17" s="1594"/>
      <c r="C17" s="445" t="s">
        <v>782</v>
      </c>
      <c r="D17" s="445" t="s">
        <v>773</v>
      </c>
      <c r="E17" s="681">
        <v>0</v>
      </c>
      <c r="F17" s="681" t="s">
        <v>238</v>
      </c>
      <c r="G17" s="681" t="s">
        <v>238</v>
      </c>
      <c r="H17" s="681">
        <v>0</v>
      </c>
      <c r="I17" s="681" t="s">
        <v>238</v>
      </c>
      <c r="J17" s="681" t="s">
        <v>238</v>
      </c>
      <c r="K17" s="487"/>
      <c r="L17" s="685">
        <v>257.55</v>
      </c>
      <c r="M17" s="488">
        <v>276.64999999999998</v>
      </c>
      <c r="N17" s="487">
        <v>0</v>
      </c>
      <c r="O17" s="487">
        <v>0</v>
      </c>
      <c r="P17" s="258"/>
      <c r="Q17" s="243"/>
      <c r="R17" s="243"/>
      <c r="S17" s="243"/>
      <c r="T17" s="243"/>
      <c r="U17" s="243"/>
      <c r="V17" s="243"/>
      <c r="W17" s="243"/>
      <c r="X17" s="243"/>
      <c r="Y17" s="243"/>
      <c r="Z17" s="243"/>
      <c r="AA17" s="243"/>
      <c r="AB17" s="243"/>
      <c r="AC17" s="243"/>
      <c r="AD17" s="243"/>
      <c r="AE17" s="243"/>
      <c r="AF17" s="243"/>
      <c r="AG17" s="243"/>
      <c r="AH17" s="243"/>
      <c r="AI17" s="243"/>
      <c r="AJ17" s="243"/>
      <c r="AK17" s="243"/>
      <c r="AL17" s="243"/>
      <c r="AM17" s="243"/>
      <c r="AN17" s="243"/>
      <c r="AO17" s="243"/>
      <c r="AP17" s="243"/>
      <c r="AQ17" s="243"/>
      <c r="AR17" s="243"/>
      <c r="AS17" s="243"/>
      <c r="AT17" s="243"/>
      <c r="AU17" s="243"/>
      <c r="AV17" s="243"/>
      <c r="AW17" s="243"/>
      <c r="AX17" s="243"/>
      <c r="AY17" s="243"/>
      <c r="AZ17" s="243"/>
      <c r="BA17" s="243"/>
      <c r="BB17" s="243"/>
    </row>
    <row r="18" spans="1:54" s="259" customFormat="1" x14ac:dyDescent="0.2">
      <c r="A18" s="1590"/>
      <c r="B18" s="1593"/>
      <c r="C18" s="489" t="s">
        <v>897</v>
      </c>
      <c r="D18" s="489"/>
      <c r="E18" s="682">
        <v>0</v>
      </c>
      <c r="F18" s="682">
        <v>0</v>
      </c>
      <c r="G18" s="682">
        <v>0</v>
      </c>
      <c r="H18" s="682">
        <v>0</v>
      </c>
      <c r="I18" s="682">
        <v>0</v>
      </c>
      <c r="J18" s="682">
        <v>0</v>
      </c>
      <c r="K18" s="490"/>
      <c r="L18" s="683">
        <v>46221.350000000006</v>
      </c>
      <c r="M18" s="683">
        <v>47438.35</v>
      </c>
      <c r="N18" s="683">
        <v>0</v>
      </c>
      <c r="O18" s="683">
        <v>0</v>
      </c>
      <c r="P18" s="258"/>
      <c r="Q18" s="243"/>
      <c r="R18" s="243"/>
      <c r="S18" s="243"/>
      <c r="T18" s="243"/>
      <c r="U18" s="243"/>
      <c r="V18" s="243"/>
      <c r="W18" s="243"/>
      <c r="X18" s="243"/>
      <c r="Y18" s="243"/>
      <c r="Z18" s="243"/>
      <c r="AA18" s="243"/>
      <c r="AB18" s="243"/>
      <c r="AC18" s="243"/>
      <c r="AD18" s="243"/>
      <c r="AE18" s="243"/>
      <c r="AF18" s="243"/>
      <c r="AG18" s="243"/>
      <c r="AH18" s="243"/>
      <c r="AI18" s="243"/>
      <c r="AJ18" s="243"/>
      <c r="AK18" s="243"/>
      <c r="AL18" s="243"/>
      <c r="AM18" s="243"/>
      <c r="AN18" s="243"/>
      <c r="AO18" s="243"/>
      <c r="AP18" s="243"/>
      <c r="AQ18" s="243"/>
      <c r="AR18" s="243"/>
      <c r="AS18" s="243"/>
      <c r="AT18" s="243"/>
      <c r="AU18" s="243"/>
      <c r="AV18" s="243"/>
      <c r="AW18" s="243"/>
      <c r="AX18" s="243"/>
      <c r="AY18" s="243"/>
      <c r="AZ18" s="243"/>
      <c r="BA18" s="243"/>
      <c r="BB18" s="243"/>
    </row>
    <row r="19" spans="1:54" s="259" customFormat="1" x14ac:dyDescent="0.2">
      <c r="A19" s="1590"/>
      <c r="B19" s="1589" t="s">
        <v>694</v>
      </c>
      <c r="C19" s="445" t="s">
        <v>930</v>
      </c>
      <c r="D19" s="445"/>
      <c r="E19" s="690">
        <v>0</v>
      </c>
      <c r="F19" s="690" t="s">
        <v>238</v>
      </c>
      <c r="G19" s="690" t="s">
        <v>238</v>
      </c>
      <c r="H19" s="690">
        <v>0</v>
      </c>
      <c r="I19" s="690" t="s">
        <v>238</v>
      </c>
      <c r="J19" s="690" t="s">
        <v>238</v>
      </c>
      <c r="K19" s="487" t="s">
        <v>238</v>
      </c>
      <c r="L19" s="685">
        <v>7338</v>
      </c>
      <c r="M19" s="488">
        <v>6800</v>
      </c>
      <c r="N19" s="487">
        <v>0</v>
      </c>
      <c r="O19" s="487">
        <v>0</v>
      </c>
      <c r="P19" s="258"/>
      <c r="Q19" s="243"/>
      <c r="R19" s="243"/>
      <c r="S19" s="243"/>
      <c r="T19" s="243"/>
      <c r="U19" s="243"/>
      <c r="V19" s="243"/>
      <c r="W19" s="243"/>
      <c r="X19" s="243"/>
      <c r="Y19" s="243"/>
      <c r="Z19" s="243"/>
      <c r="AA19" s="243"/>
      <c r="AB19" s="243"/>
      <c r="AC19" s="243"/>
      <c r="AD19" s="243"/>
      <c r="AE19" s="243"/>
      <c r="AF19" s="243"/>
      <c r="AG19" s="243"/>
      <c r="AH19" s="243"/>
      <c r="AI19" s="243"/>
      <c r="AJ19" s="243"/>
      <c r="AK19" s="243"/>
      <c r="AL19" s="243"/>
      <c r="AM19" s="243"/>
      <c r="AN19" s="243"/>
      <c r="AO19" s="243"/>
      <c r="AP19" s="243"/>
      <c r="AQ19" s="243"/>
      <c r="AR19" s="243"/>
      <c r="AS19" s="243"/>
      <c r="AT19" s="243"/>
      <c r="AU19" s="243"/>
      <c r="AV19" s="243"/>
      <c r="AW19" s="243"/>
      <c r="AX19" s="243"/>
      <c r="AY19" s="243"/>
      <c r="AZ19" s="243"/>
      <c r="BA19" s="243"/>
      <c r="BB19" s="243"/>
    </row>
    <row r="20" spans="1:54" s="259" customFormat="1" x14ac:dyDescent="0.2">
      <c r="A20" s="1590"/>
      <c r="B20" s="1590"/>
      <c r="C20" s="445" t="s">
        <v>947</v>
      </c>
      <c r="D20" s="445"/>
      <c r="E20" s="690" t="s">
        <v>238</v>
      </c>
      <c r="F20" s="690" t="s">
        <v>238</v>
      </c>
      <c r="G20" s="690" t="s">
        <v>238</v>
      </c>
      <c r="H20" s="690">
        <v>0</v>
      </c>
      <c r="I20" s="690" t="s">
        <v>238</v>
      </c>
      <c r="J20" s="690" t="s">
        <v>238</v>
      </c>
      <c r="K20" s="487"/>
      <c r="L20" s="685">
        <v>6852</v>
      </c>
      <c r="M20" s="488">
        <v>6436</v>
      </c>
      <c r="N20" s="487">
        <v>0</v>
      </c>
      <c r="O20" s="487">
        <v>0</v>
      </c>
      <c r="P20" s="258"/>
      <c r="Q20" s="243"/>
      <c r="R20" s="243"/>
      <c r="S20" s="243"/>
      <c r="T20" s="243"/>
      <c r="U20" s="243"/>
      <c r="V20" s="243"/>
      <c r="W20" s="243"/>
      <c r="X20" s="243"/>
      <c r="Y20" s="243"/>
      <c r="Z20" s="243"/>
      <c r="AA20" s="243"/>
      <c r="AB20" s="243"/>
      <c r="AC20" s="243"/>
      <c r="AD20" s="243"/>
      <c r="AE20" s="243"/>
      <c r="AF20" s="243"/>
      <c r="AG20" s="243"/>
      <c r="AH20" s="243"/>
      <c r="AI20" s="243"/>
      <c r="AJ20" s="243"/>
      <c r="AK20" s="243"/>
      <c r="AL20" s="243"/>
      <c r="AM20" s="243"/>
      <c r="AN20" s="243"/>
      <c r="AO20" s="243"/>
      <c r="AP20" s="243"/>
      <c r="AQ20" s="243"/>
      <c r="AR20" s="243"/>
      <c r="AS20" s="243"/>
      <c r="AT20" s="243"/>
      <c r="AU20" s="243"/>
      <c r="AV20" s="243"/>
      <c r="AW20" s="243"/>
      <c r="AX20" s="243"/>
      <c r="AY20" s="243"/>
      <c r="AZ20" s="243"/>
      <c r="BA20" s="243"/>
      <c r="BB20" s="243"/>
    </row>
    <row r="21" spans="1:54" s="259" customFormat="1" x14ac:dyDescent="0.2">
      <c r="A21" s="1590"/>
      <c r="B21" s="1593"/>
      <c r="C21" s="489" t="s">
        <v>931</v>
      </c>
      <c r="D21" s="489"/>
      <c r="E21" s="682">
        <v>0</v>
      </c>
      <c r="F21" s="682">
        <v>0</v>
      </c>
      <c r="G21" s="682">
        <v>0</v>
      </c>
      <c r="H21" s="682">
        <v>0</v>
      </c>
      <c r="I21" s="682">
        <v>0</v>
      </c>
      <c r="J21" s="682">
        <v>0</v>
      </c>
      <c r="K21" s="490"/>
      <c r="L21" s="683">
        <v>14190</v>
      </c>
      <c r="M21" s="683">
        <v>13236</v>
      </c>
      <c r="N21" s="683">
        <v>0</v>
      </c>
      <c r="O21" s="683">
        <v>0</v>
      </c>
      <c r="P21" s="258"/>
      <c r="Q21" s="243"/>
      <c r="R21" s="243"/>
      <c r="S21" s="243"/>
      <c r="T21" s="243"/>
      <c r="U21" s="243"/>
      <c r="V21" s="243"/>
      <c r="W21" s="243"/>
      <c r="X21" s="243"/>
      <c r="Y21" s="243"/>
      <c r="Z21" s="243"/>
      <c r="AA21" s="243"/>
      <c r="AB21" s="243"/>
      <c r="AC21" s="243"/>
      <c r="AD21" s="243"/>
      <c r="AE21" s="243"/>
      <c r="AF21" s="243"/>
      <c r="AG21" s="243"/>
      <c r="AH21" s="243"/>
      <c r="AI21" s="243"/>
      <c r="AJ21" s="243"/>
      <c r="AK21" s="243"/>
      <c r="AL21" s="243"/>
      <c r="AM21" s="243"/>
      <c r="AN21" s="243"/>
      <c r="AO21" s="243"/>
      <c r="AP21" s="243"/>
      <c r="AQ21" s="243"/>
      <c r="AR21" s="243"/>
      <c r="AS21" s="243"/>
      <c r="AT21" s="243"/>
      <c r="AU21" s="243"/>
      <c r="AV21" s="243"/>
      <c r="AW21" s="243"/>
      <c r="AX21" s="243"/>
      <c r="AY21" s="243"/>
      <c r="AZ21" s="243"/>
      <c r="BA21" s="243"/>
      <c r="BB21" s="243"/>
    </row>
    <row r="22" spans="1:54" s="259" customFormat="1" ht="25.5" x14ac:dyDescent="0.2">
      <c r="A22" s="1591"/>
      <c r="B22" s="492" t="s">
        <v>932</v>
      </c>
      <c r="C22" s="493"/>
      <c r="D22" s="493"/>
      <c r="E22" s="691">
        <v>0</v>
      </c>
      <c r="F22" s="691">
        <v>0</v>
      </c>
      <c r="G22" s="691">
        <v>0</v>
      </c>
      <c r="H22" s="691">
        <v>0</v>
      </c>
      <c r="I22" s="691">
        <v>0</v>
      </c>
      <c r="J22" s="691">
        <v>0</v>
      </c>
      <c r="K22" s="494"/>
      <c r="L22" s="692">
        <v>443077.65</v>
      </c>
      <c r="M22" s="692">
        <v>483027.35</v>
      </c>
      <c r="N22" s="692">
        <v>0</v>
      </c>
      <c r="O22" s="692">
        <v>0</v>
      </c>
      <c r="P22" s="258"/>
      <c r="Q22" s="243"/>
      <c r="R22" s="243"/>
      <c r="S22" s="243"/>
      <c r="T22" s="243"/>
      <c r="U22" s="243"/>
      <c r="V22" s="243"/>
      <c r="W22" s="243"/>
      <c r="X22" s="243"/>
      <c r="Y22" s="243"/>
      <c r="Z22" s="243"/>
      <c r="AA22" s="243"/>
      <c r="AB22" s="243"/>
      <c r="AC22" s="243"/>
      <c r="AD22" s="243"/>
      <c r="AE22" s="243"/>
      <c r="AF22" s="243"/>
      <c r="AG22" s="243"/>
      <c r="AH22" s="243"/>
      <c r="AI22" s="243"/>
      <c r="AJ22" s="243"/>
      <c r="AK22" s="243"/>
      <c r="AL22" s="243"/>
      <c r="AM22" s="243"/>
      <c r="AN22" s="243"/>
      <c r="AO22" s="243"/>
      <c r="AP22" s="243"/>
      <c r="AQ22" s="243"/>
      <c r="AR22" s="243"/>
      <c r="AS22" s="243"/>
      <c r="AT22" s="243"/>
      <c r="AU22" s="243"/>
      <c r="AV22" s="243"/>
      <c r="AW22" s="243"/>
      <c r="AX22" s="243"/>
      <c r="AY22" s="243"/>
      <c r="AZ22" s="243"/>
      <c r="BA22" s="243"/>
      <c r="BB22" s="243"/>
    </row>
    <row r="23" spans="1:54" s="259" customFormat="1" ht="12.75" customHeight="1" x14ac:dyDescent="0.2">
      <c r="A23" s="1589" t="s">
        <v>933</v>
      </c>
      <c r="B23" s="1589" t="s">
        <v>751</v>
      </c>
      <c r="C23" s="444" t="s">
        <v>752</v>
      </c>
      <c r="D23" s="445" t="s">
        <v>916</v>
      </c>
      <c r="E23" s="681">
        <v>0</v>
      </c>
      <c r="F23" s="681" t="s">
        <v>238</v>
      </c>
      <c r="G23" s="681" t="s">
        <v>238</v>
      </c>
      <c r="H23" s="681">
        <v>0</v>
      </c>
      <c r="I23" s="681" t="s">
        <v>238</v>
      </c>
      <c r="J23" s="681" t="s">
        <v>238</v>
      </c>
      <c r="K23" s="693" t="s">
        <v>754</v>
      </c>
      <c r="L23" s="685" t="s">
        <v>238</v>
      </c>
      <c r="M23" s="685" t="s">
        <v>238</v>
      </c>
      <c r="N23" s="686">
        <v>0</v>
      </c>
      <c r="O23" s="686">
        <v>0</v>
      </c>
      <c r="P23" s="258"/>
      <c r="Q23" s="243"/>
      <c r="R23" s="243"/>
      <c r="S23" s="243"/>
      <c r="T23" s="243"/>
      <c r="U23" s="243"/>
      <c r="V23" s="243"/>
      <c r="W23" s="243"/>
      <c r="X23" s="243"/>
      <c r="Y23" s="243"/>
      <c r="Z23" s="243"/>
      <c r="AA23" s="243"/>
      <c r="AB23" s="243"/>
      <c r="AC23" s="243"/>
      <c r="AD23" s="243"/>
      <c r="AE23" s="243"/>
      <c r="AF23" s="243"/>
      <c r="AG23" s="243"/>
      <c r="AH23" s="243"/>
      <c r="AI23" s="243"/>
      <c r="AJ23" s="243"/>
      <c r="AK23" s="243"/>
      <c r="AL23" s="243"/>
      <c r="AM23" s="243"/>
      <c r="AN23" s="243"/>
      <c r="AO23" s="243"/>
      <c r="AP23" s="243"/>
      <c r="AQ23" s="243"/>
      <c r="AR23" s="243"/>
      <c r="AS23" s="243"/>
      <c r="AT23" s="243"/>
      <c r="AU23" s="243"/>
      <c r="AV23" s="243"/>
      <c r="AW23" s="243"/>
      <c r="AX23" s="243"/>
      <c r="AY23" s="243"/>
      <c r="AZ23" s="243"/>
      <c r="BA23" s="243"/>
      <c r="BB23" s="243"/>
    </row>
    <row r="24" spans="1:54" s="259" customFormat="1" x14ac:dyDescent="0.2">
      <c r="A24" s="1590"/>
      <c r="B24" s="1594"/>
      <c r="C24" s="445" t="s">
        <v>820</v>
      </c>
      <c r="D24" s="688" t="s">
        <v>934</v>
      </c>
      <c r="E24" s="681">
        <v>0</v>
      </c>
      <c r="F24" s="681" t="s">
        <v>238</v>
      </c>
      <c r="G24" s="681" t="s">
        <v>238</v>
      </c>
      <c r="H24" s="681">
        <v>0</v>
      </c>
      <c r="I24" s="681" t="s">
        <v>238</v>
      </c>
      <c r="J24" s="681" t="s">
        <v>238</v>
      </c>
      <c r="K24" s="693" t="s">
        <v>765</v>
      </c>
      <c r="L24" s="685" t="s">
        <v>238</v>
      </c>
      <c r="M24" s="685" t="s">
        <v>238</v>
      </c>
      <c r="N24" s="686">
        <v>0</v>
      </c>
      <c r="O24" s="686">
        <v>0</v>
      </c>
      <c r="P24" s="258"/>
      <c r="Q24" s="243"/>
      <c r="R24" s="243"/>
      <c r="S24" s="243"/>
      <c r="T24" s="243"/>
      <c r="U24" s="243"/>
      <c r="V24" s="243"/>
      <c r="W24" s="243"/>
      <c r="X24" s="243"/>
      <c r="Y24" s="243"/>
      <c r="Z24" s="243"/>
      <c r="AA24" s="243"/>
      <c r="AB24" s="243"/>
      <c r="AC24" s="243"/>
      <c r="AD24" s="243"/>
      <c r="AE24" s="243"/>
      <c r="AF24" s="243"/>
      <c r="AG24" s="243"/>
      <c r="AH24" s="243"/>
      <c r="AI24" s="243"/>
      <c r="AJ24" s="243"/>
      <c r="AK24" s="243"/>
      <c r="AL24" s="243"/>
      <c r="AM24" s="243"/>
      <c r="AN24" s="243"/>
      <c r="AO24" s="243"/>
      <c r="AP24" s="243"/>
      <c r="AQ24" s="243"/>
      <c r="AR24" s="243"/>
      <c r="AS24" s="243"/>
      <c r="AT24" s="243"/>
      <c r="AU24" s="243"/>
      <c r="AV24" s="243"/>
      <c r="AW24" s="243"/>
      <c r="AX24" s="243"/>
      <c r="AY24" s="243"/>
      <c r="AZ24" s="243"/>
      <c r="BA24" s="243"/>
      <c r="BB24" s="243"/>
    </row>
    <row r="25" spans="1:54" s="259" customFormat="1" x14ac:dyDescent="0.2">
      <c r="A25" s="1590"/>
      <c r="B25" s="1594"/>
      <c r="C25" s="445" t="s">
        <v>935</v>
      </c>
      <c r="D25" s="241" t="s">
        <v>916</v>
      </c>
      <c r="E25" s="681">
        <v>0</v>
      </c>
      <c r="F25" s="681" t="s">
        <v>238</v>
      </c>
      <c r="G25" s="681" t="s">
        <v>238</v>
      </c>
      <c r="H25" s="681">
        <v>0</v>
      </c>
      <c r="I25" s="681" t="s">
        <v>238</v>
      </c>
      <c r="J25" s="681" t="s">
        <v>238</v>
      </c>
      <c r="K25" s="693" t="s">
        <v>765</v>
      </c>
      <c r="L25" s="685" t="s">
        <v>238</v>
      </c>
      <c r="M25" s="685" t="s">
        <v>238</v>
      </c>
      <c r="N25" s="686">
        <v>0</v>
      </c>
      <c r="O25" s="686">
        <v>0</v>
      </c>
      <c r="P25" s="258"/>
      <c r="Q25" s="243"/>
      <c r="R25" s="243"/>
      <c r="S25" s="243"/>
      <c r="T25" s="243"/>
      <c r="U25" s="243"/>
      <c r="V25" s="243"/>
      <c r="W25" s="243"/>
      <c r="X25" s="243"/>
      <c r="Y25" s="243"/>
      <c r="Z25" s="243"/>
      <c r="AA25" s="243"/>
      <c r="AB25" s="243"/>
      <c r="AC25" s="243"/>
      <c r="AD25" s="243"/>
      <c r="AE25" s="243"/>
      <c r="AF25" s="243"/>
      <c r="AG25" s="243"/>
      <c r="AH25" s="243"/>
      <c r="AI25" s="243"/>
      <c r="AJ25" s="243"/>
      <c r="AK25" s="243"/>
      <c r="AL25" s="243"/>
      <c r="AM25" s="243"/>
      <c r="AN25" s="243"/>
      <c r="AO25" s="243"/>
      <c r="AP25" s="243"/>
      <c r="AQ25" s="243"/>
      <c r="AR25" s="243"/>
      <c r="AS25" s="243"/>
      <c r="AT25" s="243"/>
      <c r="AU25" s="243"/>
      <c r="AV25" s="243"/>
      <c r="AW25" s="243"/>
      <c r="AX25" s="243"/>
      <c r="AY25" s="243"/>
      <c r="AZ25" s="243"/>
      <c r="BA25" s="243"/>
      <c r="BB25" s="243"/>
    </row>
    <row r="26" spans="1:54" s="259" customFormat="1" x14ac:dyDescent="0.2">
      <c r="A26" s="1590"/>
      <c r="B26" s="1594"/>
      <c r="C26" s="445" t="s">
        <v>918</v>
      </c>
      <c r="D26" s="445" t="s">
        <v>919</v>
      </c>
      <c r="E26" s="680">
        <v>0</v>
      </c>
      <c r="F26" s="680" t="s">
        <v>238</v>
      </c>
      <c r="G26" s="680" t="s">
        <v>238</v>
      </c>
      <c r="H26" s="680">
        <v>0</v>
      </c>
      <c r="I26" s="680" t="s">
        <v>238</v>
      </c>
      <c r="J26" s="680" t="s">
        <v>238</v>
      </c>
      <c r="K26" s="693" t="s">
        <v>754</v>
      </c>
      <c r="L26" s="685" t="s">
        <v>238</v>
      </c>
      <c r="M26" s="685" t="s">
        <v>238</v>
      </c>
      <c r="N26" s="686">
        <v>0</v>
      </c>
      <c r="O26" s="686">
        <v>0</v>
      </c>
      <c r="P26" s="260"/>
      <c r="Q26" s="243"/>
      <c r="R26" s="243"/>
      <c r="S26" s="243"/>
      <c r="T26" s="243"/>
      <c r="U26" s="243"/>
      <c r="V26" s="243"/>
      <c r="W26" s="243"/>
      <c r="X26" s="243"/>
      <c r="Y26" s="243"/>
      <c r="Z26" s="243"/>
      <c r="AA26" s="243"/>
      <c r="AB26" s="243"/>
      <c r="AC26" s="243"/>
      <c r="AD26" s="243"/>
      <c r="AE26" s="243"/>
      <c r="AF26" s="243"/>
      <c r="AG26" s="243"/>
      <c r="AH26" s="243"/>
      <c r="AI26" s="243"/>
      <c r="AJ26" s="243"/>
      <c r="AK26" s="243"/>
      <c r="AL26" s="243"/>
      <c r="AM26" s="243"/>
      <c r="AN26" s="243"/>
      <c r="AO26" s="243"/>
      <c r="AP26" s="243"/>
      <c r="AQ26" s="243"/>
      <c r="AR26" s="243"/>
      <c r="AS26" s="243"/>
      <c r="AT26" s="243"/>
      <c r="AU26" s="243"/>
      <c r="AV26" s="243"/>
      <c r="AW26" s="243"/>
      <c r="AX26" s="243"/>
      <c r="AY26" s="243"/>
      <c r="AZ26" s="243"/>
      <c r="BA26" s="243"/>
      <c r="BB26" s="243"/>
    </row>
    <row r="27" spans="1:54" s="259" customFormat="1" x14ac:dyDescent="0.2">
      <c r="A27" s="1590"/>
      <c r="B27" s="1593"/>
      <c r="C27" s="489" t="s">
        <v>924</v>
      </c>
      <c r="D27" s="489"/>
      <c r="E27" s="691">
        <v>0</v>
      </c>
      <c r="F27" s="691">
        <v>0</v>
      </c>
      <c r="G27" s="691">
        <v>0</v>
      </c>
      <c r="H27" s="691">
        <v>0</v>
      </c>
      <c r="I27" s="691">
        <v>0</v>
      </c>
      <c r="J27" s="691">
        <v>0</v>
      </c>
      <c r="K27" s="494"/>
      <c r="L27" s="692">
        <v>0</v>
      </c>
      <c r="M27" s="692">
        <v>0</v>
      </c>
      <c r="N27" s="692">
        <v>0</v>
      </c>
      <c r="O27" s="692">
        <v>0</v>
      </c>
      <c r="P27" s="260"/>
      <c r="Q27" s="243"/>
      <c r="R27" s="243"/>
      <c r="S27" s="243"/>
      <c r="T27" s="243"/>
      <c r="U27" s="243"/>
      <c r="V27" s="243"/>
      <c r="W27" s="243"/>
      <c r="X27" s="243"/>
      <c r="Y27" s="243"/>
      <c r="Z27" s="243"/>
      <c r="AA27" s="243"/>
      <c r="AB27" s="243"/>
      <c r="AC27" s="243"/>
      <c r="AD27" s="243"/>
      <c r="AE27" s="243"/>
      <c r="AF27" s="243"/>
      <c r="AG27" s="243"/>
      <c r="AH27" s="243"/>
      <c r="AI27" s="243"/>
      <c r="AJ27" s="243"/>
      <c r="AK27" s="243"/>
      <c r="AL27" s="243"/>
      <c r="AM27" s="243"/>
      <c r="AN27" s="243"/>
      <c r="AO27" s="243"/>
      <c r="AP27" s="243"/>
      <c r="AQ27" s="243"/>
      <c r="AR27" s="243"/>
      <c r="AS27" s="243"/>
      <c r="AT27" s="243"/>
      <c r="AU27" s="243"/>
      <c r="AV27" s="243"/>
      <c r="AW27" s="243"/>
      <c r="AX27" s="243"/>
      <c r="AY27" s="243"/>
      <c r="AZ27" s="243"/>
      <c r="BA27" s="243"/>
      <c r="BB27" s="243"/>
    </row>
    <row r="28" spans="1:54" s="259" customFormat="1" x14ac:dyDescent="0.2">
      <c r="A28" s="1590"/>
      <c r="B28" s="1589" t="s">
        <v>726</v>
      </c>
      <c r="C28" s="445" t="s">
        <v>930</v>
      </c>
      <c r="D28" s="445"/>
      <c r="E28" s="681">
        <v>99</v>
      </c>
      <c r="F28" s="681">
        <v>49</v>
      </c>
      <c r="G28" s="681">
        <v>50</v>
      </c>
      <c r="H28" s="681">
        <v>7.2330399999999999</v>
      </c>
      <c r="I28" s="681">
        <v>3.6631</v>
      </c>
      <c r="J28" s="681">
        <v>3.5699399999999999</v>
      </c>
      <c r="K28" s="693" t="s">
        <v>1135</v>
      </c>
      <c r="L28" s="685" t="s">
        <v>225</v>
      </c>
      <c r="M28" s="685" t="s">
        <v>225</v>
      </c>
      <c r="N28" s="487">
        <v>0</v>
      </c>
      <c r="O28" s="487">
        <v>0</v>
      </c>
      <c r="P28" s="260"/>
      <c r="Q28" s="243"/>
      <c r="R28" s="243"/>
      <c r="S28" s="243"/>
      <c r="T28" s="243"/>
      <c r="U28" s="243"/>
      <c r="V28" s="243"/>
      <c r="W28" s="243"/>
      <c r="X28" s="243"/>
      <c r="Y28" s="243"/>
      <c r="Z28" s="243"/>
      <c r="AA28" s="243"/>
      <c r="AB28" s="243"/>
      <c r="AC28" s="243"/>
      <c r="AD28" s="243"/>
      <c r="AE28" s="243"/>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row>
    <row r="29" spans="1:54" s="259" customFormat="1" x14ac:dyDescent="0.2">
      <c r="A29" s="1590"/>
      <c r="B29" s="1594"/>
      <c r="C29" s="445" t="s">
        <v>947</v>
      </c>
      <c r="D29" s="445"/>
      <c r="E29" s="681">
        <v>0</v>
      </c>
      <c r="F29" s="681">
        <v>0</v>
      </c>
      <c r="G29" s="681" t="s">
        <v>238</v>
      </c>
      <c r="H29" s="681" t="s">
        <v>238</v>
      </c>
      <c r="I29" s="681">
        <v>0</v>
      </c>
      <c r="J29" s="681" t="s">
        <v>238</v>
      </c>
      <c r="K29" s="693" t="s">
        <v>1135</v>
      </c>
      <c r="L29" s="685"/>
      <c r="M29" s="685"/>
      <c r="N29" s="487">
        <v>1.2380952380952381</v>
      </c>
      <c r="O29" s="487">
        <v>8.8322761904761904E-2</v>
      </c>
      <c r="P29" s="260"/>
      <c r="Q29" s="243"/>
      <c r="R29" s="243"/>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3"/>
      <c r="AV29" s="243"/>
      <c r="AW29" s="243"/>
      <c r="AX29" s="243"/>
      <c r="AY29" s="243"/>
      <c r="AZ29" s="243"/>
      <c r="BA29" s="243"/>
      <c r="BB29" s="243"/>
    </row>
    <row r="30" spans="1:54" s="259" customFormat="1" x14ac:dyDescent="0.2">
      <c r="A30" s="1590"/>
      <c r="B30" s="1594"/>
      <c r="C30" s="489" t="s">
        <v>931</v>
      </c>
      <c r="D30" s="489"/>
      <c r="E30" s="691">
        <v>99</v>
      </c>
      <c r="F30" s="691">
        <v>49</v>
      </c>
      <c r="G30" s="691">
        <v>50</v>
      </c>
      <c r="H30" s="691">
        <v>7.2330399999999999</v>
      </c>
      <c r="I30" s="691">
        <v>3.6631</v>
      </c>
      <c r="J30" s="691">
        <v>3.5699399999999999</v>
      </c>
      <c r="K30" s="494"/>
      <c r="L30" s="692" t="s">
        <v>225</v>
      </c>
      <c r="M30" s="692" t="s">
        <v>225</v>
      </c>
      <c r="N30" s="692">
        <v>0</v>
      </c>
      <c r="O30" s="692">
        <v>0</v>
      </c>
      <c r="P30" s="260"/>
      <c r="Q30" s="243"/>
      <c r="R30" s="243"/>
      <c r="S30" s="243"/>
      <c r="T30" s="243"/>
      <c r="U30" s="243"/>
      <c r="V30" s="243"/>
      <c r="W30" s="243"/>
      <c r="X30" s="243"/>
      <c r="Y30" s="243"/>
      <c r="Z30" s="243"/>
      <c r="AA30" s="243"/>
      <c r="AB30" s="243"/>
      <c r="AC30" s="243"/>
      <c r="AD30" s="243"/>
      <c r="AE30" s="243"/>
      <c r="AF30" s="243"/>
      <c r="AG30" s="243"/>
      <c r="AH30" s="243"/>
      <c r="AI30" s="243"/>
      <c r="AJ30" s="243"/>
      <c r="AK30" s="243"/>
      <c r="AL30" s="243"/>
      <c r="AM30" s="243"/>
      <c r="AN30" s="243"/>
      <c r="AO30" s="243"/>
      <c r="AP30" s="243"/>
      <c r="AQ30" s="243"/>
      <c r="AR30" s="243"/>
      <c r="AS30" s="243"/>
      <c r="AT30" s="243"/>
      <c r="AU30" s="243"/>
      <c r="AV30" s="243"/>
      <c r="AW30" s="243"/>
      <c r="AX30" s="243"/>
      <c r="AY30" s="243"/>
      <c r="AZ30" s="243"/>
      <c r="BA30" s="243"/>
      <c r="BB30" s="243"/>
    </row>
    <row r="31" spans="1:54" s="259" customFormat="1" x14ac:dyDescent="0.2">
      <c r="A31" s="1590"/>
      <c r="B31" s="1589" t="s">
        <v>714</v>
      </c>
      <c r="C31" s="445" t="s">
        <v>776</v>
      </c>
      <c r="D31" s="445" t="s">
        <v>777</v>
      </c>
      <c r="E31" s="690">
        <v>0</v>
      </c>
      <c r="F31" s="690">
        <v>0</v>
      </c>
      <c r="G31" s="690">
        <v>0</v>
      </c>
      <c r="H31" s="690">
        <v>0</v>
      </c>
      <c r="I31" s="690">
        <v>0</v>
      </c>
      <c r="J31" s="690">
        <v>0</v>
      </c>
      <c r="K31" s="693" t="s">
        <v>765</v>
      </c>
      <c r="L31" s="685" t="s">
        <v>225</v>
      </c>
      <c r="M31" s="685" t="s">
        <v>225</v>
      </c>
      <c r="N31" s="686">
        <v>0</v>
      </c>
      <c r="O31" s="686">
        <v>0</v>
      </c>
      <c r="P31" s="260"/>
      <c r="Q31" s="243"/>
      <c r="R31" s="243"/>
      <c r="S31" s="243"/>
      <c r="T31" s="243"/>
      <c r="U31" s="243"/>
      <c r="V31" s="243"/>
      <c r="W31" s="243"/>
      <c r="X31" s="243"/>
      <c r="Y31" s="243"/>
      <c r="Z31" s="243"/>
      <c r="AA31" s="243"/>
      <c r="AB31" s="243"/>
      <c r="AC31" s="243"/>
      <c r="AD31" s="243"/>
      <c r="AE31" s="243"/>
      <c r="AF31" s="243"/>
      <c r="AG31" s="243"/>
      <c r="AH31" s="243"/>
      <c r="AI31" s="243"/>
      <c r="AJ31" s="243"/>
      <c r="AK31" s="243"/>
      <c r="AL31" s="243"/>
      <c r="AM31" s="243"/>
      <c r="AN31" s="243"/>
      <c r="AO31" s="243"/>
      <c r="AP31" s="243"/>
      <c r="AQ31" s="243"/>
      <c r="AR31" s="243"/>
      <c r="AS31" s="243"/>
      <c r="AT31" s="243"/>
      <c r="AU31" s="243"/>
      <c r="AV31" s="243"/>
      <c r="AW31" s="243"/>
      <c r="AX31" s="243"/>
      <c r="AY31" s="243"/>
      <c r="AZ31" s="243"/>
      <c r="BA31" s="243"/>
      <c r="BB31" s="243"/>
    </row>
    <row r="32" spans="1:54" s="259" customFormat="1" ht="16.5" customHeight="1" x14ac:dyDescent="0.2">
      <c r="A32" s="1590"/>
      <c r="B32" s="1593"/>
      <c r="C32" s="489" t="s">
        <v>897</v>
      </c>
      <c r="D32" s="489"/>
      <c r="E32" s="691">
        <v>0</v>
      </c>
      <c r="F32" s="691">
        <v>0</v>
      </c>
      <c r="G32" s="691">
        <v>0</v>
      </c>
      <c r="H32" s="691">
        <v>0</v>
      </c>
      <c r="I32" s="691">
        <v>0</v>
      </c>
      <c r="J32" s="691">
        <v>0</v>
      </c>
      <c r="K32" s="494"/>
      <c r="L32" s="692" t="s">
        <v>225</v>
      </c>
      <c r="M32" s="692" t="s">
        <v>225</v>
      </c>
      <c r="N32" s="692">
        <v>1.2380952380952381</v>
      </c>
      <c r="O32" s="692">
        <v>8.8322761904761904E-2</v>
      </c>
      <c r="P32" s="260"/>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3"/>
      <c r="AV32" s="243"/>
      <c r="AW32" s="243"/>
      <c r="AX32" s="243"/>
      <c r="AY32" s="243"/>
      <c r="AZ32" s="243"/>
      <c r="BA32" s="243"/>
      <c r="BB32" s="243"/>
    </row>
    <row r="33" spans="1:54" s="259" customFormat="1" x14ac:dyDescent="0.2">
      <c r="A33" s="1591"/>
      <c r="B33" s="495" t="s">
        <v>936</v>
      </c>
      <c r="C33" s="493"/>
      <c r="D33" s="493"/>
      <c r="E33" s="691">
        <v>99</v>
      </c>
      <c r="F33" s="691">
        <v>49</v>
      </c>
      <c r="G33" s="691">
        <v>50</v>
      </c>
      <c r="H33" s="691">
        <v>7.2330399999999999</v>
      </c>
      <c r="I33" s="691">
        <v>3.6631</v>
      </c>
      <c r="J33" s="691">
        <v>3.5699399999999999</v>
      </c>
      <c r="K33" s="494"/>
      <c r="L33" s="692">
        <v>0</v>
      </c>
      <c r="M33" s="692">
        <v>0</v>
      </c>
      <c r="N33" s="692">
        <v>1.2380952380952381</v>
      </c>
      <c r="O33" s="692">
        <v>8.8322761904761904E-2</v>
      </c>
      <c r="P33" s="260"/>
      <c r="Q33" s="243"/>
      <c r="R33" s="243"/>
      <c r="S33" s="243"/>
      <c r="T33" s="243"/>
      <c r="U33" s="243"/>
      <c r="V33" s="243"/>
      <c r="W33" s="243"/>
      <c r="X33" s="243"/>
      <c r="Y33" s="243"/>
      <c r="Z33" s="243"/>
      <c r="AA33" s="243"/>
      <c r="AB33" s="243"/>
      <c r="AC33" s="243"/>
      <c r="AD33" s="243"/>
      <c r="AE33" s="243"/>
      <c r="AF33" s="243"/>
      <c r="AG33" s="243"/>
      <c r="AH33" s="243"/>
      <c r="AI33" s="243"/>
      <c r="AJ33" s="243"/>
      <c r="AK33" s="243"/>
      <c r="AL33" s="243"/>
      <c r="AM33" s="243"/>
      <c r="AN33" s="243"/>
      <c r="AO33" s="243"/>
      <c r="AP33" s="243"/>
      <c r="AQ33" s="243"/>
      <c r="AR33" s="243"/>
      <c r="AS33" s="243"/>
      <c r="AT33" s="243"/>
      <c r="AU33" s="243"/>
      <c r="AV33" s="243"/>
      <c r="AW33" s="243"/>
      <c r="AX33" s="243"/>
      <c r="AY33" s="243"/>
      <c r="AZ33" s="243"/>
      <c r="BA33" s="243"/>
      <c r="BB33" s="243"/>
    </row>
    <row r="34" spans="1:54" s="259" customFormat="1" ht="12.75" customHeight="1" x14ac:dyDescent="0.2">
      <c r="A34" s="1589" t="s">
        <v>937</v>
      </c>
      <c r="B34" s="1589" t="s">
        <v>751</v>
      </c>
      <c r="C34" s="445" t="s">
        <v>752</v>
      </c>
      <c r="D34" s="445" t="s">
        <v>916</v>
      </c>
      <c r="E34" s="1142">
        <v>0</v>
      </c>
      <c r="F34" s="1142">
        <v>0</v>
      </c>
      <c r="G34" s="1142">
        <v>0</v>
      </c>
      <c r="H34" s="1142">
        <v>0</v>
      </c>
      <c r="I34" s="1142">
        <v>0</v>
      </c>
      <c r="J34" s="1142">
        <v>0</v>
      </c>
      <c r="K34" s="487" t="s">
        <v>754</v>
      </c>
      <c r="L34" s="685"/>
      <c r="M34" s="685"/>
      <c r="N34" s="686">
        <v>0</v>
      </c>
      <c r="O34" s="686">
        <v>0</v>
      </c>
      <c r="P34" s="260"/>
      <c r="Q34" s="243"/>
      <c r="R34" s="243"/>
      <c r="S34" s="243"/>
      <c r="T34" s="243"/>
      <c r="U34" s="243"/>
      <c r="V34" s="243"/>
      <c r="W34" s="243"/>
      <c r="X34" s="243"/>
      <c r="Y34" s="243"/>
      <c r="Z34" s="243"/>
      <c r="AA34" s="243"/>
      <c r="AB34" s="243"/>
      <c r="AC34" s="243"/>
      <c r="AD34" s="243"/>
      <c r="AE34" s="243"/>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row>
    <row r="35" spans="1:54" s="259" customFormat="1" x14ac:dyDescent="0.2">
      <c r="A35" s="1590"/>
      <c r="B35" s="1594"/>
      <c r="C35" s="445" t="s">
        <v>755</v>
      </c>
      <c r="D35" s="445" t="s">
        <v>919</v>
      </c>
      <c r="E35" s="1142">
        <v>0</v>
      </c>
      <c r="F35" s="1142">
        <v>0</v>
      </c>
      <c r="G35" s="1142">
        <v>0</v>
      </c>
      <c r="H35" s="1142">
        <v>0</v>
      </c>
      <c r="I35" s="1142">
        <v>0</v>
      </c>
      <c r="J35" s="1142">
        <v>0</v>
      </c>
      <c r="K35" s="487" t="s">
        <v>754</v>
      </c>
      <c r="L35" s="685" t="s">
        <v>225</v>
      </c>
      <c r="M35" s="685" t="s">
        <v>225</v>
      </c>
      <c r="N35" s="686">
        <v>0</v>
      </c>
      <c r="O35" s="686">
        <v>0</v>
      </c>
      <c r="P35" s="260"/>
      <c r="Q35" s="243"/>
      <c r="R35" s="243"/>
      <c r="S35" s="243"/>
      <c r="T35" s="243"/>
      <c r="U35" s="243"/>
      <c r="V35" s="243"/>
      <c r="W35" s="243"/>
      <c r="X35" s="243"/>
      <c r="Y35" s="243"/>
      <c r="Z35" s="243"/>
      <c r="AA35" s="243"/>
      <c r="AB35" s="243"/>
      <c r="AC35" s="243"/>
      <c r="AD35" s="243"/>
      <c r="AE35" s="243"/>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row>
    <row r="36" spans="1:54" s="259" customFormat="1" x14ac:dyDescent="0.2">
      <c r="A36" s="1590"/>
      <c r="B36" s="1594"/>
      <c r="C36" s="445" t="s">
        <v>938</v>
      </c>
      <c r="D36" s="445" t="s">
        <v>939</v>
      </c>
      <c r="E36" s="1142">
        <v>0</v>
      </c>
      <c r="F36" s="1142">
        <v>0</v>
      </c>
      <c r="G36" s="1142">
        <v>0</v>
      </c>
      <c r="H36" s="1142">
        <v>0</v>
      </c>
      <c r="I36" s="1142">
        <v>0</v>
      </c>
      <c r="J36" s="1142">
        <v>0</v>
      </c>
      <c r="K36" s="487" t="s">
        <v>940</v>
      </c>
      <c r="L36" s="685"/>
      <c r="M36" s="685"/>
      <c r="N36" s="686">
        <v>0</v>
      </c>
      <c r="O36" s="686">
        <v>0</v>
      </c>
      <c r="P36" s="260"/>
      <c r="Q36" s="243"/>
      <c r="R36" s="243"/>
      <c r="S36" s="243"/>
      <c r="T36" s="243"/>
      <c r="U36" s="243"/>
      <c r="V36" s="243"/>
      <c r="W36" s="243"/>
      <c r="X36" s="243"/>
      <c r="Y36" s="243"/>
      <c r="Z36" s="243"/>
      <c r="AA36" s="243"/>
      <c r="AB36" s="243"/>
      <c r="AC36" s="243"/>
      <c r="AD36" s="243"/>
      <c r="AE36" s="243"/>
      <c r="AF36" s="243"/>
      <c r="AG36" s="243"/>
      <c r="AH36" s="243"/>
      <c r="AI36" s="243"/>
      <c r="AJ36" s="243"/>
      <c r="AK36" s="243"/>
      <c r="AL36" s="243"/>
      <c r="AM36" s="243"/>
      <c r="AN36" s="243"/>
      <c r="AO36" s="243"/>
      <c r="AP36" s="243"/>
      <c r="AQ36" s="243"/>
      <c r="AR36" s="243"/>
      <c r="AS36" s="243"/>
      <c r="AT36" s="243"/>
      <c r="AU36" s="243"/>
      <c r="AV36" s="243"/>
      <c r="AW36" s="243"/>
      <c r="AX36" s="243"/>
      <c r="AY36" s="243"/>
      <c r="AZ36" s="243"/>
      <c r="BA36" s="243"/>
      <c r="BB36" s="243"/>
    </row>
    <row r="37" spans="1:54" s="259" customFormat="1" x14ac:dyDescent="0.2">
      <c r="A37" s="1590"/>
      <c r="B37" s="1594"/>
      <c r="C37" s="445" t="s">
        <v>820</v>
      </c>
      <c r="D37" s="445" t="s">
        <v>917</v>
      </c>
      <c r="E37" s="1142">
        <v>25</v>
      </c>
      <c r="F37" s="1142">
        <v>11</v>
      </c>
      <c r="G37" s="1142">
        <v>14</v>
      </c>
      <c r="H37" s="1142">
        <v>6.4954620000000007</v>
      </c>
      <c r="I37" s="1142">
        <v>2.6928329999999998</v>
      </c>
      <c r="J37" s="1142">
        <v>3.802629</v>
      </c>
      <c r="K37" s="487" t="s">
        <v>765</v>
      </c>
      <c r="L37" s="689">
        <v>80840</v>
      </c>
      <c r="M37" s="689">
        <v>91500</v>
      </c>
      <c r="N37" s="686">
        <v>0.91304347826086951</v>
      </c>
      <c r="O37" s="686">
        <v>0.24495495652173913</v>
      </c>
      <c r="P37" s="260"/>
      <c r="Q37" s="243"/>
      <c r="R37" s="243"/>
      <c r="S37" s="243"/>
      <c r="T37" s="243"/>
      <c r="U37" s="243"/>
      <c r="V37" s="243"/>
      <c r="W37" s="243"/>
      <c r="X37" s="243"/>
      <c r="Y37" s="243"/>
      <c r="Z37" s="243"/>
      <c r="AA37" s="243"/>
      <c r="AB37" s="243"/>
      <c r="AC37" s="243"/>
      <c r="AD37" s="243"/>
      <c r="AE37" s="243"/>
      <c r="AF37" s="243"/>
      <c r="AG37" s="243"/>
      <c r="AH37" s="243"/>
      <c r="AI37" s="243"/>
      <c r="AJ37" s="243"/>
      <c r="AK37" s="243"/>
      <c r="AL37" s="243"/>
      <c r="AM37" s="243"/>
      <c r="AN37" s="243"/>
      <c r="AO37" s="243"/>
      <c r="AP37" s="243"/>
      <c r="AQ37" s="243"/>
      <c r="AR37" s="243"/>
      <c r="AS37" s="243"/>
      <c r="AT37" s="243"/>
      <c r="AU37" s="243"/>
      <c r="AV37" s="243"/>
      <c r="AW37" s="243"/>
      <c r="AX37" s="243"/>
      <c r="AY37" s="243"/>
      <c r="AZ37" s="243"/>
      <c r="BA37" s="243"/>
      <c r="BB37" s="243"/>
    </row>
    <row r="38" spans="1:54" s="259" customFormat="1" x14ac:dyDescent="0.2">
      <c r="A38" s="1590"/>
      <c r="B38" s="1594"/>
      <c r="C38" s="445" t="s">
        <v>1145</v>
      </c>
      <c r="D38" s="445" t="s">
        <v>1146</v>
      </c>
      <c r="E38" s="1142">
        <v>0</v>
      </c>
      <c r="F38" s="1142">
        <v>0</v>
      </c>
      <c r="G38" s="1142">
        <v>0</v>
      </c>
      <c r="H38" s="1142">
        <v>0</v>
      </c>
      <c r="I38" s="1142">
        <v>0</v>
      </c>
      <c r="J38" s="1142">
        <v>0</v>
      </c>
      <c r="K38" s="487" t="s">
        <v>1146</v>
      </c>
      <c r="L38" s="685"/>
      <c r="M38" s="685"/>
      <c r="N38" s="686">
        <v>0</v>
      </c>
      <c r="O38" s="686">
        <v>0</v>
      </c>
      <c r="P38" s="260"/>
      <c r="Q38" s="243"/>
      <c r="R38" s="243"/>
      <c r="S38" s="243"/>
      <c r="T38" s="243"/>
      <c r="U38" s="243"/>
      <c r="V38" s="243"/>
      <c r="W38" s="243"/>
      <c r="X38" s="243"/>
      <c r="Y38" s="243"/>
      <c r="Z38" s="243"/>
      <c r="AA38" s="243"/>
      <c r="AB38" s="243"/>
      <c r="AC38" s="243"/>
      <c r="AD38" s="243"/>
      <c r="AE38" s="243"/>
      <c r="AF38" s="243"/>
      <c r="AG38" s="243"/>
      <c r="AH38" s="243"/>
      <c r="AI38" s="243"/>
      <c r="AJ38" s="243"/>
      <c r="AK38" s="243"/>
      <c r="AL38" s="243"/>
      <c r="AM38" s="243"/>
      <c r="AN38" s="243"/>
      <c r="AO38" s="243"/>
      <c r="AP38" s="243"/>
      <c r="AQ38" s="243"/>
      <c r="AR38" s="243"/>
      <c r="AS38" s="243"/>
      <c r="AT38" s="243"/>
      <c r="AU38" s="243"/>
      <c r="AV38" s="243"/>
      <c r="AW38" s="243"/>
      <c r="AX38" s="243"/>
      <c r="AY38" s="243"/>
      <c r="AZ38" s="243"/>
      <c r="BA38" s="243"/>
      <c r="BB38" s="243"/>
    </row>
    <row r="39" spans="1:54" s="259" customFormat="1" x14ac:dyDescent="0.2">
      <c r="A39" s="1590"/>
      <c r="B39" s="1594"/>
      <c r="C39" s="445" t="s">
        <v>1147</v>
      </c>
      <c r="D39" s="445" t="s">
        <v>916</v>
      </c>
      <c r="E39" s="1142">
        <v>0</v>
      </c>
      <c r="F39" s="1142">
        <v>0</v>
      </c>
      <c r="G39" s="1142">
        <v>0</v>
      </c>
      <c r="H39" s="1142">
        <v>0</v>
      </c>
      <c r="I39" s="1142">
        <v>0</v>
      </c>
      <c r="J39" s="1142">
        <v>0</v>
      </c>
      <c r="K39" s="487" t="s">
        <v>916</v>
      </c>
      <c r="L39" s="685"/>
      <c r="M39" s="685"/>
      <c r="N39" s="686">
        <v>0</v>
      </c>
      <c r="O39" s="686">
        <v>0</v>
      </c>
      <c r="P39" s="260"/>
      <c r="Q39" s="243"/>
      <c r="R39" s="243"/>
      <c r="S39" s="243"/>
      <c r="T39" s="243"/>
      <c r="U39" s="243"/>
      <c r="V39" s="243"/>
      <c r="W39" s="243"/>
      <c r="X39" s="243"/>
      <c r="Y39" s="243"/>
      <c r="Z39" s="243"/>
      <c r="AA39" s="243"/>
      <c r="AB39" s="243"/>
      <c r="AC39" s="243"/>
      <c r="AD39" s="243"/>
      <c r="AE39" s="243"/>
      <c r="AF39" s="243"/>
      <c r="AG39" s="243"/>
      <c r="AH39" s="243"/>
      <c r="AI39" s="243"/>
      <c r="AJ39" s="243"/>
      <c r="AK39" s="243"/>
      <c r="AL39" s="243"/>
      <c r="AM39" s="243"/>
      <c r="AN39" s="243"/>
      <c r="AO39" s="243"/>
      <c r="AP39" s="243"/>
      <c r="AQ39" s="243"/>
      <c r="AR39" s="243"/>
      <c r="AS39" s="243"/>
      <c r="AT39" s="243"/>
      <c r="AU39" s="243"/>
      <c r="AV39" s="243"/>
      <c r="AW39" s="243"/>
      <c r="AX39" s="243"/>
      <c r="AY39" s="243"/>
      <c r="AZ39" s="243"/>
      <c r="BA39" s="243"/>
      <c r="BB39" s="243"/>
    </row>
    <row r="40" spans="1:54" s="259" customFormat="1" x14ac:dyDescent="0.2">
      <c r="A40" s="1590"/>
      <c r="B40" s="1593"/>
      <c r="C40" s="489" t="s">
        <v>924</v>
      </c>
      <c r="D40" s="489"/>
      <c r="E40" s="1143">
        <v>25</v>
      </c>
      <c r="F40" s="1143">
        <v>11</v>
      </c>
      <c r="G40" s="1143">
        <v>14</v>
      </c>
      <c r="H40" s="1143">
        <v>6.4954620000000007</v>
      </c>
      <c r="I40" s="1143">
        <v>2.6928329999999998</v>
      </c>
      <c r="J40" s="1143">
        <v>3.802629</v>
      </c>
      <c r="K40" s="494"/>
      <c r="L40" s="692">
        <v>80840</v>
      </c>
      <c r="M40" s="692">
        <v>91500</v>
      </c>
      <c r="N40" s="692">
        <v>0.91304347826086951</v>
      </c>
      <c r="O40" s="1152">
        <v>0.24495495652173913</v>
      </c>
      <c r="P40" s="260"/>
      <c r="Q40" s="243"/>
      <c r="R40" s="243"/>
      <c r="S40" s="243"/>
      <c r="T40" s="243"/>
      <c r="U40" s="243"/>
      <c r="V40" s="243"/>
      <c r="W40" s="243"/>
      <c r="X40" s="243"/>
      <c r="Y40" s="243"/>
      <c r="Z40" s="243"/>
      <c r="AA40" s="243"/>
      <c r="AB40" s="243"/>
      <c r="AC40" s="243"/>
      <c r="AD40" s="243"/>
      <c r="AE40" s="243"/>
      <c r="AF40" s="243"/>
      <c r="AG40" s="243"/>
      <c r="AH40" s="243"/>
      <c r="AI40" s="243"/>
      <c r="AJ40" s="243"/>
      <c r="AK40" s="243"/>
      <c r="AL40" s="243"/>
      <c r="AM40" s="243"/>
      <c r="AN40" s="243"/>
      <c r="AO40" s="243"/>
      <c r="AP40" s="243"/>
      <c r="AQ40" s="243"/>
      <c r="AR40" s="243"/>
      <c r="AS40" s="243"/>
      <c r="AT40" s="243"/>
      <c r="AU40" s="243"/>
      <c r="AV40" s="243"/>
      <c r="AW40" s="243"/>
      <c r="AX40" s="243"/>
      <c r="AY40" s="243"/>
      <c r="AZ40" s="243"/>
      <c r="BA40" s="243"/>
      <c r="BB40" s="243"/>
    </row>
    <row r="41" spans="1:54" s="259" customFormat="1" x14ac:dyDescent="0.2">
      <c r="A41" s="1590"/>
      <c r="B41" s="1589" t="s">
        <v>941</v>
      </c>
      <c r="C41" s="445" t="s">
        <v>942</v>
      </c>
      <c r="D41" s="445" t="s">
        <v>943</v>
      </c>
      <c r="E41" s="1142">
        <v>0</v>
      </c>
      <c r="F41" s="1142">
        <v>0</v>
      </c>
      <c r="G41" s="1142">
        <v>0</v>
      </c>
      <c r="H41" s="1142">
        <v>0</v>
      </c>
      <c r="I41" s="1142">
        <v>0</v>
      </c>
      <c r="J41" s="1142">
        <v>0</v>
      </c>
      <c r="K41" s="487" t="s">
        <v>805</v>
      </c>
      <c r="L41" s="685" t="s">
        <v>225</v>
      </c>
      <c r="M41" s="685" t="s">
        <v>225</v>
      </c>
      <c r="N41" s="686">
        <v>0</v>
      </c>
      <c r="O41" s="686">
        <v>0</v>
      </c>
      <c r="P41" s="260"/>
      <c r="Q41" s="243"/>
      <c r="R41" s="243"/>
      <c r="S41" s="243"/>
      <c r="T41" s="243"/>
      <c r="U41" s="243"/>
      <c r="V41" s="243"/>
      <c r="W41" s="243"/>
      <c r="X41" s="243"/>
      <c r="Y41" s="243"/>
      <c r="Z41" s="243"/>
      <c r="AA41" s="243"/>
      <c r="AB41" s="243"/>
      <c r="AC41" s="243"/>
      <c r="AD41" s="243"/>
      <c r="AE41" s="243"/>
      <c r="AF41" s="243"/>
      <c r="AG41" s="243"/>
      <c r="AH41" s="243"/>
      <c r="AI41" s="243"/>
      <c r="AJ41" s="243"/>
      <c r="AK41" s="243"/>
      <c r="AL41" s="243"/>
      <c r="AM41" s="243"/>
      <c r="AN41" s="243"/>
      <c r="AO41" s="243"/>
      <c r="AP41" s="243"/>
      <c r="AQ41" s="243"/>
      <c r="AR41" s="243"/>
      <c r="AS41" s="243"/>
      <c r="AT41" s="243"/>
      <c r="AU41" s="243"/>
      <c r="AV41" s="243"/>
      <c r="AW41" s="243"/>
      <c r="AX41" s="243"/>
      <c r="AY41" s="243"/>
      <c r="AZ41" s="243"/>
      <c r="BA41" s="243"/>
      <c r="BB41" s="243"/>
    </row>
    <row r="42" spans="1:54" s="259" customFormat="1" x14ac:dyDescent="0.2">
      <c r="A42" s="1590"/>
      <c r="B42" s="1594"/>
      <c r="C42" s="445" t="s">
        <v>944</v>
      </c>
      <c r="D42" s="445" t="s">
        <v>945</v>
      </c>
      <c r="E42" s="1142">
        <v>0</v>
      </c>
      <c r="F42" s="1142">
        <v>0</v>
      </c>
      <c r="G42" s="1142">
        <v>0</v>
      </c>
      <c r="H42" s="1142">
        <v>0</v>
      </c>
      <c r="I42" s="1142">
        <v>0</v>
      </c>
      <c r="J42" s="1142">
        <v>0</v>
      </c>
      <c r="K42" s="487" t="s">
        <v>805</v>
      </c>
      <c r="L42" s="685" t="s">
        <v>225</v>
      </c>
      <c r="M42" s="685" t="s">
        <v>225</v>
      </c>
      <c r="N42" s="686">
        <v>0</v>
      </c>
      <c r="O42" s="686">
        <v>0</v>
      </c>
      <c r="P42" s="260"/>
      <c r="Q42" s="243"/>
      <c r="R42" s="243"/>
      <c r="S42" s="243"/>
      <c r="T42" s="243"/>
      <c r="U42" s="243"/>
      <c r="V42" s="243"/>
      <c r="W42" s="243"/>
      <c r="X42" s="243"/>
      <c r="Y42" s="243"/>
      <c r="Z42" s="243"/>
      <c r="AA42" s="243"/>
      <c r="AB42" s="243"/>
      <c r="AC42" s="243"/>
      <c r="AD42" s="243"/>
      <c r="AE42" s="243"/>
      <c r="AF42" s="243"/>
      <c r="AG42" s="243"/>
      <c r="AH42" s="243"/>
      <c r="AI42" s="243"/>
      <c r="AJ42" s="243"/>
      <c r="AK42" s="243"/>
      <c r="AL42" s="243"/>
      <c r="AM42" s="243"/>
      <c r="AN42" s="243"/>
      <c r="AO42" s="243"/>
      <c r="AP42" s="243"/>
      <c r="AQ42" s="243"/>
      <c r="AR42" s="243"/>
      <c r="AS42" s="243"/>
      <c r="AT42" s="243"/>
      <c r="AU42" s="243"/>
      <c r="AV42" s="243"/>
      <c r="AW42" s="243"/>
      <c r="AX42" s="243"/>
      <c r="AY42" s="243"/>
      <c r="AZ42" s="243"/>
      <c r="BA42" s="243"/>
      <c r="BB42" s="243"/>
    </row>
    <row r="43" spans="1:54" s="259" customFormat="1" x14ac:dyDescent="0.2">
      <c r="A43" s="1590"/>
      <c r="B43" s="1594"/>
      <c r="C43" s="445" t="s">
        <v>946</v>
      </c>
      <c r="D43" s="445" t="s">
        <v>809</v>
      </c>
      <c r="E43" s="1142">
        <v>32</v>
      </c>
      <c r="F43" s="1142">
        <v>32</v>
      </c>
      <c r="G43" s="1142">
        <v>0</v>
      </c>
      <c r="H43" s="1142">
        <v>0.59468750000000004</v>
      </c>
      <c r="I43" s="1142">
        <v>0.59468750000000004</v>
      </c>
      <c r="J43" s="1142">
        <v>0</v>
      </c>
      <c r="K43" s="487" t="s">
        <v>810</v>
      </c>
      <c r="L43" s="685" t="s">
        <v>225</v>
      </c>
      <c r="M43" s="685" t="s">
        <v>225</v>
      </c>
      <c r="N43" s="686">
        <v>0</v>
      </c>
      <c r="O43" s="686">
        <v>0</v>
      </c>
      <c r="P43" s="260"/>
      <c r="Q43" s="243"/>
      <c r="R43" s="243"/>
      <c r="S43" s="243"/>
      <c r="T43" s="243"/>
      <c r="U43" s="243"/>
      <c r="V43" s="243"/>
      <c r="W43" s="243"/>
      <c r="X43" s="243"/>
      <c r="Y43" s="243"/>
      <c r="Z43" s="243"/>
      <c r="AA43" s="243"/>
      <c r="AB43" s="243"/>
      <c r="AC43" s="243"/>
      <c r="AD43" s="243"/>
      <c r="AE43" s="243"/>
      <c r="AF43" s="243"/>
      <c r="AG43" s="243"/>
      <c r="AH43" s="243"/>
      <c r="AI43" s="243"/>
      <c r="AJ43" s="243"/>
      <c r="AK43" s="243"/>
      <c r="AL43" s="243"/>
      <c r="AM43" s="243"/>
      <c r="AN43" s="243"/>
      <c r="AO43" s="243"/>
      <c r="AP43" s="243"/>
      <c r="AQ43" s="243"/>
      <c r="AR43" s="243"/>
      <c r="AS43" s="243"/>
      <c r="AT43" s="243"/>
      <c r="AU43" s="243"/>
      <c r="AV43" s="243"/>
      <c r="AW43" s="243"/>
      <c r="AX43" s="243"/>
      <c r="AY43" s="243"/>
      <c r="AZ43" s="243"/>
      <c r="BA43" s="243"/>
      <c r="BB43" s="243"/>
    </row>
    <row r="44" spans="1:54" s="259" customFormat="1" x14ac:dyDescent="0.2">
      <c r="A44" s="1590"/>
      <c r="B44" s="1594"/>
      <c r="C44" s="445" t="s">
        <v>947</v>
      </c>
      <c r="D44" s="445" t="s">
        <v>948</v>
      </c>
      <c r="E44" s="1142">
        <v>252</v>
      </c>
      <c r="F44" s="1142">
        <v>118</v>
      </c>
      <c r="G44" s="1142">
        <v>134</v>
      </c>
      <c r="H44" s="1142">
        <v>17.226079999999996</v>
      </c>
      <c r="I44" s="1142">
        <v>8.3923500000000004</v>
      </c>
      <c r="J44" s="1142">
        <v>8.8337300000000027</v>
      </c>
      <c r="K44" s="487" t="s">
        <v>805</v>
      </c>
      <c r="L44" s="689">
        <v>6818</v>
      </c>
      <c r="M44" s="689" t="s">
        <v>225</v>
      </c>
      <c r="N44" s="686">
        <v>20.913043478260871</v>
      </c>
      <c r="O44" s="686">
        <v>1.3740708695652175</v>
      </c>
      <c r="P44" s="260"/>
      <c r="Q44" s="243"/>
      <c r="R44" s="243"/>
      <c r="S44" s="243"/>
      <c r="T44" s="243"/>
      <c r="U44" s="243"/>
      <c r="V44" s="243"/>
      <c r="W44" s="243"/>
      <c r="X44" s="243"/>
      <c r="Y44" s="243"/>
      <c r="Z44" s="243"/>
      <c r="AA44" s="243"/>
      <c r="AB44" s="243"/>
      <c r="AC44" s="243"/>
      <c r="AD44" s="243"/>
      <c r="AE44" s="243"/>
      <c r="AF44" s="243"/>
      <c r="AG44" s="243"/>
      <c r="AH44" s="243"/>
      <c r="AI44" s="243"/>
      <c r="AJ44" s="243"/>
      <c r="AK44" s="243"/>
      <c r="AL44" s="243"/>
      <c r="AM44" s="243"/>
      <c r="AN44" s="243"/>
      <c r="AO44" s="243"/>
      <c r="AP44" s="243"/>
      <c r="AQ44" s="243"/>
      <c r="AR44" s="243"/>
      <c r="AS44" s="243"/>
      <c r="AT44" s="243"/>
      <c r="AU44" s="243"/>
      <c r="AV44" s="243"/>
      <c r="AW44" s="243"/>
      <c r="AX44" s="243"/>
      <c r="AY44" s="243"/>
      <c r="AZ44" s="243"/>
      <c r="BA44" s="243"/>
      <c r="BB44" s="243"/>
    </row>
    <row r="45" spans="1:54" s="259" customFormat="1" x14ac:dyDescent="0.2">
      <c r="A45" s="1590"/>
      <c r="B45" s="1593"/>
      <c r="C45" s="489" t="s">
        <v>931</v>
      </c>
      <c r="D45" s="489"/>
      <c r="E45" s="1144">
        <v>284</v>
      </c>
      <c r="F45" s="1144">
        <v>150</v>
      </c>
      <c r="G45" s="1144">
        <v>134</v>
      </c>
      <c r="H45" s="1144">
        <v>17.820767499999995</v>
      </c>
      <c r="I45" s="1144">
        <v>8.9870374999999996</v>
      </c>
      <c r="J45" s="1144">
        <v>8.8337300000000027</v>
      </c>
      <c r="K45" s="490"/>
      <c r="L45" s="683">
        <v>6818</v>
      </c>
      <c r="M45" s="683" t="s">
        <v>225</v>
      </c>
      <c r="N45" s="691">
        <v>20.913043478260871</v>
      </c>
      <c r="O45" s="691">
        <v>1.3740708695652175</v>
      </c>
      <c r="P45" s="260"/>
      <c r="Q45" s="243"/>
      <c r="R45" s="243"/>
      <c r="S45" s="243"/>
      <c r="T45" s="243"/>
      <c r="U45" s="243"/>
      <c r="V45" s="243"/>
      <c r="W45" s="243"/>
      <c r="X45" s="243"/>
      <c r="Y45" s="243"/>
      <c r="Z45" s="243"/>
      <c r="AA45" s="243"/>
      <c r="AB45" s="243"/>
      <c r="AC45" s="243"/>
      <c r="AD45" s="243"/>
      <c r="AE45" s="243"/>
      <c r="AF45" s="243"/>
      <c r="AG45" s="243"/>
      <c r="AH45" s="243"/>
      <c r="AI45" s="243"/>
      <c r="AJ45" s="243"/>
      <c r="AK45" s="243"/>
      <c r="AL45" s="243"/>
      <c r="AM45" s="243"/>
      <c r="AN45" s="243"/>
      <c r="AO45" s="243"/>
      <c r="AP45" s="243"/>
      <c r="AQ45" s="243"/>
      <c r="AR45" s="243"/>
      <c r="AS45" s="243"/>
      <c r="AT45" s="243"/>
      <c r="AU45" s="243"/>
      <c r="AV45" s="243"/>
      <c r="AW45" s="243"/>
      <c r="AX45" s="243"/>
      <c r="AY45" s="243"/>
      <c r="AZ45" s="243"/>
      <c r="BA45" s="243"/>
      <c r="BB45" s="243"/>
    </row>
    <row r="46" spans="1:54" s="259" customFormat="1" x14ac:dyDescent="0.2">
      <c r="A46" s="1590"/>
      <c r="B46" s="1589" t="s">
        <v>925</v>
      </c>
      <c r="C46" s="496" t="s">
        <v>949</v>
      </c>
      <c r="D46" s="445" t="s">
        <v>793</v>
      </c>
      <c r="E46" s="1145">
        <v>0</v>
      </c>
      <c r="F46" s="1145">
        <v>0</v>
      </c>
      <c r="G46" s="1145">
        <v>0</v>
      </c>
      <c r="H46" s="1145">
        <v>0</v>
      </c>
      <c r="I46" s="1145">
        <v>0</v>
      </c>
      <c r="J46" s="1145">
        <v>0</v>
      </c>
      <c r="K46" s="693" t="s">
        <v>950</v>
      </c>
      <c r="L46" s="487" t="s">
        <v>225</v>
      </c>
      <c r="M46" s="487" t="s">
        <v>225</v>
      </c>
      <c r="N46" s="487">
        <v>0</v>
      </c>
      <c r="O46" s="487">
        <v>0</v>
      </c>
      <c r="P46" s="260"/>
      <c r="Q46" s="243"/>
      <c r="R46" s="243"/>
      <c r="S46" s="243"/>
      <c r="T46" s="243"/>
      <c r="U46" s="243"/>
      <c r="V46" s="243"/>
      <c r="W46" s="243"/>
      <c r="X46" s="243"/>
      <c r="Y46" s="243"/>
      <c r="Z46" s="243"/>
      <c r="AA46" s="243"/>
      <c r="AB46" s="243"/>
      <c r="AC46" s="243"/>
      <c r="AD46" s="243"/>
      <c r="AE46" s="243"/>
      <c r="AF46" s="243"/>
      <c r="AG46" s="243"/>
      <c r="AH46" s="243"/>
      <c r="AI46" s="243"/>
      <c r="AJ46" s="243"/>
      <c r="AK46" s="243"/>
      <c r="AL46" s="243"/>
      <c r="AM46" s="243"/>
      <c r="AN46" s="243"/>
      <c r="AO46" s="243"/>
      <c r="AP46" s="243"/>
      <c r="AQ46" s="243"/>
      <c r="AR46" s="243"/>
      <c r="AS46" s="243"/>
      <c r="AT46" s="243"/>
      <c r="AU46" s="243"/>
      <c r="AV46" s="243"/>
      <c r="AW46" s="243"/>
      <c r="AX46" s="243"/>
      <c r="AY46" s="243"/>
      <c r="AZ46" s="243"/>
      <c r="BA46" s="243"/>
      <c r="BB46" s="243"/>
    </row>
    <row r="47" spans="1:54" s="259" customFormat="1" x14ac:dyDescent="0.2">
      <c r="A47" s="1590"/>
      <c r="B47" s="1593"/>
      <c r="C47" s="489" t="s">
        <v>894</v>
      </c>
      <c r="D47" s="489"/>
      <c r="E47" s="1143">
        <v>0</v>
      </c>
      <c r="F47" s="1143">
        <v>0</v>
      </c>
      <c r="G47" s="1143">
        <v>0</v>
      </c>
      <c r="H47" s="1143">
        <v>0</v>
      </c>
      <c r="I47" s="1143">
        <v>0</v>
      </c>
      <c r="J47" s="1143">
        <v>0</v>
      </c>
      <c r="K47" s="494"/>
      <c r="L47" s="692"/>
      <c r="M47" s="692"/>
      <c r="N47" s="692">
        <v>0</v>
      </c>
      <c r="O47" s="692">
        <v>0</v>
      </c>
      <c r="P47" s="260"/>
      <c r="Q47" s="243"/>
      <c r="R47" s="243"/>
      <c r="S47" s="243"/>
      <c r="T47" s="243"/>
      <c r="U47" s="243"/>
      <c r="V47" s="243"/>
      <c r="W47" s="243"/>
      <c r="X47" s="243"/>
      <c r="Y47" s="243"/>
      <c r="Z47" s="243"/>
      <c r="AA47" s="243"/>
      <c r="AB47" s="243"/>
      <c r="AC47" s="243"/>
      <c r="AD47" s="243"/>
      <c r="AE47" s="243"/>
      <c r="AF47" s="243"/>
      <c r="AG47" s="243"/>
      <c r="AH47" s="243"/>
      <c r="AI47" s="243"/>
      <c r="AJ47" s="243"/>
      <c r="AK47" s="243"/>
      <c r="AL47" s="243"/>
      <c r="AM47" s="243"/>
      <c r="AN47" s="243"/>
      <c r="AO47" s="243"/>
      <c r="AP47" s="243"/>
      <c r="AQ47" s="243"/>
      <c r="AR47" s="243"/>
      <c r="AS47" s="243"/>
      <c r="AT47" s="243"/>
      <c r="AU47" s="243"/>
      <c r="AV47" s="243"/>
      <c r="AW47" s="243"/>
      <c r="AX47" s="243"/>
      <c r="AY47" s="243"/>
      <c r="AZ47" s="243"/>
    </row>
    <row r="48" spans="1:54" s="259" customFormat="1" x14ac:dyDescent="0.2">
      <c r="A48" s="1590"/>
      <c r="B48" s="1589" t="s">
        <v>714</v>
      </c>
      <c r="C48" s="445" t="s">
        <v>776</v>
      </c>
      <c r="D48" s="445" t="s">
        <v>777</v>
      </c>
      <c r="E48" s="1142">
        <v>0</v>
      </c>
      <c r="F48" s="1142">
        <v>0</v>
      </c>
      <c r="G48" s="1142">
        <v>0</v>
      </c>
      <c r="H48" s="1142">
        <v>0</v>
      </c>
      <c r="I48" s="1142">
        <v>0</v>
      </c>
      <c r="J48" s="1142">
        <v>0</v>
      </c>
      <c r="K48" s="693" t="s">
        <v>765</v>
      </c>
      <c r="L48" s="685" t="s">
        <v>225</v>
      </c>
      <c r="M48" s="685" t="s">
        <v>225</v>
      </c>
      <c r="N48" s="686">
        <v>0</v>
      </c>
      <c r="O48" s="686">
        <v>0</v>
      </c>
      <c r="P48" s="260"/>
      <c r="Q48" s="243"/>
      <c r="R48" s="243"/>
      <c r="S48" s="243"/>
      <c r="T48" s="243"/>
      <c r="U48" s="243"/>
      <c r="V48" s="243"/>
      <c r="W48" s="243"/>
      <c r="X48" s="243"/>
      <c r="Y48" s="243"/>
      <c r="Z48" s="243"/>
      <c r="AA48" s="243"/>
      <c r="AB48" s="243"/>
      <c r="AC48" s="243"/>
      <c r="AD48" s="243"/>
      <c r="AE48" s="243"/>
      <c r="AF48" s="243"/>
      <c r="AG48" s="243"/>
      <c r="AH48" s="243"/>
      <c r="AI48" s="243"/>
      <c r="AJ48" s="243"/>
      <c r="AK48" s="243"/>
      <c r="AL48" s="243"/>
      <c r="AM48" s="243"/>
      <c r="AN48" s="243"/>
      <c r="AO48" s="243"/>
      <c r="AP48" s="243"/>
      <c r="AQ48" s="243"/>
      <c r="AR48" s="243"/>
      <c r="AS48" s="243"/>
      <c r="AT48" s="243"/>
      <c r="AU48" s="243"/>
      <c r="AV48" s="243"/>
      <c r="AW48" s="243"/>
      <c r="AX48" s="243"/>
      <c r="AY48" s="243"/>
      <c r="AZ48" s="243"/>
    </row>
    <row r="49" spans="1:52" s="259" customFormat="1" x14ac:dyDescent="0.2">
      <c r="A49" s="1590"/>
      <c r="B49" s="1593"/>
      <c r="C49" s="489" t="s">
        <v>951</v>
      </c>
      <c r="D49" s="489"/>
      <c r="E49" s="1143">
        <v>0</v>
      </c>
      <c r="F49" s="1143">
        <v>0</v>
      </c>
      <c r="G49" s="1143">
        <v>0</v>
      </c>
      <c r="H49" s="1143">
        <v>0</v>
      </c>
      <c r="I49" s="1143">
        <v>0</v>
      </c>
      <c r="J49" s="1143">
        <v>0</v>
      </c>
      <c r="K49" s="494"/>
      <c r="L49" s="692"/>
      <c r="M49" s="692"/>
      <c r="N49" s="692">
        <v>0</v>
      </c>
      <c r="O49" s="692">
        <v>0</v>
      </c>
      <c r="P49" s="260"/>
      <c r="Q49" s="243"/>
      <c r="R49" s="243"/>
      <c r="S49" s="243"/>
      <c r="T49" s="243"/>
      <c r="U49" s="243"/>
      <c r="V49" s="243"/>
      <c r="W49" s="243"/>
      <c r="X49" s="243"/>
      <c r="Y49" s="243"/>
      <c r="Z49" s="243"/>
      <c r="AA49" s="243"/>
      <c r="AB49" s="243"/>
      <c r="AC49" s="243"/>
      <c r="AD49" s="243"/>
      <c r="AE49" s="243"/>
      <c r="AF49" s="243"/>
      <c r="AG49" s="243"/>
      <c r="AH49" s="243"/>
      <c r="AI49" s="243"/>
      <c r="AJ49" s="243"/>
      <c r="AK49" s="243"/>
      <c r="AL49" s="243"/>
      <c r="AM49" s="243"/>
      <c r="AN49" s="243"/>
      <c r="AO49" s="243"/>
      <c r="AP49" s="243"/>
      <c r="AQ49" s="243"/>
      <c r="AR49" s="243"/>
      <c r="AS49" s="243"/>
      <c r="AT49" s="243"/>
      <c r="AU49" s="243"/>
      <c r="AV49" s="243"/>
      <c r="AW49" s="243"/>
      <c r="AX49" s="243"/>
      <c r="AY49" s="243"/>
      <c r="AZ49" s="243"/>
    </row>
    <row r="50" spans="1:52" s="259" customFormat="1" x14ac:dyDescent="0.2">
      <c r="A50" s="1591"/>
      <c r="B50" s="1146" t="s">
        <v>952</v>
      </c>
      <c r="C50" s="1147" t="s">
        <v>952</v>
      </c>
      <c r="D50" s="1148"/>
      <c r="E50" s="1149">
        <v>309</v>
      </c>
      <c r="F50" s="1149">
        <v>161</v>
      </c>
      <c r="G50" s="1149">
        <v>148</v>
      </c>
      <c r="H50" s="1149">
        <v>24.316229499999995</v>
      </c>
      <c r="I50" s="1149">
        <v>11.6798705</v>
      </c>
      <c r="J50" s="1149">
        <v>12.636359000000002</v>
      </c>
      <c r="K50" s="1150"/>
      <c r="L50" s="1151"/>
      <c r="M50" s="1151"/>
      <c r="N50" s="1151">
        <v>21.826086956521742</v>
      </c>
      <c r="O50" s="1151">
        <v>1.6190258260869566</v>
      </c>
      <c r="P50" s="260"/>
      <c r="Q50" s="243"/>
      <c r="R50" s="243"/>
      <c r="S50" s="243"/>
      <c r="T50" s="243"/>
      <c r="U50" s="243"/>
      <c r="V50" s="243"/>
      <c r="W50" s="243"/>
      <c r="X50" s="243"/>
      <c r="Y50" s="243"/>
      <c r="Z50" s="243"/>
      <c r="AA50" s="243"/>
      <c r="AB50" s="243"/>
      <c r="AC50" s="243"/>
      <c r="AD50" s="243"/>
      <c r="AE50" s="243"/>
      <c r="AF50" s="243"/>
      <c r="AG50" s="243"/>
      <c r="AH50" s="243"/>
      <c r="AI50" s="243"/>
      <c r="AJ50" s="243"/>
      <c r="AK50" s="243"/>
      <c r="AL50" s="243"/>
      <c r="AM50" s="243"/>
      <c r="AN50" s="243"/>
      <c r="AO50" s="243"/>
      <c r="AP50" s="243"/>
      <c r="AQ50" s="243"/>
      <c r="AR50" s="243"/>
      <c r="AS50" s="243"/>
      <c r="AT50" s="243"/>
      <c r="AU50" s="243"/>
      <c r="AV50" s="243"/>
      <c r="AW50" s="243"/>
      <c r="AX50" s="243"/>
      <c r="AY50" s="243"/>
      <c r="AZ50" s="243"/>
    </row>
    <row r="51" spans="1:52" s="259" customFormat="1" ht="15" customHeight="1" x14ac:dyDescent="0.2">
      <c r="A51" s="1589" t="s">
        <v>953</v>
      </c>
      <c r="B51" s="1592" t="s">
        <v>706</v>
      </c>
      <c r="C51" s="445" t="s">
        <v>755</v>
      </c>
      <c r="D51" s="445" t="s">
        <v>919</v>
      </c>
      <c r="E51" s="684">
        <v>0</v>
      </c>
      <c r="F51" s="684">
        <v>0</v>
      </c>
      <c r="G51" s="684">
        <v>0</v>
      </c>
      <c r="H51" s="684">
        <v>0</v>
      </c>
      <c r="I51" s="684">
        <v>0</v>
      </c>
      <c r="J51" s="684">
        <v>0</v>
      </c>
      <c r="K51" s="693" t="s">
        <v>754</v>
      </c>
      <c r="L51" s="689" t="s">
        <v>225</v>
      </c>
      <c r="M51" s="689" t="s">
        <v>225</v>
      </c>
      <c r="N51" s="686">
        <v>0</v>
      </c>
      <c r="O51" s="686">
        <v>0</v>
      </c>
      <c r="P51" s="260"/>
      <c r="Q51" s="243"/>
      <c r="R51" s="243"/>
      <c r="S51" s="243"/>
      <c r="T51" s="243"/>
      <c r="U51" s="243"/>
      <c r="V51" s="243"/>
      <c r="W51" s="243"/>
      <c r="X51" s="243"/>
      <c r="Y51" s="243"/>
      <c r="Z51" s="243"/>
      <c r="AA51" s="243"/>
      <c r="AB51" s="243"/>
      <c r="AC51" s="243"/>
      <c r="AD51" s="243"/>
      <c r="AE51" s="243"/>
      <c r="AF51" s="243"/>
      <c r="AG51" s="243"/>
      <c r="AH51" s="243"/>
      <c r="AI51" s="243"/>
      <c r="AJ51" s="243"/>
      <c r="AK51" s="243"/>
      <c r="AL51" s="243"/>
      <c r="AM51" s="243"/>
      <c r="AN51" s="243"/>
      <c r="AO51" s="243"/>
      <c r="AP51" s="243"/>
      <c r="AQ51" s="243"/>
      <c r="AR51" s="243"/>
      <c r="AS51" s="243"/>
      <c r="AT51" s="243"/>
      <c r="AU51" s="243"/>
      <c r="AV51" s="243"/>
      <c r="AW51" s="243"/>
      <c r="AX51" s="243"/>
      <c r="AY51" s="243"/>
      <c r="AZ51" s="243"/>
    </row>
    <row r="52" spans="1:52" s="259" customFormat="1" ht="15" customHeight="1" x14ac:dyDescent="0.2">
      <c r="A52" s="1590"/>
      <c r="B52" s="1593"/>
      <c r="C52" s="445" t="s">
        <v>820</v>
      </c>
      <c r="D52" s="445" t="s">
        <v>917</v>
      </c>
      <c r="E52" s="684">
        <v>9833</v>
      </c>
      <c r="F52" s="684">
        <v>6438</v>
      </c>
      <c r="G52" s="684">
        <v>3395</v>
      </c>
      <c r="H52" s="684">
        <v>2572.8176160000016</v>
      </c>
      <c r="I52" s="684">
        <v>1627.1451674999998</v>
      </c>
      <c r="J52" s="684">
        <v>945.67244849999975</v>
      </c>
      <c r="K52" s="693" t="s">
        <v>765</v>
      </c>
      <c r="L52" s="689" t="s">
        <v>225</v>
      </c>
      <c r="M52" s="689" t="s">
        <v>225</v>
      </c>
      <c r="N52" s="686">
        <v>5.7391304347826084</v>
      </c>
      <c r="O52" s="686">
        <v>1.5097173913043478</v>
      </c>
      <c r="P52" s="260"/>
      <c r="Q52" s="243"/>
      <c r="R52" s="243"/>
      <c r="S52" s="243"/>
      <c r="T52" s="243"/>
      <c r="U52" s="243"/>
      <c r="V52" s="243"/>
      <c r="W52" s="243"/>
      <c r="X52" s="243"/>
      <c r="Y52" s="243"/>
      <c r="Z52" s="243"/>
      <c r="AA52" s="243"/>
      <c r="AB52" s="243"/>
      <c r="AC52" s="243"/>
      <c r="AD52" s="243"/>
      <c r="AE52" s="243"/>
      <c r="AF52" s="243"/>
      <c r="AG52" s="243"/>
      <c r="AH52" s="243"/>
      <c r="AI52" s="243"/>
      <c r="AJ52" s="243"/>
      <c r="AK52" s="243"/>
      <c r="AL52" s="243"/>
      <c r="AM52" s="243"/>
      <c r="AN52" s="243"/>
      <c r="AO52" s="243"/>
      <c r="AP52" s="243"/>
      <c r="AQ52" s="243"/>
      <c r="AR52" s="243"/>
      <c r="AS52" s="243"/>
      <c r="AT52" s="243"/>
      <c r="AU52" s="243"/>
      <c r="AV52" s="243"/>
      <c r="AW52" s="243"/>
      <c r="AX52" s="243"/>
      <c r="AY52" s="243"/>
      <c r="AZ52" s="243"/>
    </row>
    <row r="53" spans="1:52" s="259" customFormat="1" x14ac:dyDescent="0.2">
      <c r="A53" s="1590"/>
      <c r="B53" s="1592" t="s">
        <v>726</v>
      </c>
      <c r="C53" s="445" t="s">
        <v>946</v>
      </c>
      <c r="D53" s="445" t="s">
        <v>1149</v>
      </c>
      <c r="E53" s="684">
        <v>85</v>
      </c>
      <c r="F53" s="684">
        <v>71</v>
      </c>
      <c r="G53" s="684">
        <v>14</v>
      </c>
      <c r="H53" s="684">
        <v>1.80728125</v>
      </c>
      <c r="I53" s="684">
        <v>1.4132562500000003</v>
      </c>
      <c r="J53" s="684">
        <v>0.39402499999999996</v>
      </c>
      <c r="K53" s="693" t="s">
        <v>810</v>
      </c>
      <c r="L53" s="689" t="s">
        <v>225</v>
      </c>
      <c r="M53" s="689" t="s">
        <v>225</v>
      </c>
      <c r="N53" s="689">
        <v>2.3043478260869565</v>
      </c>
      <c r="O53" s="689">
        <v>5.0434782608695652E-3</v>
      </c>
      <c r="P53" s="260"/>
      <c r="Q53" s="243"/>
      <c r="R53" s="243"/>
      <c r="S53" s="243"/>
      <c r="T53" s="243"/>
      <c r="U53" s="243"/>
      <c r="V53" s="243"/>
      <c r="W53" s="243"/>
      <c r="X53" s="243"/>
      <c r="Y53" s="243"/>
      <c r="Z53" s="243"/>
      <c r="AA53" s="243"/>
      <c r="AB53" s="243"/>
      <c r="AC53" s="243"/>
      <c r="AD53" s="243"/>
      <c r="AE53" s="243"/>
      <c r="AF53" s="243"/>
      <c r="AG53" s="243"/>
      <c r="AH53" s="243"/>
      <c r="AI53" s="243"/>
      <c r="AJ53" s="243"/>
      <c r="AK53" s="243"/>
      <c r="AL53" s="243"/>
      <c r="AM53" s="243"/>
      <c r="AN53" s="243"/>
      <c r="AO53" s="243"/>
      <c r="AP53" s="243"/>
      <c r="AQ53" s="243"/>
      <c r="AR53" s="243"/>
      <c r="AS53" s="243"/>
      <c r="AT53" s="243"/>
      <c r="AU53" s="243"/>
      <c r="AV53" s="243"/>
      <c r="AW53" s="243"/>
      <c r="AX53" s="243"/>
      <c r="AY53" s="243"/>
      <c r="AZ53" s="243"/>
    </row>
    <row r="54" spans="1:52" s="259" customFormat="1" ht="12.75" customHeight="1" x14ac:dyDescent="0.2">
      <c r="A54" s="1590"/>
      <c r="B54" s="1593"/>
      <c r="C54" s="445" t="s">
        <v>947</v>
      </c>
      <c r="D54" s="498" t="s">
        <v>1150</v>
      </c>
      <c r="E54" s="684">
        <v>3287810</v>
      </c>
      <c r="F54" s="684">
        <v>1723185</v>
      </c>
      <c r="G54" s="684">
        <v>1564625</v>
      </c>
      <c r="H54" s="684">
        <v>226676.56321400002</v>
      </c>
      <c r="I54" s="684">
        <v>113715.76553599995</v>
      </c>
      <c r="J54" s="684">
        <v>112960.79767800003</v>
      </c>
      <c r="K54" s="499" t="s">
        <v>805</v>
      </c>
      <c r="L54" s="689" t="s">
        <v>225</v>
      </c>
      <c r="M54" s="689" t="s">
        <v>225</v>
      </c>
      <c r="N54" s="689">
        <v>512.6521739130435</v>
      </c>
      <c r="O54" s="689">
        <v>33.943695652173908</v>
      </c>
      <c r="P54" s="260"/>
      <c r="Q54" s="243"/>
      <c r="R54" s="243"/>
      <c r="S54" s="243"/>
      <c r="T54" s="243"/>
      <c r="U54" s="243"/>
      <c r="V54" s="243"/>
      <c r="W54" s="243"/>
      <c r="X54" s="243"/>
      <c r="Y54" s="243"/>
      <c r="Z54" s="243"/>
      <c r="AA54" s="243"/>
      <c r="AB54" s="243"/>
      <c r="AC54" s="243"/>
      <c r="AD54" s="243"/>
      <c r="AE54" s="243"/>
      <c r="AF54" s="243"/>
      <c r="AG54" s="243"/>
      <c r="AH54" s="243"/>
      <c r="AI54" s="243"/>
      <c r="AJ54" s="243"/>
      <c r="AK54" s="243"/>
      <c r="AL54" s="243"/>
      <c r="AM54" s="243"/>
      <c r="AN54" s="243"/>
      <c r="AO54" s="243"/>
      <c r="AP54" s="243"/>
      <c r="AQ54" s="243"/>
      <c r="AR54" s="243"/>
      <c r="AS54" s="243"/>
      <c r="AT54" s="243"/>
      <c r="AU54" s="243"/>
      <c r="AV54" s="243"/>
      <c r="AW54" s="243"/>
      <c r="AX54" s="243"/>
      <c r="AY54" s="243"/>
      <c r="AZ54" s="243"/>
    </row>
    <row r="55" spans="1:52" s="259" customFormat="1" ht="14.25" customHeight="1" x14ac:dyDescent="0.2">
      <c r="A55" s="1591"/>
      <c r="B55" s="492" t="s">
        <v>1408</v>
      </c>
      <c r="C55" s="497" t="s">
        <v>954</v>
      </c>
      <c r="D55" s="493"/>
      <c r="E55" s="691">
        <v>3297728</v>
      </c>
      <c r="F55" s="691">
        <v>1729694</v>
      </c>
      <c r="G55" s="691">
        <v>1568034</v>
      </c>
      <c r="H55" s="691">
        <v>229251.18811125003</v>
      </c>
      <c r="I55" s="691">
        <v>115344.32395974995</v>
      </c>
      <c r="J55" s="691">
        <v>113906.86415150003</v>
      </c>
      <c r="K55" s="494"/>
      <c r="L55" s="692"/>
      <c r="M55" s="692"/>
      <c r="N55" s="692">
        <v>520.69565217391312</v>
      </c>
      <c r="O55" s="692">
        <v>35.458456521739123</v>
      </c>
      <c r="P55" s="260"/>
      <c r="Q55" s="243"/>
      <c r="R55" s="243"/>
      <c r="S55" s="243"/>
      <c r="T55" s="243"/>
      <c r="U55" s="243"/>
      <c r="V55" s="243"/>
      <c r="W55" s="243"/>
      <c r="X55" s="243"/>
      <c r="Y55" s="243"/>
      <c r="Z55" s="243"/>
      <c r="AA55" s="243"/>
      <c r="AB55" s="243"/>
      <c r="AC55" s="243"/>
      <c r="AD55" s="243"/>
      <c r="AE55" s="243"/>
      <c r="AF55" s="243"/>
      <c r="AG55" s="243"/>
      <c r="AH55" s="243"/>
      <c r="AI55" s="243"/>
      <c r="AJ55" s="243"/>
      <c r="AK55" s="243"/>
      <c r="AL55" s="243"/>
      <c r="AM55" s="243"/>
      <c r="AN55" s="243"/>
      <c r="AO55" s="243"/>
      <c r="AP55" s="243"/>
      <c r="AQ55" s="243"/>
      <c r="AR55" s="243"/>
      <c r="AS55" s="243"/>
      <c r="AT55" s="243"/>
      <c r="AU55" s="243"/>
      <c r="AV55" s="243"/>
      <c r="AW55" s="243"/>
      <c r="AX55" s="243"/>
      <c r="AY55" s="243"/>
      <c r="AZ55" s="243"/>
    </row>
    <row r="56" spans="1:52" ht="15.75" customHeight="1" x14ac:dyDescent="0.2">
      <c r="A56" s="261" t="s">
        <v>1238</v>
      </c>
      <c r="C56" s="206"/>
      <c r="D56" s="206"/>
      <c r="E56" s="206"/>
      <c r="F56" s="206"/>
      <c r="G56" s="206"/>
      <c r="H56" s="263"/>
      <c r="I56" s="263"/>
      <c r="J56" s="263"/>
      <c r="K56" s="263"/>
      <c r="L56" s="263"/>
      <c r="M56" s="263"/>
      <c r="N56" s="263">
        <v>0</v>
      </c>
      <c r="O56" s="263">
        <v>0</v>
      </c>
      <c r="P56" s="258"/>
    </row>
    <row r="57" spans="1:52" ht="14.25" customHeight="1" x14ac:dyDescent="0.2">
      <c r="A57" s="264" t="s">
        <v>955</v>
      </c>
      <c r="B57" s="265"/>
      <c r="C57" s="265"/>
      <c r="D57" s="265"/>
      <c r="E57" s="265"/>
      <c r="F57" s="265"/>
      <c r="G57" s="265"/>
      <c r="H57" s="265"/>
      <c r="I57" s="265"/>
      <c r="L57" s="267"/>
      <c r="M57" s="267"/>
      <c r="N57" s="267"/>
      <c r="O57" s="267"/>
      <c r="P57" s="258"/>
    </row>
    <row r="58" spans="1:52" x14ac:dyDescent="0.2">
      <c r="E58" s="243"/>
      <c r="K58" s="243"/>
    </row>
    <row r="59" spans="1:52" x14ac:dyDescent="0.2">
      <c r="E59" s="243"/>
      <c r="K59" s="243"/>
    </row>
    <row r="60" spans="1:52" x14ac:dyDescent="0.2">
      <c r="E60" s="243"/>
      <c r="K60" s="243"/>
    </row>
    <row r="61" spans="1:52" x14ac:dyDescent="0.2">
      <c r="E61" s="243"/>
      <c r="K61" s="243"/>
    </row>
    <row r="62" spans="1:52" x14ac:dyDescent="0.2">
      <c r="E62" s="243"/>
      <c r="K62" s="243"/>
    </row>
    <row r="63" spans="1:52" x14ac:dyDescent="0.2">
      <c r="E63" s="243"/>
      <c r="K63" s="243"/>
    </row>
    <row r="64" spans="1:52" x14ac:dyDescent="0.2">
      <c r="E64" s="243"/>
      <c r="K64" s="243"/>
    </row>
    <row r="65" spans="5:11" x14ac:dyDescent="0.2">
      <c r="E65" s="243"/>
      <c r="K65" s="243"/>
    </row>
    <row r="66" spans="5:11" x14ac:dyDescent="0.2">
      <c r="E66" s="243"/>
      <c r="K66" s="243"/>
    </row>
    <row r="67" spans="5:11" x14ac:dyDescent="0.2">
      <c r="E67" s="243"/>
      <c r="K67" s="243"/>
    </row>
    <row r="68" spans="5:11" x14ac:dyDescent="0.2">
      <c r="E68" s="243"/>
      <c r="K68" s="243"/>
    </row>
    <row r="69" spans="5:11" x14ac:dyDescent="0.2">
      <c r="E69" s="243"/>
      <c r="K69" s="243"/>
    </row>
    <row r="70" spans="5:11" x14ac:dyDescent="0.2">
      <c r="E70" s="243"/>
      <c r="K70" s="243"/>
    </row>
    <row r="71" spans="5:11" x14ac:dyDescent="0.2">
      <c r="E71" s="243"/>
      <c r="K71" s="243"/>
    </row>
    <row r="72" spans="5:11" x14ac:dyDescent="0.2">
      <c r="E72" s="243"/>
      <c r="K72" s="243"/>
    </row>
    <row r="73" spans="5:11" x14ac:dyDescent="0.2">
      <c r="E73" s="243"/>
      <c r="K73" s="243"/>
    </row>
    <row r="74" spans="5:11" x14ac:dyDescent="0.2">
      <c r="E74" s="243"/>
      <c r="K74" s="243"/>
    </row>
    <row r="75" spans="5:11" x14ac:dyDescent="0.2">
      <c r="E75" s="243"/>
      <c r="K75" s="243"/>
    </row>
    <row r="76" spans="5:11" x14ac:dyDescent="0.2">
      <c r="E76" s="243"/>
      <c r="K76" s="243"/>
    </row>
    <row r="77" spans="5:11" x14ac:dyDescent="0.2">
      <c r="E77" s="243"/>
      <c r="K77" s="243"/>
    </row>
    <row r="78" spans="5:11" x14ac:dyDescent="0.2">
      <c r="E78" s="243"/>
      <c r="K78" s="243"/>
    </row>
    <row r="79" spans="5:11" x14ac:dyDescent="0.2">
      <c r="E79" s="243"/>
      <c r="K79" s="243"/>
    </row>
    <row r="80" spans="5:11" x14ac:dyDescent="0.2">
      <c r="E80" s="243"/>
      <c r="K80" s="243"/>
    </row>
    <row r="81" spans="5:11" x14ac:dyDescent="0.2">
      <c r="E81" s="243"/>
      <c r="K81" s="243"/>
    </row>
    <row r="82" spans="5:11" x14ac:dyDescent="0.2">
      <c r="E82" s="243"/>
      <c r="K82" s="243"/>
    </row>
    <row r="83" spans="5:11" x14ac:dyDescent="0.2">
      <c r="E83" s="243"/>
      <c r="K83" s="243"/>
    </row>
    <row r="84" spans="5:11" x14ac:dyDescent="0.2">
      <c r="E84" s="243"/>
      <c r="K84" s="243"/>
    </row>
    <row r="85" spans="5:11" x14ac:dyDescent="0.2">
      <c r="E85" s="243"/>
      <c r="K85" s="243"/>
    </row>
    <row r="86" spans="5:11" x14ac:dyDescent="0.2">
      <c r="E86" s="243"/>
      <c r="K86" s="243"/>
    </row>
    <row r="87" spans="5:11" x14ac:dyDescent="0.2">
      <c r="E87" s="243"/>
      <c r="K87" s="243"/>
    </row>
    <row r="88" spans="5:11" x14ac:dyDescent="0.2">
      <c r="E88" s="243"/>
      <c r="K88" s="243"/>
    </row>
    <row r="89" spans="5:11" x14ac:dyDescent="0.2">
      <c r="E89" s="243"/>
      <c r="K89" s="243"/>
    </row>
    <row r="90" spans="5:11" x14ac:dyDescent="0.2">
      <c r="E90" s="243"/>
      <c r="K90" s="243"/>
    </row>
    <row r="91" spans="5:11" x14ac:dyDescent="0.2">
      <c r="E91" s="243"/>
      <c r="K91" s="243"/>
    </row>
    <row r="92" spans="5:11" x14ac:dyDescent="0.2">
      <c r="E92" s="243"/>
      <c r="K92" s="243"/>
    </row>
    <row r="93" spans="5:11" x14ac:dyDescent="0.2">
      <c r="E93" s="243"/>
      <c r="K93" s="243"/>
    </row>
    <row r="94" spans="5:11" x14ac:dyDescent="0.2">
      <c r="E94" s="243"/>
      <c r="K94" s="243"/>
    </row>
    <row r="95" spans="5:11" x14ac:dyDescent="0.2">
      <c r="E95" s="243"/>
      <c r="K95" s="243"/>
    </row>
    <row r="96" spans="5:11" x14ac:dyDescent="0.2">
      <c r="E96" s="243"/>
      <c r="K96" s="243"/>
    </row>
    <row r="97" spans="5:11" x14ac:dyDescent="0.2">
      <c r="E97" s="243"/>
      <c r="K97" s="243"/>
    </row>
    <row r="98" spans="5:11" x14ac:dyDescent="0.2">
      <c r="E98" s="243"/>
      <c r="K98" s="243"/>
    </row>
    <row r="99" spans="5:11" x14ac:dyDescent="0.2">
      <c r="E99" s="243"/>
      <c r="K99" s="243"/>
    </row>
    <row r="100" spans="5:11" x14ac:dyDescent="0.2">
      <c r="E100" s="243"/>
      <c r="K100" s="243"/>
    </row>
    <row r="101" spans="5:11" x14ac:dyDescent="0.2">
      <c r="E101" s="243"/>
      <c r="K101" s="243"/>
    </row>
    <row r="102" spans="5:11" x14ac:dyDescent="0.2">
      <c r="E102" s="243"/>
      <c r="K102" s="243"/>
    </row>
    <row r="103" spans="5:11" x14ac:dyDescent="0.2">
      <c r="E103" s="243"/>
      <c r="K103" s="243"/>
    </row>
    <row r="104" spans="5:11" x14ac:dyDescent="0.2">
      <c r="E104" s="243"/>
      <c r="K104" s="243"/>
    </row>
    <row r="105" spans="5:11" x14ac:dyDescent="0.2">
      <c r="E105" s="243"/>
      <c r="K105" s="243"/>
    </row>
    <row r="106" spans="5:11" x14ac:dyDescent="0.2">
      <c r="E106" s="243"/>
      <c r="K106" s="243"/>
    </row>
    <row r="107" spans="5:11" x14ac:dyDescent="0.2">
      <c r="E107" s="243"/>
      <c r="K107" s="243"/>
    </row>
    <row r="108" spans="5:11" x14ac:dyDescent="0.2">
      <c r="E108" s="243"/>
      <c r="K108" s="243"/>
    </row>
    <row r="109" spans="5:11" x14ac:dyDescent="0.2">
      <c r="E109" s="243"/>
      <c r="K109" s="243"/>
    </row>
    <row r="110" spans="5:11" x14ac:dyDescent="0.2">
      <c r="E110" s="243"/>
      <c r="K110" s="243"/>
    </row>
    <row r="111" spans="5:11" x14ac:dyDescent="0.2">
      <c r="E111" s="243"/>
      <c r="K111" s="243"/>
    </row>
    <row r="112" spans="5:11" x14ac:dyDescent="0.2">
      <c r="E112" s="243"/>
      <c r="K112" s="243"/>
    </row>
    <row r="113" spans="5:11" x14ac:dyDescent="0.2">
      <c r="E113" s="243"/>
      <c r="K113" s="243"/>
    </row>
    <row r="114" spans="5:11" x14ac:dyDescent="0.2">
      <c r="E114" s="243"/>
      <c r="K114" s="243"/>
    </row>
    <row r="115" spans="5:11" x14ac:dyDescent="0.2">
      <c r="E115" s="243"/>
      <c r="K115" s="243"/>
    </row>
    <row r="116" spans="5:11" x14ac:dyDescent="0.2">
      <c r="E116" s="243"/>
      <c r="K116" s="243"/>
    </row>
    <row r="117" spans="5:11" x14ac:dyDescent="0.2">
      <c r="E117" s="243"/>
      <c r="K117" s="243"/>
    </row>
    <row r="118" spans="5:11" x14ac:dyDescent="0.2">
      <c r="E118" s="243"/>
      <c r="K118" s="243"/>
    </row>
    <row r="119" spans="5:11" x14ac:dyDescent="0.2">
      <c r="E119" s="243"/>
      <c r="K119" s="243"/>
    </row>
    <row r="120" spans="5:11" x14ac:dyDescent="0.2">
      <c r="E120" s="243"/>
      <c r="K120" s="243"/>
    </row>
    <row r="121" spans="5:11" x14ac:dyDescent="0.2">
      <c r="E121" s="243"/>
      <c r="K121" s="243"/>
    </row>
    <row r="122" spans="5:11" x14ac:dyDescent="0.2">
      <c r="E122" s="243"/>
      <c r="K122" s="243"/>
    </row>
    <row r="123" spans="5:11" x14ac:dyDescent="0.2">
      <c r="E123" s="243"/>
      <c r="K123" s="243"/>
    </row>
    <row r="124" spans="5:11" x14ac:dyDescent="0.2">
      <c r="E124" s="243"/>
      <c r="K124" s="243"/>
    </row>
    <row r="125" spans="5:11" x14ac:dyDescent="0.2">
      <c r="E125" s="243"/>
      <c r="K125" s="243"/>
    </row>
    <row r="126" spans="5:11" x14ac:dyDescent="0.2">
      <c r="E126" s="243"/>
      <c r="K126" s="243"/>
    </row>
    <row r="127" spans="5:11" x14ac:dyDescent="0.2">
      <c r="E127" s="243"/>
      <c r="K127" s="243"/>
    </row>
    <row r="128" spans="5:11" x14ac:dyDescent="0.2">
      <c r="E128" s="243"/>
      <c r="K128" s="243"/>
    </row>
    <row r="129" spans="5:11" x14ac:dyDescent="0.2">
      <c r="E129" s="243"/>
      <c r="K129" s="243"/>
    </row>
    <row r="130" spans="5:11" x14ac:dyDescent="0.2">
      <c r="E130" s="243"/>
      <c r="K130" s="243"/>
    </row>
    <row r="131" spans="5:11" x14ac:dyDescent="0.2">
      <c r="E131" s="243"/>
      <c r="K131" s="243"/>
    </row>
    <row r="132" spans="5:11" x14ac:dyDescent="0.2">
      <c r="E132" s="243"/>
      <c r="K132" s="243"/>
    </row>
    <row r="133" spans="5:11" x14ac:dyDescent="0.2">
      <c r="E133" s="243"/>
      <c r="K133" s="243"/>
    </row>
    <row r="134" spans="5:11" x14ac:dyDescent="0.2">
      <c r="E134" s="243"/>
      <c r="K134" s="243"/>
    </row>
    <row r="135" spans="5:11" x14ac:dyDescent="0.2">
      <c r="E135" s="243"/>
      <c r="K135" s="243"/>
    </row>
    <row r="136" spans="5:11" x14ac:dyDescent="0.2">
      <c r="E136" s="243"/>
      <c r="K136" s="243"/>
    </row>
    <row r="137" spans="5:11" x14ac:dyDescent="0.2">
      <c r="E137" s="243"/>
      <c r="K137" s="243"/>
    </row>
    <row r="138" spans="5:11" x14ac:dyDescent="0.2">
      <c r="E138" s="243"/>
      <c r="K138" s="243"/>
    </row>
    <row r="139" spans="5:11" x14ac:dyDescent="0.2">
      <c r="E139" s="243"/>
      <c r="K139" s="243"/>
    </row>
    <row r="140" spans="5:11" x14ac:dyDescent="0.2">
      <c r="E140" s="243"/>
      <c r="K140" s="243"/>
    </row>
    <row r="141" spans="5:11" x14ac:dyDescent="0.2">
      <c r="E141" s="243"/>
      <c r="K141" s="243"/>
    </row>
    <row r="142" spans="5:11" x14ac:dyDescent="0.2">
      <c r="E142" s="243"/>
      <c r="K142" s="243"/>
    </row>
    <row r="143" spans="5:11" x14ac:dyDescent="0.2">
      <c r="E143" s="243"/>
      <c r="K143" s="243"/>
    </row>
    <row r="144" spans="5:11" x14ac:dyDescent="0.2">
      <c r="E144" s="243"/>
      <c r="K144" s="243"/>
    </row>
    <row r="145" spans="5:11" x14ac:dyDescent="0.2">
      <c r="E145" s="243"/>
      <c r="K145" s="243"/>
    </row>
    <row r="146" spans="5:11" x14ac:dyDescent="0.2">
      <c r="E146" s="243"/>
      <c r="K146" s="243"/>
    </row>
    <row r="147" spans="5:11" x14ac:dyDescent="0.2">
      <c r="E147" s="243"/>
      <c r="K147" s="243"/>
    </row>
    <row r="148" spans="5:11" x14ac:dyDescent="0.2">
      <c r="E148" s="243"/>
      <c r="K148" s="243"/>
    </row>
    <row r="149" spans="5:11" x14ac:dyDescent="0.2">
      <c r="E149" s="243"/>
      <c r="K149" s="243"/>
    </row>
    <row r="150" spans="5:11" x14ac:dyDescent="0.2">
      <c r="E150" s="243"/>
      <c r="K150" s="243"/>
    </row>
    <row r="151" spans="5:11" x14ac:dyDescent="0.2">
      <c r="E151" s="243"/>
      <c r="K151" s="243"/>
    </row>
    <row r="152" spans="5:11" x14ac:dyDescent="0.2">
      <c r="E152" s="243"/>
      <c r="K152" s="243"/>
    </row>
    <row r="153" spans="5:11" x14ac:dyDescent="0.2">
      <c r="E153" s="243"/>
      <c r="K153" s="243"/>
    </row>
    <row r="154" spans="5:11" x14ac:dyDescent="0.2">
      <c r="E154" s="243"/>
      <c r="K154" s="243"/>
    </row>
    <row r="155" spans="5:11" x14ac:dyDescent="0.2">
      <c r="E155" s="243"/>
      <c r="K155" s="243"/>
    </row>
  </sheetData>
  <mergeCells count="27">
    <mergeCell ref="A4:A22"/>
    <mergeCell ref="B14:B18"/>
    <mergeCell ref="B19:B21"/>
    <mergeCell ref="A23:A33"/>
    <mergeCell ref="B23:B27"/>
    <mergeCell ref="B28:B30"/>
    <mergeCell ref="B31:B32"/>
    <mergeCell ref="B4:B9"/>
    <mergeCell ref="B10:B13"/>
    <mergeCell ref="A1:O1"/>
    <mergeCell ref="A2:A3"/>
    <mergeCell ref="B2:B3"/>
    <mergeCell ref="C2:C3"/>
    <mergeCell ref="D2:D3"/>
    <mergeCell ref="E2:G2"/>
    <mergeCell ref="H2:J2"/>
    <mergeCell ref="K2:K3"/>
    <mergeCell ref="L2:M2"/>
    <mergeCell ref="N2:O2"/>
    <mergeCell ref="A51:A55"/>
    <mergeCell ref="B51:B52"/>
    <mergeCell ref="B53:B54"/>
    <mergeCell ref="B46:B47"/>
    <mergeCell ref="A34:A50"/>
    <mergeCell ref="B34:B40"/>
    <mergeCell ref="B41:B45"/>
    <mergeCell ref="B48:B49"/>
  </mergeCells>
  <printOptions horizontalCentered="1"/>
  <pageMargins left="0.7" right="0.7" top="0.75" bottom="0.75" header="0.3" footer="0.3"/>
  <pageSetup paperSize="9" scale="80" fitToHeight="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5"/>
  <sheetViews>
    <sheetView zoomScaleNormal="100" workbookViewId="0">
      <pane xSplit="1" topLeftCell="B1" activePane="topRight" state="frozen"/>
      <selection activeCell="A4" sqref="A4:A37"/>
      <selection pane="topRight" activeCell="F7" sqref="F7"/>
    </sheetView>
  </sheetViews>
  <sheetFormatPr defaultRowHeight="15" x14ac:dyDescent="0.25"/>
  <cols>
    <col min="1" max="1" width="73" bestFit="1" customWidth="1"/>
    <col min="2" max="2" width="16" bestFit="1" customWidth="1"/>
    <col min="3" max="3" width="11.42578125" bestFit="1" customWidth="1"/>
    <col min="4" max="4" width="10.85546875" customWidth="1"/>
  </cols>
  <sheetData>
    <row r="1" spans="1:5" x14ac:dyDescent="0.25">
      <c r="A1" s="1160" t="s">
        <v>196</v>
      </c>
      <c r="B1" s="356"/>
      <c r="C1" s="356"/>
    </row>
    <row r="2" spans="1:5" x14ac:dyDescent="0.25">
      <c r="A2" s="1160" t="s">
        <v>1409</v>
      </c>
      <c r="B2" s="548">
        <v>7828148</v>
      </c>
      <c r="C2" s="356"/>
    </row>
    <row r="3" spans="1:5" ht="30" x14ac:dyDescent="0.25">
      <c r="A3" s="1160" t="s">
        <v>1212</v>
      </c>
      <c r="B3" s="1161">
        <v>29.7</v>
      </c>
      <c r="C3" s="356"/>
    </row>
    <row r="4" spans="1:5" x14ac:dyDescent="0.25">
      <c r="A4" s="1160" t="s">
        <v>1410</v>
      </c>
      <c r="B4" s="1161">
        <v>30.8</v>
      </c>
      <c r="C4" s="356"/>
    </row>
    <row r="5" spans="1:5" x14ac:dyDescent="0.25">
      <c r="A5" s="1160" t="s">
        <v>197</v>
      </c>
      <c r="B5" s="1162">
        <v>45383</v>
      </c>
      <c r="C5" s="1162">
        <v>45413</v>
      </c>
    </row>
    <row r="6" spans="1:5" x14ac:dyDescent="0.25">
      <c r="A6" s="1163" t="s">
        <v>198</v>
      </c>
      <c r="B6" s="1163">
        <v>4.5</v>
      </c>
      <c r="C6" s="1163">
        <v>4.5</v>
      </c>
    </row>
    <row r="7" spans="1:5" x14ac:dyDescent="0.25">
      <c r="A7" s="1163" t="s">
        <v>199</v>
      </c>
      <c r="B7" s="1163">
        <v>6.5</v>
      </c>
      <c r="C7" s="1163">
        <v>6.5</v>
      </c>
    </row>
    <row r="8" spans="1:5" ht="18" customHeight="1" x14ac:dyDescent="0.25">
      <c r="A8" s="1164" t="s">
        <v>200</v>
      </c>
      <c r="B8" s="1165">
        <v>251496.73</v>
      </c>
      <c r="C8" s="1165">
        <f>25514729/100</f>
        <v>255147.29</v>
      </c>
    </row>
    <row r="9" spans="1:5" x14ac:dyDescent="0.25">
      <c r="A9" s="1163" t="s">
        <v>201</v>
      </c>
      <c r="B9" s="1165">
        <v>207492.52</v>
      </c>
      <c r="C9" s="1166">
        <v>210876</v>
      </c>
    </row>
    <row r="10" spans="1:5" ht="15.75" customHeight="1" x14ac:dyDescent="0.25">
      <c r="A10" s="1163" t="s">
        <v>202</v>
      </c>
      <c r="B10" s="1165">
        <v>164942.82</v>
      </c>
      <c r="C10" s="1165">
        <v>167814</v>
      </c>
    </row>
    <row r="11" spans="1:5" x14ac:dyDescent="0.25">
      <c r="A11" s="1167" t="s">
        <v>203</v>
      </c>
      <c r="B11" s="1167"/>
      <c r="C11" s="356"/>
    </row>
    <row r="12" spans="1:5" x14ac:dyDescent="0.25">
      <c r="A12" s="1163" t="s">
        <v>204</v>
      </c>
      <c r="B12" s="1168">
        <v>6.65</v>
      </c>
      <c r="C12" s="1168">
        <v>6.56</v>
      </c>
    </row>
    <row r="13" spans="1:5" x14ac:dyDescent="0.25">
      <c r="A13" s="1163" t="s">
        <v>205</v>
      </c>
      <c r="B13" s="1168">
        <v>6.92</v>
      </c>
      <c r="C13" s="1168">
        <v>6.85</v>
      </c>
    </row>
    <row r="14" spans="1:5" x14ac:dyDescent="0.25">
      <c r="A14" s="1169" t="s">
        <v>206</v>
      </c>
      <c r="B14" s="1170" t="s">
        <v>1151</v>
      </c>
      <c r="C14" s="1170" t="s">
        <v>1151</v>
      </c>
    </row>
    <row r="15" spans="1:5" x14ac:dyDescent="0.25">
      <c r="A15" s="1163" t="s">
        <v>207</v>
      </c>
      <c r="B15" s="1168" t="s">
        <v>208</v>
      </c>
      <c r="C15" s="1168" t="s">
        <v>208</v>
      </c>
    </row>
    <row r="16" spans="1:5" x14ac:dyDescent="0.25">
      <c r="A16" s="1167" t="s">
        <v>209</v>
      </c>
      <c r="B16" s="1167"/>
      <c r="C16" s="356"/>
      <c r="E16" s="161"/>
    </row>
    <row r="17" spans="1:6" x14ac:dyDescent="0.25">
      <c r="A17" s="1163" t="s">
        <v>210</v>
      </c>
      <c r="B17" s="1171">
        <v>2272962.9500000002</v>
      </c>
      <c r="C17" s="1171">
        <v>2637533.6700000004</v>
      </c>
      <c r="F17" s="162"/>
    </row>
    <row r="18" spans="1:6" x14ac:dyDescent="0.25">
      <c r="A18" s="1163" t="s">
        <v>211</v>
      </c>
      <c r="B18" s="847">
        <v>40655851.939999998</v>
      </c>
      <c r="C18" s="847">
        <f>'17'!M7</f>
        <v>41212881.140000001</v>
      </c>
      <c r="F18" s="162"/>
    </row>
    <row r="19" spans="1:6" x14ac:dyDescent="0.25">
      <c r="A19" s="1163" t="s">
        <v>212</v>
      </c>
      <c r="B19" s="847">
        <v>40304405.9649911</v>
      </c>
      <c r="C19" s="847">
        <v>40880529.739361502</v>
      </c>
      <c r="F19" s="71"/>
    </row>
    <row r="20" spans="1:6" x14ac:dyDescent="0.25">
      <c r="A20" s="1163" t="s">
        <v>213</v>
      </c>
      <c r="B20" s="593">
        <v>-8671</v>
      </c>
      <c r="C20" s="593">
        <v>-25586</v>
      </c>
    </row>
    <row r="21" spans="1:6" x14ac:dyDescent="0.25">
      <c r="A21" s="1167" t="s">
        <v>214</v>
      </c>
      <c r="B21" s="1167"/>
      <c r="C21" s="356"/>
    </row>
    <row r="22" spans="1:6" x14ac:dyDescent="0.25">
      <c r="A22" s="1163" t="s">
        <v>215</v>
      </c>
      <c r="B22" s="1172">
        <v>641590</v>
      </c>
      <c r="C22" s="1172">
        <v>651510</v>
      </c>
    </row>
    <row r="23" spans="1:6" x14ac:dyDescent="0.25">
      <c r="A23" s="1163" t="s">
        <v>216</v>
      </c>
      <c r="B23" s="1168">
        <v>83.34</v>
      </c>
      <c r="C23" s="1168">
        <v>83.3</v>
      </c>
    </row>
    <row r="24" spans="1:6" x14ac:dyDescent="0.25">
      <c r="A24" s="1163" t="s">
        <v>217</v>
      </c>
      <c r="B24" s="1168">
        <v>89.43</v>
      </c>
      <c r="C24" s="1168">
        <v>90.12</v>
      </c>
    </row>
    <row r="25" spans="1:6" x14ac:dyDescent="0.25">
      <c r="A25" s="1163" t="s">
        <v>218</v>
      </c>
      <c r="B25" s="1173">
        <v>1.37</v>
      </c>
      <c r="C25" s="1173">
        <v>1.34</v>
      </c>
    </row>
    <row r="26" spans="1:6" x14ac:dyDescent="0.25">
      <c r="A26" s="1167" t="s">
        <v>219</v>
      </c>
      <c r="B26" s="1167"/>
      <c r="C26" s="356"/>
    </row>
    <row r="27" spans="1:6" x14ac:dyDescent="0.25">
      <c r="A27" s="1163" t="s">
        <v>220</v>
      </c>
      <c r="B27" s="1172">
        <v>1240</v>
      </c>
      <c r="C27" s="1172">
        <f>232000/100</f>
        <v>2320</v>
      </c>
    </row>
    <row r="28" spans="1:6" x14ac:dyDescent="0.25">
      <c r="A28" s="1163" t="s">
        <v>221</v>
      </c>
      <c r="B28" s="1168">
        <v>1.26</v>
      </c>
      <c r="C28" s="1168">
        <v>2.6104417670682833</v>
      </c>
    </row>
    <row r="29" spans="1:6" x14ac:dyDescent="0.25">
      <c r="A29" s="1163" t="s">
        <v>222</v>
      </c>
      <c r="B29" s="1168">
        <v>4.83</v>
      </c>
      <c r="C29" s="1168">
        <v>4.7459519821328788</v>
      </c>
    </row>
    <row r="30" spans="1:6" x14ac:dyDescent="0.25">
      <c r="A30" s="1167" t="s">
        <v>223</v>
      </c>
      <c r="B30" s="356"/>
      <c r="C30" s="356"/>
    </row>
    <row r="31" spans="1:6" x14ac:dyDescent="0.25">
      <c r="A31" s="1163" t="s">
        <v>224</v>
      </c>
      <c r="B31" s="1173">
        <v>147.69999999999999</v>
      </c>
      <c r="C31" s="1173" t="s">
        <v>225</v>
      </c>
    </row>
    <row r="32" spans="1:6" x14ac:dyDescent="0.25">
      <c r="A32" s="1163" t="s">
        <v>226</v>
      </c>
      <c r="B32" s="1173">
        <v>130.80000000000001</v>
      </c>
      <c r="C32" s="1173" t="s">
        <v>225</v>
      </c>
    </row>
    <row r="33" spans="1:9" x14ac:dyDescent="0.25">
      <c r="A33" s="1163" t="s">
        <v>227</v>
      </c>
      <c r="B33" s="1173">
        <v>144.19999999999999</v>
      </c>
      <c r="C33" s="1173" t="s">
        <v>225</v>
      </c>
    </row>
    <row r="34" spans="1:9" x14ac:dyDescent="0.25">
      <c r="A34" s="1163" t="s">
        <v>228</v>
      </c>
      <c r="B34" s="1173">
        <v>212</v>
      </c>
      <c r="C34" s="1173" t="s">
        <v>225</v>
      </c>
    </row>
    <row r="35" spans="1:9" x14ac:dyDescent="0.25">
      <c r="A35" s="1167" t="s">
        <v>229</v>
      </c>
      <c r="B35" s="356"/>
      <c r="C35" s="356"/>
    </row>
    <row r="36" spans="1:9" x14ac:dyDescent="0.25">
      <c r="A36" s="1163" t="s">
        <v>230</v>
      </c>
      <c r="B36" s="1174">
        <v>65.316199299999994</v>
      </c>
      <c r="C36" s="1174">
        <v>68.290000000000006</v>
      </c>
    </row>
    <row r="37" spans="1:9" x14ac:dyDescent="0.25">
      <c r="A37" s="1163" t="s">
        <v>231</v>
      </c>
      <c r="B37" s="1174">
        <v>70.72650732999999</v>
      </c>
      <c r="C37" s="1174">
        <v>79.19</v>
      </c>
    </row>
    <row r="38" spans="1:9" x14ac:dyDescent="0.25">
      <c r="A38" s="1163" t="s">
        <v>232</v>
      </c>
      <c r="B38" s="1173">
        <f>-B37+B36</f>
        <v>-5.4103080299999959</v>
      </c>
      <c r="C38" s="1173">
        <f>-C37+C36</f>
        <v>-10.899999999999991</v>
      </c>
    </row>
    <row r="39" spans="1:9" x14ac:dyDescent="0.25">
      <c r="A39" s="160" t="s">
        <v>233</v>
      </c>
    </row>
    <row r="40" spans="1:9" x14ac:dyDescent="0.25">
      <c r="A40" s="163" t="s">
        <v>1411</v>
      </c>
    </row>
    <row r="41" spans="1:9" x14ac:dyDescent="0.25">
      <c r="A41" s="163" t="s">
        <v>1213</v>
      </c>
    </row>
    <row r="42" spans="1:9" x14ac:dyDescent="0.25">
      <c r="A42" s="163" t="s">
        <v>1412</v>
      </c>
    </row>
    <row r="43" spans="1:9" x14ac:dyDescent="0.25">
      <c r="A43" s="163" t="s">
        <v>234</v>
      </c>
    </row>
    <row r="44" spans="1:9" x14ac:dyDescent="0.25">
      <c r="A44" s="163" t="s">
        <v>235</v>
      </c>
    </row>
    <row r="45" spans="1:9" x14ac:dyDescent="0.25">
      <c r="I45" s="356"/>
    </row>
  </sheetData>
  <hyperlinks>
    <hyperlink ref="A13" location="_edn3" display="_edn3"/>
  </hyperlinks>
  <printOptions horizontalCentered="1"/>
  <pageMargins left="0.7" right="0.7" top="0.75" bottom="0.75" header="0.3" footer="0.3"/>
  <pageSetup paperSize="9" scale="73"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2023-08-11 16:53:47</KDate>
  <Classification>SEBI-PUBLIC</Classification>
  <Subclassification/>
  <HostName>MUM0128007</HostName>
  <Domain_User>SEBINT/8007</Domain_User>
  <IPAdd>10.88.96.128</IPAdd>
  <FilePath>X:\Bulletin\2023 08 August\SEBI_Bulletin_August_2023.xlsx</FilePath>
  <KID>6C3C8C09061F638273696270073079</KID>
  <UniqueName/>
  <Suggested/>
  <Justification/>
</Klassify>
</file>

<file path=customXml/itemProps1.xml><?xml version="1.0" encoding="utf-8"?>
<ds:datastoreItem xmlns:ds="http://schemas.openxmlformats.org/officeDocument/2006/customXml" ds:itemID="{C763D44E-AA55-4E41-90D6-77D821A0F9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36</vt:i4>
      </vt:variant>
    </vt:vector>
  </HeadingPairs>
  <TitlesOfParts>
    <vt:vector size="111"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'24'!Print_Area</vt:lpstr>
      <vt:lpstr>'3'!Print_Area</vt:lpstr>
      <vt:lpstr>'34'!Print_Area</vt:lpstr>
      <vt:lpstr>'35'!Print_Area</vt:lpstr>
      <vt:lpstr>'4'!Print_Area</vt:lpstr>
      <vt:lpstr>'49'!Print_Area</vt:lpstr>
      <vt:lpstr>'5'!Print_Area</vt:lpstr>
      <vt:lpstr>'53'!Print_Area</vt:lpstr>
      <vt:lpstr>'54'!Print_Area</vt:lpstr>
      <vt:lpstr>'55'!Print_Area</vt:lpstr>
      <vt:lpstr>'58'!Print_Area</vt:lpstr>
      <vt:lpstr>'64'!Print_Area</vt:lpstr>
      <vt:lpstr>'65'!Print_Area</vt:lpstr>
      <vt:lpstr>'66'!Print_Area</vt:lpstr>
      <vt:lpstr>'67'!Print_Area</vt:lpstr>
      <vt:lpstr>'68'!Print_Area</vt:lpstr>
      <vt:lpstr>'69'!Print_Area</vt:lpstr>
      <vt:lpstr>'7'!Print_Area</vt:lpstr>
      <vt:lpstr>'70'!Print_Area</vt:lpstr>
      <vt:lpstr>'74'!Print_Area</vt:lpstr>
      <vt:lpstr>'8'!Print_Area</vt:lpstr>
      <vt:lpstr>'9'!Print_Area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2024-09-02T06:47:32Z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SEBI-PUBLIC</vt:lpwstr>
  </property>
  <property fmtid="{D5CDD505-2E9C-101B-9397-08002B2CF9AE}" pid="3" name="Rules">
    <vt:lpwstr/>
  </property>
  <property fmtid="{D5CDD505-2E9C-101B-9397-08002B2CF9AE}" pid="4" name="KID">
    <vt:lpwstr>6C3C8C09061F638273696270073079</vt:lpwstr>
  </property>
</Properties>
</file>