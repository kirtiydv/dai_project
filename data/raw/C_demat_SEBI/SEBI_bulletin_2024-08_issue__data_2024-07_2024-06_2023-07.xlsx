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5345" windowHeight="4245" tabRatio="865"/>
  </bookViews>
  <sheets>
    <sheet name="Data Summary" sheetId="2" r:id="rId1"/>
    <sheet name="1" sheetId="78" r:id="rId2"/>
    <sheet name="2" sheetId="4" r:id="rId3"/>
    <sheet name="3" sheetId="5" r:id="rId4"/>
    <sheet name="4" sheetId="6" r:id="rId5"/>
    <sheet name="5" sheetId="79" r:id="rId6"/>
    <sheet name="6" sheetId="8" r:id="rId7"/>
    <sheet name="7" sheetId="9" r:id="rId8"/>
    <sheet name="8" sheetId="10" r:id="rId9"/>
    <sheet name="9" sheetId="11" r:id="rId10"/>
    <sheet name="10" sheetId="12" r:id="rId11"/>
    <sheet name="11" sheetId="13" r:id="rId12"/>
    <sheet name="12" sheetId="14" r:id="rId13"/>
    <sheet name="13(Old)" sheetId="18" state="hidden" r:id="rId14"/>
    <sheet name="13 " sheetId="139" r:id="rId15"/>
    <sheet name="14" sheetId="15" r:id="rId16"/>
    <sheet name="15" sheetId="16" r:id="rId17"/>
    <sheet name="16" sheetId="90" r:id="rId18"/>
    <sheet name="17" sheetId="91" r:id="rId19"/>
    <sheet name="18" sheetId="92" r:id="rId20"/>
    <sheet name="19" sheetId="93" r:id="rId21"/>
    <sheet name="20" sheetId="94" r:id="rId22"/>
    <sheet name="21" sheetId="95" r:id="rId23"/>
    <sheet name="22" sheetId="96" r:id="rId24"/>
    <sheet name="23" sheetId="97" r:id="rId25"/>
    <sheet name="24" sheetId="98" r:id="rId26"/>
    <sheet name="25" sheetId="99" r:id="rId27"/>
    <sheet name="26" sheetId="100" r:id="rId28"/>
    <sheet name="27" sheetId="101" r:id="rId29"/>
    <sheet name="28" sheetId="102" r:id="rId30"/>
    <sheet name="29" sheetId="103" r:id="rId31"/>
    <sheet name="30" sheetId="104" r:id="rId32"/>
    <sheet name="31" sheetId="105" r:id="rId33"/>
    <sheet name="32" sheetId="106" r:id="rId34"/>
    <sheet name="33" sheetId="107" r:id="rId35"/>
    <sheet name="34" sheetId="108" r:id="rId36"/>
    <sheet name="35" sheetId="109" r:id="rId37"/>
    <sheet name="36" sheetId="110" r:id="rId38"/>
    <sheet name="37" sheetId="111" r:id="rId39"/>
    <sheet name="38" sheetId="112" r:id="rId40"/>
    <sheet name="39" sheetId="113" r:id="rId41"/>
    <sheet name="40" sheetId="114" r:id="rId42"/>
    <sheet name="41" sheetId="115" r:id="rId43"/>
    <sheet name="42" sheetId="116" r:id="rId44"/>
    <sheet name="43" sheetId="117" r:id="rId45"/>
    <sheet name="44" sheetId="118" r:id="rId46"/>
    <sheet name="45" sheetId="119" r:id="rId47"/>
    <sheet name="46" sheetId="120" r:id="rId48"/>
    <sheet name="47" sheetId="121" r:id="rId49"/>
    <sheet name="48" sheetId="122" r:id="rId50"/>
    <sheet name="49" sheetId="123" r:id="rId51"/>
    <sheet name="50" sheetId="124" r:id="rId52"/>
    <sheet name="51" sheetId="125" r:id="rId53"/>
    <sheet name="52" sheetId="126" r:id="rId54"/>
    <sheet name="53" sheetId="127" r:id="rId55"/>
    <sheet name="54" sheetId="128" r:id="rId56"/>
    <sheet name="55" sheetId="129" r:id="rId57"/>
    <sheet name="56" sheetId="130" r:id="rId58"/>
    <sheet name="57" sheetId="131" r:id="rId59"/>
    <sheet name="58" sheetId="132" r:id="rId60"/>
    <sheet name="59" sheetId="133" r:id="rId61"/>
    <sheet name="60" sheetId="140" r:id="rId62"/>
    <sheet name="61 " sheetId="141" r:id="rId63"/>
    <sheet name="62" sheetId="136" r:id="rId64"/>
    <sheet name="63" sheetId="142" r:id="rId65"/>
    <sheet name="64" sheetId="143" r:id="rId66"/>
    <sheet name="65" sheetId="81" r:id="rId67"/>
    <sheet name="66" sheetId="144" r:id="rId68"/>
    <sheet name="67" sheetId="145" r:id="rId69"/>
    <sheet name="68" sheetId="84" r:id="rId70"/>
    <sheet name="69" sheetId="85" r:id="rId71"/>
    <sheet name="70" sheetId="86" r:id="rId72"/>
    <sheet name="71" sheetId="146" r:id="rId73"/>
    <sheet name="72" sheetId="147" r:id="rId74"/>
    <sheet name="73" sheetId="148" r:id="rId75"/>
    <sheet name="74" sheetId="17" r:id="rId76"/>
  </sheets>
  <definedNames>
    <definedName name="_xlnm._FilterDatabase" localSheetId="2" hidden="1">'2'!$A$3:$Q$45</definedName>
    <definedName name="_xlnm._FilterDatabase" localSheetId="3" hidden="1">'3'!$A$2:$J$3</definedName>
    <definedName name="_xlnm._FilterDatabase" localSheetId="73" hidden="1">'72'!#REF!</definedName>
    <definedName name="_xlnm.Print_Area" localSheetId="1">'1'!$A$1:$C$63</definedName>
    <definedName name="_xlnm.Print_Area" localSheetId="10">'10'!$A$1:$K$13</definedName>
    <definedName name="_xlnm.Print_Area" localSheetId="11">'11'!$A$1:$K$13</definedName>
    <definedName name="_xlnm.Print_Area" localSheetId="12">'12'!$A$1:$I$12</definedName>
    <definedName name="_xlnm.Print_Area" localSheetId="13">'13(Old)'!$A$1:$I$15</definedName>
    <definedName name="_xlnm.Print_Area" localSheetId="15">'14'!$A$1:$M$15</definedName>
    <definedName name="_xlnm.Print_Area" localSheetId="16">'15'!$A$1:$K$15</definedName>
    <definedName name="_xlnm.Print_Area" localSheetId="17">'16'!$A$1:$D$11</definedName>
    <definedName name="_xlnm.Print_Area" localSheetId="18">'17'!$A$1:$P$22</definedName>
    <definedName name="_xlnm.Print_Area" localSheetId="19">'18'!$A$1:$Q$23</definedName>
    <definedName name="_xlnm.Print_Area" localSheetId="20">'19'!$A$1:$P$22</definedName>
    <definedName name="_xlnm.Print_Area" localSheetId="2">'2'!$A$1:$Q$49</definedName>
    <definedName name="_xlnm.Print_Area" localSheetId="21">'20'!$A$1:$H$32</definedName>
    <definedName name="_xlnm.Print_Area" localSheetId="22">'21'!$A$1:$F$20</definedName>
    <definedName name="_xlnm.Print_Area" localSheetId="25">'24'!$A$1:$J$39</definedName>
    <definedName name="_xlnm.Print_Area" localSheetId="3">'3'!$A$1:$J$4</definedName>
    <definedName name="_xlnm.Print_Area" localSheetId="35">'34'!$A$1:$W$20</definedName>
    <definedName name="_xlnm.Print_Area" localSheetId="36">'35'!$A$1:$W$19</definedName>
    <definedName name="_xlnm.Print_Area" localSheetId="4">'4'!$A$1:$I$15</definedName>
    <definedName name="_xlnm.Print_Area" localSheetId="50">'49'!$A$1:$K$13</definedName>
    <definedName name="_xlnm.Print_Area" localSheetId="5">'5'!$1:$55</definedName>
    <definedName name="_xlnm.Print_Area" localSheetId="54">'53'!$A$1:$F$7</definedName>
    <definedName name="_xlnm.Print_Area" localSheetId="55">'54'!$A$1:$F$8</definedName>
    <definedName name="_xlnm.Print_Area" localSheetId="56">'55'!$A$1:$AC$13</definedName>
    <definedName name="_xlnm.Print_Area" localSheetId="59">'58'!$A$1:$N$89</definedName>
    <definedName name="_xlnm.Print_Area" localSheetId="65">'64'!$A$1:$L$18</definedName>
    <definedName name="_xlnm.Print_Area" localSheetId="66">'65'!$A$1:$F$9</definedName>
    <definedName name="_xlnm.Print_Area" localSheetId="67">'66'!$A$1:$T$21</definedName>
    <definedName name="_xlnm.Print_Area" localSheetId="68">'67'!$A$1:$T$11</definedName>
    <definedName name="_xlnm.Print_Area" localSheetId="69">'68'!$A$1:$N$22</definedName>
    <definedName name="_xlnm.Print_Area" localSheetId="70">'69'!$A$1:$N$21</definedName>
    <definedName name="_xlnm.Print_Area" localSheetId="7">'7'!$A$1:$K$66</definedName>
    <definedName name="_xlnm.Print_Area" localSheetId="71">'70'!$A$1:$H$29</definedName>
    <definedName name="_xlnm.Print_Area" localSheetId="75">'74'!$A$1:$C$44</definedName>
    <definedName name="_xlnm.Print_Area" localSheetId="8">'8'!$A$1:$Q$14</definedName>
    <definedName name="_xlnm.Print_Area" localSheetId="9">'9'!$A$1:$O$11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10" i="109" l="1"/>
  <c r="Z11" i="109"/>
  <c r="Z12" i="109"/>
  <c r="Z9" i="109"/>
  <c r="Y10" i="109"/>
  <c r="Y11" i="109"/>
  <c r="Y12" i="109"/>
  <c r="Y9" i="109"/>
  <c r="X10" i="109"/>
  <c r="X11" i="109"/>
  <c r="X12" i="109"/>
  <c r="X9" i="109"/>
  <c r="X8" i="108"/>
  <c r="X9" i="108"/>
  <c r="X10" i="108"/>
  <c r="X11" i="108"/>
  <c r="X12" i="108"/>
  <c r="X7" i="108"/>
  <c r="F11" i="144" l="1"/>
  <c r="J26" i="140"/>
  <c r="K26" i="140" s="1"/>
  <c r="J25" i="140"/>
  <c r="K25" i="140" s="1"/>
  <c r="F19" i="140"/>
  <c r="K27" i="140" l="1"/>
  <c r="B6" i="115"/>
  <c r="B6" i="116"/>
  <c r="I6" i="117"/>
  <c r="B6" i="117"/>
  <c r="G6" i="118"/>
  <c r="F6" i="118"/>
  <c r="B6" i="118"/>
  <c r="B5" i="119"/>
  <c r="B5" i="120"/>
  <c r="B5" i="121"/>
  <c r="B5" i="122"/>
  <c r="B5" i="123"/>
  <c r="C5" i="124"/>
  <c r="B5" i="124"/>
  <c r="G6" i="125"/>
  <c r="B6" i="125"/>
  <c r="B5" i="126"/>
  <c r="F8" i="127"/>
  <c r="D4" i="127"/>
  <c r="K12" i="130" l="1"/>
  <c r="A11" i="12" l="1"/>
  <c r="E8" i="17" l="1"/>
  <c r="E9" i="17"/>
  <c r="E10" i="17"/>
  <c r="E19" i="17"/>
  <c r="E18" i="17"/>
  <c r="E17" i="17"/>
  <c r="I57" i="148"/>
  <c r="H57" i="148"/>
  <c r="G57" i="148"/>
  <c r="F57" i="148"/>
  <c r="E57" i="148"/>
  <c r="J51" i="148"/>
  <c r="I51" i="148"/>
  <c r="H51" i="148"/>
  <c r="G51" i="148"/>
  <c r="F51" i="148"/>
  <c r="E51" i="148"/>
  <c r="J49" i="148"/>
  <c r="I49" i="148"/>
  <c r="H49" i="148"/>
  <c r="G49" i="148"/>
  <c r="F49" i="148"/>
  <c r="E49" i="148"/>
  <c r="J47" i="148"/>
  <c r="I47" i="148"/>
  <c r="H47" i="148"/>
  <c r="G47" i="148"/>
  <c r="F47" i="148"/>
  <c r="E47" i="148"/>
  <c r="J42" i="148"/>
  <c r="I42" i="148"/>
  <c r="H42" i="148"/>
  <c r="G42" i="148"/>
  <c r="F42" i="148"/>
  <c r="E42" i="148"/>
  <c r="J35" i="148"/>
  <c r="I35" i="148"/>
  <c r="H35" i="148"/>
  <c r="G35" i="148"/>
  <c r="F35" i="148"/>
  <c r="H34" i="148"/>
  <c r="G34" i="148"/>
  <c r="F34" i="148"/>
  <c r="E34" i="148"/>
  <c r="J32" i="148"/>
  <c r="I32" i="148"/>
  <c r="H32" i="148"/>
  <c r="G32" i="148"/>
  <c r="F32" i="148"/>
  <c r="E32" i="148"/>
  <c r="J29" i="148"/>
  <c r="I29" i="148"/>
  <c r="H29" i="148"/>
  <c r="G29" i="148"/>
  <c r="F29" i="148"/>
  <c r="E29" i="148"/>
  <c r="E35" i="148" s="1"/>
  <c r="J23" i="148"/>
  <c r="J24" i="148" s="1"/>
  <c r="I23" i="148"/>
  <c r="H23" i="148"/>
  <c r="G23" i="148"/>
  <c r="F23" i="148"/>
  <c r="E23" i="148"/>
  <c r="J20" i="148"/>
  <c r="I20" i="148"/>
  <c r="H20" i="148"/>
  <c r="G20" i="148"/>
  <c r="F20" i="148"/>
  <c r="E20" i="148"/>
  <c r="J15" i="148"/>
  <c r="I15" i="148"/>
  <c r="H15" i="148"/>
  <c r="G15" i="148"/>
  <c r="F15" i="148"/>
  <c r="E15" i="148"/>
  <c r="J9" i="148"/>
  <c r="I9" i="148"/>
  <c r="I24" i="148" s="1"/>
  <c r="H9" i="148"/>
  <c r="H24" i="148" s="1"/>
  <c r="G9" i="148"/>
  <c r="F9" i="148"/>
  <c r="E9" i="148"/>
  <c r="K49" i="147"/>
  <c r="J49" i="147"/>
  <c r="I49" i="147"/>
  <c r="H49" i="147"/>
  <c r="G49" i="147"/>
  <c r="F49" i="147"/>
  <c r="K37" i="147"/>
  <c r="J37" i="147"/>
  <c r="I37" i="147"/>
  <c r="H37" i="147"/>
  <c r="G37" i="147"/>
  <c r="F37" i="147"/>
  <c r="F38" i="147" s="1"/>
  <c r="K33" i="147"/>
  <c r="J33" i="147"/>
  <c r="I33" i="147"/>
  <c r="H33" i="147"/>
  <c r="G33" i="147"/>
  <c r="F33" i="147"/>
  <c r="J52" i="146"/>
  <c r="I52" i="146"/>
  <c r="H52" i="146"/>
  <c r="G52" i="146"/>
  <c r="F52" i="146"/>
  <c r="E52" i="146"/>
  <c r="J47" i="146"/>
  <c r="I47" i="146"/>
  <c r="H47" i="146"/>
  <c r="G47" i="146"/>
  <c r="F47" i="146"/>
  <c r="E47" i="146"/>
  <c r="J43" i="146"/>
  <c r="J53" i="146" s="1"/>
  <c r="I43" i="146"/>
  <c r="I53" i="146" s="1"/>
  <c r="H43" i="146"/>
  <c r="H53" i="146" s="1"/>
  <c r="G43" i="146"/>
  <c r="G53" i="146" s="1"/>
  <c r="F43" i="146"/>
  <c r="E43" i="146"/>
  <c r="J37" i="146"/>
  <c r="I37" i="146"/>
  <c r="H37" i="146"/>
  <c r="G37" i="146"/>
  <c r="F37" i="146"/>
  <c r="E37" i="146"/>
  <c r="J33" i="146"/>
  <c r="I33" i="146"/>
  <c r="H33" i="146"/>
  <c r="G33" i="146"/>
  <c r="F33" i="146"/>
  <c r="E33" i="146"/>
  <c r="J28" i="146"/>
  <c r="I28" i="146"/>
  <c r="H28" i="146"/>
  <c r="G28" i="146"/>
  <c r="F28" i="146"/>
  <c r="E28" i="146"/>
  <c r="J21" i="146"/>
  <c r="I21" i="146"/>
  <c r="H21" i="146"/>
  <c r="G21" i="146"/>
  <c r="F21" i="146"/>
  <c r="E21" i="146"/>
  <c r="J11" i="146"/>
  <c r="I11" i="146"/>
  <c r="H11" i="146"/>
  <c r="G11" i="146"/>
  <c r="F11" i="146"/>
  <c r="E11" i="146"/>
  <c r="H38" i="147" l="1"/>
  <c r="F53" i="146"/>
  <c r="H52" i="148"/>
  <c r="J52" i="148"/>
  <c r="I38" i="146"/>
  <c r="E24" i="148"/>
  <c r="E52" i="148"/>
  <c r="G38" i="147"/>
  <c r="G52" i="148"/>
  <c r="I38" i="147"/>
  <c r="K38" i="147"/>
  <c r="G38" i="146"/>
  <c r="J38" i="146"/>
  <c r="F24" i="148"/>
  <c r="F52" i="148"/>
  <c r="I52" i="148"/>
  <c r="E38" i="146"/>
  <c r="G24" i="148"/>
  <c r="E53" i="146"/>
  <c r="F38" i="146"/>
  <c r="J38" i="147"/>
  <c r="H38" i="146"/>
  <c r="L10" i="85"/>
  <c r="K10" i="85"/>
  <c r="R9" i="145" l="1"/>
  <c r="Q9" i="145"/>
  <c r="J9" i="145"/>
  <c r="I9" i="145"/>
  <c r="R8" i="145"/>
  <c r="Q8" i="145"/>
  <c r="J8" i="145"/>
  <c r="I8" i="145"/>
  <c r="R7" i="145"/>
  <c r="R6" i="145" s="1"/>
  <c r="Q7" i="145"/>
  <c r="Q6" i="145" s="1"/>
  <c r="J7" i="145"/>
  <c r="I7" i="145"/>
  <c r="P6" i="145"/>
  <c r="O6" i="145"/>
  <c r="N6" i="145"/>
  <c r="M6" i="145"/>
  <c r="L6" i="145"/>
  <c r="K6" i="145"/>
  <c r="H6" i="145"/>
  <c r="G6" i="145"/>
  <c r="F6" i="145"/>
  <c r="E6" i="145"/>
  <c r="D6" i="145"/>
  <c r="C6" i="145"/>
  <c r="B6" i="145"/>
  <c r="P20" i="144"/>
  <c r="O20" i="144"/>
  <c r="P19" i="144"/>
  <c r="O19" i="144"/>
  <c r="P18" i="144"/>
  <c r="O18" i="144"/>
  <c r="R17" i="144"/>
  <c r="Q17" i="144"/>
  <c r="N17" i="144"/>
  <c r="M17" i="144"/>
  <c r="L17" i="144"/>
  <c r="K17" i="144"/>
  <c r="J17" i="144"/>
  <c r="I17" i="144"/>
  <c r="H17" i="144"/>
  <c r="G17" i="144"/>
  <c r="F17" i="144"/>
  <c r="E17" i="144"/>
  <c r="D17" i="144"/>
  <c r="C17" i="144"/>
  <c r="B17" i="144"/>
  <c r="R9" i="144"/>
  <c r="Q9" i="144"/>
  <c r="R8" i="144"/>
  <c r="Q8" i="144"/>
  <c r="R7" i="144"/>
  <c r="Q7" i="144"/>
  <c r="T6" i="144"/>
  <c r="S6" i="144"/>
  <c r="P6" i="144"/>
  <c r="O6" i="144"/>
  <c r="N6" i="144"/>
  <c r="M6" i="144"/>
  <c r="L6" i="144"/>
  <c r="K6" i="144"/>
  <c r="J6" i="144"/>
  <c r="I6" i="144"/>
  <c r="H6" i="144"/>
  <c r="G6" i="144"/>
  <c r="F6" i="144"/>
  <c r="E6" i="144"/>
  <c r="D6" i="144"/>
  <c r="C6" i="144"/>
  <c r="B6" i="144"/>
  <c r="L17" i="141"/>
  <c r="K17" i="141"/>
  <c r="G17" i="141"/>
  <c r="F17" i="141"/>
  <c r="L16" i="141"/>
  <c r="K16" i="141"/>
  <c r="G16" i="141"/>
  <c r="F16" i="141"/>
  <c r="L15" i="141"/>
  <c r="K15" i="141"/>
  <c r="G15" i="141"/>
  <c r="F15" i="141"/>
  <c r="L14" i="141"/>
  <c r="K14" i="141"/>
  <c r="G14" i="141"/>
  <c r="F14" i="141"/>
  <c r="L13" i="141"/>
  <c r="K13" i="141"/>
  <c r="G13" i="141"/>
  <c r="F13" i="141"/>
  <c r="L12" i="141"/>
  <c r="K12" i="141"/>
  <c r="G12" i="141"/>
  <c r="F12" i="141"/>
  <c r="L11" i="141"/>
  <c r="K11" i="141"/>
  <c r="G11" i="141"/>
  <c r="F11" i="141"/>
  <c r="L10" i="141"/>
  <c r="K10" i="141"/>
  <c r="G10" i="141"/>
  <c r="F10" i="141"/>
  <c r="L9" i="141"/>
  <c r="K9" i="141"/>
  <c r="G9" i="141"/>
  <c r="F9" i="141"/>
  <c r="L8" i="141"/>
  <c r="K8" i="141"/>
  <c r="G8" i="141"/>
  <c r="F8" i="141"/>
  <c r="L7" i="141"/>
  <c r="K7" i="141"/>
  <c r="G7" i="141"/>
  <c r="F7" i="141"/>
  <c r="L6" i="141"/>
  <c r="K6" i="141"/>
  <c r="G6" i="141"/>
  <c r="F6" i="141"/>
  <c r="L5" i="141"/>
  <c r="K5" i="141"/>
  <c r="G5" i="141"/>
  <c r="F5" i="141"/>
  <c r="L4" i="141"/>
  <c r="K4" i="141"/>
  <c r="G4" i="141"/>
  <c r="F4" i="141"/>
  <c r="O17" i="144" l="1"/>
  <c r="J6" i="145"/>
  <c r="P17" i="144"/>
  <c r="Q6" i="144"/>
  <c r="R6" i="144"/>
  <c r="I6" i="145"/>
  <c r="U1" i="79"/>
  <c r="A10" i="14" l="1"/>
  <c r="A11" i="13"/>
  <c r="A11" i="11"/>
  <c r="A12" i="10"/>
  <c r="A14" i="8"/>
  <c r="A12" i="6"/>
  <c r="A12" i="18"/>
  <c r="B6" i="139"/>
  <c r="Q6" i="139"/>
  <c r="P6" i="139"/>
  <c r="C6" i="139"/>
  <c r="D6" i="139"/>
  <c r="E6" i="139"/>
  <c r="F6" i="139"/>
  <c r="G6" i="139"/>
  <c r="H6" i="139"/>
  <c r="I6" i="139"/>
  <c r="J6" i="139"/>
  <c r="K6" i="139"/>
  <c r="L6" i="139"/>
  <c r="M6" i="139"/>
  <c r="N6" i="139"/>
  <c r="O6" i="139"/>
  <c r="B5" i="18"/>
  <c r="I11" i="6" l="1"/>
  <c r="H11" i="6"/>
  <c r="I9" i="18" l="1"/>
  <c r="H9" i="18"/>
  <c r="O6" i="8" l="1"/>
  <c r="N6" i="8"/>
  <c r="Y13" i="79" l="1"/>
  <c r="X27" i="79" l="1"/>
  <c r="Y6" i="79"/>
  <c r="Y9" i="79"/>
  <c r="I10" i="8" l="1"/>
  <c r="C10" i="8" s="1"/>
  <c r="H10" i="8"/>
  <c r="B10" i="8" s="1"/>
  <c r="I6" i="18" l="1"/>
  <c r="H6" i="18"/>
  <c r="G9" i="102" l="1"/>
  <c r="G8" i="102"/>
  <c r="E5" i="102"/>
  <c r="G5" i="102" s="1"/>
  <c r="H5" i="92"/>
  <c r="B5" i="92"/>
  <c r="C5" i="92"/>
  <c r="G5" i="14"/>
  <c r="F5" i="14"/>
  <c r="E5" i="14"/>
  <c r="D5" i="14"/>
  <c r="C5" i="14"/>
  <c r="H9" i="14"/>
  <c r="I9" i="14"/>
  <c r="F5" i="93" l="1"/>
  <c r="H5" i="102" l="1"/>
  <c r="J5" i="102" s="1"/>
  <c r="Q4" i="105" l="1"/>
  <c r="B5" i="102"/>
  <c r="D5" i="102" s="1"/>
  <c r="D9" i="102"/>
  <c r="D26" i="94"/>
  <c r="C26" i="94"/>
  <c r="C5" i="91"/>
  <c r="D38" i="17" l="1"/>
  <c r="W8" i="108" l="1"/>
  <c r="V8" i="108"/>
  <c r="F2" i="79" l="1"/>
  <c r="A22" i="91"/>
  <c r="A8" i="90"/>
  <c r="K5" i="136" l="1"/>
  <c r="J5" i="136"/>
  <c r="I5" i="136"/>
  <c r="H5" i="136"/>
  <c r="G5" i="136"/>
  <c r="F5" i="136"/>
  <c r="E5" i="136"/>
  <c r="D5" i="136"/>
  <c r="C5" i="136"/>
  <c r="B5" i="136"/>
  <c r="J8" i="133"/>
  <c r="I8" i="133"/>
  <c r="H8" i="133"/>
  <c r="J7" i="133"/>
  <c r="I7" i="133"/>
  <c r="H7" i="133"/>
  <c r="A7" i="133"/>
  <c r="A8" i="133" s="1"/>
  <c r="A9" i="133" s="1"/>
  <c r="I6" i="133"/>
  <c r="H6" i="133"/>
  <c r="G6" i="133"/>
  <c r="G5" i="133" s="1"/>
  <c r="D6" i="133"/>
  <c r="F5" i="133"/>
  <c r="E5" i="133"/>
  <c r="C5" i="133"/>
  <c r="B5" i="133"/>
  <c r="A7" i="131"/>
  <c r="A8" i="131" s="1"/>
  <c r="A9" i="131" s="1"/>
  <c r="J6" i="131"/>
  <c r="J5" i="131" s="1"/>
  <c r="G6" i="131"/>
  <c r="D6" i="131"/>
  <c r="K5" i="131"/>
  <c r="I5" i="131"/>
  <c r="H5" i="131"/>
  <c r="G5" i="131"/>
  <c r="F5" i="131"/>
  <c r="E5" i="131"/>
  <c r="D5" i="131"/>
  <c r="C5" i="131"/>
  <c r="B5" i="131"/>
  <c r="J12" i="130"/>
  <c r="I12" i="130"/>
  <c r="H12" i="130"/>
  <c r="G12" i="130"/>
  <c r="F12" i="130"/>
  <c r="E12" i="130"/>
  <c r="D12" i="130"/>
  <c r="C12" i="130"/>
  <c r="B12" i="130"/>
  <c r="AC9" i="129"/>
  <c r="AC6" i="129" s="1"/>
  <c r="AB9" i="129"/>
  <c r="AB6" i="129" s="1"/>
  <c r="A8" i="129"/>
  <c r="A9" i="129" s="1"/>
  <c r="A10" i="129" s="1"/>
  <c r="A11" i="129" s="1"/>
  <c r="A12" i="129" s="1"/>
  <c r="A13" i="129" s="1"/>
  <c r="A14" i="129" s="1"/>
  <c r="A15" i="129" s="1"/>
  <c r="A16" i="129" s="1"/>
  <c r="A17" i="129" s="1"/>
  <c r="A18" i="129" s="1"/>
  <c r="AA6" i="129"/>
  <c r="Z6" i="129"/>
  <c r="Y6" i="129"/>
  <c r="X6" i="129"/>
  <c r="W6" i="129"/>
  <c r="V6" i="129"/>
  <c r="U6" i="129"/>
  <c r="T6" i="129"/>
  <c r="S6" i="129"/>
  <c r="R6" i="129"/>
  <c r="Q6" i="129"/>
  <c r="P6" i="129"/>
  <c r="O6" i="129"/>
  <c r="N6" i="129"/>
  <c r="M6" i="129"/>
  <c r="L6" i="129"/>
  <c r="K6" i="129"/>
  <c r="J6" i="129"/>
  <c r="I6" i="129"/>
  <c r="H6" i="129"/>
  <c r="G6" i="129"/>
  <c r="F6" i="129"/>
  <c r="E6" i="129"/>
  <c r="D6" i="129"/>
  <c r="C6" i="129"/>
  <c r="B6" i="129"/>
  <c r="F5" i="127"/>
  <c r="E4" i="127"/>
  <c r="F4" i="127" s="1"/>
  <c r="C4" i="127"/>
  <c r="B4" i="127"/>
  <c r="G5" i="126"/>
  <c r="F5" i="126"/>
  <c r="E5" i="126"/>
  <c r="D5" i="126"/>
  <c r="C5" i="126"/>
  <c r="J6" i="125"/>
  <c r="I6" i="125"/>
  <c r="H6" i="125"/>
  <c r="F6" i="125"/>
  <c r="E6" i="125"/>
  <c r="D6" i="125"/>
  <c r="C6" i="125"/>
  <c r="K5" i="124"/>
  <c r="J5" i="124"/>
  <c r="I5" i="124"/>
  <c r="H5" i="124"/>
  <c r="G5" i="124"/>
  <c r="F5" i="124"/>
  <c r="E5" i="124"/>
  <c r="D5" i="124"/>
  <c r="K5" i="123"/>
  <c r="J5" i="123"/>
  <c r="I5" i="123"/>
  <c r="H5" i="123"/>
  <c r="G5" i="123"/>
  <c r="F5" i="123"/>
  <c r="E5" i="123"/>
  <c r="D5" i="123"/>
  <c r="C5" i="123"/>
  <c r="K5" i="122"/>
  <c r="J5" i="122"/>
  <c r="I5" i="122"/>
  <c r="H5" i="122"/>
  <c r="G5" i="122"/>
  <c r="F5" i="122"/>
  <c r="E5" i="122"/>
  <c r="D5" i="122"/>
  <c r="C5" i="122"/>
  <c r="I5" i="121"/>
  <c r="H5" i="121"/>
  <c r="G5" i="121"/>
  <c r="F5" i="121"/>
  <c r="E5" i="121"/>
  <c r="D5" i="121"/>
  <c r="C5" i="121"/>
  <c r="O5" i="120"/>
  <c r="N5" i="120"/>
  <c r="M5" i="120"/>
  <c r="L5" i="120"/>
  <c r="K5" i="120"/>
  <c r="J5" i="120"/>
  <c r="I5" i="120"/>
  <c r="H5" i="120"/>
  <c r="G5" i="120"/>
  <c r="F5" i="120"/>
  <c r="E5" i="120"/>
  <c r="D5" i="120"/>
  <c r="C5" i="120"/>
  <c r="O5" i="119"/>
  <c r="N5" i="119"/>
  <c r="M5" i="119"/>
  <c r="L5" i="119"/>
  <c r="K5" i="119"/>
  <c r="J5" i="119"/>
  <c r="I5" i="119"/>
  <c r="H5" i="119"/>
  <c r="G5" i="119"/>
  <c r="F5" i="119"/>
  <c r="E5" i="119"/>
  <c r="D5" i="119"/>
  <c r="C5" i="119"/>
  <c r="K6" i="118"/>
  <c r="J6" i="118"/>
  <c r="I6" i="118"/>
  <c r="H6" i="118"/>
  <c r="E6" i="118"/>
  <c r="D6" i="118"/>
  <c r="C6" i="118"/>
  <c r="L6" i="117"/>
  <c r="K6" i="117"/>
  <c r="J6" i="117"/>
  <c r="H6" i="117"/>
  <c r="G6" i="117"/>
  <c r="F6" i="117"/>
  <c r="E6" i="117"/>
  <c r="D6" i="117"/>
  <c r="C6" i="117"/>
  <c r="L6" i="116"/>
  <c r="K6" i="116"/>
  <c r="J6" i="116"/>
  <c r="I6" i="116"/>
  <c r="H6" i="116"/>
  <c r="G6" i="116"/>
  <c r="F6" i="116"/>
  <c r="E6" i="116"/>
  <c r="D6" i="116"/>
  <c r="C6" i="116"/>
  <c r="L6" i="115"/>
  <c r="K6" i="115"/>
  <c r="J6" i="115"/>
  <c r="I6" i="115"/>
  <c r="H6" i="115"/>
  <c r="G6" i="115"/>
  <c r="F6" i="115"/>
  <c r="E6" i="115"/>
  <c r="D6" i="115"/>
  <c r="C6" i="115"/>
  <c r="K5" i="112"/>
  <c r="J5" i="112"/>
  <c r="I5" i="112"/>
  <c r="H5" i="112"/>
  <c r="G5" i="112"/>
  <c r="K5" i="111"/>
  <c r="J5" i="111"/>
  <c r="I5" i="111"/>
  <c r="H5" i="111"/>
  <c r="G5" i="111"/>
  <c r="H6" i="110"/>
  <c r="G6" i="110"/>
  <c r="F6" i="110"/>
  <c r="E6" i="110"/>
  <c r="C6" i="110"/>
  <c r="B6" i="110"/>
  <c r="W8" i="109"/>
  <c r="V8" i="109"/>
  <c r="U8" i="109"/>
  <c r="T8" i="109"/>
  <c r="S8" i="109"/>
  <c r="R8" i="109"/>
  <c r="Q8" i="109"/>
  <c r="P8" i="109"/>
  <c r="O8" i="109"/>
  <c r="N8" i="109"/>
  <c r="M8" i="109"/>
  <c r="L8" i="109"/>
  <c r="K8" i="109"/>
  <c r="J8" i="109"/>
  <c r="I8" i="109"/>
  <c r="H8" i="109"/>
  <c r="G8" i="109"/>
  <c r="F8" i="109"/>
  <c r="E8" i="109"/>
  <c r="D8" i="109"/>
  <c r="C8" i="109"/>
  <c r="B8" i="109"/>
  <c r="U8" i="108"/>
  <c r="T8" i="108"/>
  <c r="S8" i="108"/>
  <c r="R8" i="108"/>
  <c r="Q8" i="108"/>
  <c r="P8" i="108"/>
  <c r="O8" i="108"/>
  <c r="N8" i="108"/>
  <c r="M8" i="108"/>
  <c r="L8" i="108"/>
  <c r="K8" i="108"/>
  <c r="J8" i="108"/>
  <c r="I8" i="108"/>
  <c r="H8" i="108"/>
  <c r="G8" i="108"/>
  <c r="F8" i="108"/>
  <c r="E8" i="108"/>
  <c r="D8" i="108"/>
  <c r="C8" i="108"/>
  <c r="B8" i="108"/>
  <c r="Q4" i="106"/>
  <c r="P4" i="106"/>
  <c r="O4" i="106"/>
  <c r="M4" i="106"/>
  <c r="K4" i="106"/>
  <c r="I4" i="106"/>
  <c r="G4" i="106"/>
  <c r="F4" i="106"/>
  <c r="D4" i="106"/>
  <c r="C4" i="106"/>
  <c r="B4" i="106"/>
  <c r="P4" i="105"/>
  <c r="O4" i="105"/>
  <c r="M4" i="105"/>
  <c r="K4" i="105"/>
  <c r="I4" i="105"/>
  <c r="G4" i="105"/>
  <c r="F4" i="105"/>
  <c r="D4" i="105"/>
  <c r="C4" i="105"/>
  <c r="B4" i="105"/>
  <c r="D8" i="102"/>
  <c r="G7" i="102"/>
  <c r="D7" i="102"/>
  <c r="G6" i="102"/>
  <c r="D6" i="102"/>
  <c r="J5" i="101"/>
  <c r="G5" i="101"/>
  <c r="H26" i="94"/>
  <c r="G26" i="94"/>
  <c r="F26" i="94"/>
  <c r="E26" i="94"/>
  <c r="P5" i="93"/>
  <c r="O5" i="93"/>
  <c r="N5" i="93"/>
  <c r="M5" i="93"/>
  <c r="H5" i="93"/>
  <c r="G5" i="93"/>
  <c r="E5" i="93"/>
  <c r="B5" i="93"/>
  <c r="P5" i="92"/>
  <c r="O5" i="92"/>
  <c r="N5" i="92"/>
  <c r="M5" i="92"/>
  <c r="L5" i="92"/>
  <c r="K5" i="92"/>
  <c r="G5" i="92"/>
  <c r="F5" i="92"/>
  <c r="E5" i="92"/>
  <c r="I5" i="92" s="1"/>
  <c r="J8" i="91"/>
  <c r="I8" i="91"/>
  <c r="P5" i="91"/>
  <c r="O5" i="91"/>
  <c r="N5" i="91"/>
  <c r="M5" i="91"/>
  <c r="L5" i="91"/>
  <c r="K5" i="91"/>
  <c r="H5" i="91"/>
  <c r="G5" i="91"/>
  <c r="F5" i="91"/>
  <c r="E5" i="91"/>
  <c r="B5" i="91"/>
  <c r="N4" i="105" l="1"/>
  <c r="J5" i="91"/>
  <c r="J6" i="133"/>
  <c r="J5" i="133" s="1"/>
  <c r="D5" i="133"/>
  <c r="I5" i="133"/>
  <c r="H5" i="133"/>
  <c r="E4" i="106"/>
  <c r="H4" i="106"/>
  <c r="J4" i="106"/>
  <c r="L4" i="106"/>
  <c r="N4" i="106"/>
  <c r="J5" i="93"/>
  <c r="L4" i="105"/>
  <c r="J4" i="105"/>
  <c r="H4" i="105"/>
  <c r="J5" i="92"/>
  <c r="I5" i="91"/>
  <c r="E4" i="105"/>
  <c r="I5" i="93"/>
  <c r="N17" i="85" l="1"/>
  <c r="M17" i="85"/>
  <c r="L17" i="85"/>
  <c r="K17" i="85"/>
  <c r="J17" i="85"/>
  <c r="I17" i="85"/>
  <c r="H17" i="85"/>
  <c r="G17" i="85"/>
  <c r="F17" i="85"/>
  <c r="E17" i="85"/>
  <c r="D17" i="85"/>
  <c r="C17" i="85"/>
  <c r="B17" i="85"/>
  <c r="N6" i="85"/>
  <c r="M6" i="85"/>
  <c r="L6" i="85"/>
  <c r="K6" i="85"/>
  <c r="J6" i="85"/>
  <c r="I6" i="85"/>
  <c r="H6" i="85"/>
  <c r="G6" i="85"/>
  <c r="F6" i="85"/>
  <c r="E6" i="85"/>
  <c r="D6" i="85"/>
  <c r="C6" i="85"/>
  <c r="B6" i="85"/>
  <c r="L21" i="84"/>
  <c r="K21" i="84"/>
  <c r="L20" i="84"/>
  <c r="K20" i="84"/>
  <c r="L19" i="84"/>
  <c r="K19" i="84"/>
  <c r="N18" i="84"/>
  <c r="M18" i="84"/>
  <c r="L18" i="84"/>
  <c r="K18" i="84"/>
  <c r="J18" i="84"/>
  <c r="I18" i="84"/>
  <c r="H18" i="84"/>
  <c r="G18" i="84"/>
  <c r="F18" i="84"/>
  <c r="E18" i="84"/>
  <c r="D18" i="84"/>
  <c r="C18" i="84"/>
  <c r="B18" i="84"/>
  <c r="L9" i="84"/>
  <c r="K9" i="84"/>
  <c r="L8" i="84"/>
  <c r="K8" i="84"/>
  <c r="L7" i="84"/>
  <c r="K7" i="84"/>
  <c r="N6" i="84"/>
  <c r="M6" i="84"/>
  <c r="J6" i="84"/>
  <c r="I6" i="84"/>
  <c r="H6" i="84"/>
  <c r="G6" i="84"/>
  <c r="F6" i="84"/>
  <c r="E6" i="84"/>
  <c r="D6" i="84"/>
  <c r="C6" i="84"/>
  <c r="B6" i="84"/>
  <c r="A7" i="81"/>
  <c r="A8" i="81" s="1"/>
  <c r="A9" i="81" s="1"/>
  <c r="E5" i="81"/>
  <c r="D5" i="81"/>
  <c r="C5" i="81"/>
  <c r="B5" i="81"/>
  <c r="K6" i="84" l="1"/>
  <c r="L6" i="84"/>
  <c r="S27" i="79"/>
  <c r="R27" i="79"/>
  <c r="Q27" i="79"/>
  <c r="P27" i="79"/>
  <c r="Y49" i="79"/>
  <c r="X49" i="79"/>
  <c r="W49" i="79"/>
  <c r="V49" i="79"/>
  <c r="U49" i="79"/>
  <c r="T49" i="79"/>
  <c r="S49" i="79"/>
  <c r="R49" i="79"/>
  <c r="Q49" i="79"/>
  <c r="P49" i="79"/>
  <c r="O49" i="79"/>
  <c r="N49" i="79"/>
  <c r="M49" i="79"/>
  <c r="L49" i="79"/>
  <c r="K49" i="79"/>
  <c r="J49" i="79"/>
  <c r="E49" i="79"/>
  <c r="D49" i="79"/>
  <c r="C49" i="79"/>
  <c r="B49" i="79"/>
  <c r="Y45" i="79"/>
  <c r="X45" i="79"/>
  <c r="W45" i="79"/>
  <c r="V45" i="79"/>
  <c r="U45" i="79"/>
  <c r="T45" i="79"/>
  <c r="S45" i="79"/>
  <c r="R45" i="79"/>
  <c r="Q45" i="79"/>
  <c r="P45" i="79"/>
  <c r="O45" i="79"/>
  <c r="N45" i="79"/>
  <c r="M45" i="79"/>
  <c r="L45" i="79"/>
  <c r="K45" i="79"/>
  <c r="J45" i="79"/>
  <c r="E45" i="79"/>
  <c r="D45" i="79"/>
  <c r="C45" i="79"/>
  <c r="B45" i="79"/>
  <c r="Y36" i="79"/>
  <c r="X36" i="79"/>
  <c r="W36" i="79"/>
  <c r="V36" i="79"/>
  <c r="U36" i="79"/>
  <c r="T36" i="79"/>
  <c r="S36" i="79"/>
  <c r="R36" i="79"/>
  <c r="Q36" i="79"/>
  <c r="P36" i="79"/>
  <c r="O36" i="79"/>
  <c r="N36" i="79"/>
  <c r="M36" i="79"/>
  <c r="L36" i="79"/>
  <c r="K36" i="79"/>
  <c r="J36" i="79"/>
  <c r="Y33" i="79"/>
  <c r="X33" i="79"/>
  <c r="W33" i="79"/>
  <c r="V33" i="79"/>
  <c r="U33" i="79"/>
  <c r="T33" i="79"/>
  <c r="S33" i="79"/>
  <c r="R33" i="79"/>
  <c r="Q33" i="79"/>
  <c r="P33" i="79"/>
  <c r="O33" i="79"/>
  <c r="N33" i="79"/>
  <c r="M33" i="79"/>
  <c r="L33" i="79"/>
  <c r="K33" i="79"/>
  <c r="J33" i="79"/>
  <c r="Y30" i="79"/>
  <c r="X30" i="79"/>
  <c r="W30" i="79"/>
  <c r="V30" i="79"/>
  <c r="U30" i="79"/>
  <c r="T30" i="79"/>
  <c r="S30" i="79"/>
  <c r="R30" i="79"/>
  <c r="Q30" i="79"/>
  <c r="P30" i="79"/>
  <c r="O30" i="79"/>
  <c r="N30" i="79"/>
  <c r="M30" i="79"/>
  <c r="L30" i="79"/>
  <c r="K30" i="79"/>
  <c r="J30" i="79"/>
  <c r="Y27" i="79"/>
  <c r="W27" i="79"/>
  <c r="V27" i="79"/>
  <c r="U27" i="79"/>
  <c r="T27" i="79"/>
  <c r="M27" i="79"/>
  <c r="L27" i="79"/>
  <c r="K27" i="79"/>
  <c r="J27" i="79"/>
  <c r="E26" i="79"/>
  <c r="E41" i="79" s="1"/>
  <c r="C26" i="79"/>
  <c r="C41" i="79" s="1"/>
  <c r="E25" i="79"/>
  <c r="E40" i="79" s="1"/>
  <c r="C25" i="79"/>
  <c r="C40" i="79" s="1"/>
  <c r="E24" i="79"/>
  <c r="E39" i="79" s="1"/>
  <c r="D24" i="79"/>
  <c r="D39" i="79" s="1"/>
  <c r="C24" i="79"/>
  <c r="C39" i="79" s="1"/>
  <c r="B24" i="79"/>
  <c r="B39" i="79" s="1"/>
  <c r="Y23" i="79"/>
  <c r="X23" i="79"/>
  <c r="W23" i="79"/>
  <c r="V23" i="79"/>
  <c r="U23" i="79"/>
  <c r="T23" i="79"/>
  <c r="S23" i="79"/>
  <c r="R23" i="79"/>
  <c r="Q23" i="79"/>
  <c r="P23" i="79"/>
  <c r="O23" i="79"/>
  <c r="N23" i="79"/>
  <c r="M23" i="79"/>
  <c r="L23" i="79"/>
  <c r="K23" i="79"/>
  <c r="J23" i="79"/>
  <c r="Y22" i="79"/>
  <c r="X22" i="79"/>
  <c r="W22" i="79"/>
  <c r="V22" i="79"/>
  <c r="U22" i="79"/>
  <c r="T22" i="79"/>
  <c r="S22" i="79"/>
  <c r="R22" i="79"/>
  <c r="Q22" i="79"/>
  <c r="P22" i="79"/>
  <c r="O22" i="79"/>
  <c r="N22" i="79"/>
  <c r="M22" i="79"/>
  <c r="L22" i="79"/>
  <c r="K22" i="79"/>
  <c r="J22" i="79"/>
  <c r="Y18" i="79"/>
  <c r="X18" i="79"/>
  <c r="W18" i="79"/>
  <c r="V18" i="79"/>
  <c r="U18" i="79"/>
  <c r="T18" i="79"/>
  <c r="S18" i="79"/>
  <c r="R18" i="79"/>
  <c r="Q18" i="79"/>
  <c r="P18" i="79"/>
  <c r="O18" i="79"/>
  <c r="N18" i="79"/>
  <c r="M18" i="79"/>
  <c r="M21" i="79" s="1"/>
  <c r="L18" i="79"/>
  <c r="L21" i="79" s="1"/>
  <c r="K18" i="79"/>
  <c r="K21" i="79" s="1"/>
  <c r="J18" i="79"/>
  <c r="J21" i="79" s="1"/>
  <c r="Y15" i="79"/>
  <c r="X15" i="79"/>
  <c r="W15" i="79"/>
  <c r="V15" i="79"/>
  <c r="U15" i="79"/>
  <c r="T15" i="79"/>
  <c r="S15" i="79"/>
  <c r="R15" i="79"/>
  <c r="Q15" i="79"/>
  <c r="P15" i="79"/>
  <c r="O15" i="79"/>
  <c r="N15" i="79"/>
  <c r="K15" i="79"/>
  <c r="J15" i="79"/>
  <c r="Y14" i="79"/>
  <c r="W14" i="79"/>
  <c r="M14" i="79"/>
  <c r="K14" i="79"/>
  <c r="K26" i="79" s="1"/>
  <c r="Y25" i="79"/>
  <c r="W13" i="79"/>
  <c r="M13" i="79"/>
  <c r="K13" i="79"/>
  <c r="Y12" i="79"/>
  <c r="X12" i="79"/>
  <c r="W12" i="79"/>
  <c r="V12" i="79"/>
  <c r="M12" i="79"/>
  <c r="L12" i="79"/>
  <c r="K12" i="79"/>
  <c r="J12" i="79"/>
  <c r="N2" i="79"/>
  <c r="R2" i="79" s="1"/>
  <c r="V2" i="79" s="1"/>
  <c r="Y40" i="79" l="1"/>
  <c r="P21" i="79"/>
  <c r="S21" i="79"/>
  <c r="N21" i="79"/>
  <c r="Q21" i="79"/>
  <c r="M25" i="79"/>
  <c r="M40" i="79" s="1"/>
  <c r="O21" i="79"/>
  <c r="K25" i="79"/>
  <c r="K40" i="79" s="1"/>
  <c r="M26" i="79"/>
  <c r="M41" i="79" s="1"/>
  <c r="W25" i="79"/>
  <c r="W40" i="79" s="1"/>
  <c r="W26" i="79"/>
  <c r="W41" i="79" s="1"/>
  <c r="Y26" i="79"/>
  <c r="Y41" i="79" s="1"/>
  <c r="V21" i="79"/>
  <c r="V24" i="79" s="1"/>
  <c r="V39" i="79" s="1"/>
  <c r="W21" i="79"/>
  <c r="W24" i="79" s="1"/>
  <c r="W39" i="79" s="1"/>
  <c r="X21" i="79"/>
  <c r="Y21" i="79"/>
  <c r="Y24" i="79" s="1"/>
  <c r="Y39" i="79" s="1"/>
  <c r="N27" i="79"/>
  <c r="O27" i="79"/>
  <c r="R12" i="79"/>
  <c r="S12" i="79"/>
  <c r="T12" i="79"/>
  <c r="O14" i="79"/>
  <c r="O26" i="79" s="1"/>
  <c r="S14" i="79"/>
  <c r="S26" i="79" s="1"/>
  <c r="S41" i="79" s="1"/>
  <c r="N12" i="79"/>
  <c r="O12" i="79"/>
  <c r="P12" i="79"/>
  <c r="P24" i="79" s="1"/>
  <c r="P39" i="79" s="1"/>
  <c r="Q12" i="79"/>
  <c r="Q24" i="79" s="1"/>
  <c r="Q39" i="79" s="1"/>
  <c r="U12" i="79"/>
  <c r="Q13" i="79"/>
  <c r="Q25" i="79" s="1"/>
  <c r="Q40" i="79" s="1"/>
  <c r="Q14" i="79"/>
  <c r="Q26" i="79" s="1"/>
  <c r="Q41" i="79" s="1"/>
  <c r="O13" i="79"/>
  <c r="O25" i="79" s="1"/>
  <c r="O40" i="79" s="1"/>
  <c r="S13" i="79"/>
  <c r="S25" i="79" s="1"/>
  <c r="S40" i="79" s="1"/>
  <c r="U13" i="79"/>
  <c r="U25" i="79" s="1"/>
  <c r="U40" i="79" s="1"/>
  <c r="U14" i="79"/>
  <c r="U26" i="79" s="1"/>
  <c r="U41" i="79" s="1"/>
  <c r="S24" i="79"/>
  <c r="S39" i="79" s="1"/>
  <c r="J24" i="79"/>
  <c r="J39" i="79" s="1"/>
  <c r="K24" i="79"/>
  <c r="K39" i="79" s="1"/>
  <c r="N24" i="79"/>
  <c r="L24" i="79"/>
  <c r="L39" i="79" s="1"/>
  <c r="M24" i="79"/>
  <c r="M39" i="79" s="1"/>
  <c r="R21" i="79"/>
  <c r="T21" i="79"/>
  <c r="U21" i="79"/>
  <c r="K41" i="79"/>
  <c r="R24" i="79" l="1"/>
  <c r="R39" i="79" s="1"/>
  <c r="X24" i="79"/>
  <c r="X39" i="79" s="1"/>
  <c r="O24" i="79"/>
  <c r="O39" i="79" s="1"/>
  <c r="N39" i="79"/>
  <c r="T24" i="79"/>
  <c r="T39" i="79" s="1"/>
  <c r="O41" i="79"/>
  <c r="U24" i="79"/>
  <c r="U39" i="79" s="1"/>
  <c r="J6" i="8" l="1"/>
  <c r="D6" i="8"/>
  <c r="L63" i="9" l="1"/>
  <c r="M63" i="9"/>
  <c r="H9" i="8"/>
  <c r="B9" i="8" s="1"/>
  <c r="I9" i="8"/>
  <c r="C38" i="17" l="1"/>
  <c r="B38" i="17"/>
  <c r="C27" i="17" l="1"/>
  <c r="I7" i="18" l="1"/>
  <c r="H7" i="18"/>
  <c r="H5" i="18"/>
  <c r="J63" i="9" l="1"/>
  <c r="K63" i="9"/>
  <c r="J2" i="9"/>
  <c r="L2" i="9" s="1"/>
  <c r="N2" i="9" s="1"/>
  <c r="I8" i="8"/>
  <c r="H8" i="8"/>
  <c r="B8" i="8" s="1"/>
  <c r="I7" i="8"/>
  <c r="H7" i="8"/>
  <c r="B7" i="8" s="1"/>
  <c r="K7" i="13" l="1"/>
  <c r="J7" i="13"/>
  <c r="J6" i="12" l="1"/>
  <c r="E63" i="9" l="1"/>
  <c r="H63" i="9"/>
  <c r="I63" i="9"/>
  <c r="D63" i="9"/>
  <c r="I5" i="18" l="1"/>
  <c r="G5" i="18"/>
  <c r="F5" i="18"/>
  <c r="E5" i="18"/>
  <c r="D5" i="18"/>
  <c r="C5" i="18"/>
  <c r="J5" i="16" l="1"/>
  <c r="I5" i="16"/>
  <c r="H5" i="16"/>
  <c r="G5" i="16"/>
  <c r="F5" i="16"/>
  <c r="E5" i="16"/>
  <c r="D5" i="16"/>
  <c r="C5" i="16"/>
  <c r="B5" i="16"/>
  <c r="M6" i="15"/>
  <c r="L6" i="15"/>
  <c r="K6" i="15"/>
  <c r="J6" i="15"/>
  <c r="I6" i="15"/>
  <c r="H6" i="15"/>
  <c r="G6" i="15"/>
  <c r="F6" i="15"/>
  <c r="E6" i="15"/>
  <c r="D6" i="15"/>
  <c r="C6" i="15"/>
  <c r="B6" i="15"/>
  <c r="I8" i="14"/>
  <c r="H8" i="14"/>
  <c r="A7" i="14"/>
  <c r="A8" i="14" s="1"/>
  <c r="A9" i="14" s="1"/>
  <c r="I6" i="14"/>
  <c r="H6" i="14"/>
  <c r="B5" i="14"/>
  <c r="K9" i="13"/>
  <c r="J9" i="13"/>
  <c r="K8" i="13"/>
  <c r="J8" i="13"/>
  <c r="A7" i="13"/>
  <c r="A8" i="13" s="1"/>
  <c r="A9" i="13" s="1"/>
  <c r="K6" i="13"/>
  <c r="K5" i="13" s="1"/>
  <c r="J6" i="13"/>
  <c r="I5" i="13"/>
  <c r="H5" i="13"/>
  <c r="G5" i="13"/>
  <c r="F5" i="13"/>
  <c r="E5" i="13"/>
  <c r="D5" i="13"/>
  <c r="C5" i="13"/>
  <c r="B5" i="13"/>
  <c r="K9" i="12"/>
  <c r="J9" i="12"/>
  <c r="K8" i="12"/>
  <c r="J8" i="12"/>
  <c r="K7" i="12"/>
  <c r="J7" i="12"/>
  <c r="A7" i="12"/>
  <c r="A8" i="12" s="1"/>
  <c r="A9" i="12" s="1"/>
  <c r="K6" i="12"/>
  <c r="I5" i="12"/>
  <c r="H5" i="12"/>
  <c r="G5" i="12"/>
  <c r="F5" i="12"/>
  <c r="E5" i="12"/>
  <c r="D5" i="12"/>
  <c r="C5" i="12"/>
  <c r="B5" i="12"/>
  <c r="C9" i="11"/>
  <c r="B9" i="11"/>
  <c r="C8" i="11"/>
  <c r="B8" i="11"/>
  <c r="C7" i="11"/>
  <c r="B7" i="11"/>
  <c r="A7" i="11"/>
  <c r="A8" i="11" s="1"/>
  <c r="A9" i="11" s="1"/>
  <c r="C6" i="11"/>
  <c r="B6" i="11"/>
  <c r="O5" i="11"/>
  <c r="N5" i="11"/>
  <c r="M5" i="11"/>
  <c r="L5" i="11"/>
  <c r="K5" i="11"/>
  <c r="J5" i="11"/>
  <c r="I5" i="11"/>
  <c r="H5" i="11"/>
  <c r="G5" i="11"/>
  <c r="F5" i="11"/>
  <c r="E5" i="11"/>
  <c r="D5" i="11"/>
  <c r="C10" i="10"/>
  <c r="B10" i="10"/>
  <c r="C9" i="10"/>
  <c r="B9" i="10"/>
  <c r="C8" i="10"/>
  <c r="B8" i="10"/>
  <c r="A8" i="10"/>
  <c r="A9" i="10" s="1"/>
  <c r="A10" i="10" s="1"/>
  <c r="C7" i="10"/>
  <c r="B7" i="10"/>
  <c r="Q6" i="10"/>
  <c r="P6" i="10"/>
  <c r="O6" i="10"/>
  <c r="N6" i="10"/>
  <c r="M6" i="10"/>
  <c r="L6" i="10"/>
  <c r="K6" i="10"/>
  <c r="J6" i="10"/>
  <c r="I6" i="10"/>
  <c r="H6" i="10"/>
  <c r="G6" i="10"/>
  <c r="F6" i="10"/>
  <c r="E6" i="10"/>
  <c r="D6" i="10"/>
  <c r="C8" i="8"/>
  <c r="C7" i="8"/>
  <c r="M6" i="8"/>
  <c r="L6" i="8"/>
  <c r="K6" i="8"/>
  <c r="G6" i="8"/>
  <c r="F6" i="8"/>
  <c r="H6" i="8" s="1"/>
  <c r="E6" i="8"/>
  <c r="I6" i="8" s="1"/>
  <c r="I10" i="6"/>
  <c r="H10" i="6"/>
  <c r="A9" i="6"/>
  <c r="A10" i="6" s="1"/>
  <c r="A11" i="6" s="1"/>
  <c r="I8" i="6"/>
  <c r="H8" i="6"/>
  <c r="G7" i="6"/>
  <c r="F7" i="6"/>
  <c r="E7" i="6"/>
  <c r="D7" i="6"/>
  <c r="C7" i="6"/>
  <c r="B7" i="6"/>
  <c r="H5" i="14" l="1"/>
  <c r="I5" i="14"/>
  <c r="I7" i="6"/>
  <c r="H7" i="6"/>
  <c r="B6" i="8"/>
  <c r="J5" i="12"/>
  <c r="K5" i="12"/>
  <c r="J5" i="13"/>
  <c r="B6" i="10"/>
  <c r="B5" i="11"/>
  <c r="C6" i="10"/>
  <c r="C5" i="11"/>
  <c r="C9" i="8"/>
  <c r="C6" i="8" s="1"/>
  <c r="S6" i="145" l="1"/>
  <c r="T6" i="145"/>
</calcChain>
</file>

<file path=xl/comments1.xml><?xml version="1.0" encoding="utf-8"?>
<comments xmlns="http://schemas.openxmlformats.org/spreadsheetml/2006/main">
  <authors>
    <author>Author</author>
  </authors>
  <commentList>
    <comment ref="F87" authorId="0" shapeId="0">
      <text>
        <r>
          <rPr>
            <b/>
            <sz val="9"/>
            <color indexed="81"/>
            <rFont val="Tahoma"/>
            <family val="2"/>
          </rPr>
          <t>Author:</t>
        </r>
        <r>
          <rPr>
            <sz val="9"/>
            <color indexed="81"/>
            <rFont val="Tahoma"/>
            <family val="2"/>
          </rPr>
          <t xml:space="preserve">
The highlighted data may be verified. The data was till June 2023</t>
        </r>
      </text>
    </comment>
  </commentList>
</comments>
</file>

<file path=xl/sharedStrings.xml><?xml version="1.0" encoding="utf-8"?>
<sst xmlns="http://schemas.openxmlformats.org/spreadsheetml/2006/main" count="3590" uniqueCount="1467">
  <si>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</si>
  <si>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</si>
  <si>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</si>
  <si>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</si>
  <si>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</si>
  <si>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</si>
  <si>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</si>
  <si>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</si>
  <si>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</si>
  <si>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</si>
  <si>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</si>
  <si>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</si>
  <si>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</si>
  <si>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</si>
  <si>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</si>
  <si>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</si>
  <si>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</si>
  <si>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</si>
  <si>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</si>
  <si>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</si>
  <si>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</si>
  <si>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</si>
  <si>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</si>
  <si>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</si>
  <si>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</si>
  <si>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</si>
  <si>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</si>
  <si>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</si>
  <si>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</si>
  <si>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</si>
  <si>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</si>
  <si>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</si>
  <si>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</si>
  <si>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</si>
  <si>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</si>
  <si>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</si>
  <si>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</si>
  <si>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</si>
  <si>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</si>
  <si>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</si>
  <si>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</si>
  <si>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</si>
  <si>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</si>
  <si>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</si>
  <si>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</si>
  <si>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</si>
  <si>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</si>
  <si>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</si>
  <si>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</si>
  <si>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</si>
  <si>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</si>
  <si>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</si>
  <si>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</si>
  <si>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</si>
  <si>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</si>
  <si>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</si>
  <si>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</si>
  <si>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</si>
  <si>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</si>
  <si>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</si>
  <si>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</si>
  <si>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</si>
  <si>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</si>
  <si>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</si>
  <si>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</si>
  <si>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</si>
  <si>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</si>
  <si>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</si>
  <si>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</si>
  <si>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</si>
  <si>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</si>
  <si>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</si>
  <si>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</si>
  <si>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</si>
  <si>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</si>
  <si>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</si>
  <si>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</si>
  <si>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</si>
  <si>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</si>
  <si>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</si>
  <si>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</si>
  <si>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</si>
  <si>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</si>
  <si>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</si>
  <si>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</si>
  <si>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</si>
  <si>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</si>
  <si>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</si>
  <si>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</si>
  <si>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</si>
  <si>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</si>
  <si>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</si>
  <si>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</si>
  <si>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</si>
  <si>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</si>
  <si>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</si>
  <si>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</si>
  <si>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</si>
  <si>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</si>
  <si>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</si>
  <si>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</si>
  <si>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</si>
  <si>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</si>
  <si>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</si>
  <si>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</si>
  <si>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</si>
  <si>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</si>
  <si>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</si>
  <si>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</si>
  <si>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</si>
  <si>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</si>
  <si>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</si>
  <si>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</si>
  <si>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</si>
  <si>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</si>
  <si>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</si>
  <si>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</si>
  <si>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</si>
  <si>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</si>
  <si>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</si>
  <si>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</si>
  <si>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Apr-23</t>
  </si>
  <si>
    <t>May-23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</si>
  <si>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</si>
  <si>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</si>
  <si>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</si>
  <si>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</si>
  <si>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</si>
  <si>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</si>
  <si>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</si>
  <si>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</si>
  <si>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</si>
  <si>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</si>
  <si>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</si>
  <si>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</si>
  <si>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Listed</t>
  </si>
  <si>
    <t>Debt</t>
  </si>
  <si>
    <t>No. of issues</t>
  </si>
  <si>
    <t>Amount 
( ₹   crore)</t>
  </si>
  <si>
    <t>Year/ Month</t>
  </si>
  <si>
    <t>Amount 
( ₹ crore)</t>
  </si>
  <si>
    <t>Source: SEBI</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</si>
  <si>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</si>
  <si>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</si>
  <si>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</si>
  <si>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</si>
  <si>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</si>
  <si>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</si>
  <si>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</si>
  <si>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</si>
  <si>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</si>
  <si>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</si>
  <si>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</si>
  <si>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</si>
  <si>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</si>
  <si>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</si>
  <si>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</si>
  <si>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</si>
  <si>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</si>
  <si>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</si>
  <si>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</si>
  <si>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</si>
  <si>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</si>
  <si>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</si>
  <si>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</si>
  <si>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</si>
  <si>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</si>
  <si>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</si>
  <si>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</si>
  <si>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</si>
  <si>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</si>
  <si>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</si>
  <si>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</si>
  <si>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</si>
  <si>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</si>
  <si>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</si>
  <si>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</si>
  <si>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</si>
  <si>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</si>
  <si>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</si>
  <si>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</si>
  <si>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</si>
  <si>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</si>
  <si>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</si>
  <si>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</si>
  <si>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</si>
  <si>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</si>
  <si>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</si>
  <si>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</si>
  <si>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</si>
  <si>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</si>
  <si>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</si>
  <si>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Table 74:  Macro Economic Indicators</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</si>
  <si>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</si>
  <si>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</si>
  <si>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</si>
  <si>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</si>
  <si>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</si>
  <si>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</si>
  <si>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</si>
  <si>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</si>
  <si>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</si>
  <si>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</si>
  <si>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</si>
  <si>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</si>
  <si>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</si>
  <si>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</si>
  <si>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</si>
  <si>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</si>
  <si>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</si>
  <si>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</si>
  <si>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</si>
  <si>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</si>
  <si>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</si>
  <si>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</si>
  <si>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</si>
  <si>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</si>
  <si>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</si>
  <si>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</si>
  <si>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</si>
  <si>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</si>
  <si>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NA</t>
  </si>
  <si>
    <t>Mining</t>
  </si>
  <si>
    <t>Manufacturing</t>
  </si>
  <si>
    <t>Electricity</t>
  </si>
  <si>
    <t>X. External Sector Indicators (USD billion)</t>
  </si>
  <si>
    <t xml:space="preserve">Exports </t>
  </si>
  <si>
    <t>Imports</t>
  </si>
  <si>
    <t>Trade Balance</t>
  </si>
  <si>
    <t xml:space="preserve">Notes: </t>
  </si>
  <si>
    <t>^ cumulative figure value of the respective months.</t>
  </si>
  <si>
    <t>Data for CPI, WPI, IIP and External sector have been compiled based on available information.</t>
  </si>
  <si>
    <t>No. of Trades</t>
  </si>
  <si>
    <t>Value (₹ crore)</t>
  </si>
  <si>
    <t>-</t>
  </si>
  <si>
    <t>This table has been revised to include only settled trades (OTC+RFQ trades) through exchange platform.</t>
  </si>
  <si>
    <r>
      <t>Table 16: Distribution of Turnover on Cash Segments of Stock Exchanges (</t>
    </r>
    <r>
      <rPr>
        <b/>
        <sz val="11"/>
        <color indexed="8"/>
        <rFont val="Rupee Foradian"/>
        <family val="2"/>
      </rPr>
      <t>`</t>
    </r>
    <r>
      <rPr>
        <b/>
        <sz val="11"/>
        <color indexed="8"/>
        <rFont val="Garamond"/>
        <family val="1"/>
      </rPr>
      <t>crore)</t>
    </r>
  </si>
  <si>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</si>
  <si>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</si>
  <si>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</si>
  <si>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</si>
  <si>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</si>
  <si>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</si>
  <si>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</si>
  <si>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</si>
  <si>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</si>
  <si>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</si>
  <si>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</si>
  <si>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</si>
  <si>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</si>
  <si>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</si>
  <si>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</si>
  <si>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</si>
  <si>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</si>
  <si>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</si>
  <si>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</si>
  <si>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</si>
  <si>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</si>
  <si>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</si>
  <si>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</si>
  <si>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</si>
  <si>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</si>
  <si>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</si>
  <si>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</si>
  <si>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</si>
  <si>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</si>
  <si>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</si>
  <si>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</si>
  <si>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</si>
  <si>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</si>
  <si>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</si>
  <si>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</si>
  <si>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</si>
  <si>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</si>
  <si>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</si>
  <si>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</si>
  <si>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</si>
  <si>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</si>
  <si>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</si>
  <si>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</si>
  <si>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</si>
  <si>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r>
      <t>MSEI</t>
    </r>
    <r>
      <rPr>
        <sz val="11"/>
        <color indexed="8"/>
        <rFont val="Garamond"/>
        <family val="1"/>
      </rPr>
      <t>*</t>
    </r>
  </si>
  <si>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</si>
  <si>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</si>
  <si>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</si>
  <si>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</si>
  <si>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</si>
  <si>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</si>
  <si>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</si>
  <si>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</si>
  <si>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</si>
  <si>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</si>
  <si>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</si>
  <si>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</si>
  <si>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</si>
  <si>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</si>
  <si>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</si>
  <si>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</si>
  <si>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</si>
  <si>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</si>
  <si>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</si>
  <si>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</si>
  <si>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</si>
  <si>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</si>
  <si>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</si>
  <si>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</si>
  <si>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</si>
  <si>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</si>
  <si>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</si>
  <si>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</si>
  <si>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</si>
  <si>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</si>
  <si>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</si>
  <si>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</si>
  <si>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</si>
  <si>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</si>
  <si>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</si>
  <si>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</si>
  <si>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</si>
  <si>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</si>
  <si>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</si>
  <si>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</si>
  <si>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</si>
  <si>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</si>
  <si>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</si>
  <si>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</si>
  <si>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</si>
  <si>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</si>
  <si>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</si>
  <si>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</si>
  <si>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</si>
  <si>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</si>
  <si>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</si>
  <si>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</si>
  <si>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</si>
  <si>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</si>
  <si>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</si>
  <si>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</si>
  <si>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</si>
  <si>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</si>
  <si>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</si>
  <si>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</si>
  <si>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</si>
  <si>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</si>
  <si>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</si>
  <si>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</si>
  <si>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</si>
  <si>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</si>
  <si>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</si>
  <si>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</si>
  <si>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</si>
  <si>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</si>
  <si>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</si>
  <si>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</si>
  <si>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</si>
  <si>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</si>
  <si>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</si>
  <si>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</si>
  <si>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</si>
  <si>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</si>
  <si>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</si>
  <si>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</si>
  <si>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</si>
  <si>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</si>
  <si>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</si>
  <si>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</si>
  <si>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</si>
  <si>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Divi's Laboratories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</si>
  <si>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</si>
  <si>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</si>
  <si>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</si>
  <si>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</si>
  <si>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</si>
  <si>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</si>
  <si>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</si>
  <si>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</si>
  <si>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</si>
  <si>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</si>
  <si>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</si>
  <si>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</si>
  <si>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</si>
  <si>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</si>
  <si>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</si>
  <si>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LTIMindtree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</si>
  <si>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</si>
  <si>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</si>
  <si>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</si>
  <si>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</si>
  <si>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</si>
  <si>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</si>
  <si>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</si>
  <si>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</si>
  <si>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</si>
  <si>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</si>
  <si>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</si>
  <si>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</si>
  <si>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</si>
  <si>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</si>
  <si>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</si>
  <si>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</si>
  <si>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</si>
  <si>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</si>
  <si>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</si>
  <si>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</si>
  <si>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</si>
  <si>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</si>
  <si>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</si>
  <si>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</si>
  <si>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</si>
  <si>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</si>
  <si>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</si>
  <si>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</si>
  <si>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</si>
  <si>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</si>
  <si>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</si>
  <si>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RELIANCE</t>
  </si>
  <si>
    <t>ICICIBANK</t>
  </si>
  <si>
    <t>INFY</t>
  </si>
  <si>
    <t>TCS</t>
  </si>
  <si>
    <t>LT</t>
  </si>
  <si>
    <t>ITC</t>
  </si>
  <si>
    <t>AXISBANK</t>
  </si>
  <si>
    <t>KOTAKBANK</t>
  </si>
  <si>
    <t>SBIN</t>
  </si>
  <si>
    <t>HINDUNILVR</t>
  </si>
  <si>
    <t>BHARTIARTL</t>
  </si>
  <si>
    <t>BAJFINANCE</t>
  </si>
  <si>
    <t>ASIANPAINT</t>
  </si>
  <si>
    <t>M&amp;M</t>
  </si>
  <si>
    <t>MARUTI</t>
  </si>
  <si>
    <t>TITAN</t>
  </si>
  <si>
    <t>SUNPHARMA</t>
  </si>
  <si>
    <t>HCLTECH</t>
  </si>
  <si>
    <t>TATAMOTORS</t>
  </si>
  <si>
    <t>NTPC</t>
  </si>
  <si>
    <t>TATASTEEL</t>
  </si>
  <si>
    <t>ULTRACEMCO</t>
  </si>
  <si>
    <t>DRREDDY</t>
  </si>
  <si>
    <t>INDUSINDBK</t>
  </si>
  <si>
    <t>ADANIENT</t>
  </si>
  <si>
    <t>POWERGRID</t>
  </si>
  <si>
    <t>NESTLEIND</t>
  </si>
  <si>
    <t>JSWSTEEL</t>
  </si>
  <si>
    <t>TECHM</t>
  </si>
  <si>
    <t>WIPRO</t>
  </si>
  <si>
    <t>GRASIM</t>
  </si>
  <si>
    <t>ONGC</t>
  </si>
  <si>
    <t>HINDALCO</t>
  </si>
  <si>
    <t>ADANIPORTS</t>
  </si>
  <si>
    <t>CIPLA</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</si>
  <si>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</si>
  <si>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</si>
  <si>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</si>
  <si>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</si>
  <si>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</si>
  <si>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</si>
  <si>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</si>
  <si>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</si>
  <si>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</si>
  <si>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</si>
  <si>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</si>
  <si>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</si>
  <si>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</si>
  <si>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</si>
  <si>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</si>
  <si>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</si>
  <si>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</si>
  <si>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</si>
  <si>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</si>
  <si>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</si>
  <si>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</si>
  <si>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</si>
  <si>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</si>
  <si>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</si>
  <si>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</si>
  <si>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</si>
  <si>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</si>
  <si>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</si>
  <si>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</si>
  <si>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</si>
  <si>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</si>
  <si>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</si>
  <si>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</si>
  <si>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</si>
  <si>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</si>
  <si>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</si>
  <si>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</si>
  <si>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</si>
  <si>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</si>
  <si>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</si>
  <si>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</si>
  <si>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</si>
  <si>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</si>
  <si>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</si>
  <si>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</si>
  <si>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</si>
  <si>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</si>
  <si>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</si>
  <si>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</si>
  <si>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</si>
  <si>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Delivered Value      (₹  crore)</t>
  </si>
  <si>
    <t>Settlement Statistics for settlement type N, excluding CM Series IL &amp; BL</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</si>
  <si>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</si>
  <si>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</si>
  <si>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</si>
  <si>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</si>
  <si>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</si>
  <si>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</si>
  <si>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</si>
  <si>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</si>
  <si>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</si>
  <si>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</si>
  <si>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</si>
  <si>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</si>
  <si>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</si>
  <si>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</si>
  <si>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</si>
  <si>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</si>
  <si>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</si>
  <si>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</si>
  <si>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</si>
  <si>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</si>
  <si>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Notional turnover is inclusive of the premium turnover</t>
  </si>
  <si>
    <r>
      <t>Value (</t>
    </r>
    <r>
      <rPr>
        <b/>
        <sz val="11"/>
        <rFont val="Rupee Foradian"/>
        <family val="2"/>
      </rPr>
      <t>`</t>
    </r>
    <r>
      <rPr>
        <b/>
        <sz val="11"/>
        <rFont val="Garamond"/>
        <family val="1"/>
      </rPr>
      <t xml:space="preserve"> crore)</t>
    </r>
  </si>
  <si>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</si>
  <si>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</si>
  <si>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</si>
  <si>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</si>
  <si>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</si>
  <si>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</si>
  <si>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</si>
  <si>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</si>
  <si>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</si>
  <si>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</si>
  <si>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</si>
  <si>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</si>
  <si>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</si>
  <si>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</si>
  <si>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</si>
  <si>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</si>
  <si>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</si>
  <si>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</si>
  <si>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</si>
  <si>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</si>
  <si>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</si>
  <si>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</si>
  <si>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</si>
  <si>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</si>
  <si>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</si>
  <si>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</si>
  <si>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</si>
  <si>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</si>
  <si>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</si>
  <si>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</si>
  <si>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</si>
  <si>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</si>
  <si>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</si>
  <si>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</si>
  <si>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</si>
  <si>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</si>
  <si>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</si>
  <si>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</si>
  <si>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</si>
  <si>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Notes: 1. Trading Value :- For Futures, Value of contract = Traded Qty*Traded Price. 2. For Options, Value of contract = Traded Qty*(Strike Price+Traded Premium)</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</si>
  <si>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</si>
  <si>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</si>
  <si>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</si>
  <si>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</si>
  <si>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</si>
  <si>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</si>
  <si>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</si>
  <si>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</si>
  <si>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</si>
  <si>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</si>
  <si>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</si>
  <si>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</si>
  <si>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</si>
  <si>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</si>
  <si>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</si>
  <si>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</si>
  <si>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</si>
  <si>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</si>
  <si>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</si>
  <si>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</si>
  <si>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</si>
  <si>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</si>
  <si>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</si>
  <si>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</si>
  <si>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</si>
  <si>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</si>
  <si>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</si>
  <si>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</si>
  <si>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</si>
  <si>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</si>
  <si>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</si>
  <si>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</si>
  <si>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</si>
  <si>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</si>
  <si>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</si>
  <si>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</si>
  <si>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</si>
  <si>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</si>
  <si>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</si>
  <si>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</si>
  <si>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</si>
  <si>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</si>
  <si>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 of companies signed up to make their shares available for dematerialization</t>
  </si>
  <si>
    <t>Number</t>
  </si>
  <si>
    <t>Number of Depository Participants (registered)</t>
  </si>
  <si>
    <t>Number of Investors Accounts</t>
  </si>
  <si>
    <t>Lakh</t>
  </si>
  <si>
    <t>Crore</t>
  </si>
  <si>
    <t>₹ Crore</t>
  </si>
  <si>
    <t>Training Programmes conducted for representatives of Corporates, DPs and Brokers</t>
  </si>
  <si>
    <t>Percent</t>
  </si>
  <si>
    <t>Source: NSDL and CDSL.</t>
  </si>
  <si>
    <t>Number of Participants</t>
  </si>
  <si>
    <t>DPs
Locations</t>
  </si>
  <si>
    <t>Demat 
Quantity 
(million securities)</t>
  </si>
  <si>
    <t>Demat Value (₹ crore)</t>
  </si>
  <si>
    <t>Demat Value  (₹ crore)</t>
  </si>
  <si>
    <t>Notes : 1.  DPs Locations represents the total service centres.</t>
  </si>
  <si>
    <t>Particulars</t>
  </si>
  <si>
    <t>Equity</t>
  </si>
  <si>
    <t>Unlisted</t>
  </si>
  <si>
    <t>(numbers)</t>
  </si>
  <si>
    <t>No.of Active Instruments</t>
  </si>
  <si>
    <t>Demat Quantity</t>
  </si>
  <si>
    <t>(lakhs)</t>
  </si>
  <si>
    <t>Demat Value</t>
  </si>
  <si>
    <t>(Rs.Crore)</t>
  </si>
  <si>
    <t>(Lakh)</t>
  </si>
  <si>
    <t>Value Settled during the month</t>
  </si>
  <si>
    <t>(Rs.Crores)</t>
  </si>
  <si>
    <t>No. of Issuers (Debt) / Companies (Equity)</t>
  </si>
  <si>
    <t>No. of Active Instruments</t>
  </si>
  <si>
    <t>(lakh)</t>
  </si>
  <si>
    <t>(Rs.crore)</t>
  </si>
  <si>
    <t xml:space="preserve">
Exchanges</t>
  </si>
  <si>
    <t xml:space="preserve">
Particulars</t>
  </si>
  <si>
    <t>Futures</t>
  </si>
  <si>
    <t>Options #</t>
  </si>
  <si>
    <t xml:space="preserve">
Agriculture</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</si>
  <si>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</si>
  <si>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</si>
  <si>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</si>
  <si>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</si>
  <si>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</si>
  <si>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</si>
  <si>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</si>
  <si>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</si>
  <si>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</si>
  <si>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</si>
  <si>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</si>
  <si>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</si>
  <si>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</si>
  <si>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t>
  </si>
  <si>
    <t xml:space="preserve">
Year / Month</t>
  </si>
  <si>
    <t># Average during the period.</t>
  </si>
  <si>
    <t>Source: MCX</t>
  </si>
  <si>
    <t>Options</t>
  </si>
  <si>
    <t xml:space="preserve">
Bullion</t>
  </si>
  <si>
    <t xml:space="preserve">
Metals</t>
  </si>
  <si>
    <t xml:space="preserve">
Energy</t>
  </si>
  <si>
    <t xml:space="preserve">
iCOMDEX Bullion</t>
  </si>
  <si>
    <t xml:space="preserve">
iCOMDEX Energy</t>
  </si>
  <si>
    <t xml:space="preserve">
iCOMDEX Metal</t>
  </si>
  <si>
    <t xml:space="preserve">
Total Futures</t>
  </si>
  <si>
    <t xml:space="preserve">
Open interest at the end of the period</t>
  </si>
  <si>
    <t xml:space="preserve">
No. of contracts</t>
  </si>
  <si>
    <t>Bullion</t>
  </si>
  <si>
    <t xml:space="preserve">
Total Options</t>
  </si>
  <si>
    <t xml:space="preserve">Call Options </t>
  </si>
  <si>
    <t xml:space="preserve">Put Options </t>
  </si>
  <si>
    <t xml:space="preserve">
Agriculture </t>
  </si>
  <si>
    <t xml:space="preserve">
Agridex Index </t>
  </si>
  <si>
    <t xml:space="preserve">
Metal</t>
  </si>
  <si>
    <t xml:space="preserve">
Call options </t>
  </si>
  <si>
    <t xml:space="preserve"> 
Put options </t>
  </si>
  <si>
    <t xml:space="preserve">
Notional Value 
(₹ crore)</t>
  </si>
  <si>
    <t>Source: NCDEX</t>
  </si>
  <si>
    <t>Agriculture</t>
  </si>
  <si>
    <t xml:space="preserve">Bullion </t>
  </si>
  <si>
    <t xml:space="preserve">
Base Metal</t>
  </si>
  <si>
    <t xml:space="preserve">Energy </t>
  </si>
  <si>
    <t xml:space="preserve"> Bullion</t>
  </si>
  <si>
    <t>Energy</t>
  </si>
  <si>
    <t>Metals</t>
  </si>
  <si>
    <t xml:space="preserve"> Year</t>
  </si>
  <si>
    <t xml:space="preserve">
Farmers / FPOs</t>
  </si>
  <si>
    <t xml:space="preserve">
VCPs/ Hedger</t>
  </si>
  <si>
    <t xml:space="preserve">
Foreign Participants</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</si>
  <si>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</si>
  <si>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</si>
  <si>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Exchange &amp; Segment</t>
  </si>
  <si>
    <t xml:space="preserve"> 
Commodity Type</t>
  </si>
  <si>
    <t xml:space="preserve">
Name of the Commodity Contract</t>
  </si>
  <si>
    <t xml:space="preserve">
Contract Size</t>
  </si>
  <si>
    <t xml:space="preserve">
Value (₹  crore)</t>
  </si>
  <si>
    <t xml:space="preserve">
Quotation</t>
  </si>
  <si>
    <t xml:space="preserve">
Close Price</t>
  </si>
  <si>
    <t xml:space="preserve">
Values of Contracts (₹  crore)</t>
  </si>
  <si>
    <t xml:space="preserve">
MCX Futures</t>
  </si>
  <si>
    <t xml:space="preserve"> 
Bullion</t>
  </si>
  <si>
    <t>Gold</t>
  </si>
  <si>
    <t>1 'KG</t>
  </si>
  <si>
    <t>₹/10 grams</t>
  </si>
  <si>
    <t>Gold Mini</t>
  </si>
  <si>
    <t>100 'Grams</t>
  </si>
  <si>
    <t>Gold Guinea</t>
  </si>
  <si>
    <t>8 'Grams</t>
  </si>
  <si>
    <t>₹/8 grams</t>
  </si>
  <si>
    <t>Gold Petals</t>
  </si>
  <si>
    <t>1 'Gram</t>
  </si>
  <si>
    <t>₹/1 grams</t>
  </si>
  <si>
    <t xml:space="preserve"> Silver</t>
  </si>
  <si>
    <t>30 'KGs</t>
  </si>
  <si>
    <t>₹/ KG</t>
  </si>
  <si>
    <t>Silver Mini</t>
  </si>
  <si>
    <t>5 'KGs</t>
  </si>
  <si>
    <t>Silver Micro</t>
  </si>
  <si>
    <t>1 'KGs</t>
  </si>
  <si>
    <t xml:space="preserve">
Base Metals</t>
  </si>
  <si>
    <t>Aluminium</t>
  </si>
  <si>
    <t>5 MT</t>
  </si>
  <si>
    <t>Aluminium Mini</t>
  </si>
  <si>
    <t>1 MT</t>
  </si>
  <si>
    <t>Copper</t>
  </si>
  <si>
    <t>2.5 MT</t>
  </si>
  <si>
    <t>Lead</t>
  </si>
  <si>
    <t>Lead Mini</t>
  </si>
  <si>
    <t>Nickel</t>
  </si>
  <si>
    <t>1.5 MT</t>
  </si>
  <si>
    <t>Zinc</t>
  </si>
  <si>
    <t>Zinc Mini</t>
  </si>
  <si>
    <t xml:space="preserve">
Agri</t>
  </si>
  <si>
    <t>Cotton</t>
  </si>
  <si>
    <t>25 'Bales (170 kg/ Bale)</t>
  </si>
  <si>
    <t>₹/ 1Bale</t>
  </si>
  <si>
    <t>Cotton Candy</t>
  </si>
  <si>
    <t>48 'Candy (355.56 kg/ Candy)</t>
  </si>
  <si>
    <t>₹/ 1Candy</t>
  </si>
  <si>
    <t>CPO</t>
  </si>
  <si>
    <t>10 MT</t>
  </si>
  <si>
    <t>₹/10 KG</t>
  </si>
  <si>
    <t>Mentha Oil</t>
  </si>
  <si>
    <t>360 KGs</t>
  </si>
  <si>
    <t>Kapas</t>
  </si>
  <si>
    <t>4 MT</t>
  </si>
  <si>
    <t>₹/20 KG</t>
  </si>
  <si>
    <t>Rubber</t>
  </si>
  <si>
    <t>₹/100 KG</t>
  </si>
  <si>
    <t>Crude Oil</t>
  </si>
  <si>
    <t>100 barrels</t>
  </si>
  <si>
    <t>₹/ Barrel</t>
  </si>
  <si>
    <t>Crude Oil Mini</t>
  </si>
  <si>
    <t>10 barrels</t>
  </si>
  <si>
    <t xml:space="preserve">Natural Gas </t>
  </si>
  <si>
    <t>1250 mmBtu</t>
  </si>
  <si>
    <t>₹/ mmBtu</t>
  </si>
  <si>
    <t xml:space="preserve">Natural Gas Mini </t>
  </si>
  <si>
    <t>250 mmBtu</t>
  </si>
  <si>
    <t xml:space="preserve">
Index</t>
  </si>
  <si>
    <t xml:space="preserve">
iCOMDEX Bullion </t>
  </si>
  <si>
    <t>₹/ Unit</t>
  </si>
  <si>
    <t xml:space="preserve">
Total MCX Futures</t>
  </si>
  <si>
    <t xml:space="preserve">
MCX Options</t>
  </si>
  <si>
    <t>Silver</t>
  </si>
  <si>
    <t>₹/ 1KG</t>
  </si>
  <si>
    <t xml:space="preserve">
Total MCX Options</t>
  </si>
  <si>
    <t>1. Options includes both 'options on futures' and 'options on goods'</t>
  </si>
  <si>
    <t>2. Closing prices have been considered for the 'most active contract' at the end of month</t>
  </si>
  <si>
    <t>3. Average Daily OI and Values of Contract have been derived by taking the sum of end of day OI and then dividing by no. of trading days during the month</t>
  </si>
  <si>
    <t>Source : MCX</t>
  </si>
  <si>
    <t xml:space="preserve">
Commodity Type</t>
  </si>
  <si>
    <t xml:space="preserve">
Symbol</t>
  </si>
  <si>
    <t xml:space="preserve"> Contract Size</t>
  </si>
  <si>
    <t>Symbol</t>
  </si>
  <si>
    <t xml:space="preserve">
No. of Contracts</t>
  </si>
  <si>
    <t xml:space="preserve"> 
NCDEX Futures</t>
  </si>
  <si>
    <t xml:space="preserve"> 
Agri.</t>
  </si>
  <si>
    <t>Bajra</t>
  </si>
  <si>
    <t>BAJRA</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</si>
  <si>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</si>
  <si>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</si>
  <si>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</si>
  <si>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</si>
  <si>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</si>
  <si>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</si>
  <si>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</si>
  <si>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</si>
  <si>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</si>
  <si>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</si>
  <si>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</si>
  <si>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</si>
  <si>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</si>
  <si>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</si>
  <si>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</si>
  <si>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</si>
  <si>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</si>
  <si>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</si>
  <si>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</si>
  <si>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</si>
  <si>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Guar seed</t>
  </si>
  <si>
    <t>GUARSEED10</t>
  </si>
  <si>
    <t>Guargum</t>
  </si>
  <si>
    <t>GUARGUM5</t>
  </si>
  <si>
    <t>Groundnut</t>
  </si>
  <si>
    <t>GROUNDNUT</t>
  </si>
  <si>
    <t>5MT</t>
  </si>
  <si>
    <t>Gur</t>
  </si>
  <si>
    <t>GUR</t>
  </si>
  <si>
    <t>₹/ 40KG</t>
  </si>
  <si>
    <t>Isabgol</t>
  </si>
  <si>
    <t>ISABGOL</t>
  </si>
  <si>
    <t>3 MT</t>
  </si>
  <si>
    <t>Jeera</t>
  </si>
  <si>
    <t>JEERAUNJHA</t>
  </si>
  <si>
    <t>KAPAS</t>
  </si>
  <si>
    <t>₹/ 20KG</t>
  </si>
  <si>
    <t>Maize</t>
  </si>
  <si>
    <t>MAIZE</t>
  </si>
  <si>
    <t>Refined Soy Oil</t>
  </si>
  <si>
    <t>SYOREF</t>
  </si>
  <si>
    <t>RM seed</t>
  </si>
  <si>
    <t>RMSEED</t>
  </si>
  <si>
    <t>Sesameseed</t>
  </si>
  <si>
    <t>SESAMESEED</t>
  </si>
  <si>
    <t>Soy bean</t>
  </si>
  <si>
    <t>SYBEANIDR</t>
  </si>
  <si>
    <t>Soyameal</t>
  </si>
  <si>
    <t>SBMEALIDR</t>
  </si>
  <si>
    <t>₹/ MT</t>
  </si>
  <si>
    <t>Turmeric</t>
  </si>
  <si>
    <t>TMCFGRNZM</t>
  </si>
  <si>
    <t>Wheat</t>
  </si>
  <si>
    <t>WHEATFAQ</t>
  </si>
  <si>
    <t>Total for Agri.</t>
  </si>
  <si>
    <t>Steel Long</t>
  </si>
  <si>
    <t>STEEL</t>
  </si>
  <si>
    <t>Total for Metal</t>
  </si>
  <si>
    <t>Index</t>
  </si>
  <si>
    <t>AGRIDEX</t>
  </si>
  <si>
    <t>1 lot</t>
  </si>
  <si>
    <t>GUAREX</t>
  </si>
  <si>
    <t>SOYDEX</t>
  </si>
  <si>
    <t>Total Index Futures</t>
  </si>
  <si>
    <t>Total NCDEX Futures</t>
  </si>
  <si>
    <t xml:space="preserve">
NCDEX Options</t>
  </si>
  <si>
    <t>Agri.</t>
  </si>
  <si>
    <t>Guarseed</t>
  </si>
  <si>
    <t>Soybean</t>
  </si>
  <si>
    <t>RM Seed</t>
  </si>
  <si>
    <t>Total NCDEX Options</t>
  </si>
  <si>
    <t xml:space="preserve">
Exchange &amp; Segment</t>
  </si>
  <si>
    <t xml:space="preserve">
BSE Futures</t>
  </si>
  <si>
    <t>1 KG</t>
  </si>
  <si>
    <t>30 KGs</t>
  </si>
  <si>
    <t>Gold M</t>
  </si>
  <si>
    <t>100 Grams</t>
  </si>
  <si>
    <t>SilverKG</t>
  </si>
  <si>
    <t>5 KG</t>
  </si>
  <si>
    <t>SilverM</t>
  </si>
  <si>
    <t xml:space="preserve"> 1 KG</t>
  </si>
  <si>
    <t>Total for Bullion</t>
  </si>
  <si>
    <t xml:space="preserve">
Agri.</t>
  </si>
  <si>
    <t>BSE Almond</t>
  </si>
  <si>
    <t>1000 KGs</t>
  </si>
  <si>
    <t>CottonJ34^</t>
  </si>
  <si>
    <t>25 Bales</t>
  </si>
  <si>
    <t>Brent Crude</t>
  </si>
  <si>
    <t>Total for Energy</t>
  </si>
  <si>
    <t xml:space="preserve">
Total -BSE Futures</t>
  </si>
  <si>
    <t xml:space="preserve">
BSE Options</t>
  </si>
  <si>
    <t>30 Kg</t>
  </si>
  <si>
    <t>Silver KG</t>
  </si>
  <si>
    <t xml:space="preserve">
Total -BSE Options</t>
  </si>
  <si>
    <t xml:space="preserve">
NSE Futures</t>
  </si>
  <si>
    <t>Gold 1G</t>
  </si>
  <si>
    <t>1Gram</t>
  </si>
  <si>
    <t>₹/ gram</t>
  </si>
  <si>
    <t xml:space="preserve"> Energy</t>
  </si>
  <si>
    <t>Brent Crude Oil</t>
  </si>
  <si>
    <t>100 Barrel</t>
  </si>
  <si>
    <t>Brent Crude Oil Mini</t>
  </si>
  <si>
    <t>10 Barrel</t>
  </si>
  <si>
    <t>Natural Gas</t>
  </si>
  <si>
    <t>WTI Crude</t>
  </si>
  <si>
    <t>100 Barrels</t>
  </si>
  <si>
    <t>Crude Degummed  Soybean Oil </t>
  </si>
  <si>
    <t>₹/10 KGs</t>
  </si>
  <si>
    <t>Total for base metals</t>
  </si>
  <si>
    <t>Total -NSE Futures</t>
  </si>
  <si>
    <t xml:space="preserve">
NSE Options</t>
  </si>
  <si>
    <t>Total -NSE Options</t>
  </si>
  <si>
    <t>Source : BSE and NSE</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</si>
  <si>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</si>
  <si>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</si>
  <si>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</si>
  <si>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</si>
  <si>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</si>
  <si>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</si>
  <si>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</si>
  <si>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</si>
  <si>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</si>
  <si>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</si>
  <si>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</si>
  <si>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</si>
  <si>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Source: NSDL.</t>
  </si>
  <si>
    <t>Source: Custodians.</t>
  </si>
  <si>
    <t>"Others" include Portfolio managers, partnership firms, trusts, depository receipt issues, AIFs, FCCB, HUFs, Brokers etc.</t>
  </si>
  <si>
    <t>No.</t>
  </si>
  <si>
    <t>Financial Institutions</t>
  </si>
  <si>
    <t>Corporates</t>
  </si>
  <si>
    <t>NRIs</t>
  </si>
  <si>
    <t>OCBs</t>
  </si>
  <si>
    <t>FVCI</t>
  </si>
  <si>
    <t>FDI</t>
  </si>
  <si>
    <t xml:space="preserve">FPIs </t>
  </si>
  <si>
    <t>Client</t>
  </si>
  <si>
    <t>Public Sector</t>
  </si>
  <si>
    <t>Pvt. Sector</t>
  </si>
  <si>
    <t>Assets at the End of
Period</t>
  </si>
  <si>
    <t>Net Inflow/ Outflow</t>
  </si>
  <si>
    <t>Redemption/Repurchase</t>
  </si>
  <si>
    <t>Gross Mobilisation</t>
  </si>
  <si>
    <t>Table 57: Trends in Resource Mobilization by Mutual Funds (₹  crore)</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</si>
  <si>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</si>
  <si>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</si>
  <si>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</si>
  <si>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</si>
  <si>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</si>
  <si>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</si>
  <si>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</si>
  <si>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</si>
  <si>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</si>
  <si>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</si>
  <si>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</si>
  <si>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Sr. No.</t>
  </si>
  <si>
    <t>Scheme Category</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</si>
  <si>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</si>
  <si>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</si>
  <si>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</si>
  <si>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</si>
  <si>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</si>
  <si>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</si>
  <si>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</si>
  <si>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</si>
  <si>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</si>
  <si>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</si>
  <si>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</si>
  <si>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</si>
  <si>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</si>
  <si>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</si>
  <si>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</si>
  <si>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</si>
  <si>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</si>
  <si>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</si>
  <si>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</si>
  <si>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</si>
  <si>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</si>
  <si>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</si>
  <si>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</si>
  <si>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</si>
  <si>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</si>
  <si>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</si>
  <si>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</si>
  <si>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</si>
  <si>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</si>
  <si>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</si>
  <si>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</si>
  <si>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</si>
  <si>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</si>
  <si>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</si>
  <si>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</si>
  <si>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</si>
  <si>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</si>
  <si>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</si>
  <si>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</si>
  <si>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</si>
  <si>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</si>
  <si>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</si>
  <si>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</si>
  <si>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</si>
  <si>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</si>
  <si>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</si>
  <si>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</si>
  <si>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</si>
  <si>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</si>
  <si>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</si>
  <si>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</si>
  <si>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</si>
  <si>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</si>
  <si>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</si>
  <si>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</si>
  <si>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</si>
  <si>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</si>
  <si>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</si>
  <si>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</si>
  <si>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</si>
  <si>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</si>
  <si>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</si>
  <si>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</si>
  <si>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</si>
  <si>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</si>
  <si>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</si>
  <si>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</si>
  <si>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</si>
  <si>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</si>
  <si>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</si>
  <si>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</si>
  <si>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</si>
  <si>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</si>
  <si>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</si>
  <si>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</si>
  <si>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</si>
  <si>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</si>
  <si>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Gross Purchases</t>
  </si>
  <si>
    <t>Gross Sales</t>
  </si>
  <si>
    <t>Net Purchases /Sales</t>
  </si>
  <si>
    <t>This data is compiled on the basis of reports submitted to SEBI by custodians.</t>
  </si>
  <si>
    <t>Discretionary#</t>
  </si>
  <si>
    <t>Non-Discretionary</t>
  </si>
  <si>
    <t>Co-Investment</t>
  </si>
  <si>
    <t>Advisory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</si>
  <si>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</si>
  <si>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</si>
  <si>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</si>
  <si>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</si>
  <si>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</si>
  <si>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</si>
  <si>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</si>
  <si>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</si>
  <si>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</si>
  <si>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</si>
  <si>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</si>
  <si>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</si>
  <si>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 xml:space="preserve">1. **Value of Assets for which Advisory Services are being given. </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</si>
  <si>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</si>
  <si>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</si>
  <si>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</si>
  <si>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</si>
  <si>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</si>
  <si>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</si>
  <si>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</si>
  <si>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</si>
  <si>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</si>
  <si>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</si>
  <si>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</si>
  <si>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</si>
  <si>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</si>
  <si>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</si>
  <si>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</si>
  <si>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</si>
  <si>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</si>
  <si>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</si>
  <si>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</si>
  <si>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</si>
  <si>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</si>
  <si>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</si>
  <si>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</si>
  <si>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Average Trade Size (₹)</t>
  </si>
  <si>
    <t xml:space="preserve">JSWSL       </t>
  </si>
  <si>
    <t>#Jio Financial Services Limited was included in SX 40 on account of adjustment for Reliance Industries Ltd (RELIANCE) due to scheme of demerger. The same was excluded w.e.f. Sep 01, 2023</t>
  </si>
  <si>
    <t>Securities Pay-in (crore)</t>
  </si>
  <si>
    <t>Table 34: Trends in Equity Derivatives Segment at BSE</t>
  </si>
  <si>
    <t>Premium*</t>
  </si>
  <si>
    <t>Table 35: Trends in Equity Derivatives Segment at NSE</t>
  </si>
  <si>
    <t>Number of Clearing Corporations (connected)</t>
  </si>
  <si>
    <t>NSE SME IPO</t>
  </si>
  <si>
    <t>*includes futures turnover</t>
  </si>
  <si>
    <t>₹/ BBL</t>
  </si>
  <si>
    <t>5. The amount raised through fresh issues and OFS are obtained by multiplying the respective number of shares issued with the issue price.</t>
  </si>
  <si>
    <t>``</t>
  </si>
  <si>
    <t xml:space="preserve">
Source: NCDEX, MCX, BSE and NSE</t>
  </si>
  <si>
    <t xml:space="preserve">
Source: MCX, NCDEX, BSE and NSE</t>
  </si>
  <si>
    <t>SUNOIL</t>
  </si>
  <si>
    <t>SILVERM</t>
  </si>
  <si>
    <t>5 KGs</t>
  </si>
  <si>
    <t>SILVERMIC</t>
  </si>
  <si>
    <t>JEERAMINI</t>
  </si>
  <si>
    <t>One NSE Natural Gas futures contract</t>
  </si>
  <si>
    <t>One NSE WTI Crude Oil futures contract</t>
  </si>
  <si>
    <t>9.10/10.25</t>
  </si>
  <si>
    <t>Steel Rebar</t>
  </si>
  <si>
    <t>4. Options Turnover is based on Notional value.</t>
  </si>
  <si>
    <t>Crude Sunflower Oil</t>
  </si>
  <si>
    <t>Note: 1. AGRIDEX volume are in '000 lots and is not included for computing the total volume in "000 tonnes" .</t>
  </si>
  <si>
    <t>2. For Options traded qty is in '000 tons.</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</si>
  <si>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</si>
  <si>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</si>
  <si>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</si>
  <si>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</si>
  <si>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</si>
  <si>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</si>
  <si>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</si>
  <si>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</si>
  <si>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</si>
  <si>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</si>
  <si>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ICEX</t>
  </si>
  <si>
    <t>Foreign Portfolio Investors (FPIs)</t>
  </si>
  <si>
    <t>Custodians</t>
  </si>
  <si>
    <t>Designated Depositories Participants (DDPs)</t>
  </si>
  <si>
    <t>Depositories</t>
  </si>
  <si>
    <t>Depository Participants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</si>
  <si>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</si>
  <si>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</si>
  <si>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</si>
  <si>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</si>
  <si>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</si>
  <si>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</si>
  <si>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</si>
  <si>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</si>
  <si>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</si>
  <si>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</si>
  <si>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</si>
  <si>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</si>
  <si>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</si>
  <si>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</si>
  <si>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</si>
  <si>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</si>
  <si>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</si>
  <si>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</si>
  <si>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</si>
  <si>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</si>
  <si>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</si>
  <si>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</si>
  <si>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</si>
  <si>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</si>
  <si>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</si>
  <si>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</si>
  <si>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</si>
  <si>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</si>
  <si>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</si>
  <si>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</si>
  <si>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P. Total funds mobilized by REITs</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</si>
  <si>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</si>
  <si>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</si>
  <si>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</si>
  <si>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</si>
  <si>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O. Total fund Mobilized in CBM (M+N)</t>
  </si>
  <si>
    <t>i) OFS Component (Total) G(i)+K</t>
  </si>
  <si>
    <t>ii) Fresh Capital Raising Component (Total) G(ii)+H+I+J</t>
  </si>
  <si>
    <t>II. Gross Saving as a per cent of Gross National Disposable Income at current market prices in 2022-23*</t>
  </si>
  <si>
    <t>* Second Advance Estimates (2023-24) as per MOSPI press release dated February 29, 2024</t>
  </si>
  <si>
    <t>$ indicates as on March 31, 2024</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</si>
  <si>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</si>
  <si>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</si>
  <si>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</si>
  <si>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Corporate Brokers(Cash Segment)</t>
  </si>
  <si>
    <t>Shriram Finance Ltd.</t>
  </si>
  <si>
    <t>%
Change during the year</t>
  </si>
  <si>
    <t>%
Change during the month</t>
  </si>
  <si>
    <t>No of Folios as on March 31, 2024</t>
  </si>
  <si>
    <t xml:space="preserve">Repurchase/ Redemption for the period (Since April 01, 2023 to March 31, 2024)  (₹ crore) </t>
  </si>
  <si>
    <t>Net Inflow (+ve)/ Outflow (-ve) for the period (Since April 01, 2023 to March 31, 2024)  (₹ crore)</t>
  </si>
  <si>
    <t>Net Assets Under Management as on March 31, 2024</t>
  </si>
  <si>
    <t>Discretionary</t>
  </si>
  <si>
    <t>Foreign Depositories</t>
  </si>
  <si>
    <t>Insurance Companies</t>
  </si>
  <si>
    <t>Local Pension Funds</t>
  </si>
  <si>
    <t xml:space="preserve">Notes:  </t>
  </si>
  <si>
    <t>Table 59: Trends in Transactions on Stock Markets by Mutual Funds (₹  crore)</t>
  </si>
  <si>
    <t>ESG Rating Provider (ERP)</t>
  </si>
  <si>
    <t>Table 12: Private Placement of Corporate Debt listed at BSE and NSE</t>
  </si>
  <si>
    <t>2024-25$</t>
  </si>
  <si>
    <t>MCX iCOMDEX Composite</t>
  </si>
  <si>
    <t>Natural Gas Mini</t>
  </si>
  <si>
    <t>6. Shriram Finance Ltd replaced UPL Ltd in the benchmark Nifty50 index, effective from March 28</t>
  </si>
  <si>
    <t>0</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</si>
  <si>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</si>
  <si>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</si>
  <si>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</si>
  <si>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</si>
  <si>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</si>
  <si>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</si>
  <si>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</si>
  <si>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</si>
  <si>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</si>
  <si>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</si>
  <si>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</si>
  <si>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</si>
  <si>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</si>
  <si>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</si>
  <si>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</si>
  <si>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</si>
  <si>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</si>
  <si>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</si>
  <si>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</si>
  <si>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</si>
  <si>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</si>
  <si>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</si>
  <si>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</si>
  <si>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</si>
  <si>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</si>
  <si>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</si>
  <si>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</si>
  <si>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</si>
  <si>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</si>
  <si>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</si>
  <si>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</si>
  <si>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</si>
  <si>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</si>
  <si>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</si>
  <si>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</si>
  <si>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</si>
  <si>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</si>
  <si>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</si>
  <si>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</si>
  <si>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</si>
  <si>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</si>
  <si>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</si>
  <si>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</si>
  <si>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</si>
  <si>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</si>
  <si>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</si>
  <si>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</si>
  <si>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</si>
  <si>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</si>
  <si>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</si>
  <si>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</si>
  <si>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</si>
  <si>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</si>
  <si>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</si>
  <si>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</si>
  <si>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</si>
  <si>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</si>
  <si>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</si>
  <si>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</si>
  <si>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</si>
  <si>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</si>
  <si>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</si>
  <si>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</si>
  <si>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</si>
  <si>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</si>
  <si>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</si>
  <si>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</si>
  <si>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</si>
  <si>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</si>
  <si>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</si>
  <si>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</si>
  <si>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</si>
  <si>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</si>
  <si>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</si>
  <si>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</si>
  <si>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</si>
  <si>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</si>
  <si>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</si>
  <si>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</si>
  <si>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</si>
  <si>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</si>
  <si>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</si>
  <si>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</si>
  <si>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</si>
  <si>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</si>
  <si>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xml:space="preserve">Notes: 
</t>
  </si>
  <si>
    <t>1. Equity data on IPO issues are categorised based on the listing date .</t>
  </si>
  <si>
    <t>2. Debt issues are classified based on closing date of the issue</t>
  </si>
  <si>
    <t>NA - Not Available - In view of interoperability of the clearing corporations, this data will be available with the Clearing Corporations</t>
  </si>
  <si>
    <t>Open</t>
  </si>
  <si>
    <t>Average of Daily Close #</t>
  </si>
  <si>
    <t>Note: Options Turnover is based on Notional value (i.e. Strike Price + Premium).</t>
  </si>
  <si>
    <t>Note: 1. Conversion factor for Brent Crude Oil of Energy segment is 1 Tonne = 7.33 Barrels</t>
  </si>
  <si>
    <t>Close Price</t>
  </si>
  <si>
    <t>Values of Contracts (₹ crore)</t>
  </si>
  <si>
    <t>SUFIBLT (Steel Billets Futures)</t>
  </si>
  <si>
    <t>Total -NSE Option</t>
  </si>
  <si>
    <t xml:space="preserve">I.GDP at Current prices for 2023-24 Q4 (₹ crore) #                   </t>
  </si>
  <si>
    <t>III.Gross Fixed Capital Formation as a per cent of GDP in FY 2023-24$</t>
  </si>
  <si>
    <t>#Quartely Estimates as per MOSPI press release dated May 31, 2024</t>
  </si>
  <si>
    <t>$ Provisional Estimates of Annual GDP (2023-24) as per MOSPI press release dated May 31, 2024</t>
  </si>
  <si>
    <t>2024-25#</t>
  </si>
  <si>
    <t>Note: Data in the table may include ratings of a single company from multiple credit rating agencies across rating categories.</t>
  </si>
  <si>
    <t xml:space="preserve">Table 6: Capital Raised from the Primary Market through Public and Rights Issues </t>
  </si>
  <si>
    <r>
      <t xml:space="preserve">
Turnover 
(</t>
    </r>
    <r>
      <rPr>
        <sz val="11"/>
        <color theme="1"/>
        <rFont val="Garamond"/>
        <family val="1"/>
      </rPr>
      <t>₹</t>
    </r>
    <r>
      <rPr>
        <b/>
        <sz val="11"/>
        <color theme="1"/>
        <rFont val="Garamond"/>
        <family val="1"/>
      </rPr>
      <t xml:space="preserve"> crore)</t>
    </r>
  </si>
  <si>
    <r>
      <t xml:space="preserve">
Turnover 
(</t>
    </r>
    <r>
      <rPr>
        <sz val="11"/>
        <color theme="1"/>
        <rFont val="Garamond"/>
        <family val="1"/>
      </rPr>
      <t>₹</t>
    </r>
    <r>
      <rPr>
        <b/>
        <sz val="11"/>
        <color theme="1"/>
        <rFont val="Garamond"/>
        <family val="1"/>
      </rPr>
      <t xml:space="preserve"> crore)</t>
    </r>
  </si>
  <si>
    <r>
      <t xml:space="preserve">
Turnover (</t>
    </r>
    <r>
      <rPr>
        <sz val="11"/>
        <color theme="1"/>
        <rFont val="Garamond"/>
        <family val="1"/>
      </rPr>
      <t>₹</t>
    </r>
    <r>
      <rPr>
        <b/>
        <sz val="11"/>
        <color theme="1"/>
        <rFont val="Garamond"/>
        <family val="1"/>
      </rPr>
      <t xml:space="preserve"> crore)</t>
    </r>
  </si>
  <si>
    <r>
      <t xml:space="preserve">
Value
(</t>
    </r>
    <r>
      <rPr>
        <sz val="11"/>
        <color theme="1"/>
        <rFont val="Garamond"/>
        <family val="1"/>
      </rPr>
      <t>₹</t>
    </r>
    <r>
      <rPr>
        <b/>
        <sz val="11"/>
        <color theme="1"/>
        <rFont val="Garamond"/>
        <family val="1"/>
      </rPr>
      <t xml:space="preserve"> crore)</t>
    </r>
  </si>
  <si>
    <r>
      <t xml:space="preserve">
Notional Value 
(</t>
    </r>
    <r>
      <rPr>
        <sz val="11"/>
        <rFont val="Garamond"/>
        <family val="1"/>
      </rPr>
      <t>₹</t>
    </r>
    <r>
      <rPr>
        <b/>
        <sz val="11"/>
        <rFont val="Garamond"/>
        <family val="1"/>
      </rPr>
      <t xml:space="preserve"> crore)</t>
    </r>
  </si>
  <si>
    <r>
      <t>Turnover 
(</t>
    </r>
    <r>
      <rPr>
        <sz val="11"/>
        <color theme="1"/>
        <rFont val="Garamond"/>
        <family val="1"/>
      </rPr>
      <t>₹</t>
    </r>
    <r>
      <rPr>
        <b/>
        <sz val="11"/>
        <color theme="1"/>
        <rFont val="Garamond"/>
        <family val="1"/>
      </rPr>
      <t xml:space="preserve"> crore)</t>
    </r>
  </si>
  <si>
    <r>
      <t xml:space="preserve">
Turnover (</t>
    </r>
    <r>
      <rPr>
        <sz val="11"/>
        <color theme="1"/>
        <rFont val="Garamond"/>
        <family val="1"/>
      </rPr>
      <t xml:space="preserve">₹ </t>
    </r>
    <r>
      <rPr>
        <b/>
        <sz val="11"/>
        <color theme="1"/>
        <rFont val="Garamond"/>
        <family val="1"/>
      </rPr>
      <t>crore)</t>
    </r>
  </si>
  <si>
    <r>
      <t xml:space="preserve"> Value
(</t>
    </r>
    <r>
      <rPr>
        <sz val="11"/>
        <color theme="1"/>
        <rFont val="Garamond"/>
        <family val="1"/>
      </rPr>
      <t>₹</t>
    </r>
    <r>
      <rPr>
        <b/>
        <sz val="11"/>
        <color theme="1"/>
        <rFont val="Garamond"/>
        <family val="1"/>
      </rPr>
      <t xml:space="preserve"> crore)</t>
    </r>
  </si>
  <si>
    <r>
      <t xml:space="preserve">
Turnover 
(</t>
    </r>
    <r>
      <rPr>
        <sz val="11"/>
        <color theme="1"/>
        <rFont val="Garamond"/>
        <family val="1"/>
      </rPr>
      <t xml:space="preserve">₹ </t>
    </r>
    <r>
      <rPr>
        <b/>
        <sz val="11"/>
        <color theme="1"/>
        <rFont val="Garamond"/>
        <family val="1"/>
      </rPr>
      <t>crore)</t>
    </r>
  </si>
  <si>
    <t xml:space="preserve"> Total for Base Metals</t>
  </si>
  <si>
    <t>iCOMDEX Metal</t>
  </si>
  <si>
    <t>Total for Index Futures</t>
  </si>
  <si>
    <t>Total for Base Metals</t>
  </si>
  <si>
    <t>Guar Seed</t>
  </si>
  <si>
    <t>Cotton29</t>
  </si>
  <si>
    <t>Table 65: Trends in Commodity Index</t>
  </si>
  <si>
    <t>9.10/10.40</t>
  </si>
  <si>
    <t>6.00/7.30</t>
  </si>
  <si>
    <t xml:space="preserve">ADANI PORTS </t>
  </si>
  <si>
    <t>1. Beta &amp; R2 are calculated for the trailing 12 months .Beta measures the  degree to which any portfolio of stocks is affected as compared to the effect on the market as a whole.</t>
  </si>
  <si>
    <t>Total*</t>
  </si>
  <si>
    <t>To be updated</t>
  </si>
  <si>
    <t>Total MCX Options</t>
  </si>
  <si>
    <t>Note: Revised data is at clearing member level on net basis</t>
  </si>
  <si>
    <t>Jul-24</t>
  </si>
  <si>
    <t>$ indicates as on July 31, 2024</t>
  </si>
  <si>
    <t>Table 24: Component Stocks: S&amp;P BSE Sensex during July, 2024</t>
  </si>
  <si>
    <t>July-24</t>
  </si>
  <si>
    <t>Table 26: Component Stocks: SX40 Index during July, 2024</t>
  </si>
  <si>
    <t>TRENT</t>
  </si>
  <si>
    <t>BAJAJ-AUTO</t>
  </si>
  <si>
    <t>COALINDIA</t>
  </si>
  <si>
    <t>JIOFIN</t>
  </si>
  <si>
    <t>Common</t>
  </si>
  <si>
    <t>Table 25: Component Stocks: Nifty 50 Index during July, 2024</t>
  </si>
  <si>
    <t>Table 2: Company-Wise Capital Raised through Public and Rights Issues (Equity) (During the month of July 2024)</t>
  </si>
  <si>
    <t>Mason Infratech Limited</t>
  </si>
  <si>
    <t>Shivalic Power Control Limited</t>
  </si>
  <si>
    <t>Sylvan Plyboard (India) Limited</t>
  </si>
  <si>
    <t>Visaman Global Sales Limited</t>
  </si>
  <si>
    <t>Akiko Global Services Limited</t>
  </si>
  <si>
    <t>Divine Power Energy Limited</t>
  </si>
  <si>
    <t>Petro Carbon and Chemicals Limited</t>
  </si>
  <si>
    <t>Allied Blenders and Distillers Limited</t>
  </si>
  <si>
    <t>Diensten Tech Limited</t>
  </si>
  <si>
    <t>Vraj Iron and Steel Limited</t>
  </si>
  <si>
    <t>Nephro Care India Limited</t>
  </si>
  <si>
    <t>Bansal Wire Industries Limited</t>
  </si>
  <si>
    <t>Emcure Pharmaceuticals Limited</t>
  </si>
  <si>
    <t>Ambey Laboratories Limited</t>
  </si>
  <si>
    <t>Effwa Infra &amp; Research Limited</t>
  </si>
  <si>
    <t>Ganesh Green Bharat Limited</t>
  </si>
  <si>
    <t>Sahaj Solar Limited</t>
  </si>
  <si>
    <t>Prizor Viztech Limited</t>
  </si>
  <si>
    <t>Sati Poly Plast Limited</t>
  </si>
  <si>
    <t>Tunwal E-Motors Limited</t>
  </si>
  <si>
    <t>Kataria Industries Limited</t>
  </si>
  <si>
    <t>Macobs Technologies Limited</t>
  </si>
  <si>
    <t>Sanstar Limited</t>
  </si>
  <si>
    <t>RNFI Services Limited</t>
  </si>
  <si>
    <t>V.L.Infraprojects Limited</t>
  </si>
  <si>
    <t>Manglam Infra &amp; Engineering Limited</t>
  </si>
  <si>
    <t>Chetana Education Limited</t>
  </si>
  <si>
    <t>NAKODA GROUP OF INDUSTRIES LIMITED</t>
  </si>
  <si>
    <t>Sobha Limited</t>
  </si>
  <si>
    <t>VIJI FINANCE LIMITED</t>
  </si>
  <si>
    <t>SEPC LIMITED</t>
  </si>
  <si>
    <t>Integra Essentia Limited</t>
  </si>
  <si>
    <t>Sar Televenture Limited</t>
  </si>
  <si>
    <t>Kshitij Polyline Limited</t>
  </si>
  <si>
    <t>IFL ENTERPRISES LIMITED</t>
  </si>
  <si>
    <t>Srestha Finvest Limited</t>
  </si>
  <si>
    <t>Gujarat Toolroom Ltd.</t>
  </si>
  <si>
    <t>VSF Projects Limited</t>
  </si>
  <si>
    <t>FPO</t>
  </si>
  <si>
    <t>VVIP Infratech Limited</t>
  </si>
  <si>
    <t>BSE SME IPO</t>
  </si>
  <si>
    <t>THREE M PAPER BOARDS LIMITED</t>
  </si>
  <si>
    <t>AELEA COMMODITIES LIMITED</t>
  </si>
  <si>
    <t>2024-25 (Till July-24)</t>
  </si>
  <si>
    <t>Table 3: Offers closed during July 2024 under SEBI (Substantial Acquisition of Shares and Takeover) Regulations, 2011</t>
  </si>
  <si>
    <t>SM REITs</t>
  </si>
  <si>
    <t>Consecutive Investments &amp; Trading Company Limited</t>
  </si>
  <si>
    <t>M/s Birford Enterprises Private Limited</t>
  </si>
  <si>
    <t>RKD Agri &amp; Retail Limited</t>
  </si>
  <si>
    <t>Nilesh Malshi Savla and Meena Nilesh Savla</t>
  </si>
  <si>
    <t>Continental Controls Limited</t>
  </si>
  <si>
    <t>Onelife Capital Advisors Limited</t>
  </si>
  <si>
    <t>Bangalore Fort Farms Limited</t>
  </si>
  <si>
    <t>Genesis Trade-Links Private Limited, Mr. Vikash Singh and Mrs. Nitu Singh</t>
  </si>
  <si>
    <t>Agro Tech Foods Limited</t>
  </si>
  <si>
    <t>ZEST HOLDING INVESTMENTS LIMITED, ZEST INVESTMENTS LIMITED, SAMARA CAPITAL PARTNERS FUND III LIMITED, INFINITY HOLDINGS, INFINITY HOLDINGS SIDECAR 1</t>
  </si>
  <si>
    <t>SOMA PAPERS AND INDUSTRIES LIMITED</t>
  </si>
  <si>
    <t>Mr. Narasimharao Anumala , Mr. Anumala Ramesh Choudary , Ms. Anupama Anumala</t>
  </si>
  <si>
    <t>Ahmedabad Steelcraft Limited</t>
  </si>
  <si>
    <t>Mr. Rohit Pandey and Mr. Sunil Dutt Pandey</t>
  </si>
  <si>
    <t>S&amp;S Power Switchgear Limited</t>
  </si>
  <si>
    <t>Hamilton &amp; Company Limited (“Acquirer”) and Sushil Kumar Jalan, Rekha Jalan, Ashish Jalan, Snehal Jalan, Ananya Jalan, Ashish Jalan Family Trust and Sushil K Jalan HUF (PACs).</t>
  </si>
  <si>
    <t>Swadeshi Industries and Leasing Ltd.</t>
  </si>
  <si>
    <t>Mrs. Jayshree Radheshyam Sharma</t>
  </si>
  <si>
    <t>Trimurthi Limited</t>
  </si>
  <si>
    <t>Srinidhi Fine-Chemicals LLP and Mr. Vupparapalli Chandrasekhar Reddy</t>
  </si>
  <si>
    <t>Vikalp Securities Limited</t>
  </si>
  <si>
    <t>Deepakbhai Patel, Kamuben Patel</t>
  </si>
  <si>
    <t>Suncity Synthetics Limited</t>
  </si>
  <si>
    <t>Sumita Mishra</t>
  </si>
  <si>
    <t>Integra Switchgear Limited</t>
  </si>
  <si>
    <t>Northvale Capital Partners Private Limited</t>
  </si>
  <si>
    <t>Source: ICCL, NSCCL and MSE Clearing.</t>
  </si>
  <si>
    <t>MCX-SX/MSE Clearing</t>
  </si>
  <si>
    <t>Table 11: Preferential Allotments Listed at BSE, NSE and MSEI</t>
  </si>
  <si>
    <t>Table 31: Settlement Statistics for Cash Segment of ICCL</t>
  </si>
  <si>
    <t>Source: ICCL.</t>
  </si>
  <si>
    <t>Table 32: Settlement Statistics for Cash Segment of NSCCL</t>
  </si>
  <si>
    <t>Source: NSCCL</t>
  </si>
  <si>
    <t xml:space="preserve">Table 33: Settlement Statistics for Cash Segment of MSE Clearing </t>
  </si>
  <si>
    <t xml:space="preserve">Source: MSE Clearing </t>
  </si>
  <si>
    <t>ICCL</t>
  </si>
  <si>
    <t>NSCCL</t>
  </si>
  <si>
    <t>MSE Clearing</t>
  </si>
  <si>
    <t>BSE/ICCL [Trades executed on OTC+RFQ+anonymous platforms and settled through ICCL]</t>
  </si>
  <si>
    <t>NSE/NSCCL [Trades executed on OTC+RFQ+anonymous platforms and settled through NSCCL]</t>
  </si>
  <si>
    <t>Off Market Settled Trades</t>
  </si>
  <si>
    <t>Total Trades Settled</t>
  </si>
  <si>
    <t>Source: ICCL, NSCCL, MSE Clearing, NSDL and CDSL.</t>
  </si>
  <si>
    <t>Listed Corporate Bonds</t>
  </si>
  <si>
    <t>Unlisted Corporate Bonds</t>
  </si>
  <si>
    <t>No. of Trades Settled</t>
  </si>
  <si>
    <t># indicates as on July 31, 2024</t>
  </si>
  <si>
    <t>Amount (₹   crore)</t>
  </si>
  <si>
    <t>Net Inflow(ve) / Outflow(-ve) for the period (since April 01, 2024 to July 31, 2024 ) in Rs. cr</t>
  </si>
  <si>
    <t>June, 2024</t>
  </si>
  <si>
    <t>June, 2023</t>
  </si>
  <si>
    <t>2. #Of the June , 2023 AUM, Rs.21,28,202/- Crores are contributed by funds from EPFO/PFs.</t>
  </si>
  <si>
    <t>3. Of the June , 2024 AUM,  Rs.24,93,200/- Crores are contributed by funds from EPFO/PFs.</t>
  </si>
  <si>
    <t>4.  The above data is as per submissions made by 420 Nos. of PMS on the SI Portal till July 31, 2024.</t>
  </si>
  <si>
    <t>$ indicates as on Jul 31, 2024</t>
  </si>
  <si>
    <t>Values of Contracts ( ₹ crore)</t>
  </si>
  <si>
    <t>7.95/8.35</t>
  </si>
  <si>
    <t>Table 73: Commodity-wise Turnover and Trading Volume at BSE and NSE</t>
  </si>
  <si>
    <t xml:space="preserve">Table 72: Commodity-wise Turnover and Trading Volume at NCDEX </t>
  </si>
  <si>
    <t>Table 71: Commodity-wise Turnover and Trading Volume at MCX</t>
  </si>
  <si>
    <t>Table 70 : Participant-wise Percentage Share of Turnover in Commodity Derivatives Segment</t>
  </si>
  <si>
    <t xml:space="preserve">
Proprietary Traders</t>
  </si>
  <si>
    <t xml:space="preserve">
Domestic Financial Institutional Investors</t>
  </si>
  <si>
    <t xml:space="preserve">
Table 69: Trends in Commodity Derivatives at NSE</t>
  </si>
  <si>
    <t>No. of Contracts Traded</t>
  </si>
  <si>
    <t xml:space="preserve"> 
No. of Contracts</t>
  </si>
  <si>
    <t xml:space="preserve">
Open Interest at the end of the Period</t>
  </si>
  <si>
    <t xml:space="preserve">
Table 68: Trends in Commodity Derivatives at BSE </t>
  </si>
  <si>
    <t xml:space="preserve">
No.of Trading Days</t>
  </si>
  <si>
    <t>Open Interest at the end of the Period</t>
  </si>
  <si>
    <t xml:space="preserve">Table 66: Trends in Commodity Derivatives at MCX </t>
  </si>
  <si>
    <t xml:space="preserve">Table 67: Trends in Commodity Derivatives at NCDEX </t>
  </si>
  <si>
    <t>Table 64: Number of Commodities Permitted and Traded at Exchanges during the Month (July 2024)</t>
  </si>
  <si>
    <t xml:space="preserve">
Metals other than Bullion</t>
  </si>
  <si>
    <t>No.of Issuers debt/Companies(equity)</t>
  </si>
  <si>
    <t>Quantity Settled during the Month*</t>
  </si>
  <si>
    <t>Quantity Settled during the Month</t>
  </si>
  <si>
    <t>Value Settled during the Month</t>
  </si>
  <si>
    <t xml:space="preserve">Note: The categories included in Others are Preference Shares, Mutual Fund Trace Units, IDRs, AIF,Warrants, PTCs, Treasury Bills, Postal Savings Certificate,CPs, CDs and Government Securities. </t>
  </si>
  <si>
    <t>*Quanttity and value settled does not include settlement details of Warehouse receipts/commodities.</t>
  </si>
  <si>
    <t>Number of Companies Available for Dematerialisation</t>
  </si>
  <si>
    <t xml:space="preserve">Notes: 1. Shares includes only equity shares. </t>
  </si>
  <si>
    <t xml:space="preserve">2. Securities include common equity shares, preference shares, debenture, MF units, etc.  </t>
  </si>
  <si>
    <t xml:space="preserve">3. Quantity and value of shares mentioned are single sided. </t>
  </si>
  <si>
    <t>4. #Source for listed securities information: Issuer/ NSE/BSE.</t>
  </si>
  <si>
    <t>Quantity of Shares Dematerialized</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</si>
  <si>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</si>
  <si>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</si>
  <si>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</si>
  <si>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</si>
  <si>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Actual Settlement Days)</t>
  </si>
  <si>
    <t>Value of Shares Settled during the Month in Dematerialized Form</t>
  </si>
  <si>
    <t>Average Value of Shares Settled Daily (Value of Shares Settled during the Month divided by Actual Settlement Days)</t>
  </si>
  <si>
    <t>The Ratio of Dematerialized Equity Shares to the total Outstanding Shares Market Value</t>
  </si>
  <si>
    <t>No. of Schemes as on March 31, 2024</t>
  </si>
  <si>
    <t>Funds Mobilized for the Period (Since April 01, 2023 to March 31, 2024)  (₹ crore)</t>
  </si>
  <si>
    <t>No.of Schemes as on July 31, 2024</t>
  </si>
  <si>
    <t>Funds Mobilised for the Period (since April 01, 2024 to July 31, 2024) in Rs. cr</t>
  </si>
  <si>
    <t>No.of Folios as on July 31, 2024</t>
  </si>
  <si>
    <t>Repurchase/Redemption for the period (since April 01, 2024 to July 31, 2024) in Rs. cr</t>
  </si>
  <si>
    <t>Net Asset under Management as on July 31, 2024 in Rs. cr</t>
  </si>
  <si>
    <t>Table 55: Assets under the Custody of Custodians                                                                                      (Amount in ₹ crore)</t>
  </si>
  <si>
    <t xml:space="preserve">Amount </t>
  </si>
  <si>
    <t>Amount</t>
  </si>
  <si>
    <t>Table 51: Trading Statistics of Interest Rate Futures at BSE, NSE and MSEI                                                                       (Value in ₹ crore)</t>
  </si>
  <si>
    <t xml:space="preserve">Traded Value 
</t>
  </si>
  <si>
    <t xml:space="preserve">Value 
</t>
  </si>
  <si>
    <t>Table 63: Depository Statistics as on July 31, 2024</t>
  </si>
  <si>
    <t>Average Daily Open Interest in July-24</t>
  </si>
  <si>
    <t>Average Daily Open Interest in July 2024</t>
  </si>
  <si>
    <t>$ indicates upto July 31 of respective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</si>
</sst>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3">
    <numFmt numFmtId="43" formatCode="_ * #,##0.00_ ;_ * \-#,##0.00_ ;_ * &quot;-&quot;??_ ;_ @_ "/>
    <numFmt numFmtId="164" formatCode="#,##0;\-#,##0;0"/>
    <numFmt numFmtId="165" formatCode="[$-F800]dddd\,\ mmmm\ dd\,\ yyyy"/>
    <numFmt numFmtId="166" formatCode="#,##0;\-#,##0;0.0"/>
    <numFmt numFmtId="167" formatCode="_ * #,##0_ ;_ * \-#,##0_ ;_ * &quot;-&quot;??_ ;_ @_ "/>
    <numFmt numFmtId="168" formatCode="[$-409]mmm\-yy;@"/>
    <numFmt numFmtId="169" formatCode="0;\(0\)"/>
    <numFmt numFmtId="170" formatCode="0\,00\,000;\-0\,00\,000;0"/>
    <numFmt numFmtId="171" formatCode="0.0;\(0.0\)"/>
    <numFmt numFmtId="172" formatCode="0\,00\,00\,000;\-0\,00\,00\,000;0"/>
    <numFmt numFmtId="173" formatCode="[$-409]d\-mmm\-yy;@"/>
    <numFmt numFmtId="174" formatCode="#,##0.00;\-#,##0.00;0.00"/>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_(* #,##0.00000_);_(* \(#,##0.00000\);_(* &quot;-&quot;??_);_(@_)"/>
    <numFmt numFmtId="188" formatCode="0_);\(0\)"/>
    <numFmt numFmtId="189" formatCode="_-* #,##0_-;\-* #,##0_-;_-* &quot;-&quot;??_-;_-@_-"/>
    <numFmt numFmtId="190" formatCode="0.00;\-0.00;0.00"/>
    <numFmt numFmtId="191" formatCode="0\,00\,00\,00\,000;\-0\,00\,00\,00\,000;0"/>
    <numFmt numFmtId="192" formatCode="_(* #,##0.00_);_(* \(#,##0.00\);_(* &quot;-&quot;??_);_(@_)"/>
    <numFmt numFmtId="193" formatCode="[$-409]d/mmm/yy;@"/>
    <numFmt numFmtId="194" formatCode="[&gt;=10000000]#.###\,##\,##0;[&gt;=100000]#.###\,##0;##,##0.0"/>
    <numFmt numFmtId="195" formatCode="[&gt;=10000000]#\,##\,##\,##0;[&gt;=100000]#\,##\,##0;##,##0"/>
    <numFmt numFmtId="196" formatCode="_(* #,##0_);_(* \(#,##0\);_(* &quot;-&quot;??_);_(@_)"/>
    <numFmt numFmtId="197" formatCode="[&gt;=10000000]#.0\,##\,##\,##0;[&gt;=100000]#.0\,##\,##0;##,##0.0"/>
    <numFmt numFmtId="198" formatCode="_(* #,##0.0_);_(* \(#,##0.0\);_(* &quot;-&quot;??_);_(@_)"/>
    <numFmt numFmtId="199" formatCode="_ * #,##0.0_ ;_ * \-#,##0.0_ ;_ * &quot;-&quot;??_ ;_ @_ "/>
    <numFmt numFmtId="200" formatCode="0.0000%"/>
    <numFmt numFmtId="201" formatCode="[&gt;=10000000]#.00\,##\,##\,##0;[&gt;=100000]#.00\,##\,##0;##,##0.00"/>
    <numFmt numFmtId="202" formatCode="#,##0.0;\-#,##0.0;0"/>
    <numFmt numFmtId="203" formatCode="dd\/mm\/yyyy"/>
    <numFmt numFmtId="204" formatCode="#,##0.00;\-#,##0.00;0.0"/>
    <numFmt numFmtId="205" formatCode="#,###"/>
  </numFmts>
  <fonts count="7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b/>
      <sz val="11"/>
      <color rgb="FF000000"/>
      <name val="Garamond"/>
      <family val="1"/>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b/>
      <sz val="11"/>
      <name val="Rupee Foradian"/>
      <family val="2"/>
    </font>
    <font>
      <sz val="10"/>
      <color theme="1"/>
      <name val="Garamond"/>
      <family val="2"/>
    </font>
    <font>
      <b/>
      <sz val="10"/>
      <color theme="1"/>
      <name val="Garamond"/>
      <family val="1"/>
    </font>
    <font>
      <b/>
      <i/>
      <sz val="11"/>
      <color indexed="8"/>
      <name val="Garamond"/>
      <family val="1"/>
    </font>
    <font>
      <sz val="6"/>
      <color indexed="8"/>
      <name val="Garamond"/>
      <family val="1"/>
    </font>
    <font>
      <b/>
      <sz val="10"/>
      <name val="Garamond"/>
      <family val="1"/>
    </font>
    <font>
      <sz val="8"/>
      <color theme="1"/>
      <name val="Arial"/>
      <family val="2"/>
    </font>
    <font>
      <sz val="10"/>
      <name val="Times New Roman"/>
      <family val="1"/>
    </font>
    <font>
      <b/>
      <sz val="12"/>
      <color theme="1"/>
      <name val="Garamond"/>
      <family val="1"/>
    </font>
    <font>
      <sz val="10"/>
      <color rgb="FF000000"/>
      <name val="Garamond"/>
      <family val="1"/>
    </font>
    <font>
      <sz val="10"/>
      <color theme="1"/>
      <name val="Calibri"/>
      <family val="2"/>
      <scheme val="minor"/>
    </font>
    <font>
      <i/>
      <sz val="10"/>
      <color rgb="FF000000"/>
      <name val="Garamond"/>
      <family val="1"/>
    </font>
    <font>
      <sz val="8"/>
      <color rgb="FF000000"/>
      <name val="Arial"/>
      <family val="2"/>
    </font>
    <font>
      <i/>
      <sz val="10"/>
      <color theme="1"/>
      <name val="Calibri"/>
      <family val="2"/>
      <scheme val="minor"/>
    </font>
    <font>
      <sz val="8"/>
      <name val="Garamond"/>
      <family val="1"/>
    </font>
    <font>
      <b/>
      <sz val="11"/>
      <color indexed="8"/>
      <name val="Calibri Light"/>
      <family val="2"/>
      <scheme val="major"/>
    </font>
    <font>
      <sz val="11"/>
      <color theme="1"/>
      <name val="Calibri Light"/>
      <family val="2"/>
      <scheme val="major"/>
    </font>
    <font>
      <sz val="11"/>
      <name val="Calibri Light"/>
      <family val="2"/>
      <scheme val="major"/>
    </font>
    <font>
      <sz val="11"/>
      <color indexed="8"/>
      <name val="Calibri"/>
      <family val="2"/>
    </font>
    <font>
      <u/>
      <sz val="11"/>
      <color theme="10"/>
      <name val="Calibri"/>
      <family val="2"/>
      <scheme val="minor"/>
    </font>
    <font>
      <sz val="10"/>
      <color theme="1"/>
      <name val="Book Antiqua"/>
      <family val="1"/>
    </font>
    <font>
      <sz val="13"/>
      <color rgb="FF333333"/>
      <name val="Segoe UI"/>
      <family val="2"/>
    </font>
    <font>
      <sz val="11"/>
      <name val="Times New Roman"/>
      <family val="1"/>
    </font>
    <font>
      <sz val="11"/>
      <color theme="1"/>
      <name val="Times New Roman"/>
      <family val="1"/>
    </font>
    <font>
      <sz val="8"/>
      <color theme="1"/>
      <name val="Garamond"/>
      <family val="1"/>
    </font>
    <font>
      <sz val="10"/>
      <color theme="1"/>
      <name val="Calibri Light"/>
      <family val="2"/>
      <scheme val="major"/>
    </font>
    <font>
      <sz val="10"/>
      <color indexed="10"/>
      <name val="Garamond"/>
      <family val="1"/>
    </font>
    <font>
      <b/>
      <sz val="10"/>
      <color indexed="8"/>
      <name val="Garamond"/>
      <family val="1"/>
    </font>
    <font>
      <sz val="10"/>
      <color indexed="8"/>
      <name val="Garamond"/>
      <family val="2"/>
    </font>
    <font>
      <i/>
      <sz val="11"/>
      <color theme="1"/>
      <name val="Garamond"/>
      <family val="1"/>
    </font>
    <font>
      <sz val="11"/>
      <color rgb="FFFF0000"/>
      <name val="Garamond"/>
      <family val="1"/>
    </font>
    <font>
      <b/>
      <i/>
      <sz val="11"/>
      <color theme="1"/>
      <name val="Garamond"/>
      <family val="1"/>
    </font>
    <font>
      <i/>
      <sz val="11"/>
      <color rgb="FF000000"/>
      <name val="Garamond"/>
      <family val="1"/>
    </font>
    <font>
      <i/>
      <sz val="11"/>
      <name val="Garamond"/>
      <family val="1"/>
    </font>
    <font>
      <b/>
      <i/>
      <sz val="11"/>
      <color rgb="FF000000"/>
      <name val="Garamond"/>
      <family val="1"/>
    </font>
    <font>
      <b/>
      <i/>
      <sz val="11"/>
      <name val="Garamond"/>
      <family val="1"/>
    </font>
    <font>
      <b/>
      <sz val="12"/>
      <color theme="1"/>
      <name val="Times New Roman"/>
      <family val="1"/>
    </font>
    <font>
      <sz val="11"/>
      <color theme="1" tint="4.9989318521683403E-2"/>
      <name val="Garamond"/>
      <family val="1"/>
    </font>
    <font>
      <b/>
      <sz val="10"/>
      <name val="Arial"/>
      <family val="2"/>
    </font>
    <font>
      <b/>
      <sz val="10"/>
      <color rgb="FF000000"/>
      <name val="Garamond"/>
      <family val="1"/>
    </font>
    <font>
      <sz val="9"/>
      <color indexed="81"/>
      <name val="Tahoma"/>
      <family val="2"/>
    </font>
    <font>
      <b/>
      <sz val="9"/>
      <color indexed="81"/>
      <name val="Tahoma"/>
      <family val="2"/>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
      <patternFill patternType="solid">
        <fgColor indexed="9"/>
        <bgColor indexed="9"/>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theme="0"/>
        <bgColor theme="4" tint="0.79998168889431442"/>
      </patternFill>
    </fill>
    <fill>
      <patternFill patternType="solid">
        <fgColor theme="2"/>
        <bgColor indexed="64"/>
      </patternFill>
    </fill>
    <fill>
      <patternFill patternType="solid">
        <fgColor theme="2" tint="-9.9978637043366805E-2"/>
        <bgColor indexed="64"/>
      </patternFill>
    </fill>
  </fills>
  <borders count="142">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double">
        <color indexed="8"/>
      </left>
      <right style="thin">
        <color indexed="8"/>
      </right>
      <top/>
      <bottom style="thin">
        <color indexed="8"/>
      </bottom>
      <diagonal/>
    </border>
    <border>
      <left style="thin">
        <color indexed="64"/>
      </left>
      <right/>
      <top/>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top style="thin">
        <color auto="1"/>
      </top>
      <bottom style="thin">
        <color auto="1"/>
      </bottom>
      <diagonal/>
    </border>
    <border>
      <left style="thin">
        <color auto="1"/>
      </left>
      <right style="thin">
        <color indexed="64"/>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8"/>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thin">
        <color indexed="8"/>
      </left>
      <right style="double">
        <color indexed="8"/>
      </right>
      <top/>
      <bottom style="thin">
        <color indexed="64"/>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thin">
        <color indexed="8"/>
      </left>
      <right style="double">
        <color indexed="8"/>
      </right>
      <top style="thin">
        <color indexed="8"/>
      </top>
      <bottom style="thin">
        <color indexed="64"/>
      </bottom>
      <diagonal/>
    </border>
    <border>
      <left style="thin">
        <color auto="1"/>
      </left>
      <right/>
      <top style="thin">
        <color auto="1"/>
      </top>
      <bottom style="thin">
        <color auto="1"/>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double">
        <color indexed="8"/>
      </left>
      <right style="thin">
        <color indexed="8"/>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8"/>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auto="1"/>
      </left>
      <right/>
      <top/>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indexed="8"/>
      </left>
      <right style="thin">
        <color indexed="8"/>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s>
  <cellStyleXfs count="63">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ont="0" applyFill="0" applyBorder="0" applyAlignment="0" applyProtection="0"/>
    <xf numFmtId="0" fontId="1" fillId="0" borderId="0"/>
    <xf numFmtId="0" fontId="1" fillId="0" borderId="0"/>
    <xf numFmtId="0" fontId="17" fillId="0" borderId="0"/>
    <xf numFmtId="43" fontId="1" fillId="0" borderId="0" applyFont="0" applyFill="0" applyBorder="0" applyAlignment="0" applyProtection="0"/>
    <xf numFmtId="0" fontId="3" fillId="0" borderId="0" applyNumberFormat="0" applyFont="0" applyFill="0" applyBorder="0" applyAlignment="0" applyProtection="0"/>
    <xf numFmtId="173" fontId="1" fillId="0" borderId="0" applyNumberForma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1" fillId="0" borderId="0"/>
    <xf numFmtId="179" fontId="3" fillId="0" borderId="0" applyFont="0" applyFill="0" applyBorder="0" applyAlignment="0" applyProtection="0"/>
    <xf numFmtId="173" fontId="1" fillId="0" borderId="0"/>
    <xf numFmtId="0" fontId="3" fillId="0" borderId="0"/>
    <xf numFmtId="0" fontId="1" fillId="0" borderId="0"/>
    <xf numFmtId="192" fontId="3" fillId="0" borderId="0" applyNumberFormat="0" applyFont="0" applyFill="0" applyBorder="0" applyAlignment="0" applyProtection="0"/>
    <xf numFmtId="0" fontId="31" fillId="0" borderId="0"/>
    <xf numFmtId="173" fontId="1" fillId="0" borderId="0"/>
    <xf numFmtId="193" fontId="1" fillId="0" borderId="0"/>
    <xf numFmtId="173" fontId="3" fillId="0" borderId="0" applyNumberFormat="0" applyFill="0" applyBorder="0" applyAlignment="0" applyProtection="0"/>
    <xf numFmtId="173" fontId="3" fillId="0" borderId="0" applyNumberFormat="0" applyFill="0" applyBorder="0" applyAlignment="0" applyProtection="0"/>
    <xf numFmtId="194" fontId="37" fillId="0" borderId="0">
      <alignment horizontal="right"/>
    </xf>
    <xf numFmtId="0" fontId="3" fillId="0" borderId="0"/>
    <xf numFmtId="192" fontId="1" fillId="0" borderId="0" applyFont="0" applyFill="0" applyBorder="0" applyAlignment="0" applyProtection="0"/>
    <xf numFmtId="43" fontId="1" fillId="0" borderId="0" applyFont="0" applyFill="0" applyBorder="0" applyAlignment="0" applyProtection="0"/>
    <xf numFmtId="179" fontId="3" fillId="0" borderId="0" applyFont="0" applyFill="0" applyBorder="0" applyAlignment="0" applyProtection="0"/>
    <xf numFmtId="192" fontId="1" fillId="0" borderId="0" applyFont="0" applyFill="0" applyBorder="0" applyAlignment="0" applyProtection="0"/>
    <xf numFmtId="192" fontId="1" fillId="0" borderId="0" applyFont="0" applyFill="0" applyBorder="0" applyAlignment="0" applyProtection="0"/>
    <xf numFmtId="43" fontId="3" fillId="0" borderId="0" applyFont="0" applyFill="0" applyBorder="0" applyAlignment="0" applyProtection="0"/>
    <xf numFmtId="0" fontId="1" fillId="0" borderId="0"/>
    <xf numFmtId="192" fontId="48" fillId="0" borderId="0" applyFont="0" applyFill="0" applyBorder="0" applyAlignment="0" applyProtection="0"/>
    <xf numFmtId="43" fontId="48" fillId="0" borderId="0" applyFont="0" applyFill="0" applyBorder="0" applyAlignment="0" applyProtection="0"/>
    <xf numFmtId="43" fontId="1" fillId="0" borderId="0" applyFont="0" applyFill="0" applyBorder="0" applyAlignment="0" applyProtection="0"/>
    <xf numFmtId="0" fontId="49" fillId="0" borderId="0" applyNumberFormat="0" applyFill="0" applyBorder="0" applyAlignment="0" applyProtection="0"/>
    <xf numFmtId="192"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3"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4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73" fontId="3" fillId="0" borderId="0" applyNumberFormat="0" applyFill="0" applyBorder="0" applyAlignment="0" applyProtection="0"/>
    <xf numFmtId="173" fontId="1" fillId="0" borderId="0" applyNumberFormat="0" applyFill="0" applyBorder="0" applyAlignment="0" applyProtection="0"/>
    <xf numFmtId="192" fontId="58" fillId="0" borderId="0" applyFont="0" applyFill="0" applyBorder="0" applyAlignment="0" applyProtection="0"/>
    <xf numFmtId="193" fontId="1" fillId="0" borderId="0"/>
    <xf numFmtId="193" fontId="1" fillId="0" borderId="0"/>
    <xf numFmtId="193" fontId="3" fillId="0" borderId="0" applyNumberFormat="0" applyFill="0" applyBorder="0" applyAlignment="0" applyProtection="0"/>
    <xf numFmtId="193" fontId="3" fillId="0" borderId="0" applyNumberFormat="0" applyFill="0" applyBorder="0" applyAlignment="0" applyProtection="0"/>
    <xf numFmtId="193" fontId="3"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cellStyleXfs>
  <cellXfs count="1624">
    <xf numFmtId="0" fontId="0" fillId="0" borderId="0" xfId="0"/>
    <xf numFmtId="0" fontId="0" fillId="0" borderId="0" xfId="0" applyBorder="1"/>
    <xf numFmtId="49" fontId="8" fillId="0" borderId="0" xfId="0" applyNumberFormat="1" applyFont="1" applyFill="1" applyBorder="1" applyAlignment="1">
      <alignment horizontal="left"/>
    </xf>
    <xf numFmtId="0" fontId="13" fillId="0" borderId="11" xfId="0" applyFont="1" applyFill="1" applyBorder="1" applyAlignment="1">
      <alignment horizontal="center" vertical="center" wrapText="1"/>
    </xf>
    <xf numFmtId="0" fontId="11" fillId="0" borderId="4" xfId="0" applyFont="1" applyFill="1" applyBorder="1"/>
    <xf numFmtId="0" fontId="14" fillId="0" borderId="6" xfId="0" applyFont="1" applyFill="1" applyBorder="1" applyAlignment="1">
      <alignment horizontal="left" vertical="top"/>
    </xf>
    <xf numFmtId="0" fontId="13" fillId="0" borderId="0" xfId="0" applyFont="1" applyFill="1" applyAlignment="1">
      <alignment horizontal="left"/>
    </xf>
    <xf numFmtId="0" fontId="11" fillId="0" borderId="0" xfId="0" applyFont="1" applyFill="1" applyBorder="1" applyAlignment="1">
      <alignment horizontal="center"/>
    </xf>
    <xf numFmtId="49" fontId="8" fillId="0" borderId="0" xfId="0" applyNumberFormat="1" applyFont="1" applyFill="1" applyBorder="1" applyAlignment="1">
      <alignment vertical="top" wrapText="1"/>
    </xf>
    <xf numFmtId="0" fontId="9" fillId="0" borderId="0" xfId="0" applyFont="1" applyFill="1" applyAlignment="1">
      <alignment vertical="top" wrapText="1"/>
    </xf>
    <xf numFmtId="0" fontId="8" fillId="0" borderId="12" xfId="0" applyFont="1" applyFill="1" applyBorder="1" applyAlignment="1">
      <alignment horizontal="center" vertical="center" wrapText="1"/>
    </xf>
    <xf numFmtId="0" fontId="9" fillId="0" borderId="0" xfId="0" applyFont="1" applyFill="1" applyBorder="1" applyAlignment="1">
      <alignment vertical="top" wrapText="1"/>
    </xf>
    <xf numFmtId="0" fontId="0" fillId="0" borderId="0" xfId="0" applyFill="1" applyBorder="1"/>
    <xf numFmtId="2" fontId="11" fillId="0" borderId="0" xfId="0" applyNumberFormat="1" applyFont="1"/>
    <xf numFmtId="165" fontId="0" fillId="0" borderId="0" xfId="0" applyNumberFormat="1" applyFill="1"/>
    <xf numFmtId="165" fontId="0" fillId="0" borderId="0" xfId="0" applyNumberFormat="1"/>
    <xf numFmtId="0" fontId="0" fillId="0" borderId="0" xfId="0" applyFill="1"/>
    <xf numFmtId="49" fontId="8" fillId="0" borderId="0" xfId="0" applyNumberFormat="1" applyFont="1" applyFill="1" applyAlignment="1">
      <alignment vertical="center"/>
    </xf>
    <xf numFmtId="49" fontId="8" fillId="2" borderId="12" xfId="0" applyNumberFormat="1" applyFont="1" applyFill="1" applyBorder="1" applyAlignment="1">
      <alignment horizontal="center" vertical="center" wrapText="1"/>
    </xf>
    <xf numFmtId="3" fontId="14" fillId="0" borderId="4" xfId="0" applyNumberFormat="1" applyFont="1" applyFill="1" applyBorder="1" applyAlignment="1">
      <alignment horizontal="right" vertical="center" wrapText="1"/>
    </xf>
    <xf numFmtId="3" fontId="8" fillId="0" borderId="0" xfId="0" applyNumberFormat="1" applyFont="1" applyFill="1" applyBorder="1" applyAlignment="1">
      <alignment horizontal="right"/>
    </xf>
    <xf numFmtId="3" fontId="0" fillId="0" borderId="0" xfId="0" applyNumberFormat="1"/>
    <xf numFmtId="0" fontId="9" fillId="2" borderId="4" xfId="0" applyFont="1" applyFill="1" applyBorder="1" applyAlignment="1">
      <alignment horizontal="right"/>
    </xf>
    <xf numFmtId="0" fontId="9" fillId="0" borderId="4" xfId="0" applyFont="1" applyFill="1" applyBorder="1" applyAlignment="1">
      <alignment horizontal="right"/>
    </xf>
    <xf numFmtId="164" fontId="9" fillId="0" borderId="4" xfId="0" applyNumberFormat="1" applyFont="1" applyFill="1" applyBorder="1" applyAlignment="1">
      <alignment horizontal="right"/>
    </xf>
    <xf numFmtId="0" fontId="9" fillId="0" borderId="0" xfId="0" applyFont="1" applyFill="1" applyBorder="1" applyAlignment="1">
      <alignment horizontal="right"/>
    </xf>
    <xf numFmtId="166" fontId="9" fillId="0" borderId="0" xfId="0" applyNumberFormat="1" applyFont="1" applyFill="1" applyBorder="1" applyAlignment="1">
      <alignment horizontal="right"/>
    </xf>
    <xf numFmtId="49" fontId="9" fillId="0" borderId="0" xfId="0" applyNumberFormat="1" applyFont="1" applyFill="1" applyBorder="1" applyAlignment="1">
      <alignment horizontal="left"/>
    </xf>
    <xf numFmtId="164" fontId="9" fillId="0" borderId="0" xfId="0" applyNumberFormat="1" applyFont="1" applyFill="1" applyBorder="1" applyAlignment="1">
      <alignment horizontal="right"/>
    </xf>
    <xf numFmtId="49" fontId="8" fillId="0" borderId="0" xfId="0" applyNumberFormat="1" applyFont="1" applyFill="1" applyAlignment="1"/>
    <xf numFmtId="49" fontId="9" fillId="0" borderId="0" xfId="0" applyNumberFormat="1" applyFont="1" applyFill="1" applyBorder="1" applyAlignment="1">
      <alignment horizontal="left" vertical="center"/>
    </xf>
    <xf numFmtId="1" fontId="9" fillId="0" borderId="0" xfId="0" applyNumberFormat="1" applyFont="1" applyFill="1" applyBorder="1" applyAlignment="1">
      <alignment horizontal="right"/>
    </xf>
    <xf numFmtId="49" fontId="9" fillId="0" borderId="0" xfId="0" applyNumberFormat="1" applyFont="1" applyFill="1" applyBorder="1" applyAlignment="1"/>
    <xf numFmtId="0" fontId="15" fillId="0" borderId="0" xfId="0" applyFont="1" applyBorder="1" applyAlignment="1">
      <alignment horizontal="right" vertical="center" wrapText="1"/>
    </xf>
    <xf numFmtId="3" fontId="15" fillId="0" borderId="0" xfId="0" applyNumberFormat="1" applyFont="1" applyBorder="1" applyAlignment="1">
      <alignment horizontal="right" vertical="center" wrapText="1"/>
    </xf>
    <xf numFmtId="3" fontId="0" fillId="0" borderId="0" xfId="0" applyNumberFormat="1" applyFill="1"/>
    <xf numFmtId="49" fontId="9" fillId="0" borderId="0" xfId="5" applyNumberFormat="1" applyFont="1" applyFill="1" applyBorder="1" applyAlignment="1">
      <alignment horizontal="left" vertical="center"/>
    </xf>
    <xf numFmtId="1" fontId="9" fillId="0" borderId="0" xfId="5" applyNumberFormat="1" applyFont="1" applyFill="1" applyBorder="1" applyAlignment="1">
      <alignment horizontal="right"/>
    </xf>
    <xf numFmtId="17" fontId="9" fillId="0" borderId="0" xfId="5" applyNumberFormat="1" applyFont="1" applyFill="1" applyBorder="1" applyAlignment="1">
      <alignment horizontal="left" vertical="center"/>
    </xf>
    <xf numFmtId="1" fontId="11" fillId="0" borderId="0" xfId="0" applyNumberFormat="1" applyFont="1"/>
    <xf numFmtId="3" fontId="11" fillId="0" borderId="0" xfId="0" applyNumberFormat="1" applyFont="1"/>
    <xf numFmtId="164" fontId="8" fillId="0" borderId="4" xfId="0" applyNumberFormat="1" applyFont="1" applyFill="1" applyBorder="1" applyAlignment="1">
      <alignment horizontal="right" vertical="top"/>
    </xf>
    <xf numFmtId="164" fontId="0" fillId="0" borderId="0" xfId="0" applyNumberFormat="1"/>
    <xf numFmtId="164" fontId="9" fillId="0" borderId="4" xfId="0" applyNumberFormat="1" applyFont="1" applyFill="1" applyBorder="1" applyAlignment="1">
      <alignment horizontal="right" vertical="top"/>
    </xf>
    <xf numFmtId="0" fontId="3" fillId="0" borderId="0" xfId="0" applyFont="1" applyFill="1" applyBorder="1" applyAlignment="1">
      <alignment vertical="center" wrapText="1"/>
    </xf>
    <xf numFmtId="164" fontId="9" fillId="0" borderId="0" xfId="0" applyNumberFormat="1" applyFont="1" applyFill="1" applyAlignment="1">
      <alignment horizontal="left" vertical="top"/>
    </xf>
    <xf numFmtId="168" fontId="9" fillId="0" borderId="0" xfId="0" applyNumberFormat="1" applyFont="1" applyFill="1" applyBorder="1" applyAlignment="1">
      <alignment horizontal="left" vertical="top"/>
    </xf>
    <xf numFmtId="164" fontId="9" fillId="0" borderId="0" xfId="0" applyNumberFormat="1" applyFont="1" applyFill="1" applyBorder="1" applyAlignment="1">
      <alignment horizontal="right" vertical="top"/>
    </xf>
    <xf numFmtId="0" fontId="7" fillId="0" borderId="0" xfId="0" applyFont="1" applyFill="1" applyBorder="1" applyAlignment="1">
      <alignment horizontal="right" vertical="center" wrapText="1"/>
    </xf>
    <xf numFmtId="167" fontId="7" fillId="0" borderId="0" xfId="7" applyNumberFormat="1" applyFont="1" applyFill="1" applyBorder="1" applyAlignment="1">
      <alignment horizontal="right" vertical="center" wrapText="1"/>
    </xf>
    <xf numFmtId="49" fontId="9" fillId="0" borderId="0" xfId="6" applyNumberFormat="1" applyFont="1" applyFill="1" applyBorder="1" applyAlignment="1">
      <alignment horizontal="left" vertical="center"/>
    </xf>
    <xf numFmtId="164" fontId="9" fillId="0" borderId="0" xfId="6" applyNumberFormat="1" applyFont="1" applyFill="1" applyBorder="1" applyAlignment="1">
      <alignment horizontal="right" vertical="center"/>
    </xf>
    <xf numFmtId="167" fontId="12" fillId="0" borderId="0" xfId="7" applyNumberFormat="1" applyFont="1" applyFill="1" applyBorder="1" applyAlignment="1">
      <alignment horizontal="right" vertical="center" wrapText="1"/>
    </xf>
    <xf numFmtId="0" fontId="9" fillId="0" borderId="0" xfId="6" applyFont="1" applyFill="1" applyBorder="1" applyAlignment="1">
      <alignment vertical="center"/>
    </xf>
    <xf numFmtId="1" fontId="9" fillId="0" borderId="0" xfId="6" applyNumberFormat="1" applyFont="1" applyFill="1" applyBorder="1" applyAlignment="1">
      <alignment vertical="center"/>
    </xf>
    <xf numFmtId="2" fontId="3" fillId="0" borderId="0" xfId="0" applyNumberFormat="1" applyFont="1" applyFill="1" applyBorder="1" applyAlignment="1">
      <alignment horizontal="center" wrapText="1"/>
    </xf>
    <xf numFmtId="49" fontId="8" fillId="0" borderId="4" xfId="0" applyNumberFormat="1" applyFont="1" applyFill="1" applyBorder="1" applyAlignment="1">
      <alignment horizontal="center" vertical="top" wrapText="1"/>
    </xf>
    <xf numFmtId="168" fontId="9" fillId="0" borderId="4" xfId="5" applyNumberFormat="1" applyFont="1" applyFill="1" applyBorder="1" applyAlignment="1">
      <alignment horizontal="left" vertical="top" wrapText="1"/>
    </xf>
    <xf numFmtId="168" fontId="9" fillId="0" borderId="0" xfId="5" applyNumberFormat="1" applyFont="1" applyFill="1" applyBorder="1" applyAlignment="1">
      <alignment horizontal="left" vertical="top" wrapText="1"/>
    </xf>
    <xf numFmtId="49" fontId="18" fillId="0" borderId="4" xfId="0" applyNumberFormat="1" applyFont="1" applyFill="1" applyBorder="1" applyAlignment="1">
      <alignment horizontal="center" vertical="top" wrapText="1"/>
    </xf>
    <xf numFmtId="0" fontId="12" fillId="0" borderId="0" xfId="0" applyNumberFormat="1" applyFont="1" applyFill="1" applyBorder="1" applyAlignment="1"/>
    <xf numFmtId="49" fontId="8" fillId="0" borderId="0" xfId="0" applyNumberFormat="1" applyFont="1" applyFill="1" applyBorder="1" applyAlignment="1">
      <alignment vertical="center"/>
    </xf>
    <xf numFmtId="49" fontId="8" fillId="0" borderId="0" xfId="0" applyNumberFormat="1" applyFont="1" applyFill="1" applyBorder="1" applyAlignment="1">
      <alignment horizontal="center" vertical="top" wrapText="1"/>
    </xf>
    <xf numFmtId="0" fontId="8" fillId="0" borderId="0" xfId="0" applyFont="1" applyFill="1" applyBorder="1" applyAlignment="1">
      <alignment horizontal="right"/>
    </xf>
    <xf numFmtId="1" fontId="8" fillId="0" borderId="0" xfId="0" applyNumberFormat="1" applyFont="1" applyFill="1" applyBorder="1" applyAlignment="1">
      <alignment horizontal="right" vertical="top"/>
    </xf>
    <xf numFmtId="1" fontId="11" fillId="0" borderId="0" xfId="5" applyNumberFormat="1" applyFont="1" applyFill="1" applyBorder="1" applyAlignment="1">
      <alignment horizontal="right" vertical="center" wrapText="1"/>
    </xf>
    <xf numFmtId="1" fontId="11" fillId="0" borderId="0" xfId="0" applyNumberFormat="1" applyFont="1" applyFill="1" applyBorder="1" applyAlignment="1">
      <alignment horizontal="right" vertical="top"/>
    </xf>
    <xf numFmtId="164" fontId="11" fillId="0" borderId="0" xfId="0" applyNumberFormat="1" applyFont="1" applyFill="1" applyBorder="1" applyAlignment="1">
      <alignment horizontal="right" vertical="top"/>
    </xf>
    <xf numFmtId="49" fontId="8" fillId="0" borderId="0" xfId="0" applyNumberFormat="1" applyFont="1" applyFill="1" applyAlignment="1">
      <alignment horizontal="left"/>
    </xf>
    <xf numFmtId="168" fontId="11" fillId="0" borderId="0" xfId="0" applyNumberFormat="1" applyFont="1" applyFill="1" applyBorder="1" applyAlignment="1">
      <alignment horizontal="left" vertical="top"/>
    </xf>
    <xf numFmtId="1" fontId="12" fillId="0" borderId="0" xfId="0" applyNumberFormat="1" applyFont="1" applyFill="1" applyBorder="1" applyAlignment="1">
      <alignment horizontal="right" wrapText="1"/>
    </xf>
    <xf numFmtId="1" fontId="0" fillId="0" borderId="0" xfId="0" applyNumberFormat="1" applyFont="1" applyFill="1" applyBorder="1" applyAlignment="1"/>
    <xf numFmtId="1" fontId="12" fillId="0" borderId="0" xfId="0" applyNumberFormat="1" applyFont="1" applyFill="1" applyBorder="1" applyAlignment="1"/>
    <xf numFmtId="0" fontId="12" fillId="0" borderId="0" xfId="0" applyFont="1" applyFill="1" applyBorder="1" applyAlignment="1">
      <alignment horizontal="right" wrapText="1"/>
    </xf>
    <xf numFmtId="1" fontId="11" fillId="0" borderId="0" xfId="0" applyNumberFormat="1" applyFont="1" applyFill="1" applyBorder="1" applyAlignment="1">
      <alignment horizontal="right"/>
    </xf>
    <xf numFmtId="1" fontId="12" fillId="0" borderId="0" xfId="5" applyNumberFormat="1" applyFont="1" applyFill="1" applyBorder="1" applyAlignment="1">
      <alignment horizontal="right" vertical="center" wrapText="1"/>
    </xf>
    <xf numFmtId="0" fontId="9" fillId="0" borderId="0" xfId="0" applyFont="1" applyFill="1" applyAlignment="1">
      <alignment vertical="center"/>
    </xf>
    <xf numFmtId="49" fontId="8" fillId="0" borderId="8" xfId="0" applyNumberFormat="1" applyFont="1" applyFill="1" applyBorder="1" applyAlignment="1">
      <alignment horizontal="center" vertical="center" wrapText="1"/>
    </xf>
    <xf numFmtId="3" fontId="8" fillId="0" borderId="4" xfId="0" applyNumberFormat="1" applyFont="1" applyFill="1" applyBorder="1" applyAlignment="1">
      <alignment horizontal="right" vertical="center"/>
    </xf>
    <xf numFmtId="3" fontId="9" fillId="0" borderId="4" xfId="0" applyNumberFormat="1" applyFont="1" applyFill="1" applyBorder="1" applyAlignment="1">
      <alignment horizontal="right" vertical="center"/>
    </xf>
    <xf numFmtId="1" fontId="7" fillId="0" borderId="0" xfId="5" applyNumberFormat="1" applyFont="1" applyFill="1" applyBorder="1" applyAlignment="1">
      <alignment horizontal="right" vertical="center" wrapText="1"/>
    </xf>
    <xf numFmtId="3" fontId="9" fillId="0" borderId="0" xfId="0" applyNumberFormat="1" applyFont="1" applyFill="1" applyBorder="1" applyAlignment="1">
      <alignment horizontal="right" vertical="center"/>
    </xf>
    <xf numFmtId="168" fontId="9" fillId="0" borderId="0" xfId="0" applyNumberFormat="1" applyFont="1" applyFill="1" applyBorder="1" applyAlignment="1">
      <alignment horizontal="left" vertical="center"/>
    </xf>
    <xf numFmtId="168" fontId="9" fillId="0" borderId="0" xfId="5" applyNumberFormat="1" applyFont="1" applyFill="1" applyBorder="1" applyAlignment="1">
      <alignment horizontal="left" vertical="top"/>
    </xf>
    <xf numFmtId="168" fontId="6" fillId="0" borderId="0" xfId="5" applyNumberFormat="1" applyFont="1" applyFill="1" applyBorder="1" applyAlignment="1">
      <alignment horizontal="left" vertical="top" wrapText="1"/>
    </xf>
    <xf numFmtId="49" fontId="8" fillId="2" borderId="1" xfId="0" applyNumberFormat="1" applyFont="1" applyFill="1" applyBorder="1" applyAlignment="1">
      <alignment horizontal="center" vertical="center" wrapText="1"/>
    </xf>
    <xf numFmtId="3" fontId="8" fillId="2" borderId="12" xfId="0" applyNumberFormat="1" applyFont="1" applyFill="1" applyBorder="1" applyAlignment="1">
      <alignment horizontal="right"/>
    </xf>
    <xf numFmtId="49" fontId="8" fillId="0" borderId="0" xfId="0" applyNumberFormat="1" applyFont="1" applyFill="1" applyAlignment="1">
      <alignment horizontal="left" wrapText="1"/>
    </xf>
    <xf numFmtId="3" fontId="9" fillId="0" borderId="0" xfId="0" applyNumberFormat="1" applyFont="1" applyFill="1" applyBorder="1" applyAlignment="1">
      <alignment horizontal="right"/>
    </xf>
    <xf numFmtId="3" fontId="9" fillId="0" borderId="0" xfId="5" applyNumberFormat="1" applyFont="1" applyFill="1" applyBorder="1" applyAlignment="1">
      <alignment horizontal="right"/>
    </xf>
    <xf numFmtId="49" fontId="18" fillId="0" borderId="8" xfId="0" applyNumberFormat="1" applyFont="1" applyFill="1" applyBorder="1" applyAlignment="1">
      <alignment horizontal="center" vertical="center" wrapText="1"/>
    </xf>
    <xf numFmtId="1" fontId="11" fillId="0" borderId="0" xfId="0" applyNumberFormat="1" applyFont="1" applyFill="1" applyBorder="1"/>
    <xf numFmtId="1" fontId="10" fillId="0" borderId="0" xfId="0" applyNumberFormat="1" applyFont="1" applyFill="1" applyBorder="1"/>
    <xf numFmtId="1" fontId="11" fillId="0" borderId="0" xfId="5" applyNumberFormat="1" applyFont="1" applyFill="1" applyBorder="1"/>
    <xf numFmtId="166" fontId="9" fillId="0" borderId="0" xfId="5" applyNumberFormat="1" applyFont="1" applyFill="1" applyBorder="1" applyAlignment="1">
      <alignment horizontal="right"/>
    </xf>
    <xf numFmtId="49" fontId="8" fillId="0" borderId="0" xfId="0" applyNumberFormat="1" applyFont="1" applyFill="1" applyBorder="1" applyAlignment="1"/>
    <xf numFmtId="0" fontId="5" fillId="0" borderId="0" xfId="0" applyFont="1" applyFill="1" applyAlignment="1">
      <alignment vertical="center"/>
    </xf>
    <xf numFmtId="0" fontId="12" fillId="0" borderId="0" xfId="8" applyNumberFormat="1" applyFont="1" applyFill="1" applyBorder="1" applyAlignment="1"/>
    <xf numFmtId="0" fontId="9" fillId="2" borderId="0" xfId="8" applyFont="1" applyFill="1" applyAlignment="1">
      <alignment vertical="center"/>
    </xf>
    <xf numFmtId="49" fontId="8" fillId="0" borderId="8" xfId="8" applyNumberFormat="1" applyFont="1" applyFill="1" applyBorder="1" applyAlignment="1">
      <alignment horizontal="center" vertical="center" wrapText="1"/>
    </xf>
    <xf numFmtId="49" fontId="8" fillId="2" borderId="1" xfId="8" applyNumberFormat="1" applyFont="1" applyFill="1" applyBorder="1" applyAlignment="1">
      <alignment horizontal="left"/>
    </xf>
    <xf numFmtId="164" fontId="8" fillId="2" borderId="1" xfId="8" applyNumberFormat="1" applyFont="1" applyFill="1" applyBorder="1" applyAlignment="1">
      <alignment horizontal="right"/>
    </xf>
    <xf numFmtId="0" fontId="8" fillId="2" borderId="0" xfId="8" applyFont="1" applyFill="1" applyAlignment="1">
      <alignment vertical="center"/>
    </xf>
    <xf numFmtId="164" fontId="8" fillId="2" borderId="0" xfId="8" applyNumberFormat="1" applyFont="1" applyFill="1" applyAlignment="1">
      <alignment vertical="center"/>
    </xf>
    <xf numFmtId="49" fontId="9" fillId="2" borderId="4" xfId="8" applyNumberFormat="1" applyFont="1" applyFill="1" applyBorder="1" applyAlignment="1">
      <alignment horizontal="left"/>
    </xf>
    <xf numFmtId="169" fontId="9" fillId="2" borderId="4" xfId="8" applyNumberFormat="1" applyFont="1" applyFill="1" applyBorder="1" applyAlignment="1">
      <alignment horizontal="right"/>
    </xf>
    <xf numFmtId="164" fontId="9" fillId="2" borderId="4" xfId="8" applyNumberFormat="1" applyFont="1" applyFill="1" applyBorder="1" applyAlignment="1">
      <alignment horizontal="right"/>
    </xf>
    <xf numFmtId="164" fontId="9" fillId="0" borderId="4" xfId="8" applyNumberFormat="1" applyFont="1" applyFill="1" applyBorder="1" applyAlignment="1">
      <alignment horizontal="right"/>
    </xf>
    <xf numFmtId="169" fontId="9" fillId="0" borderId="4" xfId="8" applyNumberFormat="1" applyFont="1" applyFill="1" applyBorder="1" applyAlignment="1">
      <alignment horizontal="right"/>
    </xf>
    <xf numFmtId="164" fontId="9" fillId="2" borderId="0" xfId="8" applyNumberFormat="1" applyFont="1" applyFill="1" applyAlignment="1">
      <alignment vertical="center"/>
    </xf>
    <xf numFmtId="164" fontId="12" fillId="0" borderId="0" xfId="8" applyNumberFormat="1" applyFont="1" applyFill="1" applyBorder="1" applyAlignment="1"/>
    <xf numFmtId="169" fontId="12" fillId="0" borderId="0" xfId="8" applyNumberFormat="1" applyFont="1" applyFill="1" applyBorder="1" applyAlignment="1"/>
    <xf numFmtId="171" fontId="12" fillId="0" borderId="0" xfId="8" applyNumberFormat="1" applyFont="1" applyFill="1" applyBorder="1" applyAlignment="1"/>
    <xf numFmtId="170" fontId="8" fillId="2" borderId="1" xfId="8" applyNumberFormat="1" applyFont="1" applyFill="1" applyBorder="1" applyAlignment="1">
      <alignment horizontal="right"/>
    </xf>
    <xf numFmtId="164" fontId="8" fillId="0" borderId="1" xfId="8" applyNumberFormat="1" applyFont="1" applyFill="1" applyBorder="1" applyAlignment="1">
      <alignment horizontal="right"/>
    </xf>
    <xf numFmtId="49" fontId="8" fillId="0" borderId="12" xfId="8" applyNumberFormat="1" applyFont="1" applyFill="1" applyBorder="1" applyAlignment="1">
      <alignment horizontal="left"/>
    </xf>
    <xf numFmtId="164" fontId="8" fillId="2" borderId="12" xfId="8" applyNumberFormat="1" applyFont="1" applyFill="1" applyBorder="1" applyAlignment="1">
      <alignment horizontal="right"/>
    </xf>
    <xf numFmtId="164" fontId="8" fillId="0" borderId="0" xfId="8" applyNumberFormat="1" applyFont="1" applyFill="1" applyAlignment="1">
      <alignment vertical="center"/>
    </xf>
    <xf numFmtId="0" fontId="8" fillId="0" borderId="0" xfId="8" applyFont="1" applyFill="1" applyAlignment="1">
      <alignment vertical="center"/>
    </xf>
    <xf numFmtId="49" fontId="8" fillId="2" borderId="0" xfId="8" applyNumberFormat="1" applyFont="1" applyFill="1" applyAlignment="1">
      <alignment horizontal="left"/>
    </xf>
    <xf numFmtId="3" fontId="12" fillId="0" borderId="0" xfId="8" applyNumberFormat="1" applyFont="1" applyFill="1" applyBorder="1" applyAlignment="1"/>
    <xf numFmtId="49" fontId="8" fillId="2" borderId="1" xfId="8" applyNumberFormat="1" applyFont="1" applyFill="1" applyBorder="1" applyAlignment="1">
      <alignment horizontal="right"/>
    </xf>
    <xf numFmtId="0" fontId="8" fillId="2" borderId="1" xfId="8" applyFont="1" applyFill="1" applyBorder="1" applyAlignment="1">
      <alignment horizontal="right"/>
    </xf>
    <xf numFmtId="172" fontId="8" fillId="2" borderId="1" xfId="8" applyNumberFormat="1" applyFont="1" applyFill="1" applyBorder="1" applyAlignment="1">
      <alignment horizontal="right"/>
    </xf>
    <xf numFmtId="164" fontId="9" fillId="6" borderId="4" xfId="9" applyNumberFormat="1" applyFont="1" applyFill="1" applyBorder="1" applyAlignment="1">
      <alignment horizontal="right"/>
    </xf>
    <xf numFmtId="1" fontId="9" fillId="6" borderId="4" xfId="9" applyNumberFormat="1" applyFont="1" applyFill="1" applyBorder="1" applyAlignment="1">
      <alignment horizontal="right"/>
    </xf>
    <xf numFmtId="170" fontId="9" fillId="6" borderId="4" xfId="9" applyNumberFormat="1" applyFont="1" applyFill="1" applyBorder="1" applyAlignment="1">
      <alignment horizontal="right"/>
    </xf>
    <xf numFmtId="164" fontId="9" fillId="0" borderId="4" xfId="9" applyNumberFormat="1" applyFont="1" applyFill="1" applyBorder="1" applyAlignment="1">
      <alignment horizontal="right"/>
    </xf>
    <xf numFmtId="1" fontId="9" fillId="0" borderId="4" xfId="9" applyNumberFormat="1" applyFont="1" applyFill="1" applyBorder="1" applyAlignment="1">
      <alignment horizontal="right"/>
    </xf>
    <xf numFmtId="170" fontId="9" fillId="0" borderId="4" xfId="9" applyNumberFormat="1" applyFont="1" applyFill="1" applyBorder="1" applyAlignment="1">
      <alignment horizontal="right"/>
    </xf>
    <xf numFmtId="43" fontId="16" fillId="0" borderId="0" xfId="1" applyFont="1" applyFill="1" applyBorder="1" applyAlignment="1">
      <alignment vertical="top" wrapText="1"/>
    </xf>
    <xf numFmtId="43" fontId="11" fillId="0" borderId="0" xfId="1" applyFont="1" applyFill="1" applyBorder="1" applyAlignment="1">
      <alignment vertical="top"/>
    </xf>
    <xf numFmtId="3" fontId="11" fillId="0" borderId="4" xfId="0" applyNumberFormat="1" applyFont="1" applyFill="1" applyBorder="1"/>
    <xf numFmtId="3" fontId="11" fillId="0" borderId="4" xfId="0" applyNumberFormat="1" applyFont="1" applyFill="1" applyBorder="1" applyAlignment="1">
      <alignment horizontal="right"/>
    </xf>
    <xf numFmtId="0" fontId="10" fillId="4" borderId="0" xfId="8" applyNumberFormat="1" applyFont="1" applyFill="1" applyBorder="1" applyAlignment="1">
      <alignment horizontal="right" vertical="center"/>
    </xf>
    <xf numFmtId="3" fontId="10" fillId="0" borderId="0" xfId="8" applyNumberFormat="1" applyFont="1" applyFill="1" applyBorder="1" applyAlignment="1">
      <alignment horizontal="right" vertical="center"/>
    </xf>
    <xf numFmtId="49" fontId="9" fillId="2" borderId="0" xfId="8" applyNumberFormat="1" applyFont="1" applyFill="1" applyBorder="1" applyAlignment="1">
      <alignment horizontal="left"/>
    </xf>
    <xf numFmtId="170" fontId="9" fillId="2" borderId="0" xfId="8" applyNumberFormat="1" applyFont="1" applyFill="1" applyBorder="1" applyAlignment="1">
      <alignment horizontal="right"/>
    </xf>
    <xf numFmtId="174" fontId="12" fillId="0" borderId="0" xfId="8" applyNumberFormat="1" applyFont="1" applyFill="1" applyBorder="1" applyAlignment="1"/>
    <xf numFmtId="170" fontId="9" fillId="2" borderId="0" xfId="8" applyNumberFormat="1" applyFont="1" applyFill="1" applyAlignment="1">
      <alignment vertical="center"/>
    </xf>
    <xf numFmtId="49" fontId="21" fillId="2" borderId="0" xfId="8" applyNumberFormat="1" applyFont="1" applyFill="1" applyAlignment="1">
      <alignment horizontal="left"/>
    </xf>
    <xf numFmtId="173" fontId="22" fillId="0" borderId="0" xfId="9" applyFont="1" applyFill="1"/>
    <xf numFmtId="172" fontId="9" fillId="2" borderId="0" xfId="8" applyNumberFormat="1" applyFont="1" applyFill="1" applyAlignment="1">
      <alignment vertical="center"/>
    </xf>
    <xf numFmtId="170" fontId="12" fillId="0" borderId="0" xfId="8" applyNumberFormat="1" applyFont="1" applyFill="1" applyBorder="1" applyAlignment="1"/>
    <xf numFmtId="176" fontId="12" fillId="0" borderId="0" xfId="8" applyNumberFormat="1" applyFont="1" applyFill="1" applyBorder="1" applyAlignment="1"/>
    <xf numFmtId="178" fontId="9" fillId="2" borderId="0" xfId="8" applyNumberFormat="1" applyFont="1" applyFill="1" applyBorder="1" applyAlignment="1">
      <alignment horizontal="right"/>
    </xf>
    <xf numFmtId="178" fontId="9" fillId="0" borderId="0" xfId="8" applyNumberFormat="1" applyFont="1" applyFill="1" applyBorder="1" applyAlignment="1">
      <alignment horizontal="right"/>
    </xf>
    <xf numFmtId="177" fontId="8" fillId="2" borderId="0" xfId="8" applyNumberFormat="1" applyFont="1" applyFill="1" applyAlignment="1">
      <alignment vertical="center"/>
    </xf>
    <xf numFmtId="0" fontId="12" fillId="0" borderId="0" xfId="8" applyNumberFormat="1" applyFont="1" applyFill="1" applyBorder="1" applyAlignment="1">
      <alignment vertical="top"/>
    </xf>
    <xf numFmtId="2" fontId="9" fillId="2" borderId="0" xfId="8" applyNumberFormat="1" applyFont="1" applyFill="1" applyAlignment="1">
      <alignment vertical="top"/>
    </xf>
    <xf numFmtId="0" fontId="27" fillId="0" borderId="0" xfId="8" applyNumberFormat="1" applyFont="1" applyFill="1" applyBorder="1" applyAlignment="1">
      <alignment vertical="top"/>
    </xf>
    <xf numFmtId="0" fontId="28" fillId="2" borderId="0" xfId="8" applyFont="1" applyFill="1" applyAlignment="1">
      <alignment vertical="top"/>
    </xf>
    <xf numFmtId="49" fontId="9" fillId="2" borderId="0" xfId="8" applyNumberFormat="1" applyFont="1" applyFill="1" applyAlignment="1"/>
    <xf numFmtId="179" fontId="8" fillId="2" borderId="0" xfId="8" applyNumberFormat="1" applyFont="1" applyFill="1" applyAlignment="1">
      <alignment vertical="center"/>
    </xf>
    <xf numFmtId="49" fontId="8" fillId="2" borderId="0" xfId="8" applyNumberFormat="1" applyFont="1" applyFill="1" applyAlignment="1"/>
    <xf numFmtId="0" fontId="13" fillId="0" borderId="0" xfId="8" applyNumberFormat="1" applyFont="1" applyFill="1" applyBorder="1" applyAlignment="1"/>
    <xf numFmtId="189" fontId="8" fillId="2" borderId="0" xfId="8" applyNumberFormat="1" applyFont="1" applyFill="1" applyAlignment="1">
      <alignment vertical="center"/>
    </xf>
    <xf numFmtId="167" fontId="12" fillId="0" borderId="0" xfId="11" applyNumberFormat="1" applyFont="1" applyFill="1" applyBorder="1" applyAlignment="1"/>
    <xf numFmtId="167" fontId="12" fillId="0" borderId="0" xfId="11" applyNumberFormat="1" applyFont="1" applyFill="1" applyBorder="1" applyAlignment="1">
      <alignment vertical="top"/>
    </xf>
    <xf numFmtId="172" fontId="12" fillId="0" borderId="0" xfId="8" applyNumberFormat="1" applyFont="1" applyFill="1" applyBorder="1" applyAlignment="1">
      <alignment vertical="top"/>
    </xf>
    <xf numFmtId="172" fontId="12" fillId="0" borderId="0" xfId="8" applyNumberFormat="1" applyFont="1" applyFill="1" applyBorder="1" applyAlignment="1"/>
    <xf numFmtId="170" fontId="8" fillId="2" borderId="22" xfId="8" applyNumberFormat="1" applyFont="1" applyFill="1" applyBorder="1" applyAlignment="1">
      <alignment horizontal="right"/>
    </xf>
    <xf numFmtId="3" fontId="22" fillId="0" borderId="0" xfId="8" applyNumberFormat="1" applyFont="1" applyFill="1" applyBorder="1" applyAlignment="1">
      <alignment horizontal="justify" vertical="center"/>
    </xf>
    <xf numFmtId="3" fontId="8" fillId="2" borderId="0" xfId="8" applyNumberFormat="1" applyFont="1" applyFill="1" applyAlignment="1">
      <alignment vertical="center"/>
    </xf>
    <xf numFmtId="3" fontId="9" fillId="2" borderId="0" xfId="8" applyNumberFormat="1" applyFont="1" applyFill="1" applyAlignment="1">
      <alignment vertical="center"/>
    </xf>
    <xf numFmtId="3" fontId="12" fillId="0" borderId="0" xfId="17" applyNumberFormat="1" applyFont="1" applyFill="1" applyBorder="1" applyAlignment="1">
      <alignment horizontal="center"/>
    </xf>
    <xf numFmtId="3" fontId="12" fillId="0" borderId="0" xfId="18" applyNumberFormat="1" applyFont="1" applyFill="1" applyBorder="1" applyAlignment="1">
      <alignment horizontal="center"/>
    </xf>
    <xf numFmtId="164" fontId="9" fillId="0" borderId="0" xfId="8" applyNumberFormat="1" applyFont="1" applyFill="1" applyBorder="1" applyAlignment="1">
      <alignment horizontal="center"/>
    </xf>
    <xf numFmtId="178" fontId="8" fillId="2" borderId="0" xfId="8" applyNumberFormat="1" applyFont="1" applyFill="1" applyAlignment="1">
      <alignment vertical="center"/>
    </xf>
    <xf numFmtId="0" fontId="34" fillId="2" borderId="0" xfId="8" applyFont="1" applyFill="1" applyAlignment="1">
      <alignment vertical="center"/>
    </xf>
    <xf numFmtId="164" fontId="12" fillId="0" borderId="0" xfId="6" applyNumberFormat="1" applyFont="1" applyFill="1" applyBorder="1" applyAlignment="1">
      <alignment horizontal="right" vertical="center" wrapText="1"/>
    </xf>
    <xf numFmtId="1" fontId="0" fillId="0" borderId="0" xfId="0" applyNumberFormat="1"/>
    <xf numFmtId="3" fontId="16" fillId="0" borderId="4" xfId="5" applyNumberFormat="1" applyFont="1" applyFill="1" applyBorder="1"/>
    <xf numFmtId="3" fontId="11" fillId="0" borderId="4" xfId="5" applyNumberFormat="1" applyFont="1" applyFill="1" applyBorder="1"/>
    <xf numFmtId="0" fontId="46" fillId="0" borderId="0" xfId="0" applyFont="1"/>
    <xf numFmtId="49" fontId="45" fillId="3" borderId="0" xfId="0" applyNumberFormat="1" applyFont="1" applyFill="1" applyBorder="1" applyAlignment="1">
      <alignment vertical="top" wrapText="1"/>
    </xf>
    <xf numFmtId="0" fontId="47" fillId="3" borderId="0" xfId="0" applyNumberFormat="1" applyFont="1" applyFill="1" applyBorder="1" applyAlignment="1"/>
    <xf numFmtId="3" fontId="9" fillId="0" borderId="31" xfId="0" applyNumberFormat="1" applyFont="1" applyFill="1" applyBorder="1" applyAlignment="1">
      <alignment horizontal="right" vertical="top"/>
    </xf>
    <xf numFmtId="3" fontId="11" fillId="0" borderId="31" xfId="0" applyNumberFormat="1" applyFont="1" applyBorder="1" applyAlignment="1">
      <alignment horizontal="right"/>
    </xf>
    <xf numFmtId="17" fontId="10" fillId="4" borderId="31" xfId="8" applyNumberFormat="1" applyFont="1" applyFill="1" applyBorder="1" applyAlignment="1">
      <alignment horizontal="left" vertical="center"/>
    </xf>
    <xf numFmtId="0" fontId="40" fillId="0" borderId="0" xfId="0" applyFont="1"/>
    <xf numFmtId="0" fontId="43" fillId="0" borderId="0" xfId="0" applyFont="1" applyAlignment="1">
      <alignment horizontal="center"/>
    </xf>
    <xf numFmtId="0" fontId="32" fillId="3" borderId="0" xfId="0" applyFont="1" applyFill="1" applyAlignment="1">
      <alignment horizontal="left"/>
    </xf>
    <xf numFmtId="1" fontId="12" fillId="0" borderId="0" xfId="8" applyNumberFormat="1" applyFont="1" applyFill="1" applyBorder="1" applyAlignment="1"/>
    <xf numFmtId="185" fontId="8" fillId="2" borderId="31" xfId="8" applyNumberFormat="1" applyFont="1" applyFill="1" applyBorder="1" applyAlignment="1">
      <alignment horizontal="right"/>
    </xf>
    <xf numFmtId="1" fontId="9" fillId="0" borderId="31" xfId="8" applyNumberFormat="1" applyFont="1" applyFill="1" applyBorder="1" applyAlignment="1">
      <alignment horizontal="right"/>
    </xf>
    <xf numFmtId="179" fontId="9" fillId="0" borderId="31" xfId="8" applyNumberFormat="1" applyFont="1" applyFill="1" applyBorder="1" applyAlignment="1">
      <alignment horizontal="right"/>
    </xf>
    <xf numFmtId="164" fontId="8" fillId="2" borderId="31" xfId="8" applyNumberFormat="1" applyFont="1" applyFill="1" applyBorder="1" applyAlignment="1">
      <alignment horizontal="right"/>
    </xf>
    <xf numFmtId="179" fontId="9" fillId="2" borderId="31" xfId="8" applyNumberFormat="1" applyFont="1" applyFill="1" applyBorder="1" applyAlignment="1">
      <alignment horizontal="right" vertical="center" wrapText="1"/>
    </xf>
    <xf numFmtId="178" fontId="9" fillId="2" borderId="31" xfId="8" applyNumberFormat="1" applyFont="1" applyFill="1" applyBorder="1" applyAlignment="1">
      <alignment horizontal="right" vertical="center" wrapText="1"/>
    </xf>
    <xf numFmtId="183" fontId="9" fillId="2" borderId="31" xfId="8" applyNumberFormat="1" applyFont="1" applyFill="1" applyBorder="1" applyAlignment="1">
      <alignment horizontal="right" vertical="center" wrapText="1"/>
    </xf>
    <xf numFmtId="188" fontId="13" fillId="0" borderId="31" xfId="12" applyNumberFormat="1" applyFont="1" applyFill="1" applyBorder="1" applyAlignment="1">
      <alignment horizontal="center" vertical="top" wrapText="1"/>
    </xf>
    <xf numFmtId="188" fontId="13" fillId="0" borderId="31" xfId="12" applyNumberFormat="1" applyFont="1" applyFill="1" applyBorder="1" applyAlignment="1">
      <alignment horizontal="center" vertical="top"/>
    </xf>
    <xf numFmtId="167" fontId="14" fillId="0" borderId="31" xfId="11" applyNumberFormat="1" applyFont="1" applyFill="1" applyBorder="1" applyAlignment="1" applyProtection="1">
      <alignment horizontal="right" vertical="center" wrapText="1"/>
    </xf>
    <xf numFmtId="167" fontId="8" fillId="0" borderId="31" xfId="11" applyNumberFormat="1" applyFont="1" applyFill="1" applyBorder="1" applyAlignment="1" applyProtection="1">
      <alignment horizontal="right" vertical="center" wrapText="1"/>
    </xf>
    <xf numFmtId="3" fontId="9" fillId="0" borderId="31" xfId="15" applyNumberFormat="1" applyFont="1" applyFill="1" applyBorder="1" applyAlignment="1" applyProtection="1">
      <alignment horizontal="right" vertical="center" wrapText="1"/>
    </xf>
    <xf numFmtId="189" fontId="8" fillId="0" borderId="31" xfId="11" applyNumberFormat="1" applyFont="1" applyFill="1" applyBorder="1" applyAlignment="1" applyProtection="1">
      <alignment horizontal="right" vertical="center" wrapText="1"/>
    </xf>
    <xf numFmtId="167" fontId="8" fillId="0" borderId="31" xfId="11" applyNumberFormat="1" applyFont="1" applyFill="1" applyBorder="1" applyAlignment="1">
      <alignment horizontal="right" vertical="center" wrapText="1"/>
    </xf>
    <xf numFmtId="167" fontId="9" fillId="0" borderId="31" xfId="11" applyNumberFormat="1" applyFont="1" applyFill="1" applyBorder="1" applyAlignment="1">
      <alignment horizontal="right" vertical="center" wrapText="1"/>
    </xf>
    <xf numFmtId="189" fontId="9" fillId="0" borderId="31" xfId="11" applyNumberFormat="1" applyFont="1" applyFill="1" applyBorder="1" applyAlignment="1" applyProtection="1">
      <alignment horizontal="right" vertical="center" wrapText="1"/>
    </xf>
    <xf numFmtId="167" fontId="9" fillId="2" borderId="0" xfId="8" applyNumberFormat="1" applyFont="1" applyFill="1" applyAlignment="1">
      <alignment vertical="center"/>
    </xf>
    <xf numFmtId="3" fontId="8" fillId="0" borderId="31" xfId="15" applyNumberFormat="1" applyFont="1" applyFill="1" applyBorder="1" applyAlignment="1">
      <alignment horizontal="right" vertical="center" wrapText="1"/>
    </xf>
    <xf numFmtId="190" fontId="9" fillId="2" borderId="0" xfId="8" applyNumberFormat="1" applyFont="1" applyFill="1" applyBorder="1" applyAlignment="1">
      <alignment horizontal="right"/>
    </xf>
    <xf numFmtId="0" fontId="9" fillId="2" borderId="31" xfId="8" applyFont="1" applyFill="1" applyBorder="1" applyAlignment="1">
      <alignment horizontal="right" vertical="top"/>
    </xf>
    <xf numFmtId="3" fontId="8" fillId="0" borderId="31" xfId="17" applyNumberFormat="1" applyFont="1" applyFill="1" applyBorder="1" applyAlignment="1">
      <alignment horizontal="right"/>
    </xf>
    <xf numFmtId="3" fontId="8" fillId="0" borderId="31" xfId="8" applyNumberFormat="1" applyFont="1" applyFill="1" applyBorder="1" applyAlignment="1">
      <alignment horizontal="right"/>
    </xf>
    <xf numFmtId="49" fontId="8" fillId="2" borderId="0" xfId="8" applyNumberFormat="1" applyFont="1" applyFill="1" applyAlignment="1">
      <alignment vertical="center"/>
    </xf>
    <xf numFmtId="3" fontId="10" fillId="0" borderId="31" xfId="11" applyNumberFormat="1" applyFont="1" applyFill="1" applyBorder="1" applyAlignment="1">
      <alignment horizontal="right" vertical="center" wrapText="1"/>
    </xf>
    <xf numFmtId="3" fontId="12" fillId="0" borderId="31" xfId="6" applyNumberFormat="1" applyFont="1" applyBorder="1" applyAlignment="1">
      <alignment vertical="center"/>
    </xf>
    <xf numFmtId="3" fontId="12" fillId="0" borderId="31" xfId="6" applyNumberFormat="1" applyFont="1" applyBorder="1" applyAlignment="1">
      <alignment horizontal="right"/>
    </xf>
    <xf numFmtId="3" fontId="11" fillId="0" borderId="31" xfId="0" applyNumberFormat="1" applyFont="1" applyBorder="1"/>
    <xf numFmtId="164" fontId="3" fillId="0" borderId="0" xfId="0" applyNumberFormat="1" applyFont="1" applyFill="1" applyBorder="1" applyAlignment="1">
      <alignment horizontal="center" vertical="center" wrapText="1"/>
    </xf>
    <xf numFmtId="3" fontId="50" fillId="0" borderId="31" xfId="34" applyNumberFormat="1" applyFont="1" applyFill="1" applyBorder="1" applyAlignment="1">
      <alignment horizontal="right"/>
    </xf>
    <xf numFmtId="0" fontId="14" fillId="4" borderId="31" xfId="8" applyNumberFormat="1" applyFont="1" applyFill="1" applyBorder="1" applyAlignment="1">
      <alignment vertical="center"/>
    </xf>
    <xf numFmtId="3" fontId="14" fillId="4" borderId="31" xfId="8" applyNumberFormat="1" applyFont="1" applyFill="1" applyBorder="1" applyAlignment="1">
      <alignment horizontal="right" vertical="center"/>
    </xf>
    <xf numFmtId="0" fontId="14" fillId="4" borderId="31" xfId="8" applyNumberFormat="1" applyFont="1" applyFill="1" applyBorder="1" applyAlignment="1">
      <alignment horizontal="right" vertical="center"/>
    </xf>
    <xf numFmtId="49" fontId="8" fillId="0" borderId="31" xfId="8" applyNumberFormat="1" applyFont="1" applyFill="1" applyBorder="1" applyAlignment="1">
      <alignment horizontal="center" vertical="center"/>
    </xf>
    <xf numFmtId="0" fontId="12" fillId="3" borderId="0" xfId="0" applyNumberFormat="1" applyFont="1" applyFill="1" applyBorder="1" applyAlignment="1">
      <alignment horizontal="left"/>
    </xf>
    <xf numFmtId="0" fontId="9" fillId="2" borderId="0" xfId="0" applyFont="1" applyFill="1" applyAlignment="1">
      <alignment horizontal="center" vertical="center"/>
    </xf>
    <xf numFmtId="0" fontId="8" fillId="3" borderId="0" xfId="0" applyFont="1" applyFill="1" applyAlignment="1">
      <alignment horizontal="left" vertical="center"/>
    </xf>
    <xf numFmtId="170" fontId="8" fillId="3" borderId="0" xfId="0" applyNumberFormat="1" applyFont="1" applyFill="1" applyAlignment="1">
      <alignment horizontal="left" vertical="center"/>
    </xf>
    <xf numFmtId="170" fontId="8" fillId="2" borderId="0" xfId="0" applyNumberFormat="1" applyFont="1" applyFill="1" applyAlignment="1">
      <alignment horizontal="left" vertical="center"/>
    </xf>
    <xf numFmtId="0" fontId="9" fillId="2" borderId="0" xfId="0" applyFont="1" applyFill="1" applyAlignment="1">
      <alignment horizontal="left" vertical="center"/>
    </xf>
    <xf numFmtId="0" fontId="12" fillId="0" borderId="0" xfId="0" applyNumberFormat="1" applyFont="1" applyFill="1" applyBorder="1" applyAlignment="1">
      <alignment horizontal="left"/>
    </xf>
    <xf numFmtId="0" fontId="11" fillId="3" borderId="0" xfId="0" applyFont="1" applyFill="1" applyBorder="1"/>
    <xf numFmtId="0" fontId="11" fillId="0" borderId="0" xfId="0" applyFont="1" applyBorder="1"/>
    <xf numFmtId="0" fontId="11" fillId="0" borderId="0" xfId="0" applyNumberFormat="1" applyFont="1" applyFill="1" applyBorder="1" applyAlignment="1"/>
    <xf numFmtId="0" fontId="8" fillId="2" borderId="0" xfId="0" applyFont="1" applyFill="1" applyAlignment="1">
      <alignment horizontal="left" vertical="center"/>
    </xf>
    <xf numFmtId="43" fontId="13" fillId="0" borderId="0" xfId="7" applyFont="1" applyBorder="1" applyAlignment="1">
      <alignment horizontal="center" vertical="center"/>
    </xf>
    <xf numFmtId="0" fontId="11" fillId="0" borderId="0" xfId="0" applyFont="1" applyFill="1" applyAlignment="1">
      <alignment vertical="center"/>
    </xf>
    <xf numFmtId="0" fontId="16" fillId="0" borderId="0" xfId="0" applyFont="1" applyFill="1" applyAlignment="1">
      <alignment vertical="center"/>
    </xf>
    <xf numFmtId="0" fontId="16" fillId="0" borderId="0" xfId="0" applyNumberFormat="1" applyFont="1" applyFill="1" applyBorder="1" applyAlignment="1"/>
    <xf numFmtId="3" fontId="12" fillId="0" borderId="31" xfId="1" applyNumberFormat="1" applyFont="1" applyBorder="1" applyAlignment="1">
      <alignment horizontal="right" vertical="center"/>
    </xf>
    <xf numFmtId="3" fontId="12" fillId="0" borderId="31" xfId="0" applyNumberFormat="1" applyFont="1" applyFill="1" applyBorder="1" applyAlignment="1">
      <alignment vertical="center"/>
    </xf>
    <xf numFmtId="3" fontId="12" fillId="0" borderId="31" xfId="1" applyNumberFormat="1" applyFont="1" applyBorder="1" applyAlignment="1">
      <alignment horizontal="right"/>
    </xf>
    <xf numFmtId="3" fontId="12" fillId="0" borderId="31" xfId="0" applyNumberFormat="1" applyFont="1" applyBorder="1"/>
    <xf numFmtId="3" fontId="12" fillId="0" borderId="31" xfId="0" applyNumberFormat="1" applyFont="1" applyFill="1" applyBorder="1"/>
    <xf numFmtId="3" fontId="11" fillId="0" borderId="31" xfId="1" applyNumberFormat="1" applyFont="1" applyBorder="1" applyAlignment="1">
      <alignment horizontal="right"/>
    </xf>
    <xf numFmtId="164" fontId="3" fillId="0" borderId="0" xfId="0" applyNumberFormat="1" applyFont="1" applyFill="1" applyBorder="1" applyAlignment="1">
      <alignment vertical="center" wrapText="1"/>
    </xf>
    <xf numFmtId="200" fontId="9" fillId="2" borderId="0" xfId="2" applyNumberFormat="1" applyFont="1" applyFill="1" applyAlignment="1">
      <alignment vertical="center"/>
    </xf>
    <xf numFmtId="49" fontId="8" fillId="0" borderId="0" xfId="0" applyNumberFormat="1" applyFont="1" applyFill="1" applyBorder="1" applyAlignment="1">
      <alignment horizontal="left"/>
    </xf>
    <xf numFmtId="0" fontId="0" fillId="0" borderId="31" xfId="0" applyBorder="1"/>
    <xf numFmtId="49" fontId="8" fillId="0" borderId="31" xfId="0" applyNumberFormat="1" applyFont="1" applyFill="1" applyBorder="1" applyAlignment="1">
      <alignment horizontal="left" vertical="center"/>
    </xf>
    <xf numFmtId="49" fontId="8" fillId="0" borderId="31" xfId="0" applyNumberFormat="1" applyFont="1" applyFill="1" applyBorder="1" applyAlignment="1">
      <alignment horizontal="center"/>
    </xf>
    <xf numFmtId="0" fontId="11" fillId="0" borderId="31" xfId="0" applyFont="1" applyFill="1" applyBorder="1" applyAlignment="1">
      <alignment horizontal="center"/>
    </xf>
    <xf numFmtId="0" fontId="0" fillId="0" borderId="0" xfId="0" applyFont="1" applyBorder="1"/>
    <xf numFmtId="0" fontId="0" fillId="0" borderId="0" xfId="0" applyFont="1"/>
    <xf numFmtId="49" fontId="9" fillId="0" borderId="31" xfId="0" applyNumberFormat="1" applyFont="1" applyFill="1" applyBorder="1" applyAlignment="1">
      <alignment horizontal="left"/>
    </xf>
    <xf numFmtId="0" fontId="51" fillId="0" borderId="0" xfId="0" applyFont="1"/>
    <xf numFmtId="49" fontId="8" fillId="0" borderId="0" xfId="0" applyNumberFormat="1" applyFont="1" applyFill="1" applyBorder="1" applyAlignment="1">
      <alignment horizontal="center"/>
    </xf>
    <xf numFmtId="15" fontId="11" fillId="0" borderId="31" xfId="0" applyNumberFormat="1" applyFont="1" applyBorder="1" applyAlignment="1">
      <alignment horizontal="center" vertical="center"/>
    </xf>
    <xf numFmtId="49" fontId="8" fillId="2" borderId="0" xfId="8" applyNumberFormat="1" applyFont="1" applyFill="1" applyAlignment="1">
      <alignment vertical="top"/>
    </xf>
    <xf numFmtId="164" fontId="8" fillId="9" borderId="31" xfId="8" applyNumberFormat="1" applyFont="1" applyFill="1" applyBorder="1" applyAlignment="1">
      <alignment horizontal="right"/>
    </xf>
    <xf numFmtId="179" fontId="8" fillId="9" borderId="31" xfId="8" applyNumberFormat="1" applyFont="1" applyFill="1" applyBorder="1" applyAlignment="1">
      <alignment horizontal="right"/>
    </xf>
    <xf numFmtId="177" fontId="8" fillId="0" borderId="22" xfId="8" applyNumberFormat="1" applyFont="1" applyFill="1" applyBorder="1" applyAlignment="1">
      <alignment horizontal="right"/>
    </xf>
    <xf numFmtId="177" fontId="8" fillId="0" borderId="28" xfId="8" applyNumberFormat="1" applyFont="1" applyFill="1" applyBorder="1" applyAlignment="1">
      <alignment horizontal="right"/>
    </xf>
    <xf numFmtId="1" fontId="8" fillId="0" borderId="29" xfId="8" applyNumberFormat="1" applyFont="1" applyFill="1" applyBorder="1" applyAlignment="1">
      <alignment horizontal="right"/>
    </xf>
    <xf numFmtId="1" fontId="8" fillId="0" borderId="22" xfId="8" applyNumberFormat="1" applyFont="1" applyFill="1" applyBorder="1" applyAlignment="1">
      <alignment horizontal="right"/>
    </xf>
    <xf numFmtId="179" fontId="8" fillId="0" borderId="22" xfId="8" applyNumberFormat="1" applyFont="1" applyFill="1" applyBorder="1" applyAlignment="1">
      <alignment horizontal="right"/>
    </xf>
    <xf numFmtId="0" fontId="9" fillId="0" borderId="0" xfId="8" applyFont="1" applyFill="1" applyAlignment="1">
      <alignment vertical="center"/>
    </xf>
    <xf numFmtId="167" fontId="14" fillId="9" borderId="31" xfId="11" applyNumberFormat="1" applyFont="1" applyFill="1" applyBorder="1" applyAlignment="1" applyProtection="1">
      <alignment horizontal="right" vertical="center" wrapText="1"/>
    </xf>
    <xf numFmtId="49" fontId="8" fillId="2" borderId="0" xfId="8" applyNumberFormat="1" applyFont="1" applyFill="1" applyAlignment="1">
      <alignment vertical="top" wrapText="1"/>
    </xf>
    <xf numFmtId="202" fontId="9" fillId="2" borderId="31" xfId="8" applyNumberFormat="1" applyFont="1" applyFill="1" applyBorder="1" applyAlignment="1">
      <alignment horizontal="right"/>
    </xf>
    <xf numFmtId="3" fontId="11" fillId="0" borderId="31" xfId="0" applyNumberFormat="1" applyFont="1" applyFill="1" applyBorder="1"/>
    <xf numFmtId="3" fontId="8" fillId="11" borderId="17" xfId="0" applyNumberFormat="1" applyFont="1" applyFill="1" applyBorder="1" applyAlignment="1">
      <alignment horizontal="right"/>
    </xf>
    <xf numFmtId="164" fontId="8" fillId="11" borderId="4" xfId="0" applyNumberFormat="1" applyFont="1" applyFill="1" applyBorder="1" applyAlignment="1">
      <alignment horizontal="right" vertical="top"/>
    </xf>
    <xf numFmtId="167" fontId="18" fillId="11" borderId="4" xfId="1" applyNumberFormat="1" applyFont="1" applyFill="1" applyBorder="1" applyAlignment="1">
      <alignment vertical="top" wrapText="1"/>
    </xf>
    <xf numFmtId="3" fontId="8" fillId="11" borderId="31" xfId="0" applyNumberFormat="1" applyFont="1" applyFill="1" applyBorder="1" applyAlignment="1">
      <alignment horizontal="right" vertical="top"/>
    </xf>
    <xf numFmtId="3" fontId="8" fillId="11" borderId="4" xfId="0" applyNumberFormat="1" applyFont="1" applyFill="1" applyBorder="1" applyAlignment="1">
      <alignment horizontal="right" vertical="top"/>
    </xf>
    <xf numFmtId="3" fontId="8" fillId="11" borderId="4" xfId="0" applyNumberFormat="1" applyFont="1" applyFill="1" applyBorder="1" applyAlignment="1">
      <alignment horizontal="right" vertical="center"/>
    </xf>
    <xf numFmtId="3" fontId="8" fillId="11" borderId="4" xfId="0" applyNumberFormat="1" applyFont="1" applyFill="1" applyBorder="1" applyAlignment="1">
      <alignment horizontal="right"/>
    </xf>
    <xf numFmtId="3" fontId="16" fillId="11" borderId="4" xfId="5" applyNumberFormat="1" applyFont="1" applyFill="1" applyBorder="1"/>
    <xf numFmtId="3" fontId="8" fillId="11" borderId="12" xfId="8" applyNumberFormat="1" applyFont="1" applyFill="1" applyBorder="1" applyAlignment="1">
      <alignment horizontal="right"/>
    </xf>
    <xf numFmtId="3" fontId="14" fillId="11" borderId="31" xfId="8" applyNumberFormat="1" applyFont="1" applyFill="1" applyBorder="1" applyAlignment="1">
      <alignment horizontal="right" vertical="center"/>
    </xf>
    <xf numFmtId="3" fontId="10" fillId="0" borderId="31" xfId="11" applyNumberFormat="1" applyFont="1" applyFill="1" applyBorder="1" applyAlignment="1" applyProtection="1">
      <alignment horizontal="right" vertical="center" wrapText="1"/>
      <protection locked="0"/>
    </xf>
    <xf numFmtId="3" fontId="8" fillId="0" borderId="35" xfId="17" applyNumberFormat="1" applyFont="1" applyFill="1" applyBorder="1" applyAlignment="1">
      <alignment horizontal="right"/>
    </xf>
    <xf numFmtId="179" fontId="12" fillId="0" borderId="0" xfId="8" applyNumberFormat="1" applyFont="1" applyFill="1" applyBorder="1" applyAlignment="1"/>
    <xf numFmtId="17" fontId="35" fillId="9" borderId="31" xfId="27" applyNumberFormat="1" applyFont="1" applyFill="1" applyBorder="1" applyAlignment="1">
      <alignment horizontal="center" vertical="center" wrapText="1"/>
    </xf>
    <xf numFmtId="198" fontId="39" fillId="3" borderId="31" xfId="0" applyNumberFormat="1" applyFont="1" applyFill="1" applyBorder="1" applyAlignment="1">
      <alignment horizontal="left" vertical="top"/>
    </xf>
    <xf numFmtId="3" fontId="39" fillId="3" borderId="31" xfId="0" applyNumberFormat="1" applyFont="1" applyFill="1" applyBorder="1" applyAlignment="1">
      <alignment horizontal="right" vertical="top"/>
    </xf>
    <xf numFmtId="198" fontId="41" fillId="9" borderId="31" xfId="0" applyNumberFormat="1" applyFont="1" applyFill="1" applyBorder="1" applyAlignment="1">
      <alignment horizontal="left" vertical="top"/>
    </xf>
    <xf numFmtId="3" fontId="41" fillId="9" borderId="31" xfId="0" applyNumberFormat="1" applyFont="1" applyFill="1" applyBorder="1" applyAlignment="1">
      <alignment horizontal="right" vertical="top"/>
    </xf>
    <xf numFmtId="198" fontId="39" fillId="9" borderId="31" xfId="0" applyNumberFormat="1" applyFont="1" applyFill="1" applyBorder="1" applyAlignment="1">
      <alignment horizontal="left" vertical="top"/>
    </xf>
    <xf numFmtId="3" fontId="39" fillId="9" borderId="31" xfId="0" applyNumberFormat="1" applyFont="1" applyFill="1" applyBorder="1" applyAlignment="1">
      <alignment horizontal="right" vertical="top"/>
    </xf>
    <xf numFmtId="198" fontId="39" fillId="3" borderId="31" xfId="0" applyNumberFormat="1" applyFont="1" applyFill="1" applyBorder="1" applyAlignment="1">
      <alignment horizontal="left" vertical="top" wrapText="1"/>
    </xf>
    <xf numFmtId="0" fontId="39" fillId="9" borderId="31" xfId="0" applyFont="1" applyFill="1" applyBorder="1" applyAlignment="1">
      <alignment horizontal="left" vertical="top"/>
    </xf>
    <xf numFmtId="0" fontId="11" fillId="3" borderId="0" xfId="0" applyFont="1" applyFill="1" applyAlignment="1"/>
    <xf numFmtId="167" fontId="9" fillId="2" borderId="31" xfId="1" applyNumberFormat="1" applyFont="1" applyFill="1" applyBorder="1" applyAlignment="1">
      <alignment horizontal="right"/>
    </xf>
    <xf numFmtId="0" fontId="13" fillId="0" borderId="0" xfId="8" applyFont="1" applyFill="1" applyAlignment="1">
      <alignment vertical="center"/>
    </xf>
    <xf numFmtId="0" fontId="13" fillId="0" borderId="0" xfId="8" applyFont="1" applyFill="1" applyAlignment="1">
      <alignment vertical="top"/>
    </xf>
    <xf numFmtId="0" fontId="12" fillId="0" borderId="0" xfId="8" applyFont="1" applyFill="1" applyAlignment="1">
      <alignment vertical="center"/>
    </xf>
    <xf numFmtId="49" fontId="8" fillId="0" borderId="0" xfId="0" applyNumberFormat="1" applyFont="1" applyFill="1" applyAlignment="1">
      <alignment horizontal="left" vertical="top"/>
    </xf>
    <xf numFmtId="0" fontId="9" fillId="0" borderId="0" xfId="0" applyFont="1" applyFill="1" applyAlignment="1">
      <alignment horizontal="left" vertical="top"/>
    </xf>
    <xf numFmtId="0" fontId="9" fillId="0" borderId="0" xfId="0" applyFont="1" applyFill="1" applyAlignment="1">
      <alignment horizontal="left" vertical="top"/>
    </xf>
    <xf numFmtId="0" fontId="16" fillId="5" borderId="31" xfId="0" applyFont="1" applyFill="1" applyBorder="1" applyAlignment="1">
      <alignment horizontal="center" vertical="top"/>
    </xf>
    <xf numFmtId="3" fontId="11" fillId="0" borderId="31" xfId="1" applyNumberFormat="1" applyFont="1" applyFill="1" applyBorder="1" applyAlignment="1"/>
    <xf numFmtId="3" fontId="9" fillId="0" borderId="4" xfId="0" applyNumberFormat="1" applyFont="1" applyFill="1" applyBorder="1" applyAlignment="1">
      <alignment vertical="top"/>
    </xf>
    <xf numFmtId="3" fontId="9"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2" fillId="0" borderId="4" xfId="0" applyNumberFormat="1" applyFont="1" applyFill="1" applyBorder="1" applyAlignment="1">
      <alignment horizontal="right" vertical="center"/>
    </xf>
    <xf numFmtId="0" fontId="11" fillId="0" borderId="31" xfId="1" applyNumberFormat="1" applyFont="1" applyBorder="1" applyAlignment="1">
      <alignment horizontal="right"/>
    </xf>
    <xf numFmtId="3" fontId="12" fillId="0" borderId="31" xfId="6" applyNumberFormat="1" applyFont="1" applyBorder="1" applyAlignment="1">
      <alignment horizontal="right" vertical="center"/>
    </xf>
    <xf numFmtId="3" fontId="11" fillId="11" borderId="31" xfId="0" applyNumberFormat="1" applyFont="1" applyFill="1" applyBorder="1" applyAlignment="1">
      <alignment horizontal="right"/>
    </xf>
    <xf numFmtId="3" fontId="12" fillId="11" borderId="31" xfId="6" applyNumberFormat="1" applyFont="1" applyFill="1" applyBorder="1" applyAlignment="1">
      <alignment horizontal="right"/>
    </xf>
    <xf numFmtId="3" fontId="11" fillId="11" borderId="31" xfId="1" applyNumberFormat="1" applyFont="1" applyFill="1" applyBorder="1" applyAlignment="1">
      <alignment horizontal="right" vertical="top"/>
    </xf>
    <xf numFmtId="3" fontId="11" fillId="11" borderId="31" xfId="1" applyNumberFormat="1" applyFont="1" applyFill="1" applyBorder="1" applyAlignment="1">
      <alignment horizontal="right"/>
    </xf>
    <xf numFmtId="3" fontId="12" fillId="11" borderId="31" xfId="6" applyNumberFormat="1" applyFont="1" applyFill="1" applyBorder="1" applyAlignment="1">
      <alignment vertical="center"/>
    </xf>
    <xf numFmtId="3" fontId="12" fillId="11" borderId="31" xfId="1" applyNumberFormat="1" applyFont="1" applyFill="1" applyBorder="1" applyAlignment="1">
      <alignment horizontal="right"/>
    </xf>
    <xf numFmtId="3" fontId="12" fillId="11" borderId="31" xfId="1" applyNumberFormat="1" applyFont="1" applyFill="1" applyBorder="1" applyAlignment="1"/>
    <xf numFmtId="3" fontId="11" fillId="11" borderId="31" xfId="1" applyNumberFormat="1" applyFont="1" applyFill="1" applyBorder="1" applyAlignment="1"/>
    <xf numFmtId="167" fontId="16" fillId="0" borderId="31" xfId="1" applyNumberFormat="1" applyFont="1" applyFill="1" applyBorder="1" applyAlignment="1">
      <alignment vertical="top" wrapText="1"/>
    </xf>
    <xf numFmtId="0" fontId="9" fillId="2" borderId="0" xfId="8" applyFont="1" applyFill="1" applyAlignment="1">
      <alignment vertical="top"/>
    </xf>
    <xf numFmtId="0" fontId="9" fillId="0" borderId="0" xfId="8" applyFont="1" applyFill="1" applyAlignment="1">
      <alignment vertical="top"/>
    </xf>
    <xf numFmtId="0" fontId="8" fillId="2" borderId="0" xfId="8" applyFont="1" applyFill="1" applyAlignment="1">
      <alignment vertical="top"/>
    </xf>
    <xf numFmtId="49" fontId="13" fillId="0" borderId="0" xfId="8" applyNumberFormat="1" applyFont="1" applyFill="1" applyAlignment="1">
      <alignment vertical="center"/>
    </xf>
    <xf numFmtId="0" fontId="23" fillId="0" borderId="0" xfId="8" applyNumberFormat="1" applyFont="1" applyFill="1" applyBorder="1" applyAlignment="1">
      <alignment horizontal="center" vertical="top"/>
    </xf>
    <xf numFmtId="49" fontId="24" fillId="2" borderId="0" xfId="8" applyNumberFormat="1" applyFont="1" applyFill="1" applyBorder="1" applyAlignment="1">
      <alignment horizontal="left" vertical="center" wrapText="1"/>
    </xf>
    <xf numFmtId="3" fontId="23" fillId="0" borderId="0" xfId="8" applyNumberFormat="1" applyFont="1" applyFill="1" applyBorder="1" applyAlignment="1">
      <alignment horizontal="right" vertical="top"/>
    </xf>
    <xf numFmtId="4" fontId="23" fillId="0" borderId="0" xfId="8" applyNumberFormat="1" applyFont="1" applyFill="1" applyBorder="1" applyAlignment="1">
      <alignment horizontal="right" vertical="top"/>
    </xf>
    <xf numFmtId="180" fontId="23" fillId="0" borderId="0" xfId="8" applyNumberFormat="1" applyFont="1" applyFill="1" applyBorder="1" applyAlignment="1">
      <alignment horizontal="right" vertical="top"/>
    </xf>
    <xf numFmtId="2" fontId="23" fillId="0" borderId="0" xfId="8" applyNumberFormat="1" applyFont="1" applyFill="1" applyBorder="1" applyAlignment="1">
      <alignment horizontal="right" vertical="top"/>
    </xf>
    <xf numFmtId="0" fontId="23" fillId="0" borderId="31" xfId="8" applyNumberFormat="1" applyFont="1" applyFill="1" applyBorder="1" applyAlignment="1">
      <alignment horizontal="center" vertical="top"/>
    </xf>
    <xf numFmtId="3" fontId="23" fillId="0" borderId="31" xfId="8" applyNumberFormat="1" applyFont="1" applyFill="1" applyBorder="1" applyAlignment="1">
      <alignment horizontal="right" vertical="top"/>
    </xf>
    <xf numFmtId="4" fontId="23" fillId="0" borderId="31" xfId="8" applyNumberFormat="1" applyFont="1" applyFill="1" applyBorder="1" applyAlignment="1">
      <alignment horizontal="right" vertical="top"/>
    </xf>
    <xf numFmtId="180" fontId="23" fillId="0" borderId="31" xfId="8" applyNumberFormat="1" applyFont="1" applyFill="1" applyBorder="1" applyAlignment="1">
      <alignment horizontal="right" vertical="top"/>
    </xf>
    <xf numFmtId="2" fontId="23" fillId="0" borderId="31" xfId="8" applyNumberFormat="1" applyFont="1" applyFill="1" applyBorder="1" applyAlignment="1">
      <alignment horizontal="right" vertical="top"/>
    </xf>
    <xf numFmtId="49" fontId="26" fillId="2" borderId="0" xfId="8" applyNumberFormat="1" applyFont="1" applyFill="1" applyAlignment="1">
      <alignment horizontal="left" vertical="center"/>
    </xf>
    <xf numFmtId="0" fontId="29" fillId="2" borderId="0" xfId="8" applyFont="1" applyFill="1" applyBorder="1" applyAlignment="1">
      <alignment horizontal="center" vertical="center"/>
    </xf>
    <xf numFmtId="49" fontId="29" fillId="2" borderId="0" xfId="8" applyNumberFormat="1" applyFont="1" applyFill="1" applyBorder="1" applyAlignment="1">
      <alignment horizontal="left" vertical="center"/>
    </xf>
    <xf numFmtId="164" fontId="29" fillId="2" borderId="0" xfId="8" applyNumberFormat="1" applyFont="1" applyFill="1" applyBorder="1" applyAlignment="1">
      <alignment horizontal="left" vertical="center"/>
    </xf>
    <xf numFmtId="181" fontId="29" fillId="2" borderId="0" xfId="10" applyNumberFormat="1" applyFont="1" applyFill="1" applyBorder="1" applyAlignment="1">
      <alignment horizontal="left" vertical="center"/>
    </xf>
    <xf numFmtId="0" fontId="29" fillId="2" borderId="0" xfId="8" applyFont="1" applyFill="1" applyBorder="1" applyAlignment="1">
      <alignment horizontal="left" vertical="center"/>
    </xf>
    <xf numFmtId="182" fontId="9" fillId="2" borderId="31" xfId="8" applyNumberFormat="1" applyFont="1" applyFill="1" applyBorder="1" applyAlignment="1">
      <alignment horizontal="right"/>
    </xf>
    <xf numFmtId="182" fontId="9" fillId="0" borderId="31" xfId="8" applyNumberFormat="1" applyFont="1" applyFill="1" applyBorder="1" applyAlignment="1">
      <alignment horizontal="right"/>
    </xf>
    <xf numFmtId="183" fontId="9" fillId="2" borderId="31" xfId="8" applyNumberFormat="1" applyFont="1" applyFill="1" applyBorder="1" applyAlignment="1">
      <alignment horizontal="right"/>
    </xf>
    <xf numFmtId="179" fontId="9" fillId="2" borderId="31" xfId="8" applyNumberFormat="1" applyFont="1" applyFill="1" applyBorder="1" applyAlignment="1">
      <alignment horizontal="right"/>
    </xf>
    <xf numFmtId="185" fontId="9" fillId="2" borderId="31" xfId="8" applyNumberFormat="1" applyFont="1" applyFill="1" applyBorder="1" applyAlignment="1">
      <alignment horizontal="right"/>
    </xf>
    <xf numFmtId="3" fontId="9" fillId="2" borderId="31" xfId="8" applyNumberFormat="1" applyFont="1" applyFill="1" applyBorder="1" applyAlignment="1">
      <alignment horizontal="right"/>
    </xf>
    <xf numFmtId="186" fontId="9" fillId="2" borderId="31" xfId="8" applyNumberFormat="1" applyFont="1" applyFill="1" applyBorder="1" applyAlignment="1">
      <alignment horizontal="right"/>
    </xf>
    <xf numFmtId="1" fontId="9" fillId="0" borderId="31" xfId="15" applyNumberFormat="1" applyFont="1" applyFill="1" applyBorder="1" applyAlignment="1" applyProtection="1">
      <alignment horizontal="right" vertical="center" wrapText="1"/>
    </xf>
    <xf numFmtId="3" fontId="9" fillId="0" borderId="31" xfId="15" applyNumberFormat="1" applyFont="1" applyFill="1" applyBorder="1" applyAlignment="1">
      <alignment horizontal="right" vertical="center" wrapText="1"/>
    </xf>
    <xf numFmtId="177" fontId="9" fillId="0" borderId="31" xfId="8" applyNumberFormat="1" applyFont="1" applyFill="1" applyBorder="1" applyAlignment="1">
      <alignment horizontal="right"/>
    </xf>
    <xf numFmtId="177" fontId="9" fillId="2" borderId="31" xfId="8" applyNumberFormat="1" applyFont="1" applyFill="1" applyBorder="1" applyAlignment="1">
      <alignment horizontal="right"/>
    </xf>
    <xf numFmtId="170" fontId="9" fillId="2" borderId="31" xfId="8" applyNumberFormat="1" applyFont="1" applyFill="1" applyBorder="1" applyAlignment="1">
      <alignment horizontal="right" vertical="top"/>
    </xf>
    <xf numFmtId="164" fontId="9" fillId="2" borderId="31" xfId="8" applyNumberFormat="1" applyFont="1" applyFill="1" applyBorder="1" applyAlignment="1">
      <alignment horizontal="right" vertical="top"/>
    </xf>
    <xf numFmtId="178" fontId="9" fillId="2" borderId="31" xfId="8" applyNumberFormat="1" applyFont="1" applyFill="1" applyBorder="1" applyAlignment="1">
      <alignment horizontal="right"/>
    </xf>
    <xf numFmtId="0" fontId="9" fillId="2" borderId="31" xfId="8" applyFont="1" applyFill="1" applyBorder="1" applyAlignment="1">
      <alignment horizontal="right"/>
    </xf>
    <xf numFmtId="172" fontId="9" fillId="2" borderId="31" xfId="8" applyNumberFormat="1" applyFont="1" applyFill="1" applyBorder="1" applyAlignment="1">
      <alignment horizontal="right"/>
    </xf>
    <xf numFmtId="170" fontId="9" fillId="0" borderId="31" xfId="8" applyNumberFormat="1" applyFont="1" applyFill="1" applyBorder="1" applyAlignment="1">
      <alignment horizontal="right"/>
    </xf>
    <xf numFmtId="3" fontId="10" fillId="0" borderId="31" xfId="8" applyNumberFormat="1" applyFont="1" applyFill="1" applyBorder="1" applyAlignment="1">
      <alignment horizontal="right" vertical="center"/>
    </xf>
    <xf numFmtId="164" fontId="9" fillId="0" borderId="31" xfId="8" applyNumberFormat="1" applyFont="1" applyFill="1" applyBorder="1" applyAlignment="1">
      <alignment horizontal="right"/>
    </xf>
    <xf numFmtId="3" fontId="9" fillId="0" borderId="31" xfId="8" applyNumberFormat="1" applyFont="1" applyFill="1" applyBorder="1" applyAlignment="1">
      <alignment horizontal="right"/>
    </xf>
    <xf numFmtId="0" fontId="10" fillId="4" borderId="31" xfId="8" applyNumberFormat="1" applyFont="1" applyFill="1" applyBorder="1" applyAlignment="1">
      <alignment horizontal="right" vertical="center"/>
    </xf>
    <xf numFmtId="178" fontId="12" fillId="0" borderId="0" xfId="8" applyNumberFormat="1" applyFont="1" applyFill="1" applyBorder="1" applyAlignment="1"/>
    <xf numFmtId="175" fontId="9" fillId="2" borderId="0" xfId="8" applyNumberFormat="1" applyFont="1" applyFill="1" applyBorder="1" applyAlignment="1">
      <alignment horizontal="right"/>
    </xf>
    <xf numFmtId="17" fontId="32" fillId="0" borderId="31" xfId="8" applyNumberFormat="1" applyFont="1" applyFill="1" applyBorder="1" applyAlignment="1">
      <alignment horizontal="center" vertical="center" wrapText="1"/>
    </xf>
    <xf numFmtId="49" fontId="8" fillId="2" borderId="31" xfId="8" applyNumberFormat="1" applyFont="1" applyFill="1" applyBorder="1" applyAlignment="1">
      <alignment horizontal="center" vertical="center" wrapText="1"/>
    </xf>
    <xf numFmtId="3" fontId="10" fillId="4" borderId="31" xfId="8" applyNumberFormat="1" applyFont="1" applyFill="1" applyBorder="1" applyAlignment="1">
      <alignment horizontal="right" vertical="center"/>
    </xf>
    <xf numFmtId="164" fontId="9" fillId="2" borderId="31" xfId="8" applyNumberFormat="1" applyFont="1" applyFill="1" applyBorder="1" applyAlignment="1">
      <alignment horizontal="right"/>
    </xf>
    <xf numFmtId="170" fontId="9" fillId="2" borderId="31" xfId="8" applyNumberFormat="1" applyFont="1" applyFill="1" applyBorder="1" applyAlignment="1">
      <alignment horizontal="right"/>
    </xf>
    <xf numFmtId="0" fontId="9" fillId="2" borderId="0" xfId="8" applyFont="1" applyFill="1" applyAlignment="1">
      <alignment vertical="center"/>
    </xf>
    <xf numFmtId="0" fontId="0" fillId="0" borderId="0" xfId="0"/>
    <xf numFmtId="164" fontId="9" fillId="2" borderId="0" xfId="8" applyNumberFormat="1" applyFont="1" applyFill="1" applyBorder="1" applyAlignment="1">
      <alignment horizontal="right"/>
    </xf>
    <xf numFmtId="3" fontId="9" fillId="2" borderId="0" xfId="8" applyNumberFormat="1" applyFont="1" applyFill="1" applyBorder="1" applyAlignment="1">
      <alignment horizontal="right"/>
    </xf>
    <xf numFmtId="49" fontId="9" fillId="2" borderId="0" xfId="8" applyNumberFormat="1" applyFont="1" applyFill="1" applyBorder="1" applyAlignment="1">
      <alignment horizontal="center" vertical="center"/>
    </xf>
    <xf numFmtId="0" fontId="11" fillId="0" borderId="0" xfId="0" applyFont="1"/>
    <xf numFmtId="0" fontId="0" fillId="3" borderId="0" xfId="0" applyFill="1"/>
    <xf numFmtId="170" fontId="11" fillId="0" borderId="0" xfId="0" applyNumberFormat="1" applyFont="1"/>
    <xf numFmtId="0" fontId="54" fillId="0" borderId="0" xfId="0" applyFont="1"/>
    <xf numFmtId="1" fontId="54" fillId="0" borderId="0" xfId="0" applyNumberFormat="1" applyFont="1"/>
    <xf numFmtId="1" fontId="9" fillId="2" borderId="4" xfId="0" applyNumberFormat="1" applyFont="1" applyFill="1" applyBorder="1" applyAlignment="1">
      <alignment horizontal="right"/>
    </xf>
    <xf numFmtId="167" fontId="8" fillId="0" borderId="4" xfId="0" applyNumberFormat="1" applyFont="1" applyFill="1" applyBorder="1" applyAlignment="1">
      <alignment horizontal="right" vertical="top"/>
    </xf>
    <xf numFmtId="167" fontId="8" fillId="0" borderId="31" xfId="0" applyNumberFormat="1" applyFont="1" applyFill="1" applyBorder="1" applyAlignment="1">
      <alignment horizontal="right" vertical="top"/>
    </xf>
    <xf numFmtId="3" fontId="8" fillId="0" borderId="4" xfId="0" applyNumberFormat="1" applyFont="1" applyFill="1" applyBorder="1" applyAlignment="1">
      <alignment horizontal="right" vertical="top"/>
    </xf>
    <xf numFmtId="3" fontId="8" fillId="2" borderId="1" xfId="8" applyNumberFormat="1" applyFont="1" applyFill="1" applyBorder="1" applyAlignment="1">
      <alignment horizontal="right"/>
    </xf>
    <xf numFmtId="3" fontId="8" fillId="0" borderId="1" xfId="8" applyNumberFormat="1" applyFont="1" applyFill="1" applyBorder="1" applyAlignment="1">
      <alignment horizontal="right"/>
    </xf>
    <xf numFmtId="1" fontId="9" fillId="2" borderId="4" xfId="8" applyNumberFormat="1" applyFont="1" applyFill="1" applyBorder="1" applyAlignment="1">
      <alignment horizontal="right"/>
    </xf>
    <xf numFmtId="0" fontId="12" fillId="0" borderId="31" xfId="1" applyNumberFormat="1" applyFont="1" applyBorder="1" applyAlignment="1">
      <alignment horizontal="right"/>
    </xf>
    <xf numFmtId="0" fontId="55" fillId="0" borderId="0" xfId="0" applyNumberFormat="1" applyFont="1" applyFill="1" applyBorder="1" applyAlignment="1">
      <alignment horizontal="left"/>
    </xf>
    <xf numFmtId="196" fontId="41" fillId="9" borderId="31" xfId="1" applyNumberFormat="1" applyFont="1" applyFill="1" applyBorder="1" applyAlignment="1">
      <alignment horizontal="right" vertical="top"/>
    </xf>
    <xf numFmtId="1" fontId="39" fillId="3" borderId="31" xfId="1" applyNumberFormat="1" applyFont="1" applyFill="1" applyBorder="1" applyAlignment="1">
      <alignment horizontal="right" vertical="top"/>
    </xf>
    <xf numFmtId="3" fontId="39" fillId="3" borderId="31" xfId="43" applyNumberFormat="1" applyFont="1" applyFill="1" applyBorder="1" applyAlignment="1">
      <alignment horizontal="left" vertical="top"/>
    </xf>
    <xf numFmtId="196" fontId="39" fillId="9" borderId="31" xfId="1" applyNumberFormat="1" applyFont="1" applyFill="1" applyBorder="1" applyAlignment="1">
      <alignment horizontal="right" vertical="top"/>
    </xf>
    <xf numFmtId="3" fontId="39" fillId="3" borderId="31" xfId="43" applyNumberFormat="1" applyFont="1" applyFill="1" applyBorder="1" applyAlignment="1">
      <alignment horizontal="right" vertical="top"/>
    </xf>
    <xf numFmtId="49" fontId="8" fillId="2" borderId="56" xfId="8" applyNumberFormat="1" applyFont="1" applyFill="1" applyBorder="1" applyAlignment="1">
      <alignment horizontal="center" vertical="center" wrapText="1"/>
    </xf>
    <xf numFmtId="49" fontId="8" fillId="2" borderId="38" xfId="8" applyNumberFormat="1" applyFont="1" applyFill="1" applyBorder="1" applyAlignment="1">
      <alignment horizontal="center" wrapText="1"/>
    </xf>
    <xf numFmtId="17" fontId="10" fillId="4" borderId="0" xfId="8" applyNumberFormat="1" applyFont="1" applyFill="1" applyBorder="1" applyAlignment="1">
      <alignment horizontal="left" vertical="center"/>
    </xf>
    <xf numFmtId="3" fontId="10" fillId="4" borderId="0" xfId="8" applyNumberFormat="1" applyFont="1" applyFill="1" applyBorder="1" applyAlignment="1">
      <alignment horizontal="right" vertical="center"/>
    </xf>
    <xf numFmtId="0" fontId="9" fillId="2" borderId="0" xfId="8" applyFont="1" applyFill="1" applyBorder="1" applyAlignment="1">
      <alignment horizontal="right"/>
    </xf>
    <xf numFmtId="172" fontId="9" fillId="2" borderId="0" xfId="8" applyNumberFormat="1" applyFont="1" applyFill="1" applyBorder="1" applyAlignment="1">
      <alignment horizontal="right"/>
    </xf>
    <xf numFmtId="177" fontId="9" fillId="2" borderId="0" xfId="8" applyNumberFormat="1" applyFont="1" applyFill="1" applyBorder="1" applyAlignment="1">
      <alignment horizontal="right"/>
    </xf>
    <xf numFmtId="179" fontId="9" fillId="2" borderId="0" xfId="8" applyNumberFormat="1" applyFont="1" applyFill="1" applyBorder="1" applyAlignment="1">
      <alignment horizontal="right"/>
    </xf>
    <xf numFmtId="49" fontId="28" fillId="2" borderId="0" xfId="8" applyNumberFormat="1" applyFont="1" applyFill="1" applyAlignment="1">
      <alignment horizontal="left" vertical="top"/>
    </xf>
    <xf numFmtId="182" fontId="9" fillId="2" borderId="0" xfId="8" applyNumberFormat="1" applyFont="1" applyFill="1" applyBorder="1" applyAlignment="1">
      <alignment horizontal="right"/>
    </xf>
    <xf numFmtId="164" fontId="9" fillId="0" borderId="0" xfId="8" applyNumberFormat="1" applyFont="1" applyFill="1" applyBorder="1" applyAlignment="1">
      <alignment horizontal="right"/>
    </xf>
    <xf numFmtId="182" fontId="9" fillId="0" borderId="0" xfId="8" applyNumberFormat="1" applyFont="1" applyFill="1" applyBorder="1" applyAlignment="1">
      <alignment horizontal="right"/>
    </xf>
    <xf numFmtId="183" fontId="9" fillId="2" borderId="0" xfId="8" applyNumberFormat="1" applyFont="1" applyFill="1" applyBorder="1" applyAlignment="1">
      <alignment horizontal="right"/>
    </xf>
    <xf numFmtId="185" fontId="9" fillId="2" borderId="0" xfId="8" applyNumberFormat="1" applyFont="1" applyFill="1" applyBorder="1" applyAlignment="1">
      <alignment horizontal="right"/>
    </xf>
    <xf numFmtId="177" fontId="9" fillId="0" borderId="40" xfId="8" applyNumberFormat="1" applyFont="1" applyFill="1" applyBorder="1" applyAlignment="1">
      <alignment horizontal="right"/>
    </xf>
    <xf numFmtId="186" fontId="9" fillId="2" borderId="0" xfId="8" applyNumberFormat="1" applyFont="1" applyFill="1" applyBorder="1" applyAlignment="1">
      <alignment horizontal="right"/>
    </xf>
    <xf numFmtId="167" fontId="9" fillId="2" borderId="0" xfId="11" applyNumberFormat="1" applyFont="1" applyFill="1" applyBorder="1" applyAlignment="1">
      <alignment horizontal="right"/>
    </xf>
    <xf numFmtId="179" fontId="9" fillId="2" borderId="0" xfId="8" applyNumberFormat="1" applyFont="1" applyFill="1" applyBorder="1" applyAlignment="1">
      <alignment horizontal="right" vertical="center" wrapText="1"/>
    </xf>
    <xf numFmtId="178" fontId="9" fillId="2" borderId="0" xfId="8" applyNumberFormat="1" applyFont="1" applyFill="1" applyBorder="1" applyAlignment="1">
      <alignment horizontal="right" vertical="center" wrapText="1"/>
    </xf>
    <xf numFmtId="183" fontId="9" fillId="2" borderId="0" xfId="8" applyNumberFormat="1" applyFont="1" applyFill="1" applyBorder="1" applyAlignment="1">
      <alignment horizontal="right" vertical="center" wrapText="1"/>
    </xf>
    <xf numFmtId="167" fontId="8" fillId="2" borderId="0" xfId="1" applyNumberFormat="1" applyFont="1" applyFill="1" applyAlignment="1">
      <alignment horizontal="left"/>
    </xf>
    <xf numFmtId="49" fontId="9" fillId="2" borderId="0" xfId="8" applyNumberFormat="1" applyFont="1" applyFill="1" applyBorder="1" applyAlignment="1">
      <alignment horizontal="left" vertical="top"/>
    </xf>
    <xf numFmtId="0" fontId="9" fillId="2" borderId="0" xfId="8" applyFont="1" applyFill="1" applyBorder="1" applyAlignment="1">
      <alignment horizontal="right" vertical="top"/>
    </xf>
    <xf numFmtId="172" fontId="9" fillId="2" borderId="0" xfId="8" applyNumberFormat="1" applyFont="1" applyFill="1" applyBorder="1" applyAlignment="1">
      <alignment horizontal="right" vertical="top"/>
    </xf>
    <xf numFmtId="170" fontId="9" fillId="2" borderId="0" xfId="8" applyNumberFormat="1" applyFont="1" applyFill="1" applyBorder="1" applyAlignment="1">
      <alignment horizontal="right" vertical="top"/>
    </xf>
    <xf numFmtId="181" fontId="9" fillId="2" borderId="0" xfId="2" applyNumberFormat="1" applyFont="1" applyFill="1" applyBorder="1" applyAlignment="1">
      <alignment horizontal="right" vertical="top"/>
    </xf>
    <xf numFmtId="164" fontId="9" fillId="2" borderId="0" xfId="8" applyNumberFormat="1" applyFont="1" applyFill="1" applyBorder="1" applyAlignment="1">
      <alignment horizontal="right" vertical="top"/>
    </xf>
    <xf numFmtId="9" fontId="9" fillId="2" borderId="0" xfId="2" applyFont="1" applyFill="1" applyBorder="1" applyAlignment="1">
      <alignment horizontal="right" vertical="top"/>
    </xf>
    <xf numFmtId="0" fontId="9" fillId="0" borderId="31" xfId="8" applyFont="1" applyFill="1" applyBorder="1" applyAlignment="1">
      <alignment horizontal="right"/>
    </xf>
    <xf numFmtId="172" fontId="9" fillId="0" borderId="31" xfId="8" applyNumberFormat="1" applyFont="1" applyFill="1" applyBorder="1" applyAlignment="1">
      <alignment horizontal="right"/>
    </xf>
    <xf numFmtId="167" fontId="9" fillId="0" borderId="31" xfId="1" applyNumberFormat="1" applyFont="1" applyFill="1" applyBorder="1" applyAlignment="1">
      <alignment horizontal="right"/>
    </xf>
    <xf numFmtId="178" fontId="9" fillId="0" borderId="31" xfId="8" applyNumberFormat="1" applyFont="1" applyFill="1" applyBorder="1" applyAlignment="1">
      <alignment horizontal="right"/>
    </xf>
    <xf numFmtId="3" fontId="22" fillId="3" borderId="31" xfId="49" applyNumberFormat="1" applyFont="1" applyFill="1" applyBorder="1" applyAlignment="1">
      <alignment horizontal="right" vertical="center" wrapText="1"/>
    </xf>
    <xf numFmtId="3" fontId="22" fillId="3" borderId="31" xfId="49" applyNumberFormat="1" applyFont="1" applyFill="1" applyBorder="1" applyAlignment="1">
      <alignment horizontal="right" wrapText="1"/>
    </xf>
    <xf numFmtId="3" fontId="9" fillId="2" borderId="0" xfId="8" applyNumberFormat="1" applyFont="1" applyFill="1" applyBorder="1" applyAlignment="1">
      <alignment horizontal="right" vertical="top"/>
    </xf>
    <xf numFmtId="164" fontId="9" fillId="0" borderId="0" xfId="8" applyNumberFormat="1" applyFont="1" applyFill="1" applyBorder="1" applyAlignment="1">
      <alignment horizontal="right" vertical="top"/>
    </xf>
    <xf numFmtId="204" fontId="9" fillId="2" borderId="0" xfId="8" applyNumberFormat="1" applyFont="1" applyFill="1" applyBorder="1" applyAlignment="1">
      <alignment horizontal="right"/>
    </xf>
    <xf numFmtId="0" fontId="9" fillId="0" borderId="0" xfId="0" applyFont="1" applyFill="1" applyBorder="1" applyAlignment="1">
      <alignment horizontal="left" vertical="top"/>
    </xf>
    <xf numFmtId="17" fontId="9" fillId="2" borderId="31" xfId="8" applyNumberFormat="1" applyFont="1" applyFill="1" applyBorder="1" applyAlignment="1">
      <alignment horizontal="left"/>
    </xf>
    <xf numFmtId="0" fontId="11" fillId="0" borderId="31" xfId="0" applyFont="1" applyBorder="1"/>
    <xf numFmtId="49" fontId="8" fillId="2" borderId="41" xfId="0" applyNumberFormat="1" applyFont="1" applyFill="1" applyBorder="1" applyAlignment="1">
      <alignment horizontal="center" vertical="center" wrapText="1"/>
    </xf>
    <xf numFmtId="49" fontId="8" fillId="3" borderId="41" xfId="0" applyNumberFormat="1" applyFont="1" applyFill="1" applyBorder="1" applyAlignment="1">
      <alignment horizontal="left" vertical="top"/>
    </xf>
    <xf numFmtId="3" fontId="8" fillId="11" borderId="31" xfId="0" applyNumberFormat="1" applyFont="1" applyFill="1" applyBorder="1" applyAlignment="1">
      <alignment horizontal="center" vertical="top"/>
    </xf>
    <xf numFmtId="4" fontId="8" fillId="11" borderId="31" xfId="0" applyNumberFormat="1" applyFont="1" applyFill="1" applyBorder="1" applyAlignment="1">
      <alignment horizontal="center" vertical="top"/>
    </xf>
    <xf numFmtId="1" fontId="8" fillId="2" borderId="31" xfId="0" applyNumberFormat="1" applyFont="1" applyFill="1" applyBorder="1" applyAlignment="1">
      <alignment horizontal="right" vertical="center" wrapText="1"/>
    </xf>
    <xf numFmtId="167" fontId="16" fillId="11" borderId="31" xfId="1" applyNumberFormat="1" applyFont="1" applyFill="1" applyBorder="1" applyAlignment="1">
      <alignment horizontal="center" wrapText="1"/>
    </xf>
    <xf numFmtId="167" fontId="16" fillId="11" borderId="31" xfId="1" applyNumberFormat="1" applyFont="1" applyFill="1" applyBorder="1" applyAlignment="1">
      <alignment horizontal="right" wrapText="1"/>
    </xf>
    <xf numFmtId="167" fontId="11" fillId="0" borderId="31" xfId="1" applyNumberFormat="1" applyFont="1" applyBorder="1" applyAlignment="1">
      <alignment horizontal="center" wrapText="1"/>
    </xf>
    <xf numFmtId="167" fontId="11" fillId="0" borderId="31" xfId="1" applyNumberFormat="1" applyFont="1" applyFill="1" applyBorder="1" applyAlignment="1">
      <alignment horizontal="center" wrapText="1"/>
    </xf>
    <xf numFmtId="167" fontId="11" fillId="0" borderId="31" xfId="1" applyNumberFormat="1" applyFont="1" applyBorder="1" applyAlignment="1">
      <alignment horizontal="right" wrapText="1"/>
    </xf>
    <xf numFmtId="1" fontId="11" fillId="0" borderId="31" xfId="1" applyNumberFormat="1" applyFont="1" applyBorder="1" applyAlignment="1">
      <alignment horizontal="right" wrapText="1"/>
    </xf>
    <xf numFmtId="167" fontId="9" fillId="2" borderId="31" xfId="1" applyNumberFormat="1" applyFont="1" applyFill="1" applyBorder="1" applyAlignment="1">
      <alignment horizontal="center"/>
    </xf>
    <xf numFmtId="0" fontId="9" fillId="2" borderId="31" xfId="0" applyFont="1" applyFill="1" applyBorder="1" applyAlignment="1">
      <alignment horizontal="left" vertical="center"/>
    </xf>
    <xf numFmtId="0" fontId="12" fillId="0" borderId="31" xfId="0" applyNumberFormat="1" applyFont="1" applyFill="1" applyBorder="1" applyAlignment="1">
      <alignment horizontal="left"/>
    </xf>
    <xf numFmtId="0" fontId="22" fillId="0" borderId="0" xfId="0" applyNumberFormat="1" applyFont="1" applyFill="1" applyBorder="1" applyAlignment="1">
      <alignment wrapText="1"/>
    </xf>
    <xf numFmtId="0" fontId="12" fillId="0" borderId="0" xfId="0" applyNumberFormat="1" applyFont="1" applyFill="1" applyBorder="1" applyAlignment="1">
      <alignment wrapText="1"/>
    </xf>
    <xf numFmtId="167" fontId="13" fillId="11" borderId="31" xfId="1" applyNumberFormat="1" applyFont="1" applyFill="1" applyBorder="1" applyAlignment="1">
      <alignment horizontal="left"/>
    </xf>
    <xf numFmtId="167" fontId="13" fillId="11" borderId="31" xfId="1" applyNumberFormat="1" applyFont="1" applyFill="1" applyBorder="1" applyAlignment="1">
      <alignment horizontal="center" vertical="center"/>
    </xf>
    <xf numFmtId="167" fontId="13" fillId="0" borderId="0" xfId="1" applyNumberFormat="1" applyFont="1" applyFill="1" applyAlignment="1">
      <alignment vertical="center"/>
    </xf>
    <xf numFmtId="0" fontId="22" fillId="0" borderId="0" xfId="31" applyFont="1" applyFill="1" applyBorder="1" applyAlignment="1">
      <alignment vertical="center"/>
    </xf>
    <xf numFmtId="3" fontId="22" fillId="0" borderId="0" xfId="8" applyNumberFormat="1" applyFont="1" applyFill="1" applyBorder="1" applyAlignment="1">
      <alignment vertical="center"/>
    </xf>
    <xf numFmtId="3" fontId="12" fillId="0" borderId="0" xfId="8" applyNumberFormat="1" applyFont="1" applyFill="1" applyBorder="1" applyAlignment="1">
      <alignment vertical="center"/>
    </xf>
    <xf numFmtId="167" fontId="12" fillId="0" borderId="0" xfId="1" applyNumberFormat="1" applyFont="1" applyFill="1" applyAlignment="1">
      <alignment vertical="center"/>
    </xf>
    <xf numFmtId="3" fontId="12" fillId="0" borderId="0" xfId="8" applyNumberFormat="1" applyFont="1" applyFill="1" applyAlignment="1">
      <alignment vertical="center"/>
    </xf>
    <xf numFmtId="167" fontId="12" fillId="0" borderId="31" xfId="1" applyNumberFormat="1" applyFont="1" applyFill="1" applyBorder="1" applyAlignment="1">
      <alignment horizontal="left" vertical="top" wrapText="1" indent="2"/>
    </xf>
    <xf numFmtId="167" fontId="11" fillId="0" borderId="31" xfId="1" applyNumberFormat="1" applyFont="1" applyFill="1" applyBorder="1" applyAlignment="1">
      <alignment vertical="top"/>
    </xf>
    <xf numFmtId="167" fontId="11" fillId="0" borderId="31" xfId="1" applyNumberFormat="1" applyFont="1" applyFill="1" applyBorder="1" applyAlignment="1">
      <alignment horizontal="left" vertical="top" indent="2"/>
    </xf>
    <xf numFmtId="196" fontId="12" fillId="0" borderId="31" xfId="32" applyNumberFormat="1" applyFont="1" applyFill="1" applyBorder="1" applyAlignment="1">
      <alignment horizontal="right"/>
    </xf>
    <xf numFmtId="0" fontId="28" fillId="2" borderId="31" xfId="8" applyFont="1" applyFill="1" applyBorder="1" applyAlignment="1">
      <alignment horizontal="center" vertical="center"/>
    </xf>
    <xf numFmtId="49" fontId="28" fillId="2" borderId="31" xfId="8" applyNumberFormat="1" applyFont="1" applyFill="1" applyBorder="1" applyAlignment="1">
      <alignment horizontal="left" vertical="center"/>
    </xf>
    <xf numFmtId="0" fontId="28" fillId="2" borderId="31" xfId="8" applyFont="1" applyFill="1" applyBorder="1" applyAlignment="1">
      <alignment horizontal="left" vertical="center"/>
    </xf>
    <xf numFmtId="167" fontId="12" fillId="0" borderId="31" xfId="1" applyNumberFormat="1" applyFont="1" applyFill="1" applyBorder="1" applyAlignment="1">
      <alignment horizontal="left"/>
    </xf>
    <xf numFmtId="167" fontId="9" fillId="2" borderId="31" xfId="1" applyNumberFormat="1" applyFont="1" applyFill="1" applyBorder="1" applyAlignment="1">
      <alignment horizontal="left"/>
    </xf>
    <xf numFmtId="167" fontId="16" fillId="11" borderId="31" xfId="1" applyNumberFormat="1" applyFont="1" applyFill="1" applyBorder="1" applyAlignment="1">
      <alignment vertical="top"/>
    </xf>
    <xf numFmtId="49" fontId="57" fillId="0" borderId="31" xfId="0" applyNumberFormat="1" applyFont="1" applyFill="1" applyBorder="1" applyAlignment="1">
      <alignment horizontal="center" vertical="top" wrapText="1"/>
    </xf>
    <xf numFmtId="1" fontId="11" fillId="0" borderId="31" xfId="0" applyNumberFormat="1" applyFont="1" applyBorder="1"/>
    <xf numFmtId="0" fontId="11" fillId="0" borderId="31" xfId="0" applyFont="1" applyBorder="1" applyAlignment="1">
      <alignment wrapText="1"/>
    </xf>
    <xf numFmtId="49" fontId="18" fillId="0" borderId="27" xfId="0" applyNumberFormat="1" applyFont="1" applyFill="1" applyBorder="1" applyAlignment="1">
      <alignment horizontal="left"/>
    </xf>
    <xf numFmtId="3" fontId="12" fillId="5" borderId="31" xfId="6" applyNumberFormat="1" applyFont="1" applyFill="1" applyBorder="1" applyAlignment="1">
      <alignment vertical="center"/>
    </xf>
    <xf numFmtId="0" fontId="11" fillId="0" borderId="31" xfId="0" applyFont="1" applyBorder="1" applyAlignment="1">
      <alignment vertical="center" wrapText="1"/>
    </xf>
    <xf numFmtId="0" fontId="19" fillId="0" borderId="0" xfId="0" applyFont="1" applyFill="1" applyBorder="1" applyAlignment="1">
      <alignment horizontal="left" vertical="top"/>
    </xf>
    <xf numFmtId="1" fontId="11" fillId="0" borderId="0" xfId="0" applyNumberFormat="1" applyFont="1" applyBorder="1"/>
    <xf numFmtId="3" fontId="11" fillId="0" borderId="0" xfId="0" applyNumberFormat="1" applyFont="1" applyBorder="1"/>
    <xf numFmtId="49" fontId="57" fillId="0" borderId="31" xfId="0" applyNumberFormat="1" applyFont="1" applyFill="1" applyBorder="1" applyAlignment="1">
      <alignment horizontal="center" vertical="top" wrapText="1"/>
    </xf>
    <xf numFmtId="0" fontId="11" fillId="3" borderId="31" xfId="0" applyFont="1" applyFill="1" applyBorder="1" applyAlignment="1">
      <alignment horizontal="center"/>
    </xf>
    <xf numFmtId="49" fontId="8" fillId="3" borderId="36" xfId="8" applyNumberFormat="1" applyFont="1" applyFill="1" applyBorder="1" applyAlignment="1">
      <alignment horizontal="center"/>
    </xf>
    <xf numFmtId="49" fontId="8" fillId="3" borderId="29" xfId="8" applyNumberFormat="1" applyFont="1" applyFill="1" applyBorder="1" applyAlignment="1">
      <alignment horizontal="center"/>
    </xf>
    <xf numFmtId="49" fontId="8" fillId="3" borderId="22" xfId="8" applyNumberFormat="1" applyFont="1" applyFill="1" applyBorder="1" applyAlignment="1">
      <alignment horizontal="center"/>
    </xf>
    <xf numFmtId="3" fontId="11" fillId="3" borderId="31" xfId="0" applyNumberFormat="1" applyFont="1" applyFill="1" applyBorder="1" applyAlignment="1">
      <alignment horizontal="center"/>
    </xf>
    <xf numFmtId="0" fontId="11" fillId="3" borderId="0" xfId="0" applyFont="1" applyFill="1" applyAlignment="1">
      <alignment horizontal="center"/>
    </xf>
    <xf numFmtId="0" fontId="9" fillId="3" borderId="0" xfId="8" applyFont="1" applyFill="1" applyAlignment="1">
      <alignment vertical="center"/>
    </xf>
    <xf numFmtId="167" fontId="13" fillId="0" borderId="31" xfId="1" applyNumberFormat="1" applyFont="1" applyFill="1" applyBorder="1" applyAlignment="1">
      <alignment vertical="top" wrapText="1"/>
    </xf>
    <xf numFmtId="167" fontId="13" fillId="0" borderId="31" xfId="1" applyNumberFormat="1" applyFont="1" applyFill="1" applyBorder="1" applyAlignment="1">
      <alignment vertical="center"/>
    </xf>
    <xf numFmtId="167" fontId="12" fillId="0" borderId="31" xfId="1" applyNumberFormat="1" applyFont="1" applyFill="1" applyBorder="1" applyAlignment="1">
      <alignment vertical="center"/>
    </xf>
    <xf numFmtId="0" fontId="12" fillId="0" borderId="31" xfId="31" applyFont="1" applyFill="1" applyBorder="1" applyAlignment="1">
      <alignment vertical="center"/>
    </xf>
    <xf numFmtId="0" fontId="12" fillId="0" borderId="31" xfId="31" applyFont="1" applyFill="1" applyBorder="1" applyAlignment="1">
      <alignment vertical="center" wrapText="1"/>
    </xf>
    <xf numFmtId="167" fontId="11" fillId="0" borderId="31" xfId="1" applyNumberFormat="1" applyFont="1" applyFill="1" applyBorder="1" applyAlignment="1">
      <alignment vertical="center"/>
    </xf>
    <xf numFmtId="1" fontId="12" fillId="0" borderId="31" xfId="31" applyNumberFormat="1" applyFont="1" applyFill="1" applyBorder="1" applyAlignment="1">
      <alignment vertical="center" wrapText="1"/>
    </xf>
    <xf numFmtId="167" fontId="12" fillId="0" borderId="31" xfId="1" applyNumberFormat="1" applyFont="1" applyFill="1" applyBorder="1" applyAlignment="1">
      <alignment vertical="top" wrapText="1"/>
    </xf>
    <xf numFmtId="1" fontId="23" fillId="3" borderId="0" xfId="0" applyNumberFormat="1" applyFont="1" applyFill="1"/>
    <xf numFmtId="17" fontId="22" fillId="0" borderId="0" xfId="19" applyNumberFormat="1" applyFont="1" applyFill="1" applyBorder="1" applyAlignment="1">
      <alignment horizontal="left" vertical="top"/>
    </xf>
    <xf numFmtId="0" fontId="39" fillId="9" borderId="31" xfId="0" applyFont="1" applyFill="1" applyBorder="1" applyAlignment="1">
      <alignment horizontal="left" vertical="center"/>
    </xf>
    <xf numFmtId="198" fontId="39" fillId="9" borderId="31" xfId="0" applyNumberFormat="1" applyFont="1" applyFill="1" applyBorder="1" applyAlignment="1">
      <alignment horizontal="left" vertical="center"/>
    </xf>
    <xf numFmtId="3" fontId="39" fillId="9" borderId="31" xfId="0" applyNumberFormat="1" applyFont="1" applyFill="1" applyBorder="1" applyAlignment="1">
      <alignment horizontal="right" vertical="center"/>
    </xf>
    <xf numFmtId="179" fontId="9" fillId="2" borderId="0" xfId="8" applyNumberFormat="1" applyFont="1" applyFill="1" applyAlignment="1">
      <alignment vertical="center"/>
    </xf>
    <xf numFmtId="0" fontId="9" fillId="2" borderId="0" xfId="0" applyFont="1" applyFill="1" applyBorder="1" applyAlignment="1">
      <alignment horizontal="right"/>
    </xf>
    <xf numFmtId="49" fontId="8" fillId="0" borderId="15" xfId="0" applyNumberFormat="1" applyFont="1" applyFill="1" applyBorder="1" applyAlignment="1">
      <alignment horizontal="left"/>
    </xf>
    <xf numFmtId="49" fontId="8" fillId="0" borderId="12" xfId="0" applyNumberFormat="1" applyFont="1" applyFill="1" applyBorder="1" applyAlignment="1">
      <alignment horizontal="left"/>
    </xf>
    <xf numFmtId="49" fontId="8" fillId="2" borderId="0" xfId="8" applyNumberFormat="1" applyFont="1" applyFill="1" applyAlignment="1">
      <alignment horizontal="left"/>
    </xf>
    <xf numFmtId="43" fontId="16" fillId="0" borderId="31" xfId="1" applyFont="1" applyFill="1" applyBorder="1" applyAlignment="1">
      <alignment vertical="top" wrapText="1"/>
    </xf>
    <xf numFmtId="199" fontId="16" fillId="0" borderId="31" xfId="1" applyNumberFormat="1" applyFont="1" applyFill="1" applyBorder="1" applyAlignment="1">
      <alignment vertical="top" wrapText="1"/>
    </xf>
    <xf numFmtId="17" fontId="16" fillId="0" borderId="31" xfId="1" applyNumberFormat="1" applyFont="1" applyFill="1" applyBorder="1" applyAlignment="1"/>
    <xf numFmtId="43" fontId="11" fillId="0" borderId="31" xfId="1" applyFont="1" applyFill="1" applyBorder="1" applyAlignment="1">
      <alignment vertical="top" wrapText="1"/>
    </xf>
    <xf numFmtId="43" fontId="12" fillId="0" borderId="31" xfId="1" applyFont="1" applyFill="1" applyBorder="1" applyAlignment="1">
      <alignment vertical="top" wrapText="1"/>
    </xf>
    <xf numFmtId="167" fontId="11" fillId="0" borderId="31" xfId="1" applyNumberFormat="1" applyFont="1" applyFill="1" applyBorder="1" applyAlignment="1">
      <alignment horizontal="right" vertical="top" wrapText="1"/>
    </xf>
    <xf numFmtId="43" fontId="16" fillId="0" borderId="31" xfId="1" applyFont="1" applyFill="1" applyBorder="1" applyAlignment="1">
      <alignment horizontal="left" vertical="top" wrapText="1"/>
    </xf>
    <xf numFmtId="43" fontId="11" fillId="0" borderId="31" xfId="1" applyFont="1" applyFill="1" applyBorder="1" applyAlignment="1">
      <alignment horizontal="right" vertical="center" wrapText="1"/>
    </xf>
    <xf numFmtId="43" fontId="11" fillId="0" borderId="31" xfId="1" applyFont="1" applyFill="1" applyBorder="1" applyAlignment="1">
      <alignment vertical="top"/>
    </xf>
    <xf numFmtId="43" fontId="11" fillId="0" borderId="31" xfId="1" applyFont="1" applyFill="1" applyBorder="1" applyAlignment="1">
      <alignment horizontal="right" vertical="center"/>
    </xf>
    <xf numFmtId="164" fontId="11" fillId="0" borderId="31" xfId="1" applyNumberFormat="1" applyFont="1" applyFill="1" applyBorder="1" applyAlignment="1">
      <alignment horizontal="right" vertical="center" wrapText="1"/>
    </xf>
    <xf numFmtId="167" fontId="11" fillId="0" borderId="31" xfId="1" applyNumberFormat="1" applyFont="1" applyFill="1" applyBorder="1" applyAlignment="1">
      <alignment horizontal="right" vertical="center" wrapText="1"/>
    </xf>
    <xf numFmtId="43" fontId="11" fillId="0" borderId="31" xfId="1" applyFont="1" applyFill="1" applyBorder="1" applyAlignment="1">
      <alignment horizontal="right" vertical="top" wrapText="1"/>
    </xf>
    <xf numFmtId="2" fontId="11" fillId="0" borderId="31" xfId="1" applyNumberFormat="1" applyFont="1" applyFill="1" applyBorder="1" applyAlignment="1">
      <alignment horizontal="right" vertical="center" wrapText="1"/>
    </xf>
    <xf numFmtId="49" fontId="8" fillId="2" borderId="0" xfId="8" applyNumberFormat="1" applyFont="1" applyFill="1" applyAlignment="1">
      <alignment horizontal="left"/>
    </xf>
    <xf numFmtId="49" fontId="57" fillId="0" borderId="31" xfId="0" applyNumberFormat="1" applyFont="1" applyFill="1" applyBorder="1" applyAlignment="1">
      <alignment horizontal="center" vertical="top" wrapText="1"/>
    </xf>
    <xf numFmtId="49" fontId="57" fillId="0" borderId="31" xfId="0" applyNumberFormat="1" applyFont="1" applyFill="1" applyBorder="1" applyAlignment="1">
      <alignment horizontal="center" vertical="top" wrapText="1"/>
    </xf>
    <xf numFmtId="0" fontId="19" fillId="11" borderId="31" xfId="0" applyFont="1" applyFill="1" applyBorder="1" applyAlignment="1">
      <alignment horizontal="left" vertical="top"/>
    </xf>
    <xf numFmtId="1" fontId="11" fillId="11" borderId="31" xfId="0" applyNumberFormat="1" applyFont="1" applyFill="1" applyBorder="1"/>
    <xf numFmtId="3" fontId="11" fillId="11" borderId="31" xfId="0" applyNumberFormat="1" applyFont="1" applyFill="1" applyBorder="1"/>
    <xf numFmtId="0" fontId="13" fillId="0" borderId="8" xfId="0" applyFont="1" applyFill="1" applyBorder="1" applyAlignment="1">
      <alignment horizontal="center" vertical="center"/>
    </xf>
    <xf numFmtId="0" fontId="13" fillId="0" borderId="39" xfId="0" applyFont="1" applyBorder="1" applyAlignment="1">
      <alignment horizontal="left" vertical="top" wrapText="1"/>
    </xf>
    <xf numFmtId="0" fontId="12" fillId="0" borderId="0" xfId="0" applyFont="1" applyAlignment="1">
      <alignment horizontal="left" vertical="top"/>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29" xfId="8" applyNumberFormat="1" applyFont="1" applyFill="1" applyBorder="1" applyAlignment="1">
      <alignment horizontal="center" vertical="center"/>
    </xf>
    <xf numFmtId="49" fontId="8" fillId="2" borderId="0" xfId="8" applyNumberFormat="1" applyFont="1" applyFill="1" applyAlignment="1">
      <alignment horizontal="left" wrapText="1"/>
    </xf>
    <xf numFmtId="49" fontId="8" fillId="2" borderId="22" xfId="8" applyNumberFormat="1" applyFont="1" applyFill="1" applyBorder="1" applyAlignment="1">
      <alignment horizontal="center" vertical="center"/>
    </xf>
    <xf numFmtId="49" fontId="8" fillId="2" borderId="0" xfId="8" applyNumberFormat="1" applyFont="1" applyFill="1" applyBorder="1" applyAlignment="1">
      <alignment horizontal="left"/>
    </xf>
    <xf numFmtId="49" fontId="28"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xf>
    <xf numFmtId="0" fontId="13" fillId="0" borderId="31" xfId="12" applyFont="1" applyFill="1" applyBorder="1" applyAlignment="1">
      <alignment horizontal="center" vertical="center" wrapText="1"/>
    </xf>
    <xf numFmtId="49" fontId="8" fillId="2" borderId="31" xfId="8" applyNumberFormat="1" applyFont="1" applyFill="1" applyBorder="1" applyAlignment="1">
      <alignment horizontal="center" vertical="center"/>
    </xf>
    <xf numFmtId="49" fontId="8" fillId="2" borderId="31" xfId="0" applyNumberFormat="1" applyFont="1" applyFill="1" applyBorder="1" applyAlignment="1">
      <alignment horizontal="center" vertical="center" wrapText="1"/>
    </xf>
    <xf numFmtId="49" fontId="8" fillId="2" borderId="31" xfId="0" applyNumberFormat="1" applyFont="1" applyFill="1" applyBorder="1" applyAlignment="1">
      <alignment horizontal="left" vertical="center" wrapText="1"/>
    </xf>
    <xf numFmtId="49" fontId="8" fillId="2" borderId="31" xfId="0" applyNumberFormat="1" applyFont="1" applyFill="1" applyBorder="1" applyAlignment="1">
      <alignment vertical="center" wrapText="1"/>
    </xf>
    <xf numFmtId="0" fontId="22" fillId="0" borderId="0" xfId="8" applyFont="1" applyFill="1" applyAlignment="1">
      <alignment vertical="center"/>
    </xf>
    <xf numFmtId="0" fontId="13" fillId="0" borderId="31" xfId="31" applyFont="1" applyFill="1" applyBorder="1" applyAlignment="1">
      <alignment vertical="center" wrapText="1"/>
    </xf>
    <xf numFmtId="0" fontId="13" fillId="0" borderId="31" xfId="31" applyFont="1" applyFill="1" applyBorder="1" applyAlignment="1">
      <alignment vertical="center"/>
    </xf>
    <xf numFmtId="0" fontId="55" fillId="0" borderId="0" xfId="0" applyNumberFormat="1" applyFont="1" applyFill="1" applyBorder="1" applyAlignment="1">
      <alignment horizontal="left" wrapText="1"/>
    </xf>
    <xf numFmtId="3" fontId="12" fillId="0" borderId="31" xfId="23" applyNumberFormat="1" applyFont="1" applyBorder="1" applyAlignment="1">
      <alignment horizontal="right" vertical="top"/>
    </xf>
    <xf numFmtId="2" fontId="12" fillId="0" borderId="31" xfId="43" applyNumberFormat="1" applyFont="1" applyBorder="1" applyAlignment="1">
      <alignment horizontal="right" vertical="top"/>
    </xf>
    <xf numFmtId="3" fontId="13" fillId="0" borderId="31" xfId="23" applyNumberFormat="1" applyFont="1" applyBorder="1" applyAlignment="1">
      <alignment horizontal="right" vertical="top"/>
    </xf>
    <xf numFmtId="3" fontId="13" fillId="0" borderId="31" xfId="23" applyNumberFormat="1" applyFont="1" applyBorder="1" applyAlignment="1">
      <alignment vertical="top"/>
    </xf>
    <xf numFmtId="3" fontId="11" fillId="0" borderId="31" xfId="43" applyNumberFormat="1" applyFont="1" applyFill="1" applyBorder="1" applyAlignment="1"/>
    <xf numFmtId="3" fontId="12" fillId="0" borderId="31" xfId="23" applyNumberFormat="1" applyFont="1" applyBorder="1" applyAlignment="1">
      <alignment vertical="top"/>
    </xf>
    <xf numFmtId="0" fontId="11" fillId="3" borderId="0" xfId="0" applyFont="1" applyFill="1"/>
    <xf numFmtId="0" fontId="11" fillId="0" borderId="0" xfId="0" applyFont="1" applyFill="1" applyBorder="1" applyProtection="1">
      <protection locked="0"/>
    </xf>
    <xf numFmtId="0" fontId="11" fillId="0" borderId="0" xfId="0" applyFont="1" applyBorder="1" applyProtection="1">
      <protection locked="0"/>
    </xf>
    <xf numFmtId="3" fontId="12" fillId="0" borderId="31" xfId="0" applyNumberFormat="1" applyFont="1" applyBorder="1" applyAlignment="1">
      <alignment horizontal="right"/>
    </xf>
    <xf numFmtId="0" fontId="12" fillId="0" borderId="31" xfId="0" applyFont="1" applyBorder="1" applyAlignment="1">
      <alignment horizontal="left"/>
    </xf>
    <xf numFmtId="14" fontId="12" fillId="0" borderId="31" xfId="0" applyNumberFormat="1" applyFont="1" applyBorder="1" applyAlignment="1">
      <alignment horizontal="left"/>
    </xf>
    <xf numFmtId="0" fontId="12" fillId="0" borderId="31" xfId="0" applyFont="1" applyBorder="1" applyAlignment="1">
      <alignment horizontal="right"/>
    </xf>
    <xf numFmtId="2" fontId="12" fillId="0" borderId="31" xfId="0" applyNumberFormat="1" applyFont="1" applyBorder="1" applyAlignment="1">
      <alignment horizontal="right"/>
    </xf>
    <xf numFmtId="0" fontId="12" fillId="3" borderId="31" xfId="0" applyFont="1" applyFill="1" applyBorder="1" applyAlignment="1">
      <alignment horizontal="left"/>
    </xf>
    <xf numFmtId="14" fontId="12" fillId="3" borderId="31" xfId="0" applyNumberFormat="1" applyFont="1" applyFill="1" applyBorder="1" applyAlignment="1">
      <alignment horizontal="left"/>
    </xf>
    <xf numFmtId="3" fontId="12" fillId="3" borderId="31" xfId="0" applyNumberFormat="1" applyFont="1" applyFill="1" applyBorder="1" applyAlignment="1">
      <alignment horizontal="right"/>
    </xf>
    <xf numFmtId="0" fontId="12" fillId="3" borderId="31" xfId="0" applyFont="1" applyFill="1" applyBorder="1" applyAlignment="1">
      <alignment horizontal="right"/>
    </xf>
    <xf numFmtId="2" fontId="12" fillId="3" borderId="31" xfId="0" applyNumberFormat="1" applyFont="1" applyFill="1" applyBorder="1" applyAlignment="1">
      <alignment horizontal="right"/>
    </xf>
    <xf numFmtId="0" fontId="12" fillId="0" borderId="52" xfId="0" applyFont="1" applyBorder="1" applyAlignment="1">
      <alignment horizontal="left"/>
    </xf>
    <xf numFmtId="203" fontId="12" fillId="0" borderId="31" xfId="0" applyNumberFormat="1" applyFont="1" applyBorder="1" applyAlignment="1">
      <alignment horizontal="left"/>
    </xf>
    <xf numFmtId="14" fontId="11" fillId="0" borderId="0" xfId="0" applyNumberFormat="1" applyFont="1" applyBorder="1" applyAlignment="1">
      <alignment horizontal="right"/>
    </xf>
    <xf numFmtId="0" fontId="11" fillId="0" borderId="0" xfId="0" applyFont="1" applyBorder="1" applyAlignment="1">
      <alignment horizontal="center"/>
    </xf>
    <xf numFmtId="2" fontId="11" fillId="0" borderId="0" xfId="0" applyNumberFormat="1" applyFont="1" applyFill="1" applyBorder="1" applyAlignment="1">
      <alignment horizontal="center"/>
    </xf>
    <xf numFmtId="2" fontId="10" fillId="0" borderId="0" xfId="0" applyNumberFormat="1" applyFont="1" applyFill="1" applyBorder="1" applyAlignment="1">
      <alignment horizontal="center"/>
    </xf>
    <xf numFmtId="3" fontId="11" fillId="0" borderId="0" xfId="0" applyNumberFormat="1" applyFont="1" applyBorder="1" applyAlignment="1">
      <alignment horizontal="center"/>
    </xf>
    <xf numFmtId="14" fontId="11" fillId="0" borderId="0" xfId="0" applyNumberFormat="1" applyFont="1" applyFill="1" applyBorder="1" applyAlignment="1">
      <alignment horizontal="right"/>
    </xf>
    <xf numFmtId="2" fontId="11" fillId="0" borderId="0" xfId="0" applyNumberFormat="1" applyFont="1" applyBorder="1" applyAlignment="1">
      <alignment horizontal="center"/>
    </xf>
    <xf numFmtId="2" fontId="10" fillId="0" borderId="0" xfId="0" applyNumberFormat="1" applyFont="1" applyBorder="1" applyAlignment="1">
      <alignment horizontal="center"/>
    </xf>
    <xf numFmtId="14" fontId="11" fillId="0" borderId="0" xfId="0" applyNumberFormat="1" applyFont="1" applyBorder="1"/>
    <xf numFmtId="0" fontId="11" fillId="0" borderId="0" xfId="0" applyFont="1" applyFill="1" applyBorder="1"/>
    <xf numFmtId="0" fontId="16" fillId="0" borderId="31" xfId="0" applyFont="1" applyBorder="1" applyAlignment="1">
      <alignment horizontal="center" vertical="top" wrapText="1"/>
    </xf>
    <xf numFmtId="167" fontId="16" fillId="0" borderId="31" xfId="29" applyNumberFormat="1" applyFont="1" applyBorder="1" applyAlignment="1">
      <alignment horizontal="left" vertical="top"/>
    </xf>
    <xf numFmtId="167" fontId="12" fillId="0" borderId="31" xfId="29" applyNumberFormat="1" applyFont="1" applyBorder="1" applyAlignment="1">
      <alignment horizontal="center" vertical="top"/>
    </xf>
    <xf numFmtId="167" fontId="13" fillId="0" borderId="31" xfId="29" applyNumberFormat="1" applyFont="1" applyBorder="1" applyAlignment="1">
      <alignment horizontal="center" vertical="top"/>
    </xf>
    <xf numFmtId="167" fontId="16" fillId="11" borderId="31" xfId="29" applyNumberFormat="1" applyFont="1" applyFill="1" applyBorder="1" applyAlignment="1">
      <alignment horizontal="left" vertical="top"/>
    </xf>
    <xf numFmtId="167" fontId="13" fillId="11" borderId="31" xfId="29" applyNumberFormat="1" applyFont="1" applyFill="1" applyBorder="1" applyAlignment="1">
      <alignment horizontal="center" vertical="top"/>
    </xf>
    <xf numFmtId="167" fontId="16" fillId="11" borderId="31" xfId="29" applyNumberFormat="1" applyFont="1" applyFill="1" applyBorder="1" applyAlignment="1">
      <alignment horizontal="center" vertical="top"/>
    </xf>
    <xf numFmtId="167" fontId="16" fillId="0" borderId="31" xfId="29" applyNumberFormat="1" applyFont="1" applyFill="1" applyBorder="1" applyAlignment="1">
      <alignment horizontal="left" vertical="top"/>
    </xf>
    <xf numFmtId="3" fontId="53" fillId="0" borderId="31" xfId="0" applyNumberFormat="1" applyFont="1" applyBorder="1" applyAlignment="1">
      <alignment horizontal="right"/>
    </xf>
    <xf numFmtId="167" fontId="12" fillId="0" borderId="31" xfId="29" applyNumberFormat="1" applyFont="1" applyFill="1" applyBorder="1" applyAlignment="1">
      <alignment horizontal="center" vertical="top"/>
    </xf>
    <xf numFmtId="3" fontId="52" fillId="0" borderId="31" xfId="6" applyNumberFormat="1" applyFont="1" applyBorder="1" applyAlignment="1">
      <alignment horizontal="right"/>
    </xf>
    <xf numFmtId="3" fontId="52" fillId="0" borderId="31" xfId="0" applyNumberFormat="1" applyFont="1" applyBorder="1" applyAlignment="1">
      <alignment horizontal="right"/>
    </xf>
    <xf numFmtId="167" fontId="16" fillId="5" borderId="61" xfId="29" applyNumberFormat="1" applyFont="1" applyFill="1" applyBorder="1" applyAlignment="1">
      <alignment horizontal="center" vertical="top"/>
    </xf>
    <xf numFmtId="167" fontId="16" fillId="5" borderId="65" xfId="29" applyNumberFormat="1" applyFont="1" applyFill="1" applyBorder="1" applyAlignment="1">
      <alignment horizontal="center" vertical="top"/>
    </xf>
    <xf numFmtId="167" fontId="16" fillId="5" borderId="66" xfId="29" applyNumberFormat="1" applyFont="1" applyFill="1" applyBorder="1" applyAlignment="1">
      <alignment horizontal="center" vertical="top"/>
    </xf>
    <xf numFmtId="166" fontId="0" fillId="0" borderId="0" xfId="0" applyNumberFormat="1"/>
    <xf numFmtId="0" fontId="14" fillId="3" borderId="0" xfId="51" applyNumberFormat="1" applyFont="1" applyFill="1" applyAlignment="1">
      <alignment vertical="top"/>
    </xf>
    <xf numFmtId="0" fontId="23" fillId="3" borderId="0" xfId="0" applyFont="1" applyFill="1"/>
    <xf numFmtId="0" fontId="11" fillId="3" borderId="31" xfId="51" applyNumberFormat="1" applyFont="1" applyFill="1" applyBorder="1"/>
    <xf numFmtId="1" fontId="12" fillId="3" borderId="31" xfId="0" applyNumberFormat="1" applyFont="1" applyFill="1" applyBorder="1" applyAlignment="1">
      <alignment horizontal="right"/>
    </xf>
    <xf numFmtId="1" fontId="12" fillId="3" borderId="0" xfId="0" applyNumberFormat="1" applyFont="1" applyFill="1" applyAlignment="1">
      <alignment horizontal="right" vertical="center"/>
    </xf>
    <xf numFmtId="1" fontId="22" fillId="3" borderId="0" xfId="51" applyNumberFormat="1" applyFont="1" applyFill="1" applyAlignment="1">
      <alignment horizontal="right" vertical="center"/>
    </xf>
    <xf numFmtId="0" fontId="32" fillId="3" borderId="0" xfId="0" applyFont="1" applyFill="1"/>
    <xf numFmtId="0" fontId="11" fillId="0" borderId="0" xfId="0" applyFont="1" applyAlignment="1">
      <alignment vertical="top"/>
    </xf>
    <xf numFmtId="173" fontId="13" fillId="8" borderId="31" xfId="53" applyNumberFormat="1" applyFont="1" applyFill="1" applyBorder="1" applyAlignment="1">
      <alignment horizontal="center" vertical="top"/>
    </xf>
    <xf numFmtId="173" fontId="13" fillId="8" borderId="31" xfId="54" applyNumberFormat="1" applyFont="1" applyFill="1" applyBorder="1" applyAlignment="1">
      <alignment horizontal="center" vertical="top"/>
    </xf>
    <xf numFmtId="168" fontId="13" fillId="0" borderId="31" xfId="52" applyNumberFormat="1" applyFont="1" applyBorder="1" applyAlignment="1">
      <alignment horizontal="left" vertical="top" wrapText="1"/>
    </xf>
    <xf numFmtId="3" fontId="13" fillId="0" borderId="31" xfId="55" applyNumberFormat="1" applyFont="1" applyBorder="1" applyAlignment="1">
      <alignment horizontal="right" vertical="top" wrapText="1"/>
    </xf>
    <xf numFmtId="0" fontId="16" fillId="0" borderId="0" xfId="0" applyFont="1" applyAlignment="1">
      <alignment vertical="top"/>
    </xf>
    <xf numFmtId="168" fontId="12" fillId="0" borderId="31" xfId="52" applyNumberFormat="1" applyFont="1" applyBorder="1" applyAlignment="1">
      <alignment horizontal="left" vertical="top" wrapText="1"/>
    </xf>
    <xf numFmtId="3" fontId="12" fillId="0" borderId="31" xfId="55" applyNumberFormat="1" applyFont="1" applyBorder="1" applyAlignment="1">
      <alignment horizontal="right" vertical="top" wrapText="1"/>
    </xf>
    <xf numFmtId="168" fontId="12" fillId="0" borderId="31" xfId="0" applyNumberFormat="1" applyFont="1" applyBorder="1" applyAlignment="1">
      <alignment horizontal="left" vertical="top"/>
    </xf>
    <xf numFmtId="3" fontId="12" fillId="3" borderId="31" xfId="55" applyNumberFormat="1" applyFont="1" applyFill="1" applyBorder="1" applyAlignment="1">
      <alignment horizontal="right" vertical="top" wrapText="1"/>
    </xf>
    <xf numFmtId="0" fontId="11" fillId="3" borderId="0" xfId="0" applyFont="1" applyFill="1" applyAlignment="1">
      <alignment vertical="top"/>
    </xf>
    <xf numFmtId="3" fontId="11" fillId="0" borderId="31" xfId="0" applyNumberFormat="1" applyFont="1" applyBorder="1" applyAlignment="1">
      <alignment vertical="top"/>
    </xf>
    <xf numFmtId="168" fontId="12" fillId="0" borderId="0" xfId="0" applyNumberFormat="1" applyFont="1" applyAlignment="1">
      <alignment horizontal="left" vertical="top"/>
    </xf>
    <xf numFmtId="14" fontId="11" fillId="0" borderId="0" xfId="0" applyNumberFormat="1" applyFont="1" applyAlignment="1">
      <alignment vertical="top"/>
    </xf>
    <xf numFmtId="0" fontId="11" fillId="0" borderId="0" xfId="0" applyFont="1" applyAlignment="1">
      <alignment horizontal="center"/>
    </xf>
    <xf numFmtId="49" fontId="13" fillId="0" borderId="31" xfId="56" applyNumberFormat="1" applyFont="1" applyBorder="1" applyAlignment="1">
      <alignment horizontal="left" vertical="top" wrapText="1"/>
    </xf>
    <xf numFmtId="0" fontId="16" fillId="0" borderId="0" xfId="0" applyFont="1"/>
    <xf numFmtId="0" fontId="13" fillId="11" borderId="31" xfId="56" applyNumberFormat="1" applyFont="1" applyFill="1" applyBorder="1" applyAlignment="1">
      <alignment horizontal="left" vertical="top" wrapText="1"/>
    </xf>
    <xf numFmtId="3" fontId="13" fillId="11" borderId="31" xfId="23" applyNumberFormat="1" applyFont="1" applyFill="1" applyBorder="1" applyAlignment="1">
      <alignment horizontal="right" vertical="top"/>
    </xf>
    <xf numFmtId="17" fontId="12" fillId="0" borderId="31" xfId="56" applyNumberFormat="1" applyFont="1" applyBorder="1" applyAlignment="1">
      <alignment horizontal="left" vertical="top" wrapText="1"/>
    </xf>
    <xf numFmtId="168" fontId="12" fillId="0" borderId="0" xfId="0" applyNumberFormat="1" applyFont="1" applyAlignment="1">
      <alignment horizontal="left"/>
    </xf>
    <xf numFmtId="195" fontId="13" fillId="0" borderId="0" xfId="23" applyNumberFormat="1" applyFont="1" applyAlignment="1">
      <alignment horizontal="right" vertical="top"/>
    </xf>
    <xf numFmtId="201" fontId="13" fillId="0" borderId="0" xfId="23" applyNumberFormat="1" applyFont="1" applyAlignment="1">
      <alignment horizontal="right" vertical="top"/>
    </xf>
    <xf numFmtId="181" fontId="13" fillId="0" borderId="0" xfId="2" applyNumberFormat="1" applyFont="1" applyFill="1" applyBorder="1" applyAlignment="1">
      <alignment horizontal="right" vertical="top"/>
    </xf>
    <xf numFmtId="0" fontId="16" fillId="0" borderId="0" xfId="0" applyFont="1" applyAlignment="1">
      <alignment horizontal="center"/>
    </xf>
    <xf numFmtId="49" fontId="8" fillId="0" borderId="72" xfId="0" applyNumberFormat="1" applyFont="1" applyBorder="1" applyAlignment="1">
      <alignment horizontal="left"/>
    </xf>
    <xf numFmtId="49" fontId="8" fillId="0" borderId="73" xfId="0" applyNumberFormat="1" applyFont="1" applyBorder="1" applyAlignment="1">
      <alignment horizontal="left"/>
    </xf>
    <xf numFmtId="195" fontId="11" fillId="0" borderId="0" xfId="0" applyNumberFormat="1" applyFont="1"/>
    <xf numFmtId="0" fontId="59" fillId="0" borderId="0" xfId="0" applyFont="1"/>
    <xf numFmtId="0" fontId="23" fillId="0" borderId="0" xfId="0" applyFont="1"/>
    <xf numFmtId="0" fontId="16" fillId="9" borderId="31" xfId="51" applyNumberFormat="1" applyFont="1" applyFill="1" applyBorder="1" applyAlignment="1">
      <alignment horizontal="center" vertical="center" wrapText="1"/>
    </xf>
    <xf numFmtId="0" fontId="23" fillId="0" borderId="0" xfId="0" applyFont="1" applyAlignment="1">
      <alignment horizontal="center"/>
    </xf>
    <xf numFmtId="3" fontId="13" fillId="0" borderId="31" xfId="1" applyNumberFormat="1" applyFont="1" applyFill="1" applyBorder="1" applyAlignment="1">
      <alignment horizontal="right" vertical="top"/>
    </xf>
    <xf numFmtId="0" fontId="32" fillId="0" borderId="0" xfId="0" applyFont="1"/>
    <xf numFmtId="3" fontId="13" fillId="11" borderId="31" xfId="1" applyNumberFormat="1" applyFont="1" applyFill="1" applyBorder="1" applyAlignment="1">
      <alignment horizontal="right" vertical="top"/>
    </xf>
    <xf numFmtId="3" fontId="12" fillId="0" borderId="31" xfId="1" applyNumberFormat="1" applyFont="1" applyFill="1" applyBorder="1" applyAlignment="1">
      <alignment horizontal="right" vertical="top"/>
    </xf>
    <xf numFmtId="0" fontId="14" fillId="3" borderId="0" xfId="57" applyNumberFormat="1" applyFont="1" applyFill="1" applyAlignment="1">
      <alignment horizontal="left" vertical="center"/>
    </xf>
    <xf numFmtId="0" fontId="16" fillId="9" borderId="31" xfId="57" applyNumberFormat="1" applyFont="1" applyFill="1" applyBorder="1" applyAlignment="1">
      <alignment horizontal="center" vertical="center" wrapText="1"/>
    </xf>
    <xf numFmtId="0" fontId="16" fillId="9" borderId="71" xfId="57" applyNumberFormat="1" applyFont="1" applyFill="1" applyBorder="1" applyAlignment="1">
      <alignment horizontal="center" vertical="center" wrapText="1"/>
    </xf>
    <xf numFmtId="49" fontId="13" fillId="0" borderId="31" xfId="57" applyNumberFormat="1" applyFont="1" applyBorder="1" applyAlignment="1">
      <alignment horizontal="left" vertical="top"/>
    </xf>
    <xf numFmtId="4" fontId="13" fillId="0" borderId="31" xfId="23" applyNumberFormat="1" applyFont="1" applyBorder="1" applyAlignment="1">
      <alignment horizontal="right" vertical="top"/>
    </xf>
    <xf numFmtId="0" fontId="13" fillId="11" borderId="31" xfId="57" applyNumberFormat="1" applyFont="1" applyFill="1" applyBorder="1" applyAlignment="1">
      <alignment horizontal="left" vertical="top"/>
    </xf>
    <xf numFmtId="4" fontId="13" fillId="11" borderId="31" xfId="23" applyNumberFormat="1" applyFont="1" applyFill="1" applyBorder="1" applyAlignment="1">
      <alignment horizontal="right" vertical="top"/>
    </xf>
    <xf numFmtId="4" fontId="12" fillId="0" borderId="31" xfId="23" applyNumberFormat="1" applyFont="1" applyBorder="1" applyAlignment="1">
      <alignment horizontal="right" vertical="top"/>
    </xf>
    <xf numFmtId="3" fontId="12" fillId="0" borderId="31" xfId="23" applyNumberFormat="1" applyFont="1" applyFill="1" applyBorder="1" applyAlignment="1">
      <alignment horizontal="right" vertical="top"/>
    </xf>
    <xf numFmtId="17" fontId="12" fillId="0" borderId="0" xfId="57" applyNumberFormat="1" applyFont="1" applyAlignment="1">
      <alignment horizontal="left" vertical="top"/>
    </xf>
    <xf numFmtId="3" fontId="12" fillId="0" borderId="0" xfId="23" applyNumberFormat="1" applyFont="1" applyAlignment="1">
      <alignment horizontal="right" vertical="top"/>
    </xf>
    <xf numFmtId="179" fontId="16" fillId="0" borderId="0" xfId="0" applyNumberFormat="1" applyFont="1" applyAlignment="1">
      <alignment horizontal="center"/>
    </xf>
    <xf numFmtId="197" fontId="11" fillId="0" borderId="0" xfId="0" applyNumberFormat="1" applyFont="1"/>
    <xf numFmtId="49" fontId="13" fillId="0" borderId="31" xfId="57" applyNumberFormat="1" applyFont="1" applyBorder="1" applyAlignment="1">
      <alignment horizontal="left" vertical="top" wrapText="1"/>
    </xf>
    <xf numFmtId="3" fontId="16" fillId="0" borderId="54" xfId="0" applyNumberFormat="1" applyFont="1" applyBorder="1"/>
    <xf numFmtId="4" fontId="16" fillId="0" borderId="54" xfId="0" applyNumberFormat="1" applyFont="1" applyBorder="1"/>
    <xf numFmtId="3" fontId="16" fillId="0" borderId="54" xfId="0" applyNumberFormat="1" applyFont="1" applyBorder="1" applyAlignment="1">
      <alignment horizontal="right"/>
    </xf>
    <xf numFmtId="4" fontId="16" fillId="0" borderId="54" xfId="0" applyNumberFormat="1" applyFont="1" applyBorder="1" applyAlignment="1">
      <alignment horizontal="right"/>
    </xf>
    <xf numFmtId="0" fontId="13" fillId="11" borderId="31" xfId="57" applyNumberFormat="1" applyFont="1" applyFill="1" applyBorder="1" applyAlignment="1">
      <alignment horizontal="left" vertical="top" wrapText="1"/>
    </xf>
    <xf numFmtId="4" fontId="12" fillId="0" borderId="31" xfId="23" applyNumberFormat="1" applyFont="1" applyBorder="1" applyAlignment="1">
      <alignment vertical="top"/>
    </xf>
    <xf numFmtId="4" fontId="11" fillId="0" borderId="31" xfId="1" applyNumberFormat="1" applyFont="1" applyFill="1" applyBorder="1" applyAlignment="1"/>
    <xf numFmtId="4" fontId="11" fillId="0" borderId="31" xfId="7" applyNumberFormat="1" applyFont="1" applyFill="1" applyBorder="1" applyAlignment="1"/>
    <xf numFmtId="3" fontId="11" fillId="0" borderId="31" xfId="29" applyNumberFormat="1" applyFont="1" applyFill="1" applyBorder="1" applyAlignment="1"/>
    <xf numFmtId="43" fontId="11" fillId="0" borderId="31" xfId="7" applyFont="1" applyFill="1" applyBorder="1" applyAlignment="1"/>
    <xf numFmtId="17" fontId="12" fillId="0" borderId="0" xfId="57" applyNumberFormat="1" applyFont="1" applyAlignment="1">
      <alignment horizontal="left" vertical="top" wrapText="1"/>
    </xf>
    <xf numFmtId="3" fontId="12" fillId="0" borderId="0" xfId="23" applyNumberFormat="1" applyFont="1" applyAlignment="1">
      <alignment vertical="top"/>
    </xf>
    <xf numFmtId="3" fontId="11" fillId="0" borderId="0" xfId="29" applyNumberFormat="1" applyFont="1" applyFill="1" applyBorder="1" applyAlignment="1"/>
    <xf numFmtId="43" fontId="11" fillId="0" borderId="0" xfId="7" applyFont="1" applyFill="1" applyBorder="1" applyAlignment="1"/>
    <xf numFmtId="0" fontId="16" fillId="9" borderId="31" xfId="58" applyNumberFormat="1" applyFont="1" applyFill="1" applyBorder="1" applyAlignment="1">
      <alignment horizontal="center" vertical="center" wrapText="1"/>
    </xf>
    <xf numFmtId="0" fontId="60" fillId="0" borderId="0" xfId="0" applyFont="1"/>
    <xf numFmtId="0" fontId="13" fillId="0" borderId="0" xfId="0" applyFont="1"/>
    <xf numFmtId="0" fontId="12" fillId="0" borderId="0" xfId="0" applyFont="1"/>
    <xf numFmtId="49" fontId="8" fillId="0" borderId="74" xfId="0" applyNumberFormat="1" applyFont="1" applyBorder="1" applyAlignment="1">
      <alignment horizontal="left"/>
    </xf>
    <xf numFmtId="195" fontId="12" fillId="0" borderId="31" xfId="23" applyNumberFormat="1" applyFont="1" applyBorder="1" applyAlignment="1">
      <alignment vertical="top"/>
    </xf>
    <xf numFmtId="196" fontId="12" fillId="0" borderId="31" xfId="23" applyNumberFormat="1" applyFont="1" applyBorder="1" applyAlignment="1">
      <alignment vertical="top"/>
    </xf>
    <xf numFmtId="3" fontId="12" fillId="3" borderId="0" xfId="23" applyNumberFormat="1" applyFont="1" applyFill="1" applyAlignment="1">
      <alignment vertical="top"/>
    </xf>
    <xf numFmtId="3" fontId="11" fillId="0" borderId="0" xfId="1" applyNumberFormat="1" applyFont="1" applyBorder="1" applyAlignment="1"/>
    <xf numFmtId="3" fontId="11" fillId="0" borderId="0" xfId="1" applyNumberFormat="1" applyFont="1" applyFill="1" applyBorder="1" applyAlignment="1"/>
    <xf numFmtId="193" fontId="16" fillId="0" borderId="37" xfId="59" applyFont="1" applyBorder="1" applyAlignment="1">
      <alignment horizontal="left" vertical="top"/>
    </xf>
    <xf numFmtId="193" fontId="16" fillId="0" borderId="0" xfId="59" applyFont="1" applyBorder="1" applyAlignment="1">
      <alignment horizontal="left" vertical="top"/>
    </xf>
    <xf numFmtId="193" fontId="38" fillId="0" borderId="0" xfId="59" applyFont="1" applyAlignment="1">
      <alignment horizontal="centerContinuous" vertical="top"/>
    </xf>
    <xf numFmtId="193" fontId="14" fillId="0" borderId="31" xfId="59" applyFont="1" applyBorder="1" applyAlignment="1">
      <alignment vertical="center"/>
    </xf>
    <xf numFmtId="193" fontId="16" fillId="0" borderId="31" xfId="59" applyFont="1" applyBorder="1" applyAlignment="1">
      <alignment horizontal="center" vertical="center" wrapText="1"/>
    </xf>
    <xf numFmtId="193" fontId="11" fillId="0" borderId="0" xfId="59" applyFont="1"/>
    <xf numFmtId="167" fontId="14" fillId="0" borderId="31" xfId="26" applyNumberFormat="1" applyFont="1" applyFill="1" applyBorder="1"/>
    <xf numFmtId="17" fontId="12" fillId="0" borderId="31" xfId="59" applyNumberFormat="1" applyFont="1" applyBorder="1" applyAlignment="1">
      <alignment horizontal="left" vertical="top" wrapText="1"/>
    </xf>
    <xf numFmtId="1" fontId="10" fillId="0" borderId="31" xfId="26" applyNumberFormat="1" applyFont="1" applyFill="1" applyBorder="1"/>
    <xf numFmtId="167" fontId="10" fillId="0" borderId="31" xfId="26" applyNumberFormat="1" applyFont="1" applyFill="1" applyBorder="1"/>
    <xf numFmtId="1" fontId="10" fillId="0" borderId="31" xfId="26" quotePrefix="1" applyNumberFormat="1" applyFont="1" applyFill="1" applyBorder="1" applyAlignment="1">
      <alignment horizontal="right"/>
    </xf>
    <xf numFmtId="0" fontId="2" fillId="0" borderId="0" xfId="0" applyFont="1"/>
    <xf numFmtId="49" fontId="8" fillId="0" borderId="77" xfId="0" applyNumberFormat="1" applyFont="1" applyBorder="1" applyAlignment="1">
      <alignment horizontal="left"/>
    </xf>
    <xf numFmtId="1" fontId="14" fillId="0" borderId="31" xfId="26" applyNumberFormat="1" applyFont="1" applyFill="1" applyBorder="1" applyAlignment="1">
      <alignment horizontal="right"/>
    </xf>
    <xf numFmtId="193" fontId="16" fillId="0" borderId="0" xfId="59" applyFont="1"/>
    <xf numFmtId="49" fontId="8" fillId="0" borderId="78" xfId="0" applyNumberFormat="1" applyFont="1" applyBorder="1" applyAlignment="1">
      <alignment horizontal="left"/>
    </xf>
    <xf numFmtId="1" fontId="10" fillId="0" borderId="31" xfId="26" applyNumberFormat="1" applyFont="1" applyFill="1" applyBorder="1" applyAlignment="1">
      <alignment horizontal="right"/>
    </xf>
    <xf numFmtId="49" fontId="8" fillId="0" borderId="81" xfId="0" applyNumberFormat="1" applyFont="1" applyBorder="1" applyAlignment="1">
      <alignment horizontal="left"/>
    </xf>
    <xf numFmtId="49" fontId="8" fillId="0" borderId="82" xfId="0" applyNumberFormat="1" applyFont="1" applyBorder="1" applyAlignment="1">
      <alignment horizontal="left"/>
    </xf>
    <xf numFmtId="167" fontId="10" fillId="0" borderId="31" xfId="26" applyNumberFormat="1" applyFont="1" applyFill="1" applyBorder="1" applyAlignment="1">
      <alignment horizontal="right"/>
    </xf>
    <xf numFmtId="49" fontId="8" fillId="0" borderId="85" xfId="0" applyNumberFormat="1" applyFont="1" applyBorder="1" applyAlignment="1">
      <alignment horizontal="left"/>
    </xf>
    <xf numFmtId="1" fontId="14" fillId="0" borderId="31" xfId="26" quotePrefix="1" applyNumberFormat="1" applyFont="1" applyFill="1" applyBorder="1" applyAlignment="1">
      <alignment horizontal="right"/>
    </xf>
    <xf numFmtId="49" fontId="8" fillId="0" borderId="86" xfId="0" applyNumberFormat="1" applyFont="1" applyBorder="1" applyAlignment="1">
      <alignment horizontal="left"/>
    </xf>
    <xf numFmtId="1" fontId="14" fillId="3" borderId="31" xfId="26" quotePrefix="1" applyNumberFormat="1" applyFont="1" applyFill="1" applyBorder="1" applyAlignment="1">
      <alignment horizontal="right"/>
    </xf>
    <xf numFmtId="193" fontId="11" fillId="0" borderId="89" xfId="59" applyFont="1" applyBorder="1"/>
    <xf numFmtId="17" fontId="13" fillId="9" borderId="31" xfId="27" applyNumberFormat="1" applyFont="1" applyFill="1" applyBorder="1" applyAlignment="1">
      <alignment horizontal="center" vertical="center" wrapText="1"/>
    </xf>
    <xf numFmtId="198" fontId="10" fillId="0" borderId="31" xfId="60" applyNumberFormat="1" applyFont="1" applyBorder="1" applyAlignment="1">
      <alignment horizontal="left" vertical="top"/>
    </xf>
    <xf numFmtId="198" fontId="62" fillId="3" borderId="31" xfId="0" quotePrefix="1" applyNumberFormat="1" applyFont="1" applyFill="1" applyBorder="1" applyAlignment="1">
      <alignment horizontal="center" vertical="top"/>
    </xf>
    <xf numFmtId="167" fontId="10" fillId="3" borderId="31" xfId="7" applyNumberFormat="1" applyFont="1" applyFill="1" applyBorder="1" applyAlignment="1">
      <alignment horizontal="right" vertical="top"/>
    </xf>
    <xf numFmtId="3" fontId="10" fillId="3" borderId="31" xfId="7" applyNumberFormat="1" applyFont="1" applyFill="1" applyBorder="1" applyAlignment="1">
      <alignment horizontal="right" vertical="top"/>
    </xf>
    <xf numFmtId="196" fontId="10" fillId="3" borderId="31" xfId="0" applyNumberFormat="1" applyFont="1" applyFill="1" applyBorder="1" applyAlignment="1">
      <alignment horizontal="left" vertical="top"/>
    </xf>
    <xf numFmtId="196" fontId="10" fillId="3" borderId="31" xfId="1" applyNumberFormat="1" applyFont="1" applyFill="1" applyBorder="1" applyAlignment="1">
      <alignment horizontal="right" vertical="top"/>
    </xf>
    <xf numFmtId="198" fontId="10" fillId="3" borderId="31" xfId="60" applyNumberFormat="1" applyFont="1" applyFill="1" applyBorder="1" applyAlignment="1">
      <alignment horizontal="left" vertical="top"/>
    </xf>
    <xf numFmtId="3" fontId="62" fillId="9" borderId="31" xfId="7" applyNumberFormat="1" applyFont="1" applyFill="1" applyBorder="1" applyAlignment="1">
      <alignment horizontal="left" vertical="top" wrapText="1"/>
    </xf>
    <xf numFmtId="3" fontId="62" fillId="9" borderId="31" xfId="7" applyNumberFormat="1" applyFont="1" applyFill="1" applyBorder="1" applyAlignment="1">
      <alignment horizontal="right" vertical="top"/>
    </xf>
    <xf numFmtId="167" fontId="62" fillId="9" borderId="31" xfId="7" applyNumberFormat="1" applyFont="1" applyFill="1" applyBorder="1" applyAlignment="1">
      <alignment horizontal="right" vertical="top"/>
    </xf>
    <xf numFmtId="3" fontId="62" fillId="9" borderId="31" xfId="7" applyNumberFormat="1" applyFont="1" applyFill="1" applyBorder="1" applyAlignment="1">
      <alignment horizontal="left" vertical="top"/>
    </xf>
    <xf numFmtId="196" fontId="62" fillId="9" borderId="31" xfId="7" applyNumberFormat="1" applyFont="1" applyFill="1" applyBorder="1" applyAlignment="1">
      <alignment horizontal="left" vertical="top"/>
    </xf>
    <xf numFmtId="196" fontId="62" fillId="9" borderId="31" xfId="1" applyNumberFormat="1" applyFont="1" applyFill="1" applyBorder="1" applyAlignment="1">
      <alignment horizontal="right" vertical="top"/>
    </xf>
    <xf numFmtId="3" fontId="62" fillId="3" borderId="31" xfId="7" quotePrefix="1" applyNumberFormat="1" applyFont="1" applyFill="1" applyBorder="1" applyAlignment="1">
      <alignment horizontal="center" vertical="top"/>
    </xf>
    <xf numFmtId="167" fontId="10" fillId="0" borderId="31" xfId="7" applyNumberFormat="1" applyFont="1" applyFill="1" applyBorder="1" applyAlignment="1">
      <alignment horizontal="right" vertical="top"/>
    </xf>
    <xf numFmtId="198" fontId="10" fillId="0" borderId="31" xfId="0" applyNumberFormat="1" applyFont="1" applyBorder="1" applyAlignment="1">
      <alignment horizontal="left" vertical="top"/>
    </xf>
    <xf numFmtId="196" fontId="10" fillId="3" borderId="31" xfId="7" applyNumberFormat="1" applyFont="1" applyFill="1" applyBorder="1" applyAlignment="1">
      <alignment horizontal="right" vertical="top"/>
    </xf>
    <xf numFmtId="198" fontId="10" fillId="3" borderId="31" xfId="0" applyNumberFormat="1" applyFont="1" applyFill="1" applyBorder="1" applyAlignment="1">
      <alignment horizontal="left" vertical="top"/>
    </xf>
    <xf numFmtId="43" fontId="10" fillId="3" borderId="31" xfId="7" applyFont="1" applyFill="1" applyBorder="1" applyAlignment="1">
      <alignment horizontal="right" vertical="top"/>
    </xf>
    <xf numFmtId="3" fontId="11" fillId="3" borderId="31" xfId="7" applyNumberFormat="1" applyFont="1" applyFill="1" applyBorder="1" applyAlignment="1">
      <alignment horizontal="right" vertical="top"/>
    </xf>
    <xf numFmtId="196" fontId="10" fillId="3" borderId="31" xfId="0" applyNumberFormat="1" applyFont="1" applyFill="1" applyBorder="1" applyAlignment="1">
      <alignment horizontal="right" vertical="top"/>
    </xf>
    <xf numFmtId="192" fontId="10" fillId="3" borderId="31" xfId="7" applyNumberFormat="1" applyFont="1" applyFill="1" applyBorder="1" applyAlignment="1">
      <alignment horizontal="right" vertical="top"/>
    </xf>
    <xf numFmtId="3" fontId="62" fillId="9" borderId="31" xfId="7" applyNumberFormat="1" applyFont="1" applyFill="1" applyBorder="1" applyAlignment="1">
      <alignment horizontal="center" vertical="top"/>
    </xf>
    <xf numFmtId="1" fontId="10" fillId="0" borderId="31" xfId="7" applyNumberFormat="1" applyFont="1" applyFill="1" applyBorder="1" applyAlignment="1">
      <alignment horizontal="right" vertical="top"/>
    </xf>
    <xf numFmtId="1" fontId="10" fillId="3" borderId="31" xfId="7" applyNumberFormat="1" applyFont="1" applyFill="1" applyBorder="1" applyAlignment="1">
      <alignment horizontal="right" vertical="top"/>
    </xf>
    <xf numFmtId="198" fontId="62" fillId="0" borderId="31" xfId="60" quotePrefix="1" applyNumberFormat="1" applyFont="1" applyBorder="1" applyAlignment="1">
      <alignment horizontal="center" vertical="top" wrapText="1"/>
    </xf>
    <xf numFmtId="3" fontId="10" fillId="0" borderId="31" xfId="7" applyNumberFormat="1" applyFont="1" applyFill="1" applyBorder="1" applyAlignment="1">
      <alignment horizontal="right" vertical="top"/>
    </xf>
    <xf numFmtId="1" fontId="10" fillId="3" borderId="31" xfId="7" applyNumberFormat="1" applyFont="1" applyFill="1" applyBorder="1" applyAlignment="1">
      <alignment horizontal="right" vertical="center"/>
    </xf>
    <xf numFmtId="198" fontId="10" fillId="3" borderId="31" xfId="60" applyNumberFormat="1" applyFont="1" applyFill="1" applyBorder="1" applyAlignment="1">
      <alignment horizontal="left" vertical="top" wrapText="1"/>
    </xf>
    <xf numFmtId="3" fontId="62" fillId="0" borderId="31" xfId="7" quotePrefix="1" applyNumberFormat="1" applyFont="1" applyFill="1" applyBorder="1" applyAlignment="1">
      <alignment horizontal="center" vertical="top"/>
    </xf>
    <xf numFmtId="196" fontId="62" fillId="3" borderId="31" xfId="0" quotePrefix="1" applyNumberFormat="1" applyFont="1" applyFill="1" applyBorder="1" applyAlignment="1">
      <alignment horizontal="left" vertical="top"/>
    </xf>
    <xf numFmtId="1" fontId="10" fillId="3" borderId="31" xfId="1" applyNumberFormat="1" applyFont="1" applyFill="1" applyBorder="1" applyAlignment="1">
      <alignment horizontal="right" vertical="top"/>
    </xf>
    <xf numFmtId="196" fontId="12" fillId="9" borderId="31" xfId="60" applyNumberFormat="1" applyFont="1" applyFill="1" applyBorder="1" applyAlignment="1">
      <alignment horizontal="center" vertical="center" wrapText="1"/>
    </xf>
    <xf numFmtId="196" fontId="13" fillId="9" borderId="31" xfId="60" applyNumberFormat="1" applyFont="1" applyFill="1" applyBorder="1" applyAlignment="1">
      <alignment horizontal="center" vertical="center" wrapText="1"/>
    </xf>
    <xf numFmtId="196" fontId="63" fillId="9" borderId="31" xfId="60" applyNumberFormat="1" applyFont="1" applyFill="1" applyBorder="1" applyAlignment="1">
      <alignment horizontal="center" vertical="center" wrapText="1"/>
    </xf>
    <xf numFmtId="167" fontId="64" fillId="9" borderId="31" xfId="7" applyNumberFormat="1" applyFont="1" applyFill="1" applyBorder="1" applyAlignment="1">
      <alignment horizontal="right" vertical="top"/>
    </xf>
    <xf numFmtId="3" fontId="64" fillId="9" borderId="31" xfId="7" applyNumberFormat="1" applyFont="1" applyFill="1" applyBorder="1" applyAlignment="1">
      <alignment horizontal="right" vertical="top"/>
    </xf>
    <xf numFmtId="196" fontId="13" fillId="9" borderId="31" xfId="0" applyNumberFormat="1" applyFont="1" applyFill="1" applyBorder="1" applyAlignment="1">
      <alignment horizontal="center" vertical="center" wrapText="1"/>
    </xf>
    <xf numFmtId="196" fontId="13" fillId="9" borderId="31" xfId="1" applyNumberFormat="1" applyFont="1" applyFill="1" applyBorder="1" applyAlignment="1">
      <alignment horizontal="right" vertical="center" wrapText="1"/>
    </xf>
    <xf numFmtId="167" fontId="12" fillId="0" borderId="31" xfId="7" applyNumberFormat="1" applyFont="1" applyFill="1" applyBorder="1" applyAlignment="1">
      <alignment horizontal="right" vertical="top"/>
    </xf>
    <xf numFmtId="167" fontId="12" fillId="3" borderId="31" xfId="7" applyNumberFormat="1" applyFont="1" applyFill="1" applyBorder="1" applyAlignment="1">
      <alignment horizontal="right" vertical="top"/>
    </xf>
    <xf numFmtId="196" fontId="10" fillId="0" borderId="31" xfId="0" applyNumberFormat="1" applyFont="1" applyBorder="1" applyAlignment="1">
      <alignment horizontal="right" vertical="top"/>
    </xf>
    <xf numFmtId="3" fontId="62" fillId="9" borderId="31" xfId="1" applyNumberFormat="1" applyFont="1" applyFill="1" applyBorder="1" applyAlignment="1">
      <alignment horizontal="right" vertical="top"/>
    </xf>
    <xf numFmtId="198" fontId="12" fillId="0" borderId="31" xfId="60" applyNumberFormat="1" applyFont="1" applyBorder="1" applyAlignment="1">
      <alignment horizontal="left" vertical="top" wrapText="1"/>
    </xf>
    <xf numFmtId="196" fontId="12" fillId="0" borderId="31" xfId="1" applyNumberFormat="1" applyFont="1" applyFill="1" applyBorder="1" applyAlignment="1">
      <alignment horizontal="right" vertical="top" wrapText="1"/>
    </xf>
    <xf numFmtId="198" fontId="62" fillId="9" borderId="31" xfId="7" applyNumberFormat="1" applyFont="1" applyFill="1" applyBorder="1" applyAlignment="1">
      <alignment horizontal="left" vertical="top"/>
    </xf>
    <xf numFmtId="196" fontId="63" fillId="9" borderId="31" xfId="0" applyNumberFormat="1" applyFont="1" applyFill="1" applyBorder="1" applyAlignment="1">
      <alignment horizontal="center" vertical="center" wrapText="1"/>
    </xf>
    <xf numFmtId="198" fontId="13" fillId="9" borderId="31" xfId="0" applyNumberFormat="1" applyFont="1" applyFill="1" applyBorder="1" applyAlignment="1">
      <alignment horizontal="center" vertical="center" wrapText="1"/>
    </xf>
    <xf numFmtId="0" fontId="13" fillId="0" borderId="0" xfId="0" applyFont="1" applyAlignment="1">
      <alignment horizontal="center" vertical="top" wrapText="1"/>
    </xf>
    <xf numFmtId="0" fontId="65" fillId="0" borderId="0" xfId="0" applyFont="1" applyAlignment="1">
      <alignment horizontal="center" vertical="top" wrapText="1"/>
    </xf>
    <xf numFmtId="0" fontId="16" fillId="0" borderId="0" xfId="0" applyFont="1" applyAlignment="1">
      <alignment horizontal="left"/>
    </xf>
    <xf numFmtId="0" fontId="11" fillId="0" borderId="0" xfId="0" applyFont="1" applyAlignment="1">
      <alignment horizontal="left"/>
    </xf>
    <xf numFmtId="0" fontId="59" fillId="0" borderId="0" xfId="0" applyFont="1" applyAlignment="1">
      <alignment horizontal="center"/>
    </xf>
    <xf numFmtId="181" fontId="11" fillId="0" borderId="0" xfId="2" applyNumberFormat="1" applyFont="1" applyFill="1" applyBorder="1" applyAlignment="1">
      <alignment horizontal="left"/>
    </xf>
    <xf numFmtId="0" fontId="11" fillId="3" borderId="0" xfId="0" applyFont="1" applyFill="1" applyAlignment="1">
      <alignment horizontal="left"/>
    </xf>
    <xf numFmtId="0" fontId="36" fillId="0" borderId="0" xfId="0" applyFont="1" applyAlignment="1">
      <alignment vertical="center"/>
    </xf>
    <xf numFmtId="3" fontId="39" fillId="3" borderId="31" xfId="1" applyNumberFormat="1" applyFont="1" applyFill="1" applyBorder="1" applyAlignment="1">
      <alignment horizontal="right" vertical="top"/>
    </xf>
    <xf numFmtId="43" fontId="42" fillId="3" borderId="31" xfId="1" applyFont="1" applyFill="1" applyBorder="1" applyAlignment="1">
      <alignment horizontal="right" vertical="center"/>
    </xf>
    <xf numFmtId="3" fontId="39" fillId="0" borderId="31" xfId="0" applyNumberFormat="1" applyFont="1" applyBorder="1" applyAlignment="1">
      <alignment horizontal="center" vertical="top"/>
    </xf>
    <xf numFmtId="43" fontId="39" fillId="3" borderId="31" xfId="1" applyFont="1" applyFill="1" applyBorder="1" applyAlignment="1">
      <alignment horizontal="right" vertical="top"/>
    </xf>
    <xf numFmtId="3" fontId="41" fillId="9" borderId="31" xfId="1" applyNumberFormat="1" applyFont="1" applyFill="1" applyBorder="1" applyAlignment="1">
      <alignment horizontal="right" vertical="top"/>
    </xf>
    <xf numFmtId="198" fontId="39" fillId="0" borderId="31" xfId="0" applyNumberFormat="1" applyFont="1" applyBorder="1" applyAlignment="1">
      <alignment horizontal="left" vertical="top"/>
    </xf>
    <xf numFmtId="3" fontId="39" fillId="0" borderId="31" xfId="1" applyNumberFormat="1" applyFont="1" applyFill="1" applyBorder="1" applyAlignment="1">
      <alignment horizontal="right" vertical="top"/>
    </xf>
    <xf numFmtId="3" fontId="39" fillId="0" borderId="31" xfId="1" applyNumberFormat="1" applyFont="1" applyFill="1" applyBorder="1" applyAlignment="1">
      <alignment horizontal="center" vertical="top"/>
    </xf>
    <xf numFmtId="198" fontId="39" fillId="0" borderId="31" xfId="62" applyNumberFormat="1" applyFont="1" applyBorder="1" applyAlignment="1">
      <alignment horizontal="left" vertical="top" wrapText="1"/>
    </xf>
    <xf numFmtId="3" fontId="42" fillId="3" borderId="31" xfId="1" applyNumberFormat="1" applyFont="1" applyFill="1" applyBorder="1" applyAlignment="1">
      <alignment horizontal="right" vertical="center"/>
    </xf>
    <xf numFmtId="193" fontId="39" fillId="9" borderId="31" xfId="62" applyFont="1" applyFill="1" applyBorder="1" applyAlignment="1">
      <alignment horizontal="left" vertical="top" wrapText="1"/>
    </xf>
    <xf numFmtId="3" fontId="39" fillId="9" borderId="31" xfId="1" applyNumberFormat="1" applyFont="1" applyFill="1" applyBorder="1" applyAlignment="1">
      <alignment horizontal="right" vertical="top"/>
    </xf>
    <xf numFmtId="4" fontId="39" fillId="9" borderId="31" xfId="1" applyNumberFormat="1" applyFont="1" applyFill="1" applyBorder="1" applyAlignment="1">
      <alignment horizontal="right" vertical="top"/>
    </xf>
    <xf numFmtId="193" fontId="39" fillId="9" borderId="31" xfId="62" applyFont="1" applyFill="1" applyBorder="1" applyAlignment="1">
      <alignment horizontal="left" vertical="top"/>
    </xf>
    <xf numFmtId="43" fontId="39" fillId="9" borderId="31" xfId="1" applyFont="1" applyFill="1" applyBorder="1" applyAlignment="1">
      <alignment horizontal="right" vertical="top"/>
    </xf>
    <xf numFmtId="4" fontId="39" fillId="3" borderId="31" xfId="1" applyNumberFormat="1" applyFont="1" applyFill="1" applyBorder="1" applyAlignment="1">
      <alignment horizontal="right" vertical="top"/>
    </xf>
    <xf numFmtId="186" fontId="39" fillId="3" borderId="31" xfId="1" applyNumberFormat="1" applyFont="1" applyFill="1" applyBorder="1" applyAlignment="1">
      <alignment horizontal="right" vertical="top"/>
    </xf>
    <xf numFmtId="198" fontId="39" fillId="3" borderId="31" xfId="0" applyNumberFormat="1" applyFont="1" applyFill="1" applyBorder="1" applyAlignment="1">
      <alignment horizontal="right" vertical="top"/>
    </xf>
    <xf numFmtId="186" fontId="39" fillId="9" borderId="31" xfId="1" applyNumberFormat="1" applyFont="1" applyFill="1" applyBorder="1" applyAlignment="1">
      <alignment horizontal="right" vertical="top"/>
    </xf>
    <xf numFmtId="186" fontId="39" fillId="9" borderId="31" xfId="1" applyNumberFormat="1" applyFont="1" applyFill="1" applyBorder="1" applyAlignment="1">
      <alignment vertical="top"/>
    </xf>
    <xf numFmtId="4" fontId="39" fillId="3" borderId="31" xfId="0" applyNumberFormat="1" applyFont="1" applyFill="1" applyBorder="1" applyAlignment="1">
      <alignment horizontal="right" vertical="top"/>
    </xf>
    <xf numFmtId="186" fontId="39" fillId="3" borderId="31" xfId="0" applyNumberFormat="1" applyFont="1" applyFill="1" applyBorder="1" applyAlignment="1">
      <alignment horizontal="right" vertical="top"/>
    </xf>
    <xf numFmtId="193" fontId="39" fillId="9" borderId="31" xfId="62" applyFont="1" applyFill="1" applyBorder="1" applyAlignment="1">
      <alignment horizontal="left" vertical="center" wrapText="1"/>
    </xf>
    <xf numFmtId="3" fontId="39" fillId="9" borderId="31" xfId="1" applyNumberFormat="1" applyFont="1" applyFill="1" applyBorder="1" applyAlignment="1">
      <alignment horizontal="right" vertical="center"/>
    </xf>
    <xf numFmtId="186" fontId="39" fillId="9" borderId="31" xfId="1" applyNumberFormat="1" applyFont="1" applyFill="1" applyBorder="1" applyAlignment="1">
      <alignment horizontal="right" vertical="center"/>
    </xf>
    <xf numFmtId="193" fontId="39" fillId="3" borderId="31" xfId="62" applyFont="1" applyFill="1" applyBorder="1" applyAlignment="1">
      <alignment horizontal="center" vertical="center"/>
    </xf>
    <xf numFmtId="3" fontId="39" fillId="3" borderId="31" xfId="62" applyNumberFormat="1" applyFont="1" applyFill="1" applyBorder="1" applyAlignment="1">
      <alignment horizontal="right" vertical="center"/>
    </xf>
    <xf numFmtId="0" fontId="40" fillId="0" borderId="0" xfId="0" applyFont="1" applyAlignment="1">
      <alignment horizontal="left"/>
    </xf>
    <xf numFmtId="195" fontId="35" fillId="3" borderId="0" xfId="23" applyNumberFormat="1" applyFont="1" applyFill="1" applyAlignment="1">
      <alignment horizontal="right" vertical="top"/>
    </xf>
    <xf numFmtId="198" fontId="39" fillId="3" borderId="0" xfId="0" applyNumberFormat="1" applyFont="1" applyFill="1" applyAlignment="1">
      <alignment horizontal="right" vertical="top"/>
    </xf>
    <xf numFmtId="0" fontId="23" fillId="3" borderId="0" xfId="0" applyFont="1" applyFill="1" applyAlignment="1">
      <alignment horizontal="left" vertical="top"/>
    </xf>
    <xf numFmtId="0" fontId="40" fillId="0" borderId="0" xfId="0" applyFont="1" applyAlignment="1">
      <alignment horizontal="right"/>
    </xf>
    <xf numFmtId="0" fontId="23" fillId="3" borderId="0" xfId="0" applyFont="1" applyFill="1" applyAlignment="1">
      <alignment horizontal="left" vertical="top" wrapText="1"/>
    </xf>
    <xf numFmtId="0" fontId="40" fillId="0" borderId="0" xfId="0" applyFont="1" applyAlignment="1">
      <alignment wrapText="1"/>
    </xf>
    <xf numFmtId="43" fontId="11" fillId="0" borderId="31" xfId="1" applyNumberFormat="1" applyFont="1" applyFill="1" applyBorder="1" applyAlignment="1">
      <alignment horizontal="right" vertical="center" wrapText="1"/>
    </xf>
    <xf numFmtId="3" fontId="11" fillId="0" borderId="31" xfId="0" applyNumberFormat="1" applyFont="1" applyBorder="1" applyAlignment="1">
      <alignment horizontal="right" vertical="center"/>
    </xf>
    <xf numFmtId="0" fontId="11" fillId="0" borderId="31" xfId="0" applyFont="1" applyBorder="1" applyAlignment="1">
      <alignment horizontal="right" vertical="center"/>
    </xf>
    <xf numFmtId="43" fontId="11" fillId="0" borderId="31" xfId="1" applyFont="1" applyBorder="1" applyAlignment="1">
      <alignment horizontal="right" vertical="center"/>
    </xf>
    <xf numFmtId="49" fontId="8" fillId="2" borderId="1" xfId="8" applyNumberFormat="1" applyFont="1" applyFill="1" applyBorder="1" applyAlignment="1">
      <alignment horizontal="center"/>
    </xf>
    <xf numFmtId="49" fontId="8" fillId="3" borderId="1" xfId="8" applyNumberFormat="1" applyFont="1" applyFill="1" applyBorder="1" applyAlignment="1">
      <alignment horizontal="left"/>
    </xf>
    <xf numFmtId="164" fontId="9" fillId="2" borderId="1" xfId="8" applyNumberFormat="1" applyFont="1" applyFill="1" applyBorder="1" applyAlignment="1">
      <alignment horizontal="right"/>
    </xf>
    <xf numFmtId="49" fontId="8" fillId="2" borderId="1" xfId="8" applyNumberFormat="1" applyFont="1" applyFill="1" applyBorder="1" applyAlignment="1">
      <alignment horizontal="center" vertical="center" wrapText="1"/>
    </xf>
    <xf numFmtId="164" fontId="8" fillId="9" borderId="12" xfId="8" applyNumberFormat="1" applyFont="1" applyFill="1" applyBorder="1" applyAlignment="1">
      <alignment horizontal="right"/>
    </xf>
    <xf numFmtId="167" fontId="8" fillId="2" borderId="1" xfId="1" applyNumberFormat="1" applyFont="1" applyFill="1" applyBorder="1" applyAlignment="1">
      <alignment horizontal="right"/>
    </xf>
    <xf numFmtId="172" fontId="8" fillId="2" borderId="12" xfId="8" applyNumberFormat="1" applyFont="1" applyFill="1" applyBorder="1" applyAlignment="1">
      <alignment horizontal="right"/>
    </xf>
    <xf numFmtId="164" fontId="8" fillId="0" borderId="12" xfId="8" applyNumberFormat="1" applyFont="1" applyFill="1" applyBorder="1" applyAlignment="1">
      <alignment horizontal="right"/>
    </xf>
    <xf numFmtId="49" fontId="8" fillId="2" borderId="64" xfId="8" applyNumberFormat="1" applyFont="1" applyFill="1" applyBorder="1" applyAlignment="1">
      <alignment vertical="center"/>
    </xf>
    <xf numFmtId="49" fontId="8" fillId="2" borderId="64" xfId="8" applyNumberFormat="1" applyFont="1" applyFill="1" applyBorder="1" applyAlignment="1">
      <alignment vertical="center" wrapText="1"/>
    </xf>
    <xf numFmtId="49" fontId="8" fillId="3" borderId="1" xfId="8" applyNumberFormat="1" applyFont="1" applyFill="1" applyBorder="1" applyAlignment="1">
      <alignment horizontal="center"/>
    </xf>
    <xf numFmtId="0" fontId="9" fillId="2" borderId="1" xfId="8" applyFont="1" applyFill="1" applyBorder="1" applyAlignment="1">
      <alignment horizontal="right"/>
    </xf>
    <xf numFmtId="49" fontId="9" fillId="2" borderId="1" xfId="8" applyNumberFormat="1" applyFont="1" applyFill="1" applyBorder="1" applyAlignment="1">
      <alignment horizontal="left"/>
    </xf>
    <xf numFmtId="177" fontId="9" fillId="2" borderId="1" xfId="8" applyNumberFormat="1" applyFont="1" applyFill="1" applyBorder="1" applyAlignment="1">
      <alignment horizontal="right"/>
    </xf>
    <xf numFmtId="177" fontId="9" fillId="0" borderId="1" xfId="8" applyNumberFormat="1" applyFont="1" applyFill="1" applyBorder="1" applyAlignment="1">
      <alignment horizontal="right"/>
    </xf>
    <xf numFmtId="178" fontId="9" fillId="12" borderId="1" xfId="8" applyNumberFormat="1" applyFont="1" applyFill="1" applyBorder="1" applyAlignment="1">
      <alignment horizontal="right"/>
    </xf>
    <xf numFmtId="177" fontId="8" fillId="2" borderId="1" xfId="8" applyNumberFormat="1" applyFont="1" applyFill="1" applyBorder="1" applyAlignment="1">
      <alignment horizontal="right"/>
    </xf>
    <xf numFmtId="177" fontId="8" fillId="0" borderId="12" xfId="8" applyNumberFormat="1" applyFont="1" applyFill="1" applyBorder="1" applyAlignment="1">
      <alignment horizontal="right"/>
    </xf>
    <xf numFmtId="49" fontId="8" fillId="2" borderId="12" xfId="8" applyNumberFormat="1" applyFont="1" applyFill="1" applyBorder="1" applyAlignment="1">
      <alignment horizontal="center" vertical="center"/>
    </xf>
    <xf numFmtId="177" fontId="8" fillId="0" borderId="1" xfId="8" applyNumberFormat="1" applyFont="1" applyFill="1" applyBorder="1" applyAlignment="1">
      <alignment horizontal="right"/>
    </xf>
    <xf numFmtId="179" fontId="8" fillId="2" borderId="1" xfId="8" applyNumberFormat="1" applyFont="1" applyFill="1" applyBorder="1" applyAlignment="1">
      <alignment horizontal="right"/>
    </xf>
    <xf numFmtId="179" fontId="8" fillId="2" borderId="12" xfId="8" applyNumberFormat="1" applyFont="1" applyFill="1" applyBorder="1" applyAlignment="1">
      <alignment horizontal="right"/>
    </xf>
    <xf numFmtId="49" fontId="8" fillId="2" borderId="1" xfId="8" applyNumberFormat="1" applyFont="1" applyFill="1" applyBorder="1" applyAlignment="1">
      <alignment horizontal="center" vertical="top" wrapText="1"/>
    </xf>
    <xf numFmtId="0" fontId="8" fillId="2" borderId="12" xfId="8" applyFont="1" applyFill="1" applyBorder="1" applyAlignment="1">
      <alignment horizontal="center" vertical="top" wrapText="1"/>
    </xf>
    <xf numFmtId="49" fontId="8" fillId="2" borderId="12" xfId="8" applyNumberFormat="1" applyFont="1" applyFill="1" applyBorder="1" applyAlignment="1">
      <alignment horizontal="center" vertical="top" wrapText="1"/>
    </xf>
    <xf numFmtId="0" fontId="8" fillId="0" borderId="12" xfId="8" applyFont="1" applyFill="1" applyBorder="1" applyAlignment="1">
      <alignment horizontal="center" vertical="top" wrapText="1"/>
    </xf>
    <xf numFmtId="49" fontId="24" fillId="2" borderId="1" xfId="8" applyNumberFormat="1" applyFont="1" applyFill="1" applyBorder="1" applyAlignment="1">
      <alignment horizontal="left" vertical="center" wrapText="1"/>
    </xf>
    <xf numFmtId="0" fontId="23" fillId="0" borderId="6" xfId="8" applyNumberFormat="1" applyFont="1" applyFill="1" applyBorder="1" applyAlignment="1">
      <alignment horizontal="center" vertical="top"/>
    </xf>
    <xf numFmtId="2" fontId="25" fillId="0" borderId="6" xfId="8" applyNumberFormat="1" applyFont="1" applyBorder="1" applyAlignment="1">
      <alignment vertical="top"/>
    </xf>
    <xf numFmtId="3" fontId="23" fillId="0" borderId="6" xfId="8" applyNumberFormat="1" applyFont="1" applyFill="1" applyBorder="1" applyAlignment="1">
      <alignment horizontal="right" vertical="top"/>
    </xf>
    <xf numFmtId="4" fontId="23" fillId="0" borderId="6" xfId="8" applyNumberFormat="1" applyFont="1" applyFill="1" applyBorder="1" applyAlignment="1">
      <alignment horizontal="center" vertical="top"/>
    </xf>
    <xf numFmtId="4" fontId="23" fillId="0" borderId="6" xfId="8" applyNumberFormat="1" applyFont="1" applyFill="1" applyBorder="1" applyAlignment="1">
      <alignment horizontal="right" vertical="top"/>
    </xf>
    <xf numFmtId="180" fontId="23" fillId="0" borderId="6" xfId="8" applyNumberFormat="1" applyFont="1" applyFill="1" applyBorder="1" applyAlignment="1">
      <alignment horizontal="right" vertical="top"/>
    </xf>
    <xf numFmtId="2" fontId="23" fillId="0" borderId="6" xfId="8" applyNumberFormat="1" applyFont="1" applyFill="1" applyBorder="1" applyAlignment="1">
      <alignment horizontal="right" vertical="top"/>
    </xf>
    <xf numFmtId="49" fontId="26" fillId="2" borderId="1" xfId="8" applyNumberFormat="1" applyFont="1" applyFill="1" applyBorder="1" applyAlignment="1">
      <alignment horizontal="center" vertical="top" wrapText="1"/>
    </xf>
    <xf numFmtId="0" fontId="26" fillId="2" borderId="1" xfId="8" applyFont="1" applyFill="1" applyBorder="1" applyAlignment="1">
      <alignment horizontal="center" vertical="top" wrapText="1"/>
    </xf>
    <xf numFmtId="49" fontId="24" fillId="0" borderId="1" xfId="8" applyNumberFormat="1" applyFont="1" applyFill="1" applyBorder="1" applyAlignment="1">
      <alignment horizontal="left" vertical="center" wrapText="1"/>
    </xf>
    <xf numFmtId="49" fontId="8" fillId="2" borderId="12" xfId="8" applyNumberFormat="1" applyFont="1" applyFill="1" applyBorder="1" applyAlignment="1">
      <alignment horizontal="center" vertical="center" wrapText="1"/>
    </xf>
    <xf numFmtId="49" fontId="8" fillId="0" borderId="12" xfId="8" applyNumberFormat="1" applyFont="1" applyFill="1" applyBorder="1" applyAlignment="1">
      <alignment horizontal="center" vertical="center" wrapText="1"/>
    </xf>
    <xf numFmtId="0" fontId="28" fillId="2" borderId="1" xfId="8" applyFont="1" applyFill="1" applyBorder="1" applyAlignment="1">
      <alignment horizontal="center" vertical="center"/>
    </xf>
    <xf numFmtId="49" fontId="28" fillId="2" borderId="1" xfId="8" applyNumberFormat="1" applyFont="1" applyFill="1" applyBorder="1" applyAlignment="1">
      <alignment horizontal="left" vertical="center"/>
    </xf>
    <xf numFmtId="0" fontId="28" fillId="2" borderId="1" xfId="8" applyFont="1" applyFill="1" applyBorder="1" applyAlignment="1">
      <alignment horizontal="left" vertical="center"/>
    </xf>
    <xf numFmtId="0" fontId="28" fillId="2" borderId="12" xfId="8" applyFont="1" applyFill="1" applyBorder="1" applyAlignment="1">
      <alignment horizontal="center" vertical="center"/>
    </xf>
    <xf numFmtId="49" fontId="28" fillId="2" borderId="12" xfId="8" applyNumberFormat="1" applyFont="1" applyFill="1" applyBorder="1" applyAlignment="1">
      <alignment horizontal="left" vertical="center"/>
    </xf>
    <xf numFmtId="0" fontId="28" fillId="2" borderId="12" xfId="8" applyFont="1" applyFill="1" applyBorder="1" applyAlignment="1">
      <alignment horizontal="left" vertical="center"/>
    </xf>
    <xf numFmtId="49" fontId="8" fillId="3" borderId="1" xfId="8" applyNumberFormat="1" applyFont="1" applyFill="1" applyBorder="1" applyAlignment="1">
      <alignment horizontal="center" vertical="center" wrapText="1"/>
    </xf>
    <xf numFmtId="182" fontId="8" fillId="2" borderId="1" xfId="8" applyNumberFormat="1" applyFont="1" applyFill="1" applyBorder="1" applyAlignment="1">
      <alignment horizontal="right"/>
    </xf>
    <xf numFmtId="182" fontId="8" fillId="0" borderId="1" xfId="8" applyNumberFormat="1" applyFont="1" applyFill="1" applyBorder="1" applyAlignment="1">
      <alignment horizontal="right"/>
    </xf>
    <xf numFmtId="0" fontId="8" fillId="0" borderId="1" xfId="8" applyFont="1" applyFill="1" applyBorder="1" applyAlignment="1">
      <alignment horizontal="right"/>
    </xf>
    <xf numFmtId="183" fontId="8" fillId="0" borderId="1" xfId="8" applyNumberFormat="1" applyFont="1" applyFill="1" applyBorder="1" applyAlignment="1">
      <alignment horizontal="right"/>
    </xf>
    <xf numFmtId="164" fontId="13" fillId="0" borderId="91" xfId="1" applyNumberFormat="1" applyFont="1" applyFill="1" applyBorder="1" applyAlignment="1" applyProtection="1">
      <alignment horizontal="right"/>
      <protection locked="0"/>
    </xf>
    <xf numFmtId="175" fontId="8" fillId="9" borderId="12" xfId="8" applyNumberFormat="1" applyFont="1" applyFill="1" applyBorder="1" applyAlignment="1">
      <alignment horizontal="right"/>
    </xf>
    <xf numFmtId="184" fontId="8" fillId="2" borderId="1" xfId="8" applyNumberFormat="1" applyFont="1" applyFill="1" applyBorder="1" applyAlignment="1">
      <alignment horizontal="right"/>
    </xf>
    <xf numFmtId="175" fontId="13" fillId="0" borderId="12" xfId="8" applyNumberFormat="1" applyFont="1" applyFill="1" applyBorder="1" applyAlignment="1">
      <alignment horizontal="right"/>
    </xf>
    <xf numFmtId="49" fontId="8" fillId="2" borderId="64" xfId="8" applyNumberFormat="1" applyFont="1" applyFill="1" applyBorder="1" applyAlignment="1">
      <alignment vertical="top"/>
    </xf>
    <xf numFmtId="0" fontId="3" fillId="0" borderId="64" xfId="8" applyNumberFormat="1" applyFont="1" applyFill="1" applyBorder="1" applyAlignment="1"/>
    <xf numFmtId="49" fontId="8" fillId="2" borderId="1" xfId="8" applyNumberFormat="1" applyFont="1" applyFill="1" applyBorder="1" applyAlignment="1">
      <alignment horizontal="center" vertical="center"/>
    </xf>
    <xf numFmtId="185" fontId="8" fillId="2" borderId="12" xfId="8" applyNumberFormat="1" applyFont="1" applyFill="1" applyBorder="1" applyAlignment="1">
      <alignment horizontal="right"/>
    </xf>
    <xf numFmtId="185" fontId="8" fillId="0" borderId="90" xfId="8" applyNumberFormat="1" applyFont="1" applyFill="1" applyBorder="1" applyAlignment="1">
      <alignment horizontal="right"/>
    </xf>
    <xf numFmtId="185" fontId="8" fillId="2" borderId="90" xfId="8" applyNumberFormat="1" applyFont="1" applyFill="1" applyBorder="1" applyAlignment="1">
      <alignment horizontal="right"/>
    </xf>
    <xf numFmtId="49" fontId="8" fillId="3" borderId="1" xfId="8" applyNumberFormat="1" applyFont="1" applyFill="1" applyBorder="1" applyAlignment="1">
      <alignment horizontal="center" vertical="center"/>
    </xf>
    <xf numFmtId="49" fontId="8" fillId="3" borderId="15" xfId="8" applyNumberFormat="1" applyFont="1" applyFill="1" applyBorder="1" applyAlignment="1">
      <alignment horizontal="center"/>
    </xf>
    <xf numFmtId="49" fontId="8" fillId="3" borderId="94" xfId="8" applyNumberFormat="1" applyFont="1" applyFill="1" applyBorder="1" applyAlignment="1">
      <alignment horizontal="center"/>
    </xf>
    <xf numFmtId="49" fontId="8" fillId="3" borderId="16" xfId="8" applyNumberFormat="1" applyFont="1" applyFill="1" applyBorder="1" applyAlignment="1">
      <alignment horizontal="center"/>
    </xf>
    <xf numFmtId="177" fontId="8" fillId="3" borderId="12" xfId="8" applyNumberFormat="1" applyFont="1" applyFill="1" applyBorder="1" applyAlignment="1">
      <alignment horizontal="right"/>
    </xf>
    <xf numFmtId="177" fontId="8" fillId="3" borderId="13" xfId="8" applyNumberFormat="1" applyFont="1" applyFill="1" applyBorder="1" applyAlignment="1">
      <alignment horizontal="right"/>
    </xf>
    <xf numFmtId="177" fontId="8" fillId="3" borderId="95" xfId="8" applyNumberFormat="1" applyFont="1" applyFill="1" applyBorder="1" applyAlignment="1">
      <alignment horizontal="right"/>
    </xf>
    <xf numFmtId="177" fontId="8" fillId="3" borderId="14" xfId="8" applyNumberFormat="1" applyFont="1" applyFill="1" applyBorder="1" applyAlignment="1">
      <alignment horizontal="right"/>
    </xf>
    <xf numFmtId="177" fontId="8" fillId="3" borderId="96" xfId="8" applyNumberFormat="1" applyFont="1" applyFill="1" applyBorder="1" applyAlignment="1">
      <alignment horizontal="right"/>
    </xf>
    <xf numFmtId="1" fontId="8" fillId="3" borderId="14" xfId="8" applyNumberFormat="1" applyFont="1" applyFill="1" applyBorder="1" applyAlignment="1">
      <alignment horizontal="right"/>
    </xf>
    <xf numFmtId="1" fontId="8" fillId="3" borderId="12" xfId="8" applyNumberFormat="1" applyFont="1" applyFill="1" applyBorder="1" applyAlignment="1">
      <alignment horizontal="right"/>
    </xf>
    <xf numFmtId="177" fontId="8" fillId="0" borderId="13" xfId="8" applyNumberFormat="1" applyFont="1" applyFill="1" applyBorder="1" applyAlignment="1">
      <alignment horizontal="right"/>
    </xf>
    <xf numFmtId="177" fontId="8" fillId="0" borderId="95" xfId="8" applyNumberFormat="1" applyFont="1" applyFill="1" applyBorder="1" applyAlignment="1">
      <alignment horizontal="right"/>
    </xf>
    <xf numFmtId="177" fontId="8" fillId="0" borderId="97" xfId="8" applyNumberFormat="1" applyFont="1" applyFill="1" applyBorder="1" applyAlignment="1">
      <alignment horizontal="right"/>
    </xf>
    <xf numFmtId="177" fontId="8" fillId="0" borderId="14" xfId="8" applyNumberFormat="1" applyFont="1" applyFill="1" applyBorder="1" applyAlignment="1">
      <alignment horizontal="right"/>
    </xf>
    <xf numFmtId="177" fontId="8" fillId="0" borderId="96" xfId="8" applyNumberFormat="1" applyFont="1" applyFill="1" applyBorder="1" applyAlignment="1">
      <alignment horizontal="right"/>
    </xf>
    <xf numFmtId="1" fontId="8" fillId="0" borderId="14" xfId="8" applyNumberFormat="1" applyFont="1" applyFill="1" applyBorder="1" applyAlignment="1">
      <alignment horizontal="right"/>
    </xf>
    <xf numFmtId="1" fontId="8" fillId="0" borderId="12" xfId="8" applyNumberFormat="1" applyFont="1" applyFill="1" applyBorder="1" applyAlignment="1">
      <alignment horizontal="right"/>
    </xf>
    <xf numFmtId="177" fontId="9" fillId="0" borderId="98" xfId="8" applyNumberFormat="1" applyFont="1" applyFill="1" applyBorder="1" applyAlignment="1">
      <alignment horizontal="right"/>
    </xf>
    <xf numFmtId="177" fontId="9" fillId="0" borderId="95" xfId="8" applyNumberFormat="1" applyFont="1" applyFill="1" applyBorder="1" applyAlignment="1">
      <alignment horizontal="right"/>
    </xf>
    <xf numFmtId="177" fontId="9" fillId="0" borderId="89" xfId="8" applyNumberFormat="1" applyFont="1" applyFill="1" applyBorder="1" applyAlignment="1">
      <alignment horizontal="right"/>
    </xf>
    <xf numFmtId="177" fontId="9" fillId="0" borderId="68" xfId="8" applyNumberFormat="1" applyFont="1" applyFill="1" applyBorder="1" applyAlignment="1">
      <alignment horizontal="right"/>
    </xf>
    <xf numFmtId="177" fontId="9" fillId="0" borderId="99" xfId="8" applyNumberFormat="1" applyFont="1" applyFill="1" applyBorder="1" applyAlignment="1">
      <alignment horizontal="right"/>
    </xf>
    <xf numFmtId="1" fontId="9" fillId="0" borderId="66" xfId="8" applyNumberFormat="1" applyFont="1" applyFill="1" applyBorder="1" applyAlignment="1">
      <alignment horizontal="right"/>
    </xf>
    <xf numFmtId="177" fontId="9" fillId="0" borderId="53" xfId="8" applyNumberFormat="1" applyFont="1" applyFill="1" applyBorder="1" applyAlignment="1">
      <alignment horizontal="right"/>
    </xf>
    <xf numFmtId="177" fontId="9" fillId="0" borderId="100" xfId="8" applyNumberFormat="1" applyFont="1" applyFill="1" applyBorder="1" applyAlignment="1">
      <alignment horizontal="right"/>
    </xf>
    <xf numFmtId="177" fontId="9" fillId="0" borderId="48" xfId="8" applyNumberFormat="1" applyFont="1" applyFill="1" applyBorder="1" applyAlignment="1">
      <alignment horizontal="right"/>
    </xf>
    <xf numFmtId="177" fontId="9" fillId="0" borderId="47" xfId="8" applyNumberFormat="1" applyFont="1" applyFill="1" applyBorder="1" applyAlignment="1">
      <alignment horizontal="right"/>
    </xf>
    <xf numFmtId="177" fontId="9" fillId="0" borderId="101" xfId="8" applyNumberFormat="1" applyFont="1" applyFill="1" applyBorder="1" applyAlignment="1">
      <alignment horizontal="right"/>
    </xf>
    <xf numFmtId="1" fontId="9" fillId="0" borderId="34" xfId="8" applyNumberFormat="1" applyFont="1" applyFill="1" applyBorder="1" applyAlignment="1">
      <alignment horizontal="right"/>
    </xf>
    <xf numFmtId="177" fontId="9" fillId="0" borderId="102" xfId="8" applyNumberFormat="1" applyFont="1" applyFill="1" applyBorder="1" applyAlignment="1">
      <alignment horizontal="right"/>
    </xf>
    <xf numFmtId="177" fontId="9" fillId="0" borderId="34" xfId="8" applyNumberFormat="1" applyFont="1" applyFill="1" applyBorder="1" applyAlignment="1">
      <alignment horizontal="right"/>
    </xf>
    <xf numFmtId="177" fontId="9" fillId="0" borderId="103" xfId="8" applyNumberFormat="1" applyFont="1" applyFill="1" applyBorder="1" applyAlignment="1">
      <alignment horizontal="right"/>
    </xf>
    <xf numFmtId="177" fontId="9" fillId="0" borderId="46" xfId="8" applyNumberFormat="1" applyFont="1" applyFill="1" applyBorder="1" applyAlignment="1">
      <alignment horizontal="right"/>
    </xf>
    <xf numFmtId="49" fontId="8" fillId="0" borderId="44" xfId="0" applyNumberFormat="1" applyFont="1" applyFill="1" applyBorder="1" applyAlignment="1">
      <alignment horizontal="left"/>
    </xf>
    <xf numFmtId="177" fontId="8" fillId="0" borderId="102" xfId="8" applyNumberFormat="1" applyFont="1" applyFill="1" applyBorder="1" applyAlignment="1">
      <alignment horizontal="right"/>
    </xf>
    <xf numFmtId="177" fontId="8" fillId="0" borderId="101" xfId="8" applyNumberFormat="1" applyFont="1" applyFill="1" applyBorder="1" applyAlignment="1">
      <alignment horizontal="right"/>
    </xf>
    <xf numFmtId="49" fontId="8" fillId="0" borderId="105" xfId="0" applyNumberFormat="1" applyFont="1" applyFill="1" applyBorder="1" applyAlignment="1">
      <alignment horizontal="left"/>
    </xf>
    <xf numFmtId="177" fontId="8" fillId="0" borderId="105" xfId="8" applyNumberFormat="1" applyFont="1" applyFill="1" applyBorder="1" applyAlignment="1">
      <alignment horizontal="right"/>
    </xf>
    <xf numFmtId="177" fontId="8" fillId="0" borderId="42" xfId="8" applyNumberFormat="1" applyFont="1" applyFill="1" applyBorder="1" applyAlignment="1">
      <alignment horizontal="right"/>
    </xf>
    <xf numFmtId="177" fontId="8" fillId="0" borderId="106" xfId="8" applyNumberFormat="1" applyFont="1" applyFill="1" applyBorder="1" applyAlignment="1">
      <alignment horizontal="right"/>
    </xf>
    <xf numFmtId="177" fontId="8" fillId="0" borderId="43" xfId="8" applyNumberFormat="1" applyFont="1" applyFill="1" applyBorder="1" applyAlignment="1">
      <alignment horizontal="right"/>
    </xf>
    <xf numFmtId="1" fontId="8" fillId="0" borderId="43" xfId="8" applyNumberFormat="1" applyFont="1" applyFill="1" applyBorder="1" applyAlignment="1">
      <alignment horizontal="right"/>
    </xf>
    <xf numFmtId="1" fontId="8" fillId="0" borderId="105" xfId="8" applyNumberFormat="1" applyFont="1" applyFill="1" applyBorder="1" applyAlignment="1">
      <alignment horizontal="right"/>
    </xf>
    <xf numFmtId="177" fontId="9" fillId="0" borderId="106" xfId="8" applyNumberFormat="1" applyFont="1" applyFill="1" applyBorder="1" applyAlignment="1">
      <alignment horizontal="right"/>
    </xf>
    <xf numFmtId="49" fontId="8" fillId="2" borderId="41" xfId="8" applyNumberFormat="1" applyFont="1" applyFill="1" applyBorder="1" applyAlignment="1">
      <alignment horizontal="center" vertical="center" wrapText="1"/>
    </xf>
    <xf numFmtId="3" fontId="8" fillId="2" borderId="41" xfId="8" applyNumberFormat="1" applyFont="1" applyFill="1" applyBorder="1" applyAlignment="1">
      <alignment horizontal="right"/>
    </xf>
    <xf numFmtId="170" fontId="8" fillId="2" borderId="41" xfId="8" applyNumberFormat="1" applyFont="1" applyFill="1" applyBorder="1" applyAlignment="1">
      <alignment horizontal="right"/>
    </xf>
    <xf numFmtId="175" fontId="8" fillId="2" borderId="41" xfId="8" applyNumberFormat="1" applyFont="1" applyFill="1" applyBorder="1" applyAlignment="1">
      <alignment horizontal="right"/>
    </xf>
    <xf numFmtId="186" fontId="8" fillId="2" borderId="41" xfId="8" applyNumberFormat="1" applyFont="1" applyFill="1" applyBorder="1" applyAlignment="1">
      <alignment horizontal="right"/>
    </xf>
    <xf numFmtId="177" fontId="8" fillId="2" borderId="41" xfId="8" applyNumberFormat="1" applyFont="1" applyFill="1" applyBorder="1" applyAlignment="1">
      <alignment horizontal="right"/>
    </xf>
    <xf numFmtId="164" fontId="8" fillId="2" borderId="41" xfId="8" applyNumberFormat="1" applyFont="1" applyFill="1" applyBorder="1" applyAlignment="1">
      <alignment horizontal="right"/>
    </xf>
    <xf numFmtId="185" fontId="8" fillId="2" borderId="41" xfId="8" applyNumberFormat="1" applyFont="1" applyFill="1" applyBorder="1" applyAlignment="1">
      <alignment horizontal="right"/>
    </xf>
    <xf numFmtId="164" fontId="8" fillId="9" borderId="105" xfId="8" applyNumberFormat="1" applyFont="1" applyFill="1" applyBorder="1" applyAlignment="1">
      <alignment horizontal="right"/>
    </xf>
    <xf numFmtId="175" fontId="8" fillId="9" borderId="105" xfId="8" applyNumberFormat="1" applyFont="1" applyFill="1" applyBorder="1" applyAlignment="1">
      <alignment horizontal="right"/>
    </xf>
    <xf numFmtId="175" fontId="8" fillId="9" borderId="41" xfId="8" applyNumberFormat="1" applyFont="1" applyFill="1" applyBorder="1" applyAlignment="1">
      <alignment horizontal="right"/>
    </xf>
    <xf numFmtId="177" fontId="8" fillId="9" borderId="41" xfId="8" applyNumberFormat="1" applyFont="1" applyFill="1" applyBorder="1" applyAlignment="1">
      <alignment horizontal="right"/>
    </xf>
    <xf numFmtId="190" fontId="8" fillId="9" borderId="41" xfId="8" applyNumberFormat="1" applyFont="1" applyFill="1" applyBorder="1" applyAlignment="1">
      <alignment horizontal="right"/>
    </xf>
    <xf numFmtId="170" fontId="9" fillId="2" borderId="41" xfId="8" applyNumberFormat="1" applyFont="1" applyFill="1" applyBorder="1" applyAlignment="1">
      <alignment horizontal="right"/>
    </xf>
    <xf numFmtId="179" fontId="8" fillId="2" borderId="105" xfId="8" applyNumberFormat="1" applyFont="1" applyFill="1" applyBorder="1" applyAlignment="1">
      <alignment horizontal="right" vertical="center" wrapText="1"/>
    </xf>
    <xf numFmtId="178" fontId="8" fillId="2" borderId="105" xfId="8" applyNumberFormat="1" applyFont="1" applyFill="1" applyBorder="1" applyAlignment="1">
      <alignment horizontal="right" vertical="center" wrapText="1"/>
    </xf>
    <xf numFmtId="183" fontId="8" fillId="2" borderId="105" xfId="8" applyNumberFormat="1" applyFont="1" applyFill="1" applyBorder="1" applyAlignment="1">
      <alignment horizontal="right" vertical="center" wrapText="1"/>
    </xf>
    <xf numFmtId="188" fontId="13" fillId="0" borderId="104" xfId="12" applyNumberFormat="1" applyFont="1" applyFill="1" applyBorder="1" applyAlignment="1">
      <alignment horizontal="center" vertical="top"/>
    </xf>
    <xf numFmtId="1" fontId="8" fillId="0" borderId="41" xfId="11" applyNumberFormat="1" applyFont="1" applyFill="1" applyBorder="1" applyAlignment="1">
      <alignment horizontal="right"/>
    </xf>
    <xf numFmtId="164" fontId="9" fillId="2" borderId="41" xfId="8" applyNumberFormat="1" applyFont="1" applyFill="1" applyBorder="1" applyAlignment="1">
      <alignment horizontal="right"/>
    </xf>
    <xf numFmtId="0" fontId="8" fillId="2" borderId="41" xfId="8" applyFont="1" applyFill="1" applyBorder="1" applyAlignment="1">
      <alignment horizontal="center" vertical="center" wrapText="1"/>
    </xf>
    <xf numFmtId="49" fontId="8" fillId="2" borderId="41" xfId="8" applyNumberFormat="1" applyFont="1" applyFill="1" applyBorder="1" applyAlignment="1">
      <alignment horizontal="center" vertical="center"/>
    </xf>
    <xf numFmtId="49" fontId="8" fillId="2" borderId="41" xfId="8" applyNumberFormat="1" applyFont="1" applyFill="1" applyBorder="1" applyAlignment="1">
      <alignment horizontal="center"/>
    </xf>
    <xf numFmtId="177" fontId="8" fillId="3" borderId="105" xfId="8" applyNumberFormat="1" applyFont="1" applyFill="1" applyBorder="1" applyAlignment="1">
      <alignment horizontal="right"/>
    </xf>
    <xf numFmtId="49" fontId="8" fillId="2" borderId="41" xfId="8" applyNumberFormat="1" applyFont="1" applyFill="1" applyBorder="1" applyAlignment="1">
      <alignment vertical="center"/>
    </xf>
    <xf numFmtId="177" fontId="8" fillId="3" borderId="41" xfId="8" applyNumberFormat="1" applyFont="1" applyFill="1" applyBorder="1" applyAlignment="1">
      <alignment horizontal="right"/>
    </xf>
    <xf numFmtId="0" fontId="8" fillId="2" borderId="41" xfId="8" applyFont="1" applyFill="1" applyBorder="1" applyAlignment="1">
      <alignment horizontal="right" vertical="top"/>
    </xf>
    <xf numFmtId="172" fontId="8" fillId="2" borderId="41" xfId="8" applyNumberFormat="1" applyFont="1" applyFill="1" applyBorder="1" applyAlignment="1">
      <alignment horizontal="right" vertical="top"/>
    </xf>
    <xf numFmtId="170" fontId="8" fillId="2" borderId="41" xfId="8" applyNumberFormat="1" applyFont="1" applyFill="1" applyBorder="1" applyAlignment="1">
      <alignment horizontal="right" vertical="top"/>
    </xf>
    <xf numFmtId="164" fontId="8" fillId="2" borderId="41" xfId="8" applyNumberFormat="1" applyFont="1" applyFill="1" applyBorder="1" applyAlignment="1">
      <alignment horizontal="right" vertical="top"/>
    </xf>
    <xf numFmtId="49" fontId="8" fillId="2" borderId="41" xfId="8" applyNumberFormat="1" applyFont="1" applyFill="1" applyBorder="1" applyAlignment="1">
      <alignment horizontal="center" wrapText="1"/>
    </xf>
    <xf numFmtId="49" fontId="8" fillId="2" borderId="41" xfId="8" applyNumberFormat="1" applyFont="1" applyFill="1" applyBorder="1" applyAlignment="1">
      <alignment horizontal="left"/>
    </xf>
    <xf numFmtId="0" fontId="8" fillId="2" borderId="41" xfId="8" applyFont="1" applyFill="1" applyBorder="1" applyAlignment="1">
      <alignment horizontal="right"/>
    </xf>
    <xf numFmtId="172" fontId="8" fillId="2" borderId="41" xfId="8" applyNumberFormat="1" applyFont="1" applyFill="1" applyBorder="1" applyAlignment="1">
      <alignment horizontal="right"/>
    </xf>
    <xf numFmtId="191" fontId="8" fillId="2" borderId="41" xfId="8" applyNumberFormat="1" applyFont="1" applyFill="1" applyBorder="1" applyAlignment="1">
      <alignment horizontal="right"/>
    </xf>
    <xf numFmtId="178" fontId="8" fillId="2" borderId="41" xfId="8" applyNumberFormat="1" applyFont="1" applyFill="1" applyBorder="1" applyAlignment="1">
      <alignment horizontal="right"/>
    </xf>
    <xf numFmtId="178" fontId="8" fillId="2" borderId="105" xfId="8" applyNumberFormat="1" applyFont="1" applyFill="1" applyBorder="1" applyAlignment="1">
      <alignment horizontal="right"/>
    </xf>
    <xf numFmtId="178" fontId="8" fillId="2" borderId="104" xfId="8" applyNumberFormat="1" applyFont="1" applyFill="1" applyBorder="1" applyAlignment="1">
      <alignment horizontal="right"/>
    </xf>
    <xf numFmtId="170" fontId="8" fillId="0" borderId="41" xfId="8" applyNumberFormat="1" applyFont="1" applyFill="1" applyBorder="1" applyAlignment="1">
      <alignment horizontal="right"/>
    </xf>
    <xf numFmtId="164" fontId="8" fillId="0" borderId="41" xfId="8" applyNumberFormat="1" applyFont="1" applyFill="1" applyBorder="1" applyAlignment="1">
      <alignment horizontal="right"/>
    </xf>
    <xf numFmtId="0" fontId="8" fillId="0" borderId="41" xfId="8" applyFont="1" applyFill="1" applyBorder="1" applyAlignment="1">
      <alignment horizontal="right"/>
    </xf>
    <xf numFmtId="167" fontId="8" fillId="9" borderId="41" xfId="1" applyNumberFormat="1" applyFont="1" applyFill="1" applyBorder="1" applyAlignment="1">
      <alignment horizontal="right"/>
    </xf>
    <xf numFmtId="49" fontId="8" fillId="2" borderId="46" xfId="8" applyNumberFormat="1" applyFont="1" applyFill="1" applyBorder="1" applyAlignment="1">
      <alignment horizontal="center"/>
    </xf>
    <xf numFmtId="49" fontId="8" fillId="0" borderId="46" xfId="8" applyNumberFormat="1" applyFont="1" applyFill="1" applyBorder="1" applyAlignment="1">
      <alignment horizontal="center" vertical="center"/>
    </xf>
    <xf numFmtId="49" fontId="8" fillId="0" borderId="41" xfId="8" applyNumberFormat="1" applyFont="1" applyFill="1" applyBorder="1" applyAlignment="1">
      <alignment horizontal="center" vertical="center"/>
    </xf>
    <xf numFmtId="3" fontId="8" fillId="0" borderId="105" xfId="8" applyNumberFormat="1" applyFont="1" applyFill="1" applyBorder="1" applyAlignment="1">
      <alignment horizontal="right"/>
    </xf>
    <xf numFmtId="49" fontId="8" fillId="0" borderId="41" xfId="8" applyNumberFormat="1" applyFont="1" applyFill="1" applyBorder="1" applyAlignment="1">
      <alignment horizontal="center" vertical="center" wrapText="1"/>
    </xf>
    <xf numFmtId="202" fontId="8" fillId="2" borderId="41" xfId="8" applyNumberFormat="1" applyFont="1" applyFill="1" applyBorder="1" applyAlignment="1">
      <alignment horizontal="right"/>
    </xf>
    <xf numFmtId="49" fontId="8" fillId="2" borderId="105" xfId="0" applyNumberFormat="1" applyFont="1" applyFill="1" applyBorder="1" applyAlignment="1">
      <alignment horizontal="center" vertical="center" wrapText="1"/>
    </xf>
    <xf numFmtId="167" fontId="8" fillId="2" borderId="111" xfId="1" applyNumberFormat="1" applyFont="1" applyFill="1" applyBorder="1" applyAlignment="1">
      <alignment horizontal="right"/>
    </xf>
    <xf numFmtId="167" fontId="8" fillId="11" borderId="111" xfId="1" applyNumberFormat="1" applyFont="1" applyFill="1" applyBorder="1" applyAlignment="1">
      <alignment horizontal="right"/>
    </xf>
    <xf numFmtId="17" fontId="10" fillId="4" borderId="111" xfId="8" applyNumberFormat="1" applyFont="1" applyFill="1" applyBorder="1" applyAlignment="1">
      <alignment horizontal="left" vertical="center"/>
    </xf>
    <xf numFmtId="167" fontId="9" fillId="2" borderId="111" xfId="1" applyNumberFormat="1" applyFont="1" applyFill="1" applyBorder="1" applyAlignment="1">
      <alignment horizontal="right"/>
    </xf>
    <xf numFmtId="3" fontId="16" fillId="10" borderId="111" xfId="1" applyNumberFormat="1" applyFont="1" applyFill="1" applyBorder="1" applyAlignment="1">
      <alignment horizontal="center"/>
    </xf>
    <xf numFmtId="4" fontId="16" fillId="10" borderId="111" xfId="2" applyNumberFormat="1" applyFont="1" applyFill="1" applyBorder="1" applyAlignment="1">
      <alignment horizontal="center"/>
    </xf>
    <xf numFmtId="167" fontId="16" fillId="0" borderId="111" xfId="1" applyNumberFormat="1" applyFont="1" applyBorder="1" applyAlignment="1">
      <alignment horizontal="center" wrapText="1"/>
    </xf>
    <xf numFmtId="1" fontId="16" fillId="0" borderId="111" xfId="1" applyNumberFormat="1" applyFont="1" applyBorder="1" applyAlignment="1">
      <alignment horizontal="right" wrapText="1"/>
    </xf>
    <xf numFmtId="17" fontId="13" fillId="0" borderId="31" xfId="0" applyNumberFormat="1" applyFont="1" applyFill="1" applyBorder="1" applyAlignment="1">
      <alignment horizontal="center" vertical="center" wrapText="1"/>
    </xf>
    <xf numFmtId="17" fontId="8" fillId="2" borderId="31" xfId="8" applyNumberFormat="1" applyFont="1" applyFill="1" applyBorder="1" applyAlignment="1">
      <alignment horizontal="center" vertical="center" wrapText="1"/>
    </xf>
    <xf numFmtId="0" fontId="12" fillId="0" borderId="31" xfId="0" applyFont="1" applyFill="1" applyBorder="1" applyAlignment="1">
      <alignment wrapText="1"/>
    </xf>
    <xf numFmtId="0" fontId="13" fillId="0" borderId="31" xfId="0" applyFont="1" applyFill="1" applyBorder="1" applyAlignment="1">
      <alignment wrapText="1"/>
    </xf>
    <xf numFmtId="49" fontId="8" fillId="2" borderId="31" xfId="0" applyNumberFormat="1" applyFont="1" applyFill="1" applyBorder="1" applyAlignment="1">
      <alignment horizontal="left"/>
    </xf>
    <xf numFmtId="167" fontId="8" fillId="2" borderId="31" xfId="1" applyNumberFormat="1" applyFont="1" applyFill="1" applyBorder="1" applyAlignment="1">
      <alignment horizontal="left"/>
    </xf>
    <xf numFmtId="167" fontId="0" fillId="0" borderId="0" xfId="0" applyNumberFormat="1"/>
    <xf numFmtId="0" fontId="13" fillId="0" borderId="47" xfId="31" applyFont="1" applyFill="1" applyBorder="1" applyAlignment="1">
      <alignment vertical="center" wrapText="1"/>
    </xf>
    <xf numFmtId="49" fontId="16" fillId="0" borderId="31" xfId="0" applyNumberFormat="1" applyFont="1" applyFill="1" applyBorder="1" applyAlignment="1">
      <alignment horizontal="center" vertical="center" wrapText="1"/>
    </xf>
    <xf numFmtId="49" fontId="8" fillId="0" borderId="114" xfId="0" applyNumberFormat="1" applyFont="1" applyFill="1" applyBorder="1" applyAlignment="1">
      <alignment horizontal="left"/>
    </xf>
    <xf numFmtId="167" fontId="16" fillId="0" borderId="115" xfId="1" applyNumberFormat="1" applyFont="1" applyFill="1" applyBorder="1" applyAlignment="1">
      <alignment vertical="top"/>
    </xf>
    <xf numFmtId="49" fontId="8" fillId="0" borderId="116" xfId="0" applyNumberFormat="1" applyFont="1" applyFill="1" applyBorder="1" applyAlignment="1">
      <alignment horizontal="left"/>
    </xf>
    <xf numFmtId="167" fontId="11" fillId="0" borderId="119" xfId="0" applyNumberFormat="1" applyFont="1" applyBorder="1"/>
    <xf numFmtId="49" fontId="8" fillId="2" borderId="117" xfId="8" applyNumberFormat="1" applyFont="1" applyFill="1" applyBorder="1" applyAlignment="1">
      <alignment horizontal="center" vertical="center" wrapText="1"/>
    </xf>
    <xf numFmtId="49" fontId="8" fillId="2" borderId="114" xfId="8" applyNumberFormat="1" applyFont="1" applyFill="1" applyBorder="1" applyAlignment="1">
      <alignment horizontal="center" vertical="center" wrapText="1"/>
    </xf>
    <xf numFmtId="17" fontId="66" fillId="0" borderId="31" xfId="0" applyNumberFormat="1" applyFont="1" applyBorder="1" applyAlignment="1">
      <alignment horizontal="center" vertical="center" wrapText="1"/>
    </xf>
    <xf numFmtId="49" fontId="9" fillId="2" borderId="117" xfId="8" applyNumberFormat="1" applyFont="1" applyFill="1" applyBorder="1" applyAlignment="1">
      <alignment horizontal="left" vertical="top" wrapText="1"/>
    </xf>
    <xf numFmtId="49" fontId="33" fillId="2" borderId="117" xfId="8" applyNumberFormat="1" applyFont="1" applyFill="1" applyBorder="1" applyAlignment="1">
      <alignment horizontal="center"/>
    </xf>
    <xf numFmtId="164" fontId="9" fillId="0" borderId="117" xfId="8" applyNumberFormat="1" applyFont="1" applyFill="1" applyBorder="1" applyAlignment="1">
      <alignment horizontal="right"/>
    </xf>
    <xf numFmtId="172" fontId="9" fillId="0" borderId="117" xfId="8" applyNumberFormat="1" applyFont="1" applyFill="1" applyBorder="1" applyAlignment="1">
      <alignment horizontal="right"/>
    </xf>
    <xf numFmtId="0" fontId="8" fillId="2" borderId="117" xfId="8" applyFont="1" applyFill="1" applyBorder="1" applyAlignment="1">
      <alignment horizontal="center" vertical="center" wrapText="1"/>
    </xf>
    <xf numFmtId="164" fontId="8" fillId="2" borderId="117" xfId="8" applyNumberFormat="1" applyFont="1" applyFill="1" applyBorder="1" applyAlignment="1">
      <alignment horizontal="right"/>
    </xf>
    <xf numFmtId="170" fontId="8" fillId="2" borderId="117" xfId="8" applyNumberFormat="1" applyFont="1" applyFill="1" applyBorder="1" applyAlignment="1">
      <alignment horizontal="right"/>
    </xf>
    <xf numFmtId="164" fontId="8" fillId="9" borderId="116" xfId="8" applyNumberFormat="1" applyFont="1" applyFill="1" applyBorder="1" applyAlignment="1">
      <alignment horizontal="right"/>
    </xf>
    <xf numFmtId="49" fontId="8" fillId="2" borderId="117" xfId="8" applyNumberFormat="1" applyFont="1" applyFill="1" applyBorder="1" applyAlignment="1">
      <alignment horizontal="center" vertical="center"/>
    </xf>
    <xf numFmtId="49" fontId="9" fillId="2" borderId="117" xfId="8" applyNumberFormat="1" applyFont="1" applyFill="1" applyBorder="1" applyAlignment="1">
      <alignment horizontal="left" wrapText="1"/>
    </xf>
    <xf numFmtId="49" fontId="9" fillId="2" borderId="117" xfId="8" applyNumberFormat="1" applyFont="1" applyFill="1" applyBorder="1" applyAlignment="1">
      <alignment horizontal="center" vertical="center"/>
    </xf>
    <xf numFmtId="164" fontId="9" fillId="9" borderId="117" xfId="8" applyNumberFormat="1" applyFont="1" applyFill="1" applyBorder="1" applyAlignment="1">
      <alignment horizontal="right"/>
    </xf>
    <xf numFmtId="170" fontId="9" fillId="0" borderId="117" xfId="8" applyNumberFormat="1" applyFont="1" applyFill="1" applyBorder="1" applyAlignment="1">
      <alignment horizontal="right"/>
    </xf>
    <xf numFmtId="3" fontId="9" fillId="0" borderId="117" xfId="8" applyNumberFormat="1" applyFont="1" applyFill="1" applyBorder="1" applyAlignment="1">
      <alignment horizontal="right"/>
    </xf>
    <xf numFmtId="196" fontId="10" fillId="0" borderId="31" xfId="32" applyNumberFormat="1" applyFont="1" applyFill="1" applyBorder="1"/>
    <xf numFmtId="196" fontId="11" fillId="0" borderId="0" xfId="0" applyNumberFormat="1" applyFont="1"/>
    <xf numFmtId="196" fontId="14" fillId="0" borderId="31" xfId="1" applyNumberFormat="1" applyFont="1" applyFill="1" applyBorder="1"/>
    <xf numFmtId="49" fontId="57" fillId="0" borderId="31" xfId="0" applyNumberFormat="1" applyFont="1" applyFill="1" applyBorder="1" applyAlignment="1">
      <alignment horizontal="center" vertical="top" wrapText="1"/>
    </xf>
    <xf numFmtId="49" fontId="8" fillId="0" borderId="0" xfId="8" applyNumberFormat="1" applyFont="1" applyFill="1" applyAlignment="1">
      <alignment horizontal="left"/>
    </xf>
    <xf numFmtId="3" fontId="11" fillId="0" borderId="0" xfId="0" applyNumberFormat="1" applyFont="1" applyFill="1" applyBorder="1"/>
    <xf numFmtId="0" fontId="60" fillId="0" borderId="0" xfId="0" applyFont="1" applyFill="1" applyBorder="1" applyAlignment="1">
      <alignment horizontal="left" vertical="top"/>
    </xf>
    <xf numFmtId="3" fontId="12" fillId="0" borderId="31" xfId="1" applyNumberFormat="1" applyFont="1" applyFill="1" applyBorder="1"/>
    <xf numFmtId="3" fontId="12" fillId="0" borderId="31" xfId="1" applyNumberFormat="1" applyFont="1" applyFill="1" applyBorder="1" applyAlignment="1">
      <alignment horizontal="right"/>
    </xf>
    <xf numFmtId="3" fontId="12" fillId="0" borderId="31" xfId="1" applyNumberFormat="1" applyFont="1" applyFill="1" applyBorder="1" applyAlignment="1">
      <alignment wrapText="1"/>
    </xf>
    <xf numFmtId="3" fontId="11" fillId="0" borderId="31" xfId="1" applyNumberFormat="1" applyFont="1" applyBorder="1"/>
    <xf numFmtId="3" fontId="16" fillId="0" borderId="31" xfId="1" applyNumberFormat="1" applyFont="1" applyBorder="1"/>
    <xf numFmtId="168" fontId="8" fillId="0" borderId="4" xfId="5" applyNumberFormat="1" applyFont="1" applyFill="1" applyBorder="1" applyAlignment="1">
      <alignment horizontal="center" vertical="top" wrapText="1"/>
    </xf>
    <xf numFmtId="0" fontId="60" fillId="0" borderId="0" xfId="0" applyFont="1" applyFill="1" applyAlignment="1">
      <alignment horizontal="left" vertical="top"/>
    </xf>
    <xf numFmtId="2" fontId="11" fillId="0" borderId="31" xfId="1" applyNumberFormat="1" applyFont="1" applyFill="1" applyBorder="1" applyAlignment="1">
      <alignment horizontal="right" vertical="top" wrapText="1"/>
    </xf>
    <xf numFmtId="164" fontId="9" fillId="3" borderId="1" xfId="8" applyNumberFormat="1" applyFont="1" applyFill="1" applyBorder="1" applyAlignment="1">
      <alignment horizontal="right"/>
    </xf>
    <xf numFmtId="49" fontId="9" fillId="3" borderId="31" xfId="0" applyNumberFormat="1" applyFont="1" applyFill="1" applyBorder="1" applyAlignment="1">
      <alignment horizontal="left"/>
    </xf>
    <xf numFmtId="164" fontId="9" fillId="3" borderId="31" xfId="0" applyNumberFormat="1" applyFont="1" applyFill="1" applyBorder="1" applyAlignment="1">
      <alignment horizontal="center"/>
    </xf>
    <xf numFmtId="0" fontId="10" fillId="3" borderId="31" xfId="0" applyFont="1" applyFill="1" applyBorder="1" applyAlignment="1">
      <alignment horizontal="left" vertical="center"/>
    </xf>
    <xf numFmtId="2" fontId="11" fillId="0" borderId="31" xfId="1" applyNumberFormat="1" applyFont="1" applyBorder="1" applyAlignment="1">
      <alignment horizontal="right" vertical="center"/>
    </xf>
    <xf numFmtId="0" fontId="12" fillId="0" borderId="31" xfId="0" applyFont="1" applyFill="1" applyBorder="1" applyAlignment="1">
      <alignment horizontal="left" vertical="center"/>
    </xf>
    <xf numFmtId="167" fontId="16" fillId="3" borderId="31" xfId="29" applyNumberFormat="1" applyFont="1" applyFill="1" applyBorder="1" applyAlignment="1">
      <alignment horizontal="left" vertical="top"/>
    </xf>
    <xf numFmtId="167" fontId="12" fillId="3" borderId="31" xfId="29" applyNumberFormat="1" applyFont="1" applyFill="1" applyBorder="1" applyAlignment="1">
      <alignment horizontal="center" vertical="top"/>
    </xf>
    <xf numFmtId="3" fontId="12" fillId="3" borderId="31" xfId="6" applyNumberFormat="1" applyFont="1" applyFill="1" applyBorder="1" applyAlignment="1">
      <alignment vertical="center"/>
    </xf>
    <xf numFmtId="3" fontId="11" fillId="3" borderId="31" xfId="0" applyNumberFormat="1" applyFont="1" applyFill="1" applyBorder="1" applyAlignment="1">
      <alignment horizontal="right"/>
    </xf>
    <xf numFmtId="3" fontId="11" fillId="3" borderId="31" xfId="1" applyNumberFormat="1" applyFont="1" applyFill="1" applyBorder="1" applyAlignment="1">
      <alignment horizontal="right"/>
    </xf>
    <xf numFmtId="3" fontId="11" fillId="3" borderId="31" xfId="1" applyNumberFormat="1" applyFont="1" applyFill="1" applyBorder="1" applyAlignment="1"/>
    <xf numFmtId="3" fontId="12" fillId="3" borderId="31" xfId="6" applyNumberFormat="1" applyFont="1" applyFill="1" applyBorder="1" applyAlignment="1">
      <alignment horizontal="right"/>
    </xf>
    <xf numFmtId="2" fontId="0" fillId="0" borderId="0" xfId="0" applyNumberFormat="1"/>
    <xf numFmtId="3" fontId="12" fillId="0" borderId="31" xfId="6" applyNumberFormat="1" applyFont="1" applyFill="1" applyBorder="1" applyAlignment="1">
      <alignment vertical="center"/>
    </xf>
    <xf numFmtId="3" fontId="11" fillId="0" borderId="31" xfId="1" applyNumberFormat="1" applyFont="1" applyFill="1" applyBorder="1" applyAlignment="1">
      <alignment horizontal="right"/>
    </xf>
    <xf numFmtId="164" fontId="11" fillId="0" borderId="31" xfId="1" applyNumberFormat="1" applyFont="1" applyFill="1" applyBorder="1" applyAlignment="1">
      <alignment horizontal="right"/>
    </xf>
    <xf numFmtId="0" fontId="12" fillId="3" borderId="31" xfId="6" applyFont="1" applyFill="1" applyBorder="1" applyAlignment="1">
      <alignment horizontal="right"/>
    </xf>
    <xf numFmtId="0" fontId="11" fillId="3" borderId="31" xfId="0" applyFont="1" applyFill="1" applyBorder="1" applyAlignment="1">
      <alignment horizontal="right"/>
    </xf>
    <xf numFmtId="167" fontId="16" fillId="3" borderId="31" xfId="29" applyNumberFormat="1" applyFont="1" applyFill="1" applyBorder="1" applyAlignment="1">
      <alignment horizontal="left" vertical="top" wrapText="1"/>
    </xf>
    <xf numFmtId="3" fontId="12" fillId="3" borderId="31" xfId="6" applyNumberFormat="1" applyFont="1" applyFill="1" applyBorder="1" applyAlignment="1"/>
    <xf numFmtId="49" fontId="8" fillId="2" borderId="0" xfId="8" applyNumberFormat="1" applyFont="1" applyFill="1" applyAlignment="1">
      <alignment horizontal="left"/>
    </xf>
    <xf numFmtId="49" fontId="8" fillId="0" borderId="31" xfId="0" applyNumberFormat="1" applyFont="1" applyFill="1" applyBorder="1" applyAlignment="1">
      <alignment horizontal="left"/>
    </xf>
    <xf numFmtId="3" fontId="10" fillId="11" borderId="31" xfId="8" applyNumberFormat="1" applyFont="1" applyFill="1" applyBorder="1" applyAlignment="1">
      <alignment horizontal="right" vertical="center"/>
    </xf>
    <xf numFmtId="49" fontId="8" fillId="2" borderId="0" xfId="8" applyNumberFormat="1" applyFont="1" applyFill="1" applyAlignment="1">
      <alignment horizontal="left"/>
    </xf>
    <xf numFmtId="49" fontId="8" fillId="2" borderId="31" xfId="8" applyNumberFormat="1" applyFont="1" applyFill="1" applyBorder="1" applyAlignment="1">
      <alignment horizontal="center" vertical="center" wrapText="1"/>
    </xf>
    <xf numFmtId="49" fontId="9" fillId="2" borderId="0" xfId="8" applyNumberFormat="1" applyFont="1" applyFill="1" applyBorder="1" applyAlignment="1">
      <alignment horizontal="left" wrapText="1"/>
    </xf>
    <xf numFmtId="193" fontId="23" fillId="3" borderId="0" xfId="51" applyFont="1" applyFill="1" applyAlignment="1">
      <alignment horizontal="left" vertical="top"/>
    </xf>
    <xf numFmtId="0" fontId="16" fillId="9" borderId="31" xfId="56" applyNumberFormat="1" applyFont="1" applyFill="1" applyBorder="1" applyAlignment="1">
      <alignment horizontal="center" vertical="center" wrapText="1"/>
    </xf>
    <xf numFmtId="0" fontId="16" fillId="9" borderId="31" xfId="60" applyNumberFormat="1" applyFont="1" applyFill="1" applyBorder="1" applyAlignment="1">
      <alignment horizontal="center" vertical="center" wrapText="1"/>
    </xf>
    <xf numFmtId="49" fontId="9" fillId="0" borderId="0" xfId="0" applyNumberFormat="1" applyFont="1" applyFill="1" applyBorder="1" applyAlignment="1">
      <alignment horizontal="left"/>
    </xf>
    <xf numFmtId="49" fontId="9" fillId="0" borderId="0" xfId="0" applyNumberFormat="1" applyFont="1" applyFill="1" applyBorder="1" applyAlignment="1">
      <alignment horizontal="left" vertical="center" wrapText="1"/>
    </xf>
    <xf numFmtId="49" fontId="8" fillId="2" borderId="0" xfId="8" applyNumberFormat="1" applyFont="1" applyFill="1" applyAlignment="1">
      <alignment horizontal="left"/>
    </xf>
    <xf numFmtId="0" fontId="13" fillId="0" borderId="0" xfId="8" applyNumberFormat="1" applyFont="1" applyFill="1" applyBorder="1" applyAlignment="1">
      <alignment horizontal="left" wrapText="1"/>
    </xf>
    <xf numFmtId="49" fontId="9" fillId="2" borderId="0" xfId="8" applyNumberFormat="1" applyFont="1" applyFill="1" applyAlignment="1">
      <alignment horizontal="left" wrapText="1"/>
    </xf>
    <xf numFmtId="49" fontId="8" fillId="3" borderId="0" xfId="0" applyNumberFormat="1" applyFont="1" applyFill="1" applyAlignment="1">
      <alignment horizontal="left" vertical="top" wrapText="1"/>
    </xf>
    <xf numFmtId="49" fontId="8" fillId="3" borderId="0" xfId="0" applyNumberFormat="1" applyFont="1" applyFill="1" applyAlignment="1">
      <alignment horizontal="left" vertical="top"/>
    </xf>
    <xf numFmtId="0" fontId="9" fillId="2" borderId="0" xfId="8" applyFont="1" applyFill="1" applyBorder="1" applyAlignment="1">
      <alignment horizontal="left" wrapText="1"/>
    </xf>
    <xf numFmtId="181" fontId="8" fillId="2" borderId="0" xfId="2" applyNumberFormat="1" applyFont="1" applyFill="1" applyAlignment="1">
      <alignment horizontal="left"/>
    </xf>
    <xf numFmtId="3" fontId="9" fillId="0" borderId="31" xfId="15" applyNumberFormat="1" applyFont="1" applyBorder="1" applyAlignment="1">
      <alignment horizontal="right" vertical="center" wrapText="1"/>
    </xf>
    <xf numFmtId="167" fontId="9" fillId="2" borderId="31" xfId="1" applyNumberFormat="1" applyFont="1" applyFill="1" applyBorder="1" applyAlignment="1">
      <alignment horizontal="right" vertical="top"/>
    </xf>
    <xf numFmtId="167" fontId="9" fillId="2" borderId="117" xfId="1" applyNumberFormat="1" applyFont="1" applyFill="1" applyBorder="1" applyAlignment="1">
      <alignment horizontal="right"/>
    </xf>
    <xf numFmtId="167" fontId="9" fillId="2" borderId="128" xfId="1" applyNumberFormat="1" applyFont="1" applyFill="1" applyBorder="1" applyAlignment="1">
      <alignment horizontal="right"/>
    </xf>
    <xf numFmtId="167" fontId="11" fillId="0" borderId="128" xfId="0" applyNumberFormat="1" applyFont="1" applyBorder="1"/>
    <xf numFmtId="167" fontId="11" fillId="0" borderId="128" xfId="1" applyNumberFormat="1" applyFont="1" applyBorder="1" applyAlignment="1">
      <alignment horizontal="center" wrapText="1"/>
    </xf>
    <xf numFmtId="167" fontId="12" fillId="0" borderId="128" xfId="1" applyNumberFormat="1" applyFont="1" applyFill="1" applyBorder="1" applyAlignment="1">
      <alignment horizontal="left"/>
    </xf>
    <xf numFmtId="10" fontId="12" fillId="0" borderId="0" xfId="2" applyNumberFormat="1" applyFont="1" applyFill="1" applyBorder="1" applyAlignment="1">
      <alignment horizontal="center" vertical="center"/>
    </xf>
    <xf numFmtId="167" fontId="11" fillId="0" borderId="128" xfId="1" applyNumberFormat="1" applyFont="1" applyFill="1" applyBorder="1" applyAlignment="1">
      <alignment vertical="center"/>
    </xf>
    <xf numFmtId="167" fontId="13" fillId="0" borderId="128" xfId="1" applyNumberFormat="1" applyFont="1" applyFill="1" applyBorder="1" applyAlignment="1">
      <alignment vertical="center"/>
    </xf>
    <xf numFmtId="167" fontId="11" fillId="0" borderId="31" xfId="1" applyNumberFormat="1" applyFont="1" applyBorder="1"/>
    <xf numFmtId="49" fontId="8" fillId="0" borderId="0" xfId="0" applyNumberFormat="1" applyFont="1" applyAlignment="1">
      <alignment horizontal="left" vertical="top"/>
    </xf>
    <xf numFmtId="49" fontId="8" fillId="0" borderId="132" xfId="0" applyNumberFormat="1" applyFont="1" applyBorder="1" applyAlignment="1">
      <alignment horizontal="left"/>
    </xf>
    <xf numFmtId="49" fontId="8" fillId="0" borderId="123" xfId="0" applyNumberFormat="1" applyFont="1" applyBorder="1" applyAlignment="1">
      <alignment horizontal="left" vertical="center"/>
    </xf>
    <xf numFmtId="49" fontId="8" fillId="0" borderId="117" xfId="0" applyNumberFormat="1" applyFont="1" applyBorder="1" applyAlignment="1">
      <alignment horizontal="center" vertical="center" wrapText="1"/>
    </xf>
    <xf numFmtId="49" fontId="8" fillId="0" borderId="118" xfId="0" applyNumberFormat="1" applyFont="1" applyBorder="1" applyAlignment="1">
      <alignment horizontal="center" vertical="center" wrapText="1"/>
    </xf>
    <xf numFmtId="49" fontId="9" fillId="0" borderId="123" xfId="0" applyNumberFormat="1" applyFont="1" applyBorder="1" applyAlignment="1">
      <alignment horizontal="left"/>
    </xf>
    <xf numFmtId="170" fontId="8" fillId="0" borderId="117" xfId="0" applyNumberFormat="1" applyFont="1" applyBorder="1" applyAlignment="1">
      <alignment horizontal="right"/>
    </xf>
    <xf numFmtId="170" fontId="13" fillId="0" borderId="117" xfId="0" applyNumberFormat="1" applyFont="1" applyBorder="1" applyAlignment="1">
      <alignment horizontal="right"/>
    </xf>
    <xf numFmtId="205" fontId="13" fillId="0" borderId="117" xfId="0" applyNumberFormat="1" applyFont="1" applyBorder="1" applyAlignment="1">
      <alignment horizontal="right"/>
    </xf>
    <xf numFmtId="49" fontId="9" fillId="0" borderId="125" xfId="0" applyNumberFormat="1" applyFont="1" applyBorder="1" applyAlignment="1">
      <alignment horizontal="left"/>
    </xf>
    <xf numFmtId="49" fontId="8" fillId="0" borderId="126" xfId="0" applyNumberFormat="1" applyFont="1" applyBorder="1" applyAlignment="1">
      <alignment horizontal="left"/>
    </xf>
    <xf numFmtId="196" fontId="14" fillId="0" borderId="128" xfId="32" applyNumberFormat="1" applyFont="1" applyFill="1" applyBorder="1"/>
    <xf numFmtId="196" fontId="14" fillId="0" borderId="128" xfId="1" applyNumberFormat="1" applyFont="1" applyFill="1" applyBorder="1"/>
    <xf numFmtId="196" fontId="12" fillId="0" borderId="128" xfId="32" applyNumberFormat="1" applyFont="1" applyFill="1" applyBorder="1" applyAlignment="1">
      <alignment horizontal="right"/>
    </xf>
    <xf numFmtId="0" fontId="10" fillId="0" borderId="0" xfId="0" applyFont="1" applyAlignment="1">
      <alignment horizontal="left" wrapText="1"/>
    </xf>
    <xf numFmtId="2" fontId="10" fillId="0" borderId="0" xfId="0" applyNumberFormat="1" applyFont="1" applyAlignment="1">
      <alignment horizontal="right" wrapText="1"/>
    </xf>
    <xf numFmtId="2" fontId="10" fillId="0" borderId="0" xfId="0" applyNumberFormat="1" applyFont="1" applyAlignment="1">
      <alignment horizontal="right"/>
    </xf>
    <xf numFmtId="0" fontId="10" fillId="0" borderId="0" xfId="0" applyFont="1" applyAlignment="1">
      <alignment horizontal="center" wrapText="1"/>
    </xf>
    <xf numFmtId="0" fontId="10" fillId="0" borderId="0" xfId="0" applyFont="1"/>
    <xf numFmtId="0" fontId="12" fillId="0" borderId="0" xfId="0" applyFont="1" applyAlignment="1">
      <alignment wrapText="1"/>
    </xf>
    <xf numFmtId="181" fontId="12" fillId="0" borderId="0" xfId="2" applyNumberFormat="1" applyFont="1"/>
    <xf numFmtId="0" fontId="9" fillId="0" borderId="0" xfId="0" applyFont="1" applyAlignment="1">
      <alignment vertical="center"/>
    </xf>
    <xf numFmtId="0" fontId="12" fillId="3" borderId="0" xfId="0" applyFont="1" applyFill="1"/>
    <xf numFmtId="4" fontId="12" fillId="0" borderId="0" xfId="0" applyNumberFormat="1" applyFont="1"/>
    <xf numFmtId="170" fontId="12" fillId="0" borderId="0" xfId="0" applyNumberFormat="1" applyFont="1"/>
    <xf numFmtId="49" fontId="9" fillId="2" borderId="24" xfId="8" applyNumberFormat="1" applyFont="1" applyFill="1" applyBorder="1" applyAlignment="1">
      <alignment horizontal="left" vertical="top"/>
    </xf>
    <xf numFmtId="49" fontId="33" fillId="2" borderId="24" xfId="8" applyNumberFormat="1" applyFont="1" applyFill="1" applyBorder="1" applyAlignment="1">
      <alignment horizontal="center"/>
    </xf>
    <xf numFmtId="164" fontId="9" fillId="2" borderId="24" xfId="8" applyNumberFormat="1" applyFont="1" applyFill="1" applyBorder="1" applyAlignment="1">
      <alignment horizontal="right"/>
    </xf>
    <xf numFmtId="183" fontId="9" fillId="2" borderId="24" xfId="8" applyNumberFormat="1" applyFont="1" applyFill="1" applyBorder="1" applyAlignment="1">
      <alignment horizontal="right"/>
    </xf>
    <xf numFmtId="1" fontId="11" fillId="0" borderId="31" xfId="0" applyNumberFormat="1" applyFont="1" applyBorder="1" applyAlignment="1">
      <alignment horizontal="right"/>
    </xf>
    <xf numFmtId="1" fontId="12" fillId="0" borderId="31" xfId="0" applyNumberFormat="1" applyFont="1" applyBorder="1" applyAlignment="1">
      <alignment horizontal="right"/>
    </xf>
    <xf numFmtId="0" fontId="14" fillId="3" borderId="0" xfId="56" applyNumberFormat="1" applyFont="1" applyFill="1" applyAlignment="1">
      <alignment horizontal="left" wrapText="1"/>
    </xf>
    <xf numFmtId="0" fontId="14" fillId="3" borderId="0" xfId="56" applyNumberFormat="1" applyFont="1" applyFill="1" applyAlignment="1">
      <alignment horizontal="center" vertical="center"/>
    </xf>
    <xf numFmtId="0" fontId="16" fillId="9" borderId="104" xfId="56" applyNumberFormat="1" applyFont="1" applyFill="1" applyBorder="1" applyAlignment="1">
      <alignment horizontal="center" vertical="center" wrapText="1"/>
    </xf>
    <xf numFmtId="49" fontId="8" fillId="0" borderId="114" xfId="0" applyNumberFormat="1" applyFont="1" applyBorder="1" applyAlignment="1">
      <alignment horizontal="left"/>
    </xf>
    <xf numFmtId="167" fontId="12" fillId="0" borderId="31" xfId="1" applyNumberFormat="1" applyFont="1" applyBorder="1" applyAlignment="1">
      <alignment horizontal="right" vertical="top"/>
    </xf>
    <xf numFmtId="0" fontId="16" fillId="9" borderId="104" xfId="51" applyNumberFormat="1" applyFont="1" applyFill="1" applyBorder="1" applyAlignment="1">
      <alignment horizontal="center" vertical="center" wrapText="1"/>
    </xf>
    <xf numFmtId="0" fontId="13" fillId="9" borderId="104" xfId="24" applyFont="1" applyFill="1" applyBorder="1" applyAlignment="1">
      <alignment horizontal="center" vertical="center" wrapText="1"/>
    </xf>
    <xf numFmtId="195" fontId="67" fillId="0" borderId="31" xfId="23" applyNumberFormat="1" applyFont="1" applyBorder="1" applyAlignment="1">
      <alignment horizontal="right" vertical="top"/>
    </xf>
    <xf numFmtId="192" fontId="67" fillId="0" borderId="31" xfId="29" applyFont="1" applyFill="1" applyBorder="1" applyAlignment="1">
      <alignment horizontal="right" vertical="top"/>
    </xf>
    <xf numFmtId="196" fontId="12" fillId="0" borderId="31" xfId="29" applyNumberFormat="1" applyFont="1" applyBorder="1" applyAlignment="1">
      <alignment horizontal="right" vertical="top"/>
    </xf>
    <xf numFmtId="196" fontId="67" fillId="0" borderId="31" xfId="29" applyNumberFormat="1" applyFont="1" applyFill="1" applyBorder="1" applyAlignment="1">
      <alignment horizontal="right" vertical="top"/>
    </xf>
    <xf numFmtId="49" fontId="24" fillId="2" borderId="0" xfId="0" applyNumberFormat="1" applyFont="1" applyFill="1" applyBorder="1" applyAlignment="1">
      <alignment wrapText="1"/>
    </xf>
    <xf numFmtId="17" fontId="68" fillId="9" borderId="31" xfId="27" applyNumberFormat="1" applyFont="1" applyFill="1" applyBorder="1" applyAlignment="1">
      <alignment horizontal="center" vertical="center" wrapText="1"/>
    </xf>
    <xf numFmtId="198" fontId="39" fillId="3" borderId="31" xfId="0" applyNumberFormat="1" applyFont="1" applyFill="1" applyBorder="1" applyAlignment="1">
      <alignment vertical="center"/>
    </xf>
    <xf numFmtId="3" fontId="39" fillId="3" borderId="31" xfId="7" applyNumberFormat="1" applyFont="1" applyFill="1" applyBorder="1" applyAlignment="1">
      <alignment vertical="center"/>
    </xf>
    <xf numFmtId="3" fontId="39" fillId="3" borderId="31" xfId="7" quotePrefix="1" applyNumberFormat="1" applyFont="1" applyFill="1" applyBorder="1" applyAlignment="1">
      <alignment horizontal="center" vertical="center"/>
    </xf>
    <xf numFmtId="3" fontId="39" fillId="3" borderId="31" xfId="7" applyNumberFormat="1" applyFont="1" applyFill="1" applyBorder="1" applyAlignment="1">
      <alignment horizontal="right" vertical="center"/>
    </xf>
    <xf numFmtId="3" fontId="39" fillId="0" borderId="31" xfId="7" applyNumberFormat="1" applyFont="1" applyFill="1" applyBorder="1" applyAlignment="1">
      <alignment horizontal="right" vertical="center"/>
    </xf>
    <xf numFmtId="196" fontId="39" fillId="3" borderId="31" xfId="7" applyNumberFormat="1" applyFont="1" applyFill="1" applyBorder="1" applyAlignment="1">
      <alignment horizontal="right" vertical="center"/>
    </xf>
    <xf numFmtId="196" fontId="39" fillId="3" borderId="31" xfId="0" applyNumberFormat="1" applyFont="1" applyFill="1" applyBorder="1" applyAlignment="1">
      <alignment horizontal="right" vertical="center"/>
    </xf>
    <xf numFmtId="198" fontId="39" fillId="0" borderId="31" xfId="0" applyNumberFormat="1" applyFont="1" applyBorder="1" applyAlignment="1">
      <alignment vertical="center"/>
    </xf>
    <xf numFmtId="196" fontId="39" fillId="0" borderId="31" xfId="0" applyNumberFormat="1" applyFont="1" applyBorder="1" applyAlignment="1">
      <alignment horizontal="right" vertical="top"/>
    </xf>
    <xf numFmtId="3" fontId="69" fillId="9" borderId="31" xfId="7" applyNumberFormat="1" applyFont="1" applyFill="1" applyBorder="1" applyAlignment="1">
      <alignment vertical="center"/>
    </xf>
    <xf numFmtId="3" fontId="69" fillId="9" borderId="31" xfId="7" applyNumberFormat="1" applyFont="1" applyFill="1" applyBorder="1" applyAlignment="1">
      <alignment horizontal="right" vertical="center"/>
    </xf>
    <xf numFmtId="4" fontId="39" fillId="3" borderId="31" xfId="7" applyNumberFormat="1" applyFont="1" applyFill="1" applyBorder="1" applyAlignment="1">
      <alignment horizontal="right" vertical="center"/>
    </xf>
    <xf numFmtId="2" fontId="39" fillId="3" borderId="31" xfId="7" applyNumberFormat="1" applyFont="1" applyFill="1" applyBorder="1" applyAlignment="1">
      <alignment horizontal="right" vertical="center"/>
    </xf>
    <xf numFmtId="4" fontId="69" fillId="9" borderId="31" xfId="7" applyNumberFormat="1" applyFont="1" applyFill="1" applyBorder="1" applyAlignment="1">
      <alignment horizontal="right" vertical="center"/>
    </xf>
    <xf numFmtId="186" fontId="69" fillId="9" borderId="31" xfId="7" applyNumberFormat="1" applyFont="1" applyFill="1" applyBorder="1" applyAlignment="1">
      <alignment horizontal="right" vertical="center"/>
    </xf>
    <xf numFmtId="3" fontId="39" fillId="0" borderId="31" xfId="7" applyNumberFormat="1" applyFont="1" applyFill="1" applyBorder="1" applyAlignment="1">
      <alignment vertical="center"/>
    </xf>
    <xf numFmtId="3" fontId="39" fillId="3" borderId="31" xfId="42" quotePrefix="1" applyNumberFormat="1" applyFont="1" applyFill="1" applyBorder="1" applyAlignment="1">
      <alignment horizontal="center" vertical="center"/>
    </xf>
    <xf numFmtId="186" fontId="39" fillId="3" borderId="31" xfId="7" applyNumberFormat="1" applyFont="1" applyFill="1" applyBorder="1" applyAlignment="1">
      <alignment horizontal="right" vertical="center"/>
    </xf>
    <xf numFmtId="4" fontId="69" fillId="9" borderId="31" xfId="7" applyNumberFormat="1" applyFont="1" applyFill="1" applyBorder="1" applyAlignment="1">
      <alignment horizontal="center" vertical="center"/>
    </xf>
    <xf numFmtId="3" fontId="69" fillId="9" borderId="31" xfId="7" applyNumberFormat="1" applyFont="1" applyFill="1" applyBorder="1" applyAlignment="1">
      <alignment horizontal="center" vertical="center" wrapText="1"/>
    </xf>
    <xf numFmtId="3" fontId="69" fillId="9" borderId="31" xfId="7" applyNumberFormat="1" applyFont="1" applyFill="1" applyBorder="1" applyAlignment="1">
      <alignment horizontal="center" vertical="center"/>
    </xf>
    <xf numFmtId="4" fontId="39" fillId="0" borderId="31" xfId="7" applyNumberFormat="1" applyFont="1" applyFill="1" applyBorder="1" applyAlignment="1">
      <alignment horizontal="right" vertical="center"/>
    </xf>
    <xf numFmtId="4" fontId="39" fillId="0" borderId="31" xfId="0" applyNumberFormat="1" applyFont="1" applyBorder="1" applyAlignment="1">
      <alignment horizontal="right" vertical="top"/>
    </xf>
    <xf numFmtId="4" fontId="39" fillId="3" borderId="31" xfId="0" applyNumberFormat="1" applyFont="1" applyFill="1" applyBorder="1" applyAlignment="1">
      <alignment horizontal="right" vertical="center"/>
    </xf>
    <xf numFmtId="14" fontId="23" fillId="0" borderId="0" xfId="0" applyNumberFormat="1" applyFont="1" applyAlignment="1">
      <alignment vertical="top"/>
    </xf>
    <xf numFmtId="0" fontId="23" fillId="0" borderId="0" xfId="0" applyFont="1" applyAlignment="1">
      <alignment vertical="center"/>
    </xf>
    <xf numFmtId="0" fontId="32" fillId="0" borderId="0" xfId="0" applyFont="1" applyAlignment="1">
      <alignment vertical="center"/>
    </xf>
    <xf numFmtId="0" fontId="14" fillId="3" borderId="138" xfId="58" applyNumberFormat="1" applyFont="1" applyFill="1" applyBorder="1" applyAlignment="1">
      <alignment vertical="top"/>
    </xf>
    <xf numFmtId="0" fontId="14" fillId="3" borderId="139" xfId="58" applyNumberFormat="1" applyFont="1" applyFill="1" applyBorder="1" applyAlignment="1">
      <alignment vertical="top"/>
    </xf>
    <xf numFmtId="4" fontId="67" fillId="0" borderId="31" xfId="29" applyNumberFormat="1" applyFont="1" applyFill="1" applyBorder="1" applyAlignment="1">
      <alignment horizontal="right" vertical="top"/>
    </xf>
    <xf numFmtId="4" fontId="11" fillId="0" borderId="31" xfId="29" applyNumberFormat="1" applyFont="1" applyFill="1" applyBorder="1" applyAlignment="1">
      <alignment horizontal="right" vertical="top"/>
    </xf>
    <xf numFmtId="4" fontId="13" fillId="0" borderId="31" xfId="23" applyNumberFormat="1" applyFont="1" applyBorder="1" applyAlignment="1">
      <alignment vertical="top"/>
    </xf>
    <xf numFmtId="192" fontId="67" fillId="0" borderId="31" xfId="29" applyNumberFormat="1" applyFont="1" applyBorder="1"/>
    <xf numFmtId="4" fontId="67" fillId="0" borderId="31" xfId="29" applyNumberFormat="1" applyFont="1" applyBorder="1"/>
    <xf numFmtId="43" fontId="12" fillId="0" borderId="31" xfId="23" applyNumberFormat="1" applyFont="1" applyBorder="1" applyAlignment="1">
      <alignment vertical="top"/>
    </xf>
    <xf numFmtId="43" fontId="11" fillId="0" borderId="31" xfId="7" applyNumberFormat="1" applyFont="1" applyFill="1" applyBorder="1" applyAlignment="1"/>
    <xf numFmtId="4" fontId="12" fillId="0" borderId="31" xfId="23" applyNumberFormat="1" applyFont="1" applyFill="1" applyBorder="1" applyAlignment="1">
      <alignment horizontal="right" vertical="top"/>
    </xf>
    <xf numFmtId="4" fontId="13" fillId="0" borderId="31" xfId="1" applyNumberFormat="1" applyFont="1" applyFill="1" applyBorder="1" applyAlignment="1">
      <alignment horizontal="right" vertical="top"/>
    </xf>
    <xf numFmtId="4" fontId="13" fillId="11" borderId="31" xfId="1" applyNumberFormat="1" applyFont="1" applyFill="1" applyBorder="1" applyAlignment="1">
      <alignment horizontal="right" vertical="top"/>
    </xf>
    <xf numFmtId="4" fontId="12" fillId="0" borderId="31" xfId="1" applyNumberFormat="1" applyFont="1" applyFill="1" applyBorder="1" applyAlignment="1">
      <alignment horizontal="right" vertical="top"/>
    </xf>
    <xf numFmtId="4" fontId="12" fillId="0" borderId="31" xfId="1" applyNumberFormat="1" applyFont="1" applyBorder="1" applyAlignment="1">
      <alignment horizontal="right" vertical="top"/>
    </xf>
    <xf numFmtId="0" fontId="16" fillId="3" borderId="31" xfId="51" applyNumberFormat="1" applyFont="1" applyFill="1" applyBorder="1" applyAlignment="1">
      <alignment horizontal="center" vertical="center" wrapText="1"/>
    </xf>
    <xf numFmtId="0" fontId="23" fillId="3" borderId="0" xfId="0" applyFont="1" applyFill="1" applyAlignment="1">
      <alignment wrapText="1"/>
    </xf>
    <xf numFmtId="185" fontId="9" fillId="9" borderId="117" xfId="8" applyNumberFormat="1" applyFont="1" applyFill="1" applyBorder="1" applyAlignment="1">
      <alignment horizontal="right"/>
    </xf>
    <xf numFmtId="164" fontId="9" fillId="2" borderId="31" xfId="1" applyNumberFormat="1" applyFont="1" applyFill="1" applyBorder="1" applyAlignment="1">
      <alignment horizontal="right"/>
    </xf>
    <xf numFmtId="1" fontId="9" fillId="2" borderId="31" xfId="8" applyNumberFormat="1" applyFont="1" applyFill="1" applyBorder="1" applyAlignment="1">
      <alignment horizontal="right" vertical="top"/>
    </xf>
    <xf numFmtId="3" fontId="9" fillId="2" borderId="31" xfId="8" applyNumberFormat="1" applyFont="1" applyFill="1" applyBorder="1" applyAlignment="1">
      <alignment horizontal="right" vertical="top"/>
    </xf>
    <xf numFmtId="178" fontId="8" fillId="0" borderId="41" xfId="8" applyNumberFormat="1" applyFont="1" applyFill="1" applyBorder="1" applyAlignment="1">
      <alignment horizontal="right"/>
    </xf>
    <xf numFmtId="178" fontId="8" fillId="3" borderId="105" xfId="8" applyNumberFormat="1" applyFont="1" applyFill="1" applyBorder="1" applyAlignment="1">
      <alignment horizontal="right"/>
    </xf>
    <xf numFmtId="178" fontId="8" fillId="0" borderId="105" xfId="8" applyNumberFormat="1" applyFont="1" applyFill="1" applyBorder="1" applyAlignment="1">
      <alignment horizontal="right"/>
    </xf>
    <xf numFmtId="178" fontId="8" fillId="9" borderId="105" xfId="8" applyNumberFormat="1" applyFont="1" applyFill="1" applyBorder="1" applyAlignment="1">
      <alignment horizontal="right"/>
    </xf>
    <xf numFmtId="17" fontId="10" fillId="4" borderId="140" xfId="8" applyNumberFormat="1" applyFont="1" applyFill="1" applyBorder="1" applyAlignment="1">
      <alignment horizontal="left" vertical="center"/>
    </xf>
    <xf numFmtId="3" fontId="10" fillId="0" borderId="140" xfId="11" applyNumberFormat="1" applyFont="1" applyFill="1" applyBorder="1" applyAlignment="1">
      <alignment horizontal="right" vertical="center" wrapText="1"/>
    </xf>
    <xf numFmtId="167" fontId="9" fillId="0" borderId="140" xfId="11" applyNumberFormat="1" applyFont="1" applyFill="1" applyBorder="1" applyAlignment="1">
      <alignment horizontal="right" vertical="center" wrapText="1"/>
    </xf>
    <xf numFmtId="164" fontId="9" fillId="2" borderId="141" xfId="8" applyNumberFormat="1" applyFont="1" applyFill="1" applyBorder="1" applyAlignment="1">
      <alignment horizontal="right"/>
    </xf>
    <xf numFmtId="1" fontId="9" fillId="0" borderId="140" xfId="15" applyNumberFormat="1" applyFont="1" applyFill="1" applyBorder="1" applyAlignment="1" applyProtection="1">
      <alignment horizontal="right" vertical="center" wrapText="1"/>
    </xf>
    <xf numFmtId="3" fontId="9" fillId="0" borderId="140" xfId="15" applyNumberFormat="1" applyFont="1" applyFill="1" applyBorder="1" applyAlignment="1" applyProtection="1">
      <alignment horizontal="right" vertical="center" wrapText="1"/>
    </xf>
    <xf numFmtId="189" fontId="9" fillId="0" borderId="140" xfId="11" applyNumberFormat="1" applyFont="1" applyFill="1" applyBorder="1" applyAlignment="1" applyProtection="1">
      <alignment horizontal="right" vertical="center" wrapText="1"/>
    </xf>
    <xf numFmtId="1" fontId="9" fillId="0" borderId="31" xfId="15" applyNumberFormat="1" applyFont="1" applyBorder="1" applyAlignment="1">
      <alignment horizontal="right" vertical="center" wrapText="1"/>
    </xf>
    <xf numFmtId="1" fontId="8" fillId="9" borderId="31" xfId="8" applyNumberFormat="1" applyFont="1" applyFill="1" applyBorder="1" applyAlignment="1">
      <alignment horizontal="right"/>
    </xf>
    <xf numFmtId="2" fontId="28" fillId="2" borderId="1" xfId="10" applyNumberFormat="1" applyFont="1" applyFill="1" applyBorder="1" applyAlignment="1">
      <alignment horizontal="right" vertical="center"/>
    </xf>
    <xf numFmtId="164" fontId="28" fillId="2" borderId="1" xfId="8" applyNumberFormat="1" applyFont="1" applyFill="1" applyBorder="1" applyAlignment="1">
      <alignment horizontal="right" vertical="center"/>
    </xf>
    <xf numFmtId="0" fontId="28" fillId="2" borderId="1" xfId="8" applyFont="1" applyFill="1" applyBorder="1" applyAlignment="1">
      <alignment horizontal="right" vertical="center"/>
    </xf>
    <xf numFmtId="164" fontId="28" fillId="2" borderId="12" xfId="8" applyNumberFormat="1" applyFont="1" applyFill="1" applyBorder="1" applyAlignment="1">
      <alignment horizontal="right" vertical="center"/>
    </xf>
    <xf numFmtId="0" fontId="28" fillId="2" borderId="12" xfId="8" applyFont="1" applyFill="1" applyBorder="1" applyAlignment="1">
      <alignment horizontal="right" vertical="center"/>
    </xf>
    <xf numFmtId="164" fontId="28" fillId="2" borderId="31" xfId="8" applyNumberFormat="1" applyFont="1" applyFill="1" applyBorder="1" applyAlignment="1">
      <alignment horizontal="right" vertical="center"/>
    </xf>
    <xf numFmtId="0" fontId="28" fillId="2" borderId="31" xfId="8" applyFont="1" applyFill="1" applyBorder="1" applyAlignment="1">
      <alignment horizontal="right" vertical="center"/>
    </xf>
    <xf numFmtId="169" fontId="9" fillId="0" borderId="0" xfId="8" applyNumberFormat="1" applyFont="1" applyFill="1" applyBorder="1" applyAlignment="1">
      <alignment horizontal="right"/>
    </xf>
    <xf numFmtId="0" fontId="8" fillId="0" borderId="0" xfId="0" applyFont="1" applyFill="1" applyBorder="1" applyAlignment="1">
      <alignment horizontal="left" vertical="top" wrapText="1"/>
    </xf>
    <xf numFmtId="1" fontId="9" fillId="0" borderId="31" xfId="15" applyNumberFormat="1" applyFont="1" applyFill="1" applyBorder="1" applyAlignment="1">
      <alignment horizontal="right" vertical="center" wrapText="1"/>
    </xf>
    <xf numFmtId="202" fontId="9" fillId="0" borderId="31" xfId="8" applyNumberFormat="1" applyFont="1" applyFill="1" applyBorder="1" applyAlignment="1">
      <alignment horizontal="right"/>
    </xf>
    <xf numFmtId="49" fontId="8" fillId="0" borderId="41" xfId="0" applyNumberFormat="1" applyFont="1" applyFill="1" applyBorder="1" applyAlignment="1">
      <alignment horizontal="left" vertical="top"/>
    </xf>
    <xf numFmtId="49" fontId="8" fillId="0" borderId="0" xfId="8" applyNumberFormat="1" applyFont="1" applyFill="1" applyAlignment="1">
      <alignment horizontal="left" vertical="center"/>
    </xf>
    <xf numFmtId="14" fontId="11" fillId="0" borderId="0" xfId="0" applyNumberFormat="1" applyFont="1" applyFill="1" applyAlignment="1">
      <alignment vertical="top"/>
    </xf>
    <xf numFmtId="49" fontId="13" fillId="0" borderId="116" xfId="0" applyNumberFormat="1" applyFont="1" applyBorder="1" applyAlignment="1">
      <alignment horizontal="left"/>
    </xf>
    <xf numFmtId="14" fontId="12" fillId="0" borderId="0" xfId="0" applyNumberFormat="1" applyFont="1" applyAlignment="1">
      <alignment vertical="top"/>
    </xf>
    <xf numFmtId="43" fontId="12" fillId="0" borderId="31" xfId="23" applyNumberFormat="1" applyFont="1" applyFill="1" applyBorder="1" applyAlignment="1">
      <alignment horizontal="right" vertical="top"/>
    </xf>
    <xf numFmtId="196" fontId="12" fillId="0" borderId="31" xfId="29" applyNumberFormat="1" applyFont="1" applyFill="1" applyBorder="1"/>
    <xf numFmtId="4" fontId="12" fillId="0" borderId="31" xfId="29" applyNumberFormat="1" applyFont="1" applyFill="1" applyBorder="1"/>
    <xf numFmtId="49" fontId="13" fillId="0" borderId="67" xfId="0" applyNumberFormat="1" applyFont="1" applyBorder="1" applyAlignment="1">
      <alignment horizontal="left"/>
    </xf>
    <xf numFmtId="14" fontId="12" fillId="0" borderId="0" xfId="0" applyNumberFormat="1" applyFont="1" applyFill="1" applyAlignment="1">
      <alignment vertical="top"/>
    </xf>
    <xf numFmtId="167" fontId="12" fillId="0" borderId="31" xfId="1" applyNumberFormat="1" applyFont="1" applyFill="1" applyBorder="1" applyAlignment="1">
      <alignment horizontal="right" vertical="center" wrapText="1"/>
    </xf>
    <xf numFmtId="49" fontId="16" fillId="0" borderId="73" xfId="0" applyNumberFormat="1" applyFont="1" applyBorder="1" applyAlignment="1">
      <alignment horizontal="left"/>
    </xf>
    <xf numFmtId="49" fontId="4" fillId="3" borderId="51" xfId="3" applyNumberFormat="1" applyFont="1" applyFill="1" applyBorder="1" applyAlignment="1">
      <alignment horizontal="center"/>
    </xf>
    <xf numFmtId="0" fontId="5" fillId="3" borderId="0" xfId="3" applyFont="1" applyFill="1" applyAlignment="1">
      <alignment vertical="center"/>
    </xf>
    <xf numFmtId="49" fontId="49" fillId="3" borderId="1" xfId="35" applyNumberFormat="1" applyFill="1" applyBorder="1" applyAlignment="1">
      <alignment horizontal="left"/>
    </xf>
    <xf numFmtId="0" fontId="49" fillId="3" borderId="31" xfId="35" applyFill="1" applyBorder="1"/>
    <xf numFmtId="0" fontId="7" fillId="3" borderId="0" xfId="3" applyNumberFormat="1" applyFont="1" applyFill="1" applyBorder="1" applyAlignment="1"/>
    <xf numFmtId="0" fontId="3" fillId="3" borderId="0" xfId="3" applyNumberFormat="1" applyFont="1" applyFill="1" applyBorder="1" applyAlignment="1"/>
    <xf numFmtId="43" fontId="11" fillId="0" borderId="10" xfId="1" applyFont="1" applyFill="1" applyBorder="1" applyAlignment="1">
      <alignment horizontal="right" vertical="top" wrapText="1"/>
    </xf>
    <xf numFmtId="181" fontId="9" fillId="2" borderId="0" xfId="2" applyNumberFormat="1" applyFont="1" applyFill="1" applyAlignment="1">
      <alignment vertical="center"/>
    </xf>
    <xf numFmtId="167" fontId="9" fillId="2" borderId="0" xfId="1" applyNumberFormat="1" applyFont="1" applyFill="1" applyAlignment="1">
      <alignment vertical="center"/>
    </xf>
    <xf numFmtId="199" fontId="12" fillId="0" borderId="0" xfId="0" applyNumberFormat="1" applyFont="1"/>
    <xf numFmtId="179" fontId="11" fillId="0" borderId="0" xfId="0" applyNumberFormat="1" applyFont="1"/>
    <xf numFmtId="49" fontId="8" fillId="3" borderId="47" xfId="0" applyNumberFormat="1" applyFont="1" applyFill="1" applyBorder="1" applyAlignment="1">
      <alignment horizontal="left"/>
    </xf>
    <xf numFmtId="49" fontId="8" fillId="3" borderId="48" xfId="0" applyNumberFormat="1" applyFont="1" applyFill="1" applyBorder="1" applyAlignment="1">
      <alignment horizontal="left"/>
    </xf>
    <xf numFmtId="49" fontId="8" fillId="0" borderId="32" xfId="0" applyNumberFormat="1" applyFont="1" applyFill="1" applyBorder="1" applyAlignment="1">
      <alignment horizontal="center"/>
    </xf>
    <xf numFmtId="49" fontId="8" fillId="0" borderId="34" xfId="0" applyNumberFormat="1" applyFont="1" applyFill="1" applyBorder="1" applyAlignment="1">
      <alignment horizontal="center"/>
    </xf>
    <xf numFmtId="0" fontId="13" fillId="0" borderId="32" xfId="0" applyFont="1" applyFill="1" applyBorder="1" applyAlignment="1"/>
    <xf numFmtId="0" fontId="13" fillId="0" borderId="33" xfId="0" applyFont="1" applyFill="1" applyBorder="1" applyAlignment="1"/>
    <xf numFmtId="0" fontId="13" fillId="0" borderId="4" xfId="0" applyFont="1" applyFill="1" applyBorder="1" applyAlignment="1">
      <alignment horizontal="center" vertical="center" wrapText="1"/>
    </xf>
    <xf numFmtId="0" fontId="13" fillId="0" borderId="8" xfId="0"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49" fontId="8" fillId="0" borderId="9" xfId="0" applyNumberFormat="1" applyFont="1" applyFill="1" applyBorder="1" applyAlignment="1">
      <alignment horizontal="center" vertical="center" wrapText="1"/>
    </xf>
    <xf numFmtId="0" fontId="13" fillId="0" borderId="8"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5" xfId="0" applyFont="1" applyFill="1" applyBorder="1" applyAlignment="1">
      <alignment horizontal="center" vertical="center" wrapText="1"/>
    </xf>
    <xf numFmtId="49" fontId="8" fillId="0" borderId="0" xfId="0" applyNumberFormat="1" applyFont="1" applyFill="1" applyBorder="1" applyAlignment="1">
      <alignment horizontal="left" vertical="top" wrapText="1"/>
    </xf>
    <xf numFmtId="49" fontId="8" fillId="0" borderId="12" xfId="0" applyNumberFormat="1" applyFont="1" applyFill="1" applyBorder="1" applyAlignment="1">
      <alignment horizontal="center" vertical="center" wrapText="1"/>
    </xf>
    <xf numFmtId="49" fontId="8" fillId="0" borderId="17" xfId="0" applyNumberFormat="1" applyFont="1" applyFill="1" applyBorder="1" applyAlignment="1">
      <alignment horizontal="center" vertical="center" wrapText="1"/>
    </xf>
    <xf numFmtId="49" fontId="8" fillId="0" borderId="13" xfId="0" applyNumberFormat="1" applyFont="1" applyFill="1" applyBorder="1" applyAlignment="1">
      <alignment horizontal="center" vertical="center" wrapText="1"/>
    </xf>
    <xf numFmtId="49" fontId="8" fillId="0" borderId="18" xfId="0" applyNumberFormat="1" applyFont="1" applyFill="1" applyBorder="1" applyAlignment="1">
      <alignment horizontal="center" vertical="center" wrapText="1"/>
    </xf>
    <xf numFmtId="165" fontId="8" fillId="0" borderId="4" xfId="0" applyNumberFormat="1" applyFont="1" applyFill="1" applyBorder="1" applyAlignment="1">
      <alignment horizontal="center" vertical="center" wrapText="1"/>
    </xf>
    <xf numFmtId="165" fontId="8" fillId="0" borderId="8" xfId="0" applyNumberFormat="1" applyFont="1" applyFill="1" applyBorder="1" applyAlignment="1">
      <alignment horizontal="center" vertical="center" wrapText="1"/>
    </xf>
    <xf numFmtId="165" fontId="8" fillId="0" borderId="14" xfId="0" applyNumberFormat="1" applyFont="1" applyFill="1" applyBorder="1" applyAlignment="1">
      <alignment horizontal="center" vertical="center" wrapText="1"/>
    </xf>
    <xf numFmtId="165" fontId="8" fillId="0" borderId="19" xfId="0" applyNumberFormat="1" applyFont="1" applyFill="1" applyBorder="1" applyAlignment="1">
      <alignment horizontal="center" vertical="center" wrapText="1"/>
    </xf>
    <xf numFmtId="165" fontId="8" fillId="0" borderId="12" xfId="0" applyNumberFormat="1" applyFont="1" applyFill="1" applyBorder="1" applyAlignment="1">
      <alignment horizontal="center" vertical="center" wrapText="1"/>
    </xf>
    <xf numFmtId="165" fontId="8" fillId="0" borderId="17"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49" fontId="8" fillId="0" borderId="16" xfId="0" applyNumberFormat="1"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7" xfId="0" applyFont="1" applyFill="1" applyBorder="1" applyAlignment="1">
      <alignment horizontal="center" vertical="center" wrapText="1"/>
    </xf>
    <xf numFmtId="49" fontId="9" fillId="0" borderId="0" xfId="0" applyNumberFormat="1" applyFont="1" applyFill="1" applyBorder="1" applyAlignment="1">
      <alignment horizontal="left"/>
    </xf>
    <xf numFmtId="49" fontId="8" fillId="0" borderId="20" xfId="0" applyNumberFormat="1" applyFont="1" applyFill="1" applyBorder="1" applyAlignment="1">
      <alignment horizontal="left" vertical="center"/>
    </xf>
    <xf numFmtId="49" fontId="8" fillId="2" borderId="12" xfId="0" applyNumberFormat="1" applyFont="1" applyFill="1" applyBorder="1" applyAlignment="1">
      <alignment horizontal="center" vertical="center"/>
    </xf>
    <xf numFmtId="49" fontId="8" fillId="2" borderId="17" xfId="0" applyNumberFormat="1" applyFont="1" applyFill="1" applyBorder="1" applyAlignment="1">
      <alignment horizontal="center" vertical="center"/>
    </xf>
    <xf numFmtId="49" fontId="8" fillId="2" borderId="22" xfId="0" applyNumberFormat="1" applyFont="1" applyFill="1" applyBorder="1" applyAlignment="1">
      <alignment horizontal="center" vertical="center"/>
    </xf>
    <xf numFmtId="49" fontId="8" fillId="2" borderId="15" xfId="0" applyNumberFormat="1" applyFont="1" applyFill="1" applyBorder="1" applyAlignment="1">
      <alignment horizontal="center" wrapText="1"/>
    </xf>
    <xf numFmtId="49" fontId="8" fillId="2" borderId="21" xfId="0" applyNumberFormat="1" applyFont="1" applyFill="1" applyBorder="1" applyAlignment="1">
      <alignment horizontal="center" wrapText="1"/>
    </xf>
    <xf numFmtId="49" fontId="8" fillId="2" borderId="16" xfId="0" applyNumberFormat="1" applyFont="1" applyFill="1" applyBorder="1" applyAlignment="1">
      <alignment horizontal="center" wrapText="1"/>
    </xf>
    <xf numFmtId="49" fontId="8" fillId="2" borderId="15" xfId="0" applyNumberFormat="1" applyFont="1" applyFill="1" applyBorder="1" applyAlignment="1">
      <alignment horizontal="center"/>
    </xf>
    <xf numFmtId="49" fontId="8" fillId="2" borderId="16" xfId="0" applyNumberFormat="1" applyFont="1" applyFill="1" applyBorder="1" applyAlignment="1">
      <alignment horizont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49" fontId="8" fillId="2" borderId="12"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wrapText="1"/>
    </xf>
    <xf numFmtId="0" fontId="13" fillId="0" borderId="39" xfId="0" applyFont="1" applyBorder="1" applyAlignment="1">
      <alignment horizontal="left" vertical="top" wrapText="1"/>
    </xf>
    <xf numFmtId="0" fontId="16" fillId="0" borderId="38" xfId="0" applyFont="1" applyBorder="1" applyAlignment="1">
      <alignment horizontal="center" vertical="center"/>
    </xf>
    <xf numFmtId="0" fontId="16" fillId="0" borderId="10" xfId="0" applyFont="1" applyBorder="1" applyAlignment="1">
      <alignment horizontal="center" vertical="center"/>
    </xf>
    <xf numFmtId="0" fontId="16" fillId="0" borderId="54" xfId="0" applyFont="1" applyBorder="1" applyAlignment="1">
      <alignment horizontal="center" vertical="center"/>
    </xf>
    <xf numFmtId="0" fontId="16" fillId="0" borderId="31" xfId="0" applyFont="1" applyFill="1" applyBorder="1" applyAlignment="1">
      <alignment horizontal="center" vertical="top"/>
    </xf>
    <xf numFmtId="168" fontId="8" fillId="0" borderId="61" xfId="5" applyNumberFormat="1" applyFont="1" applyFill="1" applyBorder="1" applyAlignment="1">
      <alignment horizontal="center" vertical="top" wrapText="1"/>
    </xf>
    <xf numFmtId="168" fontId="8" fillId="0" borderId="65" xfId="5" applyNumberFormat="1" applyFont="1" applyFill="1" applyBorder="1" applyAlignment="1">
      <alignment horizontal="center" vertical="top" wrapText="1"/>
    </xf>
    <xf numFmtId="168" fontId="8" fillId="0" borderId="66" xfId="5" applyNumberFormat="1" applyFont="1" applyFill="1" applyBorder="1" applyAlignment="1">
      <alignment horizontal="center" vertical="top" wrapText="1"/>
    </xf>
    <xf numFmtId="0" fontId="16" fillId="0" borderId="61" xfId="0" applyFont="1" applyBorder="1" applyAlignment="1">
      <alignment horizontal="center" vertical="top"/>
    </xf>
    <xf numFmtId="0" fontId="16" fillId="0" borderId="66" xfId="0" applyFont="1" applyBorder="1" applyAlignment="1">
      <alignment horizontal="center" vertical="top"/>
    </xf>
    <xf numFmtId="0" fontId="12" fillId="0" borderId="0" xfId="0" applyFont="1" applyAlignment="1">
      <alignment horizontal="left" vertical="top"/>
    </xf>
    <xf numFmtId="49" fontId="8" fillId="0" borderId="49" xfId="0" applyNumberFormat="1" applyFont="1" applyFill="1" applyBorder="1" applyAlignment="1">
      <alignment horizontal="center" vertical="top"/>
    </xf>
    <xf numFmtId="49" fontId="8" fillId="0" borderId="50" xfId="0" applyNumberFormat="1" applyFont="1" applyFill="1" applyBorder="1" applyAlignment="1">
      <alignment horizontal="center" vertical="top"/>
    </xf>
    <xf numFmtId="49" fontId="8" fillId="0" borderId="20" xfId="0" applyNumberFormat="1" applyFont="1" applyFill="1" applyBorder="1" applyAlignment="1">
      <alignment horizontal="left" vertical="top"/>
    </xf>
    <xf numFmtId="0" fontId="9" fillId="0" borderId="0" xfId="0" applyFont="1" applyFill="1" applyBorder="1" applyAlignment="1">
      <alignment horizontal="left" vertical="top" wrapText="1"/>
    </xf>
    <xf numFmtId="0" fontId="9" fillId="0" borderId="0" xfId="0" applyFont="1" applyFill="1" applyBorder="1" applyAlignment="1">
      <alignment horizontal="left" vertical="top"/>
    </xf>
    <xf numFmtId="49" fontId="8" fillId="0" borderId="42" xfId="0" applyNumberFormat="1" applyFont="1" applyFill="1" applyBorder="1" applyAlignment="1">
      <alignment horizontal="center" vertical="top"/>
    </xf>
    <xf numFmtId="49" fontId="8" fillId="0" borderId="43" xfId="0" applyNumberFormat="1" applyFont="1" applyFill="1" applyBorder="1" applyAlignment="1">
      <alignment horizontal="center" vertical="top"/>
    </xf>
    <xf numFmtId="49" fontId="8" fillId="0" borderId="42" xfId="0" applyNumberFormat="1" applyFont="1" applyFill="1" applyBorder="1" applyAlignment="1">
      <alignment horizontal="center" vertical="top" wrapText="1"/>
    </xf>
    <xf numFmtId="49" fontId="8" fillId="0" borderId="43" xfId="0" applyNumberFormat="1" applyFont="1" applyFill="1" applyBorder="1" applyAlignment="1">
      <alignment horizontal="center" vertical="top" wrapText="1"/>
    </xf>
    <xf numFmtId="49" fontId="8" fillId="0" borderId="25" xfId="0" applyNumberFormat="1" applyFont="1" applyFill="1" applyBorder="1" applyAlignment="1">
      <alignment horizontal="center" vertical="top" wrapText="1"/>
    </xf>
    <xf numFmtId="49" fontId="8" fillId="0" borderId="26" xfId="0" applyNumberFormat="1"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49" fontId="8" fillId="0" borderId="18" xfId="0" applyNumberFormat="1" applyFont="1" applyFill="1" applyBorder="1" applyAlignment="1">
      <alignment horizontal="center" vertical="top" wrapText="1"/>
    </xf>
    <xf numFmtId="49" fontId="8" fillId="0" borderId="44" xfId="0" applyNumberFormat="1" applyFont="1" applyFill="1" applyBorder="1" applyAlignment="1">
      <alignment horizontal="center" vertical="top"/>
    </xf>
    <xf numFmtId="49" fontId="8" fillId="0" borderId="45" xfId="0" applyNumberFormat="1" applyFont="1" applyFill="1" applyBorder="1" applyAlignment="1">
      <alignment horizontal="center" vertical="top"/>
    </xf>
    <xf numFmtId="49" fontId="8" fillId="0" borderId="46" xfId="0" applyNumberFormat="1" applyFont="1" applyFill="1" applyBorder="1" applyAlignment="1">
      <alignment horizontal="center" vertical="top"/>
    </xf>
    <xf numFmtId="49" fontId="8" fillId="3" borderId="24" xfId="0" applyNumberFormat="1" applyFont="1" applyFill="1" applyBorder="1" applyAlignment="1">
      <alignment horizontal="center" vertical="top"/>
    </xf>
    <xf numFmtId="49" fontId="8" fillId="3" borderId="14" xfId="0" applyNumberFormat="1" applyFont="1" applyFill="1" applyBorder="1" applyAlignment="1">
      <alignment horizontal="center" vertical="top"/>
    </xf>
    <xf numFmtId="168" fontId="57" fillId="0" borderId="53" xfId="0" applyNumberFormat="1" applyFont="1" applyFill="1" applyBorder="1" applyAlignment="1">
      <alignment horizontal="center" vertical="top" wrapText="1"/>
    </xf>
    <xf numFmtId="168" fontId="57" fillId="0" borderId="63" xfId="0" applyNumberFormat="1" applyFont="1" applyFill="1" applyBorder="1" applyAlignment="1">
      <alignment horizontal="center" vertical="top" wrapText="1"/>
    </xf>
    <xf numFmtId="0" fontId="11" fillId="0" borderId="62" xfId="0" applyFont="1" applyBorder="1" applyAlignment="1">
      <alignment vertical="center" wrapText="1"/>
    </xf>
    <xf numFmtId="0" fontId="11" fillId="0" borderId="10" xfId="0" applyFont="1" applyBorder="1" applyAlignment="1">
      <alignment vertical="center" wrapText="1"/>
    </xf>
    <xf numFmtId="0" fontId="11" fillId="0" borderId="54" xfId="0" applyFont="1" applyBorder="1" applyAlignment="1">
      <alignment vertical="center" wrapText="1"/>
    </xf>
    <xf numFmtId="168" fontId="57" fillId="0" borderId="31" xfId="0" applyNumberFormat="1" applyFont="1" applyFill="1" applyBorder="1" applyAlignment="1">
      <alignment horizontal="center" vertical="top" wrapText="1"/>
    </xf>
    <xf numFmtId="0" fontId="16" fillId="0" borderId="31" xfId="0" applyFont="1" applyBorder="1" applyAlignment="1">
      <alignment horizontal="center" vertical="center" wrapText="1"/>
    </xf>
    <xf numFmtId="49" fontId="57" fillId="0" borderId="31" xfId="0" applyNumberFormat="1" applyFont="1" applyFill="1" applyBorder="1" applyAlignment="1">
      <alignment horizontal="center" vertical="top" wrapText="1"/>
    </xf>
    <xf numFmtId="0" fontId="16" fillId="0" borderId="31" xfId="0" applyFont="1" applyBorder="1" applyAlignment="1">
      <alignment horizontal="center" vertical="center"/>
    </xf>
    <xf numFmtId="0" fontId="11" fillId="0" borderId="62" xfId="0" applyFont="1" applyBorder="1" applyAlignment="1">
      <alignment vertical="top" wrapText="1"/>
    </xf>
    <xf numFmtId="0" fontId="11" fillId="0" borderId="10" xfId="0" applyFont="1" applyBorder="1" applyAlignment="1">
      <alignment vertical="top" wrapText="1"/>
    </xf>
    <xf numFmtId="0" fontId="11" fillId="0" borderId="54" xfId="0" applyFont="1" applyBorder="1" applyAlignment="1">
      <alignment vertical="top" wrapText="1"/>
    </xf>
    <xf numFmtId="49" fontId="8" fillId="0" borderId="0" xfId="0" applyNumberFormat="1" applyFont="1" applyFill="1" applyAlignment="1">
      <alignment horizontal="left"/>
    </xf>
    <xf numFmtId="49" fontId="9" fillId="0" borderId="0" xfId="0" applyNumberFormat="1" applyFont="1" applyFill="1" applyBorder="1" applyAlignment="1">
      <alignment horizontal="left" vertical="center" wrapText="1"/>
    </xf>
    <xf numFmtId="49" fontId="8" fillId="2" borderId="2" xfId="0" applyNumberFormat="1" applyFont="1" applyFill="1" applyBorder="1" applyAlignment="1">
      <alignment horizontal="left" vertical="top"/>
    </xf>
    <xf numFmtId="49" fontId="8" fillId="2" borderId="5" xfId="0" applyNumberFormat="1" applyFont="1" applyFill="1" applyBorder="1" applyAlignment="1">
      <alignment horizontal="left" vertical="top"/>
    </xf>
    <xf numFmtId="49" fontId="8" fillId="2" borderId="3" xfId="0" applyNumberFormat="1" applyFont="1" applyFill="1" applyBorder="1" applyAlignment="1">
      <alignment horizontal="left" vertical="top"/>
    </xf>
    <xf numFmtId="49" fontId="8" fillId="2" borderId="23"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23" xfId="0" applyNumberFormat="1" applyFont="1" applyFill="1" applyBorder="1" applyAlignment="1">
      <alignment horizontal="center" vertical="center"/>
    </xf>
    <xf numFmtId="49" fontId="8" fillId="2" borderId="4" xfId="0" applyNumberFormat="1" applyFont="1" applyFill="1" applyBorder="1" applyAlignment="1">
      <alignment horizontal="center" vertical="center"/>
    </xf>
    <xf numFmtId="0" fontId="9" fillId="0" borderId="0" xfId="0" applyFont="1" applyFill="1" applyBorder="1" applyAlignment="1">
      <alignment horizontal="left" vertical="center"/>
    </xf>
    <xf numFmtId="49" fontId="8" fillId="2" borderId="0" xfId="0" applyNumberFormat="1" applyFont="1" applyFill="1" applyAlignment="1">
      <alignment horizontal="left" vertical="top"/>
    </xf>
    <xf numFmtId="49" fontId="8" fillId="2" borderId="22"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xf>
    <xf numFmtId="49" fontId="8" fillId="2" borderId="16" xfId="0" applyNumberFormat="1" applyFont="1" applyFill="1" applyBorder="1" applyAlignment="1">
      <alignment horizontal="center" vertical="center"/>
    </xf>
    <xf numFmtId="0" fontId="8" fillId="0" borderId="6" xfId="0" applyFont="1" applyFill="1" applyBorder="1" applyAlignment="1">
      <alignment horizontal="left" vertical="top" wrapText="1"/>
    </xf>
    <xf numFmtId="49" fontId="8" fillId="0" borderId="0" xfId="0" applyNumberFormat="1" applyFont="1" applyFill="1" applyAlignment="1">
      <alignment horizontal="left" vertical="top" wrapText="1"/>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12" xfId="8" applyNumberFormat="1" applyFont="1" applyFill="1" applyBorder="1" applyAlignment="1">
      <alignment horizontal="center"/>
    </xf>
    <xf numFmtId="49" fontId="8" fillId="2" borderId="22" xfId="8" applyNumberFormat="1" applyFont="1" applyFill="1" applyBorder="1" applyAlignment="1">
      <alignment horizontal="center"/>
    </xf>
    <xf numFmtId="49" fontId="8" fillId="2" borderId="15" xfId="8" applyNumberFormat="1" applyFont="1" applyFill="1" applyBorder="1" applyAlignment="1">
      <alignment horizontal="center"/>
    </xf>
    <xf numFmtId="49" fontId="8" fillId="2" borderId="16" xfId="8" applyNumberFormat="1" applyFont="1" applyFill="1" applyBorder="1" applyAlignment="1">
      <alignment horizontal="center"/>
    </xf>
    <xf numFmtId="49" fontId="8" fillId="2" borderId="58" xfId="8" applyNumberFormat="1" applyFont="1" applyFill="1" applyBorder="1" applyAlignment="1">
      <alignment horizontal="center"/>
    </xf>
    <xf numFmtId="49" fontId="8" fillId="2" borderId="60" xfId="8" applyNumberFormat="1" applyFont="1" applyFill="1" applyBorder="1" applyAlignment="1">
      <alignment horizontal="center"/>
    </xf>
    <xf numFmtId="49" fontId="8" fillId="2" borderId="40" xfId="8" applyNumberFormat="1" applyFont="1" applyFill="1" applyBorder="1" applyAlignment="1">
      <alignment horizontal="center"/>
    </xf>
    <xf numFmtId="0" fontId="12" fillId="0" borderId="57" xfId="8" applyNumberFormat="1" applyFont="1" applyFill="1" applyBorder="1" applyAlignment="1">
      <alignment horizontal="center"/>
    </xf>
    <xf numFmtId="49" fontId="8" fillId="2" borderId="56" xfId="8" applyNumberFormat="1" applyFont="1" applyFill="1" applyBorder="1" applyAlignment="1">
      <alignment horizontal="center" vertical="center"/>
    </xf>
    <xf numFmtId="49" fontId="8" fillId="2" borderId="35" xfId="8" applyNumberFormat="1" applyFont="1" applyFill="1" applyBorder="1" applyAlignment="1">
      <alignment horizontal="center" vertical="center"/>
    </xf>
    <xf numFmtId="49" fontId="8" fillId="2" borderId="59" xfId="8" applyNumberFormat="1" applyFont="1" applyFill="1" applyBorder="1" applyAlignment="1">
      <alignment horizontal="center"/>
    </xf>
    <xf numFmtId="49" fontId="8" fillId="2" borderId="31" xfId="8" applyNumberFormat="1" applyFont="1" applyFill="1" applyBorder="1" applyAlignment="1">
      <alignment horizontal="center" vertical="center" wrapText="1"/>
    </xf>
    <xf numFmtId="49" fontId="8" fillId="2" borderId="31" xfId="8" applyNumberFormat="1" applyFont="1" applyFill="1" applyBorder="1" applyAlignment="1">
      <alignment horizontal="center" vertical="center"/>
    </xf>
    <xf numFmtId="0" fontId="16" fillId="0" borderId="31" xfId="0" applyFont="1" applyBorder="1" applyAlignment="1">
      <alignment horizontal="center" wrapText="1"/>
    </xf>
    <xf numFmtId="49" fontId="8" fillId="2" borderId="0" xfId="8" applyNumberFormat="1" applyFont="1" applyFill="1" applyAlignment="1">
      <alignment horizontal="left" vertical="top"/>
    </xf>
    <xf numFmtId="49" fontId="8" fillId="2" borderId="12" xfId="8" applyNumberFormat="1" applyFont="1" applyFill="1" applyBorder="1" applyAlignment="1">
      <alignment horizontal="right"/>
    </xf>
    <xf numFmtId="49" fontId="8" fillId="2" borderId="22" xfId="8" applyNumberFormat="1" applyFont="1" applyFill="1" applyBorder="1" applyAlignment="1">
      <alignment horizontal="right"/>
    </xf>
    <xf numFmtId="49" fontId="8" fillId="2" borderId="21" xfId="8" applyNumberFormat="1" applyFont="1" applyFill="1" applyBorder="1" applyAlignment="1">
      <alignment horizontal="center"/>
    </xf>
    <xf numFmtId="49" fontId="8" fillId="2" borderId="13" xfId="8" applyNumberFormat="1" applyFont="1" applyFill="1" applyBorder="1" applyAlignment="1">
      <alignment horizontal="center" vertical="center"/>
    </xf>
    <xf numFmtId="49" fontId="8" fillId="2" borderId="14" xfId="8" applyNumberFormat="1" applyFont="1" applyFill="1" applyBorder="1" applyAlignment="1">
      <alignment horizontal="center" vertical="center"/>
    </xf>
    <xf numFmtId="49" fontId="8" fillId="2" borderId="28" xfId="8" applyNumberFormat="1" applyFont="1" applyFill="1" applyBorder="1" applyAlignment="1">
      <alignment horizontal="center" vertical="center"/>
    </xf>
    <xf numFmtId="49" fontId="8" fillId="2" borderId="29" xfId="8" applyNumberFormat="1" applyFont="1" applyFill="1" applyBorder="1" applyAlignment="1">
      <alignment horizontal="center" vertical="center"/>
    </xf>
    <xf numFmtId="49" fontId="8" fillId="2" borderId="15" xfId="8" applyNumberFormat="1" applyFont="1" applyFill="1" applyBorder="1" applyAlignment="1">
      <alignment horizontal="center" vertical="center"/>
    </xf>
    <xf numFmtId="49" fontId="8" fillId="2" borderId="16" xfId="8" applyNumberFormat="1" applyFont="1" applyFill="1" applyBorder="1" applyAlignment="1">
      <alignment horizontal="center" vertical="center"/>
    </xf>
    <xf numFmtId="0" fontId="13" fillId="0" borderId="0" xfId="8" applyNumberFormat="1" applyFont="1" applyFill="1" applyBorder="1" applyAlignment="1">
      <alignment horizontal="left" wrapText="1"/>
    </xf>
    <xf numFmtId="49" fontId="8" fillId="2" borderId="64" xfId="8" applyNumberFormat="1" applyFont="1" applyFill="1" applyBorder="1" applyAlignment="1">
      <alignment horizontal="center" vertical="top" wrapText="1"/>
    </xf>
    <xf numFmtId="49" fontId="8" fillId="2" borderId="12" xfId="8" applyNumberFormat="1" applyFont="1" applyFill="1" applyBorder="1" applyAlignment="1">
      <alignment horizontal="center" vertical="center" wrapText="1"/>
    </xf>
    <xf numFmtId="49" fontId="8" fillId="2" borderId="22" xfId="8" applyNumberFormat="1" applyFont="1" applyFill="1" applyBorder="1" applyAlignment="1">
      <alignment horizontal="center" vertical="center" wrapText="1"/>
    </xf>
    <xf numFmtId="49" fontId="8" fillId="2" borderId="15" xfId="8" applyNumberFormat="1" applyFont="1" applyFill="1" applyBorder="1" applyAlignment="1">
      <alignment horizontal="center" vertical="center" wrapText="1"/>
    </xf>
    <xf numFmtId="49" fontId="8" fillId="2" borderId="21" xfId="8" applyNumberFormat="1" applyFont="1" applyFill="1" applyBorder="1" applyAlignment="1">
      <alignment horizontal="center" vertical="center" wrapText="1"/>
    </xf>
    <xf numFmtId="49" fontId="8" fillId="2" borderId="16" xfId="8" applyNumberFormat="1" applyFont="1" applyFill="1" applyBorder="1" applyAlignment="1">
      <alignment horizontal="center" vertical="center" wrapText="1"/>
    </xf>
    <xf numFmtId="49" fontId="8" fillId="0" borderId="12" xfId="8" applyNumberFormat="1" applyFont="1" applyFill="1" applyBorder="1" applyAlignment="1">
      <alignment horizontal="center" vertical="center" wrapText="1"/>
    </xf>
    <xf numFmtId="49" fontId="8" fillId="0" borderId="22" xfId="8" applyNumberFormat="1" applyFont="1" applyFill="1" applyBorder="1" applyAlignment="1">
      <alignment horizontal="center" vertical="center" wrapText="1"/>
    </xf>
    <xf numFmtId="49" fontId="8" fillId="2" borderId="0" xfId="8" applyNumberFormat="1" applyFont="1" applyFill="1" applyAlignment="1">
      <alignment horizontal="left" wrapText="1"/>
    </xf>
    <xf numFmtId="49" fontId="9" fillId="2" borderId="0" xfId="8" applyNumberFormat="1" applyFont="1" applyFill="1" applyAlignment="1">
      <alignment horizontal="left" vertical="top" wrapText="1"/>
    </xf>
    <xf numFmtId="0" fontId="3" fillId="0" borderId="0" xfId="8" applyNumberFormat="1" applyFont="1" applyFill="1" applyBorder="1" applyAlignment="1">
      <alignment vertical="top" wrapText="1"/>
    </xf>
    <xf numFmtId="49" fontId="8" fillId="2" borderId="0" xfId="8" applyNumberFormat="1" applyFont="1" applyFill="1" applyBorder="1" applyAlignment="1">
      <alignment horizontal="left" wrapText="1"/>
    </xf>
    <xf numFmtId="49" fontId="9" fillId="2" borderId="0" xfId="8" applyNumberFormat="1" applyFont="1" applyFill="1" applyBorder="1" applyAlignment="1">
      <alignment horizontal="left" wrapText="1"/>
    </xf>
    <xf numFmtId="49" fontId="8" fillId="2" borderId="21" xfId="8" applyNumberFormat="1" applyFont="1" applyFill="1" applyBorder="1" applyAlignment="1">
      <alignment horizontal="center" vertical="center"/>
    </xf>
    <xf numFmtId="49" fontId="8" fillId="2" borderId="12" xfId="8" applyNumberFormat="1" applyFont="1" applyFill="1" applyBorder="1" applyAlignment="1">
      <alignment horizontal="center" vertical="center"/>
    </xf>
    <xf numFmtId="49" fontId="8" fillId="2" borderId="22" xfId="8" applyNumberFormat="1" applyFont="1" applyFill="1" applyBorder="1" applyAlignment="1">
      <alignment horizontal="center" vertical="center"/>
    </xf>
    <xf numFmtId="49" fontId="8" fillId="3" borderId="15" xfId="8" applyNumberFormat="1" applyFont="1" applyFill="1" applyBorder="1" applyAlignment="1">
      <alignment horizontal="center"/>
    </xf>
    <xf numFmtId="49" fontId="8" fillId="3" borderId="16" xfId="8" applyNumberFormat="1" applyFont="1" applyFill="1" applyBorder="1" applyAlignment="1">
      <alignment horizontal="center"/>
    </xf>
    <xf numFmtId="49" fontId="8" fillId="3" borderId="15" xfId="8" applyNumberFormat="1" applyFont="1" applyFill="1" applyBorder="1" applyAlignment="1">
      <alignment horizontal="center" vertical="center"/>
    </xf>
    <xf numFmtId="49" fontId="8" fillId="3" borderId="16" xfId="8" applyNumberFormat="1" applyFont="1" applyFill="1" applyBorder="1" applyAlignment="1">
      <alignment horizontal="center" vertical="center"/>
    </xf>
    <xf numFmtId="0" fontId="3" fillId="0" borderId="21" xfId="8" applyNumberFormat="1" applyFont="1" applyFill="1" applyBorder="1" applyAlignment="1">
      <alignment horizontal="center"/>
    </xf>
    <xf numFmtId="0" fontId="3" fillId="0" borderId="16" xfId="8" applyNumberFormat="1" applyFont="1" applyFill="1" applyBorder="1" applyAlignment="1">
      <alignment horizontal="center"/>
    </xf>
    <xf numFmtId="49" fontId="8" fillId="2" borderId="12" xfId="8" applyNumberFormat="1" applyFont="1" applyFill="1" applyBorder="1" applyAlignment="1">
      <alignment horizontal="center" vertical="top"/>
    </xf>
    <xf numFmtId="49" fontId="8" fillId="2" borderId="22" xfId="8" applyNumberFormat="1" applyFont="1" applyFill="1" applyBorder="1" applyAlignment="1">
      <alignment horizontal="center" vertical="top"/>
    </xf>
    <xf numFmtId="49" fontId="8" fillId="2" borderId="0" xfId="8" applyNumberFormat="1" applyFont="1" applyFill="1" applyBorder="1" applyAlignment="1">
      <alignment horizontal="left"/>
    </xf>
    <xf numFmtId="49" fontId="9" fillId="2" borderId="0" xfId="8" applyNumberFormat="1" applyFont="1" applyFill="1" applyBorder="1" applyAlignment="1">
      <alignment horizontal="left" vertical="top" wrapText="1"/>
    </xf>
    <xf numFmtId="49" fontId="26" fillId="2" borderId="0" xfId="8" applyNumberFormat="1" applyFont="1" applyFill="1" applyAlignment="1">
      <alignment horizontal="left" vertical="top" wrapText="1"/>
    </xf>
    <xf numFmtId="49" fontId="28"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vertical="center"/>
    </xf>
    <xf numFmtId="49" fontId="9" fillId="2" borderId="0" xfId="8" applyNumberFormat="1" applyFont="1" applyFill="1" applyAlignment="1">
      <alignment horizontal="left" vertical="center" wrapText="1"/>
    </xf>
    <xf numFmtId="49" fontId="8" fillId="3" borderId="15" xfId="8" applyNumberFormat="1" applyFont="1" applyFill="1" applyBorder="1" applyAlignment="1">
      <alignment horizontal="center" vertical="center" wrapText="1"/>
    </xf>
    <xf numFmtId="49" fontId="8" fillId="3" borderId="21" xfId="8" applyNumberFormat="1" applyFont="1" applyFill="1" applyBorder="1" applyAlignment="1">
      <alignment horizontal="center" vertical="center" wrapText="1"/>
    </xf>
    <xf numFmtId="49" fontId="8" fillId="3" borderId="16" xfId="8" applyNumberFormat="1" applyFont="1" applyFill="1" applyBorder="1" applyAlignment="1">
      <alignment horizontal="center" vertical="center" wrapText="1"/>
    </xf>
    <xf numFmtId="49" fontId="9" fillId="2" borderId="0" xfId="8" applyNumberFormat="1" applyFont="1" applyFill="1" applyAlignment="1">
      <alignment horizontal="left"/>
    </xf>
    <xf numFmtId="49" fontId="8" fillId="3" borderId="21" xfId="8" applyNumberFormat="1" applyFont="1" applyFill="1" applyBorder="1" applyAlignment="1">
      <alignment horizontal="center"/>
    </xf>
    <xf numFmtId="49" fontId="8" fillId="0" borderId="92" xfId="8" applyNumberFormat="1" applyFont="1" applyFill="1" applyBorder="1" applyAlignment="1">
      <alignment horizontal="center" vertical="center"/>
    </xf>
    <xf numFmtId="49" fontId="8" fillId="0" borderId="21" xfId="8" applyNumberFormat="1" applyFont="1" applyFill="1" applyBorder="1" applyAlignment="1">
      <alignment horizontal="center" vertical="center"/>
    </xf>
    <xf numFmtId="49" fontId="8" fillId="0" borderId="93" xfId="8" applyNumberFormat="1" applyFont="1" applyFill="1" applyBorder="1" applyAlignment="1">
      <alignment horizontal="center" vertical="center"/>
    </xf>
    <xf numFmtId="49" fontId="8" fillId="3" borderId="21" xfId="8" applyNumberFormat="1" applyFont="1" applyFill="1" applyBorder="1" applyAlignment="1">
      <alignment horizontal="center" vertical="center"/>
    </xf>
    <xf numFmtId="49" fontId="8" fillId="3" borderId="0" xfId="8" applyNumberFormat="1" applyFont="1" applyFill="1" applyBorder="1" applyAlignment="1">
      <alignment horizontal="center"/>
    </xf>
    <xf numFmtId="49" fontId="8" fillId="3" borderId="64" xfId="8" applyNumberFormat="1" applyFont="1" applyFill="1" applyBorder="1" applyAlignment="1">
      <alignment horizontal="center"/>
    </xf>
    <xf numFmtId="49" fontId="8" fillId="0" borderId="31" xfId="8" applyNumberFormat="1" applyFont="1" applyFill="1" applyBorder="1" applyAlignment="1">
      <alignment horizontal="center"/>
    </xf>
    <xf numFmtId="49" fontId="8" fillId="0" borderId="10" xfId="8" applyNumberFormat="1" applyFont="1" applyFill="1" applyBorder="1" applyAlignment="1">
      <alignment horizontal="center"/>
    </xf>
    <xf numFmtId="49" fontId="8" fillId="0" borderId="104" xfId="8" applyNumberFormat="1" applyFont="1" applyFill="1" applyBorder="1" applyAlignment="1">
      <alignment horizontal="center"/>
    </xf>
    <xf numFmtId="49" fontId="9" fillId="2" borderId="0" xfId="8" applyNumberFormat="1" applyFont="1" applyFill="1" applyAlignment="1">
      <alignment horizontal="left" wrapText="1"/>
    </xf>
    <xf numFmtId="49" fontId="8" fillId="2" borderId="0" xfId="8" applyNumberFormat="1" applyFont="1" applyFill="1" applyAlignment="1">
      <alignment horizontal="left" vertical="center" wrapText="1"/>
    </xf>
    <xf numFmtId="0" fontId="13" fillId="0" borderId="31" xfId="12" applyFont="1" applyFill="1" applyBorder="1" applyAlignment="1">
      <alignment horizontal="center" vertical="center" wrapText="1"/>
    </xf>
    <xf numFmtId="0" fontId="13" fillId="0" borderId="40" xfId="12" applyFont="1" applyFill="1" applyBorder="1" applyAlignment="1">
      <alignment horizontal="center" vertical="center" wrapText="1"/>
    </xf>
    <xf numFmtId="0" fontId="13" fillId="0" borderId="34" xfId="12" applyFont="1" applyFill="1" applyBorder="1" applyAlignment="1">
      <alignment horizontal="center" vertical="center" wrapText="1"/>
    </xf>
    <xf numFmtId="0" fontId="13" fillId="0" borderId="104" xfId="12" applyFont="1" applyFill="1" applyBorder="1" applyAlignment="1">
      <alignment horizontal="center" vertical="center" wrapText="1"/>
    </xf>
    <xf numFmtId="0" fontId="13" fillId="0" borderId="54" xfId="12" applyFont="1" applyFill="1" applyBorder="1" applyAlignment="1">
      <alignment horizontal="center" vertical="center" wrapText="1"/>
    </xf>
    <xf numFmtId="0" fontId="13" fillId="0" borderId="10" xfId="12" applyFont="1" applyFill="1" applyBorder="1" applyAlignment="1">
      <alignment horizontal="center" vertical="center" wrapText="1"/>
    </xf>
    <xf numFmtId="0" fontId="13" fillId="0" borderId="107" xfId="12" applyFont="1" applyFill="1" applyBorder="1" applyAlignment="1">
      <alignment horizontal="center" vertical="center" wrapText="1"/>
    </xf>
    <xf numFmtId="0" fontId="13" fillId="0" borderId="108" xfId="12" applyFont="1" applyFill="1" applyBorder="1" applyAlignment="1">
      <alignment horizontal="center" vertical="center" wrapText="1"/>
    </xf>
    <xf numFmtId="0" fontId="13" fillId="0" borderId="55" xfId="12" applyFont="1" applyFill="1" applyBorder="1" applyAlignment="1">
      <alignment horizontal="center" vertical="center" wrapText="1"/>
    </xf>
    <xf numFmtId="0" fontId="13" fillId="0" borderId="27" xfId="12" applyFont="1" applyFill="1" applyBorder="1" applyAlignment="1">
      <alignment horizontal="center" vertical="center" wrapText="1"/>
    </xf>
    <xf numFmtId="0" fontId="13" fillId="0" borderId="109" xfId="12" applyFont="1" applyFill="1" applyBorder="1" applyAlignment="1">
      <alignment horizontal="center" vertical="center" wrapText="1"/>
    </xf>
    <xf numFmtId="0" fontId="13" fillId="0" borderId="30" xfId="12" applyFont="1" applyFill="1" applyBorder="1" applyAlignment="1">
      <alignment horizontal="center" vertical="center" wrapText="1"/>
    </xf>
    <xf numFmtId="0" fontId="13" fillId="0" borderId="40" xfId="12" applyFont="1" applyFill="1" applyBorder="1" applyAlignment="1">
      <alignment horizontal="center" vertical="center"/>
    </xf>
    <xf numFmtId="0" fontId="13" fillId="0" borderId="33" xfId="12" applyFont="1" applyFill="1" applyBorder="1" applyAlignment="1">
      <alignment horizontal="center" vertical="center"/>
    </xf>
    <xf numFmtId="0" fontId="13" fillId="0" borderId="109" xfId="12" applyFont="1" applyFill="1" applyBorder="1" applyAlignment="1">
      <alignment horizontal="center" vertical="center"/>
    </xf>
    <xf numFmtId="0" fontId="13" fillId="0" borderId="55" xfId="12" applyFont="1" applyFill="1" applyBorder="1" applyAlignment="1">
      <alignment horizontal="center" vertical="center"/>
    </xf>
    <xf numFmtId="0" fontId="13" fillId="0" borderId="30" xfId="12" applyFont="1" applyFill="1" applyBorder="1" applyAlignment="1">
      <alignment horizontal="center" vertical="center"/>
    </xf>
    <xf numFmtId="0" fontId="13" fillId="0" borderId="31" xfId="12" applyFont="1" applyFill="1" applyBorder="1" applyAlignment="1">
      <alignment horizontal="center" vertical="center"/>
    </xf>
    <xf numFmtId="187" fontId="13" fillId="0" borderId="104" xfId="13" applyNumberFormat="1" applyFont="1" applyFill="1" applyBorder="1" applyAlignment="1">
      <alignment horizontal="center" vertical="center" wrapText="1"/>
    </xf>
    <xf numFmtId="187" fontId="13" fillId="0" borderId="10" xfId="13" applyNumberFormat="1" applyFont="1" applyFill="1" applyBorder="1" applyAlignment="1">
      <alignment horizontal="center" vertical="center" wrapText="1"/>
    </xf>
    <xf numFmtId="187" fontId="13" fillId="0" borderId="54" xfId="13" applyNumberFormat="1" applyFont="1" applyFill="1" applyBorder="1" applyAlignment="1">
      <alignment horizontal="center" vertical="center" wrapText="1"/>
    </xf>
    <xf numFmtId="0" fontId="13" fillId="0" borderId="37" xfId="12" applyFont="1" applyFill="1" applyBorder="1" applyAlignment="1">
      <alignment horizontal="center" vertical="center" wrapText="1"/>
    </xf>
    <xf numFmtId="0" fontId="13" fillId="0" borderId="9" xfId="12" applyFont="1" applyFill="1" applyBorder="1" applyAlignment="1">
      <alignment horizontal="center" vertical="center" wrapText="1"/>
    </xf>
    <xf numFmtId="0" fontId="13" fillId="0" borderId="34" xfId="12" applyFont="1" applyFill="1" applyBorder="1" applyAlignment="1">
      <alignment horizontal="center" vertical="center"/>
    </xf>
    <xf numFmtId="0" fontId="8" fillId="2" borderId="105" xfId="8" applyFont="1" applyFill="1" applyBorder="1" applyAlignment="1">
      <alignment horizontal="center" vertical="center" wrapText="1"/>
    </xf>
    <xf numFmtId="0" fontId="8" fillId="2" borderId="22" xfId="8" applyFont="1" applyFill="1" applyBorder="1" applyAlignment="1">
      <alignment horizontal="center" vertical="center" wrapText="1"/>
    </xf>
    <xf numFmtId="49" fontId="8" fillId="2" borderId="105" xfId="8" applyNumberFormat="1" applyFont="1" applyFill="1" applyBorder="1" applyAlignment="1">
      <alignment horizontal="center" vertical="center" wrapText="1"/>
    </xf>
    <xf numFmtId="49" fontId="8" fillId="2" borderId="35" xfId="8" applyNumberFormat="1" applyFont="1" applyFill="1" applyBorder="1" applyAlignment="1">
      <alignment horizontal="center" vertical="center" wrapText="1"/>
    </xf>
    <xf numFmtId="49" fontId="8" fillId="2" borderId="44" xfId="8" applyNumberFormat="1" applyFont="1" applyFill="1" applyBorder="1" applyAlignment="1">
      <alignment horizontal="center" vertical="center"/>
    </xf>
    <xf numFmtId="49" fontId="8" fillId="2" borderId="45" xfId="8" applyNumberFormat="1" applyFont="1" applyFill="1" applyBorder="1" applyAlignment="1">
      <alignment horizontal="center" vertical="center"/>
    </xf>
    <xf numFmtId="49" fontId="8" fillId="2" borderId="46" xfId="8" applyNumberFormat="1" applyFont="1" applyFill="1" applyBorder="1" applyAlignment="1">
      <alignment horizontal="center" vertical="center"/>
    </xf>
    <xf numFmtId="0" fontId="8" fillId="2" borderId="44" xfId="8" applyFont="1" applyFill="1" applyBorder="1" applyAlignment="1">
      <alignment horizontal="center" vertical="center" wrapText="1"/>
    </xf>
    <xf numFmtId="0" fontId="8" fillId="2" borderId="45" xfId="8" applyFont="1" applyFill="1" applyBorder="1" applyAlignment="1">
      <alignment horizontal="center" vertical="center" wrapText="1"/>
    </xf>
    <xf numFmtId="0" fontId="3" fillId="0" borderId="46" xfId="8" applyNumberFormat="1" applyFont="1" applyFill="1" applyBorder="1" applyAlignment="1">
      <alignment horizontal="center" vertical="center" wrapText="1"/>
    </xf>
    <xf numFmtId="0" fontId="8" fillId="2" borderId="46" xfId="8" applyFont="1" applyFill="1" applyBorder="1" applyAlignment="1">
      <alignment horizontal="center" vertical="center" wrapText="1"/>
    </xf>
    <xf numFmtId="49" fontId="8" fillId="2" borderId="105" xfId="8" applyNumberFormat="1" applyFont="1" applyFill="1" applyBorder="1" applyAlignment="1">
      <alignment horizontal="center" vertical="center"/>
    </xf>
    <xf numFmtId="49" fontId="8" fillId="2" borderId="44" xfId="8" applyNumberFormat="1" applyFont="1" applyFill="1" applyBorder="1" applyAlignment="1">
      <alignment horizontal="center"/>
    </xf>
    <xf numFmtId="49" fontId="8" fillId="2" borderId="45" xfId="8" applyNumberFormat="1" applyFont="1" applyFill="1" applyBorder="1" applyAlignment="1">
      <alignment horizontal="center"/>
    </xf>
    <xf numFmtId="49" fontId="8" fillId="2" borderId="46" xfId="8" applyNumberFormat="1" applyFont="1" applyFill="1" applyBorder="1" applyAlignment="1">
      <alignment horizontal="center"/>
    </xf>
    <xf numFmtId="49" fontId="8" fillId="2" borderId="33" xfId="8" applyNumberFormat="1" applyFont="1" applyFill="1" applyBorder="1" applyAlignment="1">
      <alignment horizontal="center" vertical="center"/>
    </xf>
    <xf numFmtId="49" fontId="8" fillId="2" borderId="34" xfId="8" applyNumberFormat="1" applyFont="1" applyFill="1" applyBorder="1" applyAlignment="1">
      <alignment horizontal="center" vertical="center"/>
    </xf>
    <xf numFmtId="49" fontId="8" fillId="2" borderId="42" xfId="8" applyNumberFormat="1" applyFont="1" applyFill="1" applyBorder="1" applyAlignment="1">
      <alignment horizontal="center" vertical="center"/>
    </xf>
    <xf numFmtId="49" fontId="8" fillId="2" borderId="43" xfId="8" applyNumberFormat="1" applyFont="1" applyFill="1" applyBorder="1" applyAlignment="1">
      <alignment horizontal="center" vertical="center"/>
    </xf>
    <xf numFmtId="49" fontId="8" fillId="2" borderId="42" xfId="8" applyNumberFormat="1" applyFont="1" applyFill="1" applyBorder="1" applyAlignment="1">
      <alignment horizontal="center" vertical="center" wrapText="1"/>
    </xf>
    <xf numFmtId="49" fontId="8" fillId="2" borderId="43" xfId="8" applyNumberFormat="1" applyFont="1" applyFill="1" applyBorder="1" applyAlignment="1">
      <alignment horizontal="center" vertical="center" wrapText="1"/>
    </xf>
    <xf numFmtId="49" fontId="8" fillId="2" borderId="28" xfId="8" applyNumberFormat="1" applyFont="1" applyFill="1" applyBorder="1" applyAlignment="1">
      <alignment horizontal="center" vertical="center" wrapText="1"/>
    </xf>
    <xf numFmtId="49" fontId="8" fillId="2" borderId="29" xfId="8" applyNumberFormat="1" applyFont="1" applyFill="1" applyBorder="1" applyAlignment="1">
      <alignment horizontal="center" vertical="center" wrapText="1"/>
    </xf>
    <xf numFmtId="49" fontId="8" fillId="2" borderId="105" xfId="8" applyNumberFormat="1" applyFont="1" applyFill="1" applyBorder="1" applyAlignment="1">
      <alignment horizontal="center" wrapText="1"/>
    </xf>
    <xf numFmtId="0" fontId="3" fillId="0" borderId="22" xfId="8" applyNumberFormat="1" applyFont="1" applyFill="1" applyBorder="1" applyAlignment="1">
      <alignment horizontal="center" wrapText="1"/>
    </xf>
    <xf numFmtId="49" fontId="8" fillId="2" borderId="0" xfId="8" applyNumberFormat="1" applyFont="1" applyFill="1" applyAlignment="1">
      <alignment horizontal="center" vertical="center" wrapText="1"/>
    </xf>
    <xf numFmtId="49" fontId="8" fillId="2" borderId="110" xfId="8" applyNumberFormat="1" applyFont="1" applyFill="1" applyBorder="1" applyAlignment="1">
      <alignment horizontal="center" vertical="center"/>
    </xf>
    <xf numFmtId="0" fontId="8" fillId="2" borderId="110" xfId="8" applyFont="1" applyFill="1" applyBorder="1" applyAlignment="1">
      <alignment horizontal="center" vertical="center" wrapText="1"/>
    </xf>
    <xf numFmtId="0" fontId="8" fillId="2" borderId="43" xfId="8" applyFont="1" applyFill="1" applyBorder="1" applyAlignment="1">
      <alignment horizontal="center" vertical="center" wrapText="1"/>
    </xf>
    <xf numFmtId="0" fontId="8" fillId="2" borderId="44" xfId="8" applyFont="1" applyFill="1" applyBorder="1" applyAlignment="1">
      <alignment horizontal="center" wrapText="1"/>
    </xf>
    <xf numFmtId="0" fontId="8" fillId="2" borderId="45" xfId="8" applyFont="1" applyFill="1" applyBorder="1" applyAlignment="1">
      <alignment horizontal="center" wrapText="1"/>
    </xf>
    <xf numFmtId="0" fontId="8" fillId="2" borderId="46" xfId="8" applyFont="1" applyFill="1" applyBorder="1" applyAlignment="1">
      <alignment horizontal="center" wrapText="1"/>
    </xf>
    <xf numFmtId="49" fontId="8" fillId="2" borderId="42" xfId="8" applyNumberFormat="1" applyFont="1" applyFill="1" applyBorder="1" applyAlignment="1">
      <alignment horizontal="center"/>
    </xf>
    <xf numFmtId="49" fontId="8" fillId="2" borderId="110" xfId="8" applyNumberFormat="1" applyFont="1" applyFill="1" applyBorder="1" applyAlignment="1">
      <alignment horizontal="center"/>
    </xf>
    <xf numFmtId="49" fontId="8" fillId="2" borderId="43" xfId="8" applyNumberFormat="1" applyFont="1" applyFill="1" applyBorder="1" applyAlignment="1">
      <alignment horizontal="center"/>
    </xf>
    <xf numFmtId="49" fontId="8" fillId="0" borderId="105" xfId="8" applyNumberFormat="1" applyFont="1" applyFill="1" applyBorder="1" applyAlignment="1">
      <alignment horizontal="center" vertical="center"/>
    </xf>
    <xf numFmtId="49" fontId="8" fillId="0" borderId="28" xfId="8" applyNumberFormat="1" applyFont="1" applyFill="1" applyBorder="1" applyAlignment="1">
      <alignment horizontal="center" vertical="center"/>
    </xf>
    <xf numFmtId="49" fontId="8" fillId="0" borderId="42" xfId="8" applyNumberFormat="1" applyFont="1" applyFill="1" applyBorder="1" applyAlignment="1">
      <alignment horizontal="center" vertical="center"/>
    </xf>
    <xf numFmtId="0" fontId="3" fillId="0" borderId="110" xfId="8" applyNumberFormat="1" applyFont="1" applyFill="1" applyBorder="1" applyAlignment="1">
      <alignment horizontal="center" vertical="center"/>
    </xf>
    <xf numFmtId="0" fontId="3" fillId="0" borderId="43" xfId="8" applyNumberFormat="1" applyFont="1" applyFill="1" applyBorder="1" applyAlignment="1">
      <alignment horizontal="center" vertical="center"/>
    </xf>
    <xf numFmtId="49" fontId="8" fillId="0" borderId="44" xfId="8" applyNumberFormat="1" applyFont="1" applyFill="1" applyBorder="1" applyAlignment="1">
      <alignment horizontal="center" vertical="center"/>
    </xf>
    <xf numFmtId="0" fontId="3" fillId="0" borderId="45" xfId="8" applyNumberFormat="1" applyFont="1" applyFill="1" applyBorder="1" applyAlignment="1">
      <alignment horizontal="center" vertical="center"/>
    </xf>
    <xf numFmtId="0" fontId="3" fillId="0" borderId="46" xfId="8" applyNumberFormat="1" applyFont="1" applyFill="1" applyBorder="1" applyAlignment="1">
      <alignment horizontal="center" vertical="center"/>
    </xf>
    <xf numFmtId="49" fontId="9" fillId="0" borderId="0" xfId="8" applyNumberFormat="1" applyFont="1" applyFill="1" applyBorder="1" applyAlignment="1">
      <alignment horizontal="left" wrapText="1"/>
    </xf>
    <xf numFmtId="49" fontId="8" fillId="3" borderId="64" xfId="0" applyNumberFormat="1" applyFont="1" applyFill="1" applyBorder="1" applyAlignment="1">
      <alignment horizontal="left" vertical="top" wrapText="1"/>
    </xf>
    <xf numFmtId="49" fontId="24" fillId="2" borderId="0" xfId="0" applyNumberFormat="1" applyFont="1" applyFill="1" applyAlignment="1">
      <alignment horizontal="left" wrapText="1"/>
    </xf>
    <xf numFmtId="0" fontId="24" fillId="2" borderId="0" xfId="0" applyFont="1" applyFill="1" applyAlignment="1">
      <alignment horizontal="left" wrapText="1"/>
    </xf>
    <xf numFmtId="3" fontId="9" fillId="3" borderId="129" xfId="0" applyNumberFormat="1" applyFont="1" applyFill="1" applyBorder="1" applyAlignment="1">
      <alignment horizontal="center" vertical="center"/>
    </xf>
    <xf numFmtId="3" fontId="9" fillId="3" borderId="130" xfId="0" applyNumberFormat="1" applyFont="1" applyFill="1" applyBorder="1" applyAlignment="1">
      <alignment horizontal="center" vertical="center"/>
    </xf>
    <xf numFmtId="3" fontId="9" fillId="3" borderId="131" xfId="0" applyNumberFormat="1" applyFont="1" applyFill="1" applyBorder="1" applyAlignment="1">
      <alignment horizontal="center" vertical="center"/>
    </xf>
    <xf numFmtId="3" fontId="9" fillId="3" borderId="124" xfId="0" applyNumberFormat="1" applyFont="1" applyFill="1" applyBorder="1" applyAlignment="1">
      <alignment horizontal="center" vertical="center"/>
    </xf>
    <xf numFmtId="3" fontId="9" fillId="3" borderId="0" xfId="0" applyNumberFormat="1" applyFont="1" applyFill="1" applyBorder="1" applyAlignment="1">
      <alignment horizontal="center" vertical="center"/>
    </xf>
    <xf numFmtId="3" fontId="9" fillId="3" borderId="9" xfId="0" applyNumberFormat="1" applyFont="1" applyFill="1" applyBorder="1" applyAlignment="1">
      <alignment horizontal="center" vertical="center"/>
    </xf>
    <xf numFmtId="3" fontId="9" fillId="3" borderId="127" xfId="0" applyNumberFormat="1" applyFont="1" applyFill="1" applyBorder="1" applyAlignment="1">
      <alignment horizontal="center" vertical="center"/>
    </xf>
    <xf numFmtId="3" fontId="9" fillId="3" borderId="27" xfId="0" applyNumberFormat="1" applyFont="1" applyFill="1" applyBorder="1" applyAlignment="1">
      <alignment horizontal="center" vertical="center"/>
    </xf>
    <xf numFmtId="3" fontId="9" fillId="3" borderId="30" xfId="0" applyNumberFormat="1" applyFont="1" applyFill="1" applyBorder="1" applyAlignment="1">
      <alignment horizontal="center" vertical="center"/>
    </xf>
    <xf numFmtId="49" fontId="24" fillId="2" borderId="0" xfId="0" applyNumberFormat="1" applyFont="1" applyFill="1" applyBorder="1" applyAlignment="1">
      <alignment horizontal="left" wrapText="1"/>
    </xf>
    <xf numFmtId="49" fontId="22" fillId="2" borderId="0" xfId="0" applyNumberFormat="1" applyFont="1" applyFill="1" applyAlignment="1">
      <alignment horizontal="left" wrapText="1"/>
    </xf>
    <xf numFmtId="49" fontId="8" fillId="2" borderId="31" xfId="0" applyNumberFormat="1" applyFont="1" applyFill="1" applyBorder="1" applyAlignment="1">
      <alignment horizontal="center" vertical="center" wrapText="1"/>
    </xf>
    <xf numFmtId="49" fontId="8" fillId="2" borderId="31" xfId="0" applyNumberFormat="1" applyFont="1" applyFill="1" applyBorder="1" applyAlignment="1">
      <alignment horizontal="center" vertical="center"/>
    </xf>
    <xf numFmtId="0" fontId="8" fillId="2" borderId="31" xfId="0" applyFont="1" applyFill="1" applyBorder="1" applyAlignment="1">
      <alignment horizontal="center" vertical="center" wrapText="1"/>
    </xf>
    <xf numFmtId="0" fontId="8" fillId="2" borderId="4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2" borderId="44" xfId="0" applyFont="1" applyFill="1" applyBorder="1" applyAlignment="1">
      <alignment horizontal="center" vertical="center" wrapText="1"/>
    </xf>
    <xf numFmtId="49" fontId="8" fillId="2" borderId="44" xfId="0" applyNumberFormat="1" applyFont="1" applyFill="1" applyBorder="1" applyAlignment="1">
      <alignment horizontal="center" vertical="center" wrapText="1"/>
    </xf>
    <xf numFmtId="49" fontId="8" fillId="2" borderId="46" xfId="0" applyNumberFormat="1" applyFont="1" applyFill="1" applyBorder="1" applyAlignment="1">
      <alignment horizontal="center" vertical="center"/>
    </xf>
    <xf numFmtId="49" fontId="8" fillId="3" borderId="0" xfId="0" applyNumberFormat="1" applyFont="1" applyFill="1" applyAlignment="1">
      <alignment horizontal="left" vertical="top" wrapText="1"/>
    </xf>
    <xf numFmtId="49" fontId="8" fillId="3" borderId="0" xfId="0" applyNumberFormat="1" applyFont="1" applyFill="1" applyAlignment="1">
      <alignment horizontal="left" vertical="top"/>
    </xf>
    <xf numFmtId="49" fontId="8" fillId="2" borderId="31" xfId="0" applyNumberFormat="1" applyFont="1" applyFill="1" applyBorder="1" applyAlignment="1">
      <alignment horizontal="left" vertical="center" wrapText="1"/>
    </xf>
    <xf numFmtId="49" fontId="8" fillId="2" borderId="31" xfId="0" applyNumberFormat="1" applyFont="1" applyFill="1" applyBorder="1" applyAlignment="1">
      <alignment vertical="center" wrapText="1"/>
    </xf>
    <xf numFmtId="49" fontId="8" fillId="2" borderId="31" xfId="0" applyNumberFormat="1" applyFont="1" applyFill="1" applyBorder="1" applyAlignment="1">
      <alignment vertical="center"/>
    </xf>
    <xf numFmtId="0" fontId="8" fillId="2" borderId="31" xfId="0" applyFont="1" applyFill="1" applyBorder="1" applyAlignment="1">
      <alignment vertical="center" wrapText="1"/>
    </xf>
    <xf numFmtId="0" fontId="13" fillId="3" borderId="55" xfId="0" applyFont="1" applyFill="1" applyBorder="1" applyAlignment="1">
      <alignment horizontal="left" vertical="center" wrapText="1"/>
    </xf>
    <xf numFmtId="0" fontId="13" fillId="3" borderId="0" xfId="0" applyFont="1" applyFill="1" applyBorder="1" applyAlignment="1">
      <alignment horizontal="left" vertical="center" wrapText="1"/>
    </xf>
    <xf numFmtId="0" fontId="13" fillId="0" borderId="31" xfId="0" applyFont="1" applyFill="1" applyBorder="1" applyAlignment="1">
      <alignment horizontal="center" vertical="center" wrapText="1"/>
    </xf>
    <xf numFmtId="0" fontId="12" fillId="0" borderId="31" xfId="0" applyNumberFormat="1" applyFont="1" applyFill="1" applyBorder="1" applyAlignment="1"/>
    <xf numFmtId="0" fontId="13" fillId="0" borderId="31" xfId="0" applyNumberFormat="1" applyFont="1" applyFill="1" applyBorder="1" applyAlignment="1">
      <alignment horizontal="center"/>
    </xf>
    <xf numFmtId="49" fontId="9" fillId="2" borderId="0" xfId="0" applyNumberFormat="1" applyFont="1" applyFill="1" applyAlignment="1">
      <alignment horizontal="left" wrapText="1"/>
    </xf>
    <xf numFmtId="49" fontId="8" fillId="0" borderId="31" xfId="0" applyNumberFormat="1" applyFont="1" applyFill="1" applyBorder="1" applyAlignment="1">
      <alignment horizontal="left" wrapText="1"/>
    </xf>
    <xf numFmtId="49" fontId="8" fillId="2" borderId="31" xfId="0" applyNumberFormat="1" applyFont="1" applyFill="1" applyBorder="1" applyAlignment="1">
      <alignment horizontal="left" vertical="center"/>
    </xf>
    <xf numFmtId="0" fontId="8" fillId="2" borderId="31" xfId="0" applyFont="1" applyFill="1" applyBorder="1" applyAlignment="1">
      <alignment horizontal="left" vertical="center" wrapText="1"/>
    </xf>
    <xf numFmtId="49" fontId="24" fillId="2" borderId="108" xfId="0" applyNumberFormat="1" applyFont="1" applyFill="1" applyBorder="1" applyAlignment="1">
      <alignment horizontal="left" wrapText="1"/>
    </xf>
    <xf numFmtId="49" fontId="13" fillId="0" borderId="27" xfId="8" applyNumberFormat="1" applyFont="1" applyFill="1" applyBorder="1" applyAlignment="1">
      <alignment vertical="center" wrapText="1"/>
    </xf>
    <xf numFmtId="0" fontId="13" fillId="0" borderId="31" xfId="31" applyFont="1" applyFill="1" applyBorder="1" applyAlignment="1">
      <alignment vertical="center" wrapText="1"/>
    </xf>
    <xf numFmtId="0" fontId="13" fillId="0" borderId="31" xfId="31" applyFont="1" applyFill="1" applyBorder="1" applyAlignment="1">
      <alignment vertical="center"/>
    </xf>
    <xf numFmtId="167" fontId="13" fillId="0" borderId="47" xfId="1" applyNumberFormat="1" applyFont="1" applyFill="1" applyBorder="1" applyAlignment="1">
      <alignment horizontal="center" vertical="center"/>
    </xf>
    <xf numFmtId="167" fontId="13" fillId="0" borderId="112" xfId="1" applyNumberFormat="1" applyFont="1" applyFill="1" applyBorder="1" applyAlignment="1">
      <alignment horizontal="center" vertical="center"/>
    </xf>
    <xf numFmtId="0" fontId="22" fillId="0" borderId="0" xfId="31" applyFont="1" applyFill="1" applyBorder="1" applyAlignment="1">
      <alignment vertical="center" wrapText="1"/>
    </xf>
    <xf numFmtId="0" fontId="22" fillId="0" borderId="0" xfId="8" applyFont="1" applyFill="1" applyAlignment="1">
      <alignment vertical="center" wrapText="1"/>
    </xf>
    <xf numFmtId="0" fontId="22" fillId="0" borderId="0" xfId="8" applyFont="1" applyFill="1" applyAlignment="1">
      <alignment vertical="center"/>
    </xf>
    <xf numFmtId="0" fontId="55" fillId="0" borderId="0" xfId="0" applyNumberFormat="1" applyFont="1" applyFill="1" applyBorder="1" applyAlignment="1">
      <alignment horizontal="left" wrapText="1"/>
    </xf>
    <xf numFmtId="49" fontId="16" fillId="0" borderId="47" xfId="0" applyNumberFormat="1" applyFont="1" applyFill="1" applyBorder="1" applyAlignment="1">
      <alignment horizontal="left" vertical="center" wrapText="1"/>
    </xf>
    <xf numFmtId="49" fontId="16" fillId="0" borderId="112" xfId="0" applyNumberFormat="1" applyFont="1" applyFill="1" applyBorder="1" applyAlignment="1">
      <alignment horizontal="left" vertical="center" wrapText="1"/>
    </xf>
    <xf numFmtId="49" fontId="16" fillId="0" borderId="113" xfId="0" applyNumberFormat="1" applyFont="1" applyFill="1" applyBorder="1" applyAlignment="1">
      <alignment horizontal="left" vertical="center" wrapText="1"/>
    </xf>
    <xf numFmtId="49" fontId="16" fillId="0" borderId="31" xfId="0" applyNumberFormat="1" applyFont="1" applyFill="1" applyBorder="1" applyAlignment="1">
      <alignment horizontal="center" vertical="center" wrapText="1"/>
    </xf>
    <xf numFmtId="49" fontId="16" fillId="0" borderId="31" xfId="0" applyNumberFormat="1" applyFont="1" applyFill="1" applyBorder="1" applyAlignment="1">
      <alignment horizontal="center" vertical="center"/>
    </xf>
    <xf numFmtId="17" fontId="8" fillId="0" borderId="133" xfId="0" applyNumberFormat="1" applyFont="1" applyFill="1" applyBorder="1" applyAlignment="1">
      <alignment horizontal="center" vertical="center"/>
    </xf>
    <xf numFmtId="0" fontId="12" fillId="0" borderId="134" xfId="0" applyFont="1" applyFill="1" applyBorder="1" applyAlignment="1">
      <alignment horizontal="center" vertical="center"/>
    </xf>
    <xf numFmtId="0" fontId="12" fillId="0" borderId="135" xfId="0" applyFont="1" applyFill="1" applyBorder="1" applyAlignment="1">
      <alignment horizontal="center" vertical="center"/>
    </xf>
    <xf numFmtId="49" fontId="8" fillId="0" borderId="133" xfId="0" applyNumberFormat="1" applyFont="1" applyFill="1" applyBorder="1" applyAlignment="1">
      <alignment horizontal="center" vertical="center"/>
    </xf>
    <xf numFmtId="0" fontId="12" fillId="0" borderId="136" xfId="0" applyFont="1" applyFill="1" applyBorder="1" applyAlignment="1">
      <alignment horizontal="center" vertical="center"/>
    </xf>
    <xf numFmtId="49" fontId="8" fillId="0" borderId="124" xfId="0" applyNumberFormat="1" applyFont="1" applyBorder="1" applyAlignment="1">
      <alignment horizontal="center"/>
    </xf>
    <xf numFmtId="49" fontId="8" fillId="0" borderId="0" xfId="0" applyNumberFormat="1" applyFont="1" applyAlignment="1">
      <alignment horizontal="center"/>
    </xf>
    <xf numFmtId="49" fontId="8" fillId="0" borderId="19" xfId="0" applyNumberFormat="1" applyFont="1" applyBorder="1" applyAlignment="1">
      <alignment horizontal="center"/>
    </xf>
    <xf numFmtId="0" fontId="9" fillId="2" borderId="0" xfId="8" applyFont="1" applyFill="1" applyBorder="1" applyAlignment="1">
      <alignment horizontal="left" vertical="top" wrapText="1"/>
    </xf>
    <xf numFmtId="49" fontId="8" fillId="2" borderId="120" xfId="8" applyNumberFormat="1" applyFont="1" applyFill="1" applyBorder="1" applyAlignment="1">
      <alignment horizontal="center" vertical="center"/>
    </xf>
    <xf numFmtId="49" fontId="8" fillId="2" borderId="114" xfId="8" applyNumberFormat="1" applyFont="1" applyFill="1" applyBorder="1" applyAlignment="1">
      <alignment horizontal="center" vertical="center"/>
    </xf>
    <xf numFmtId="49" fontId="8" fillId="2" borderId="121" xfId="8" applyNumberFormat="1" applyFont="1" applyFill="1" applyBorder="1" applyAlignment="1">
      <alignment horizontal="center" vertical="center"/>
    </xf>
    <xf numFmtId="0" fontId="9" fillId="2" borderId="0" xfId="8" applyFont="1" applyFill="1" applyBorder="1" applyAlignment="1">
      <alignment horizontal="left" wrapText="1"/>
    </xf>
    <xf numFmtId="49" fontId="8" fillId="2" borderId="116" xfId="8" applyNumberFormat="1" applyFont="1" applyFill="1" applyBorder="1" applyAlignment="1">
      <alignment horizontal="center" vertical="center"/>
    </xf>
    <xf numFmtId="49" fontId="8" fillId="2" borderId="122" xfId="8" applyNumberFormat="1" applyFont="1" applyFill="1" applyBorder="1" applyAlignment="1">
      <alignment horizontal="center" vertical="center"/>
    </xf>
    <xf numFmtId="0" fontId="3" fillId="0" borderId="0" xfId="8" applyNumberFormat="1" applyFont="1" applyFill="1" applyBorder="1" applyAlignment="1"/>
    <xf numFmtId="0" fontId="32" fillId="3" borderId="124" xfId="51" applyNumberFormat="1" applyFont="1" applyFill="1" applyBorder="1" applyAlignment="1">
      <alignment horizontal="left"/>
    </xf>
    <xf numFmtId="0" fontId="32" fillId="3" borderId="0" xfId="51" applyNumberFormat="1" applyFont="1" applyFill="1" applyAlignment="1">
      <alignment horizontal="left"/>
    </xf>
    <xf numFmtId="0" fontId="14" fillId="3" borderId="39" xfId="51" applyNumberFormat="1" applyFont="1" applyFill="1" applyBorder="1" applyAlignment="1">
      <alignment horizontal="left" vertical="top" wrapText="1"/>
    </xf>
    <xf numFmtId="0" fontId="14" fillId="3" borderId="39" xfId="51" applyNumberFormat="1" applyFont="1" applyFill="1" applyBorder="1" applyAlignment="1">
      <alignment horizontal="left" vertical="top"/>
    </xf>
    <xf numFmtId="0" fontId="16" fillId="3" borderId="31" xfId="51" applyNumberFormat="1" applyFont="1" applyFill="1" applyBorder="1" applyAlignment="1">
      <alignment horizontal="center" vertical="center"/>
    </xf>
    <xf numFmtId="0" fontId="14" fillId="3" borderId="31" xfId="51" applyNumberFormat="1" applyFont="1" applyFill="1" applyBorder="1" applyAlignment="1">
      <alignment horizontal="center" vertical="center"/>
    </xf>
    <xf numFmtId="193" fontId="23" fillId="3" borderId="108" xfId="51" applyFont="1" applyFill="1" applyBorder="1" applyAlignment="1">
      <alignment horizontal="left"/>
    </xf>
    <xf numFmtId="193" fontId="23" fillId="3" borderId="0" xfId="51" applyFont="1" applyFill="1" applyAlignment="1">
      <alignment horizontal="left" vertical="top"/>
    </xf>
    <xf numFmtId="0" fontId="14" fillId="3" borderId="0" xfId="52" applyNumberFormat="1" applyFont="1" applyFill="1" applyAlignment="1">
      <alignment horizontal="left" vertical="top"/>
    </xf>
    <xf numFmtId="49" fontId="8" fillId="2" borderId="67" xfId="20" applyNumberFormat="1" applyFont="1" applyFill="1" applyBorder="1" applyAlignment="1">
      <alignment horizontal="center" vertical="center" wrapText="1"/>
    </xf>
    <xf numFmtId="49" fontId="8" fillId="2" borderId="22" xfId="20" applyNumberFormat="1" applyFont="1" applyFill="1" applyBorder="1" applyAlignment="1">
      <alignment horizontal="center" vertical="center" wrapText="1"/>
    </xf>
    <xf numFmtId="0" fontId="16" fillId="7" borderId="68" xfId="52" applyNumberFormat="1" applyFont="1" applyFill="1" applyBorder="1" applyAlignment="1">
      <alignment horizontal="center" vertical="top"/>
    </xf>
    <xf numFmtId="0" fontId="16" fillId="7" borderId="69" xfId="52" applyNumberFormat="1" applyFont="1" applyFill="1" applyBorder="1" applyAlignment="1">
      <alignment horizontal="center" vertical="top"/>
    </xf>
    <xf numFmtId="0" fontId="16" fillId="7" borderId="70" xfId="52" applyNumberFormat="1" applyFont="1" applyFill="1" applyBorder="1" applyAlignment="1">
      <alignment horizontal="center" vertical="top"/>
    </xf>
    <xf numFmtId="0" fontId="16" fillId="9" borderId="104" xfId="56" applyNumberFormat="1" applyFont="1" applyFill="1" applyBorder="1" applyAlignment="1">
      <alignment horizontal="center" vertical="center" wrapText="1"/>
    </xf>
    <xf numFmtId="0" fontId="16" fillId="9" borderId="23" xfId="56" applyNumberFormat="1" applyFont="1" applyFill="1" applyBorder="1" applyAlignment="1">
      <alignment horizontal="center" vertical="center" wrapText="1"/>
    </xf>
    <xf numFmtId="0" fontId="14" fillId="0" borderId="39" xfId="51" applyNumberFormat="1" applyFont="1" applyBorder="1" applyAlignment="1">
      <alignment horizontal="left" vertical="top" wrapText="1"/>
    </xf>
    <xf numFmtId="0" fontId="14" fillId="0" borderId="39" xfId="51" applyNumberFormat="1" applyFont="1" applyBorder="1" applyAlignment="1">
      <alignment horizontal="left" vertical="top"/>
    </xf>
    <xf numFmtId="0" fontId="14" fillId="3" borderId="31" xfId="56" applyNumberFormat="1" applyFont="1" applyFill="1" applyBorder="1" applyAlignment="1">
      <alignment horizontal="center" vertical="center"/>
    </xf>
    <xf numFmtId="49" fontId="8" fillId="2" borderId="137" xfId="20" applyNumberFormat="1" applyFont="1" applyFill="1" applyBorder="1" applyAlignment="1">
      <alignment horizontal="center" vertical="center" wrapText="1"/>
    </xf>
    <xf numFmtId="49" fontId="8" fillId="2" borderId="22" xfId="20" applyNumberFormat="1" applyFont="1" applyFill="1" applyBorder="1" applyAlignment="1">
      <alignment horizontal="center" vertical="center"/>
    </xf>
    <xf numFmtId="0" fontId="16" fillId="9" borderId="10" xfId="56" applyNumberFormat="1" applyFont="1" applyFill="1" applyBorder="1" applyAlignment="1">
      <alignment horizontal="center" vertical="center" wrapText="1"/>
    </xf>
    <xf numFmtId="0" fontId="16" fillId="9" borderId="127" xfId="56" applyNumberFormat="1" applyFont="1" applyFill="1" applyBorder="1" applyAlignment="1">
      <alignment horizontal="center" vertical="center" wrapText="1"/>
    </xf>
    <xf numFmtId="0" fontId="16" fillId="9" borderId="30" xfId="56" applyNumberFormat="1" applyFont="1" applyFill="1" applyBorder="1" applyAlignment="1">
      <alignment horizontal="center" vertical="center" wrapText="1"/>
    </xf>
    <xf numFmtId="0" fontId="13" fillId="9" borderId="104" xfId="24" applyFont="1" applyFill="1" applyBorder="1" applyAlignment="1">
      <alignment horizontal="center" vertical="center" wrapText="1"/>
    </xf>
    <xf numFmtId="0" fontId="13" fillId="9" borderId="23" xfId="24" applyFont="1" applyFill="1" applyBorder="1" applyAlignment="1">
      <alignment horizontal="center" vertical="center" wrapText="1"/>
    </xf>
    <xf numFmtId="0" fontId="16" fillId="0" borderId="27" xfId="56" applyNumberFormat="1" applyFont="1" applyBorder="1" applyAlignment="1">
      <alignment horizontal="center"/>
    </xf>
    <xf numFmtId="0" fontId="13" fillId="9" borderId="10" xfId="24" applyFont="1" applyFill="1" applyBorder="1" applyAlignment="1">
      <alignment horizontal="center" vertical="center" wrapText="1"/>
    </xf>
    <xf numFmtId="193" fontId="13" fillId="9" borderId="68" xfId="56" applyFont="1" applyFill="1" applyBorder="1" applyAlignment="1">
      <alignment horizontal="center" vertical="center" wrapText="1"/>
    </xf>
    <xf numFmtId="193" fontId="13" fillId="9" borderId="88" xfId="56" applyFont="1" applyFill="1" applyBorder="1" applyAlignment="1">
      <alignment horizontal="center" vertical="center" wrapText="1"/>
    </xf>
    <xf numFmtId="193" fontId="13" fillId="9" borderId="89" xfId="56" applyFont="1" applyFill="1" applyBorder="1" applyAlignment="1">
      <alignment horizontal="center" vertical="center" wrapText="1"/>
    </xf>
    <xf numFmtId="193" fontId="13" fillId="9" borderId="31" xfId="56" applyFont="1" applyFill="1" applyBorder="1" applyAlignment="1">
      <alignment horizontal="center" vertical="center" wrapText="1"/>
    </xf>
    <xf numFmtId="0" fontId="16" fillId="9" borderId="31" xfId="56" applyNumberFormat="1" applyFont="1" applyFill="1" applyBorder="1" applyAlignment="1">
      <alignment horizontal="center" vertical="center" wrapText="1"/>
    </xf>
    <xf numFmtId="0" fontId="13" fillId="9" borderId="68" xfId="24" applyFont="1" applyFill="1" applyBorder="1" applyAlignment="1">
      <alignment horizontal="center" vertical="center"/>
    </xf>
    <xf numFmtId="0" fontId="13" fillId="9" borderId="89" xfId="24" applyFont="1" applyFill="1" applyBorder="1" applyAlignment="1">
      <alignment horizontal="center" vertical="center"/>
    </xf>
    <xf numFmtId="0" fontId="13" fillId="9" borderId="68" xfId="24" applyFont="1" applyFill="1" applyBorder="1" applyAlignment="1">
      <alignment horizontal="center" vertical="center" wrapText="1"/>
    </xf>
    <xf numFmtId="0" fontId="13" fillId="9" borderId="89" xfId="24" applyFont="1" applyFill="1" applyBorder="1" applyAlignment="1">
      <alignment horizontal="center" vertical="center" wrapText="1"/>
    </xf>
    <xf numFmtId="0" fontId="16" fillId="9" borderId="68" xfId="51" applyNumberFormat="1" applyFont="1" applyFill="1" applyBorder="1" applyAlignment="1">
      <alignment horizontal="center" vertical="center" wrapText="1"/>
    </xf>
    <xf numFmtId="0" fontId="16" fillId="9" borderId="89" xfId="51" applyNumberFormat="1" applyFont="1" applyFill="1" applyBorder="1" applyAlignment="1">
      <alignment horizontal="center" vertical="center" wrapText="1"/>
    </xf>
    <xf numFmtId="0" fontId="14" fillId="0" borderId="27" xfId="51" applyNumberFormat="1" applyFont="1" applyBorder="1" applyAlignment="1">
      <alignment horizontal="left" vertical="top" wrapText="1"/>
    </xf>
    <xf numFmtId="0" fontId="14" fillId="0" borderId="27" xfId="51" applyNumberFormat="1" applyFont="1" applyBorder="1" applyAlignment="1">
      <alignment horizontal="left" vertical="top"/>
    </xf>
    <xf numFmtId="0" fontId="16" fillId="9" borderId="68" xfId="51" applyNumberFormat="1" applyFont="1" applyFill="1" applyBorder="1" applyAlignment="1">
      <alignment horizontal="center"/>
    </xf>
    <xf numFmtId="0" fontId="16" fillId="9" borderId="88" xfId="51" applyNumberFormat="1" applyFont="1" applyFill="1" applyBorder="1" applyAlignment="1">
      <alignment horizontal="center"/>
    </xf>
    <xf numFmtId="0" fontId="16" fillId="9" borderId="89" xfId="51" applyNumberFormat="1" applyFont="1" applyFill="1" applyBorder="1" applyAlignment="1">
      <alignment horizontal="center"/>
    </xf>
    <xf numFmtId="0" fontId="14" fillId="3" borderId="27" xfId="57" applyNumberFormat="1" applyFont="1" applyFill="1" applyBorder="1" applyAlignment="1">
      <alignment horizontal="left" vertical="top" wrapText="1"/>
    </xf>
    <xf numFmtId="0" fontId="14" fillId="3" borderId="31" xfId="57" applyNumberFormat="1" applyFont="1" applyFill="1" applyBorder="1" applyAlignment="1">
      <alignment horizontal="center" vertical="center"/>
    </xf>
    <xf numFmtId="3" fontId="13" fillId="3" borderId="71" xfId="23" applyNumberFormat="1" applyFont="1" applyFill="1" applyBorder="1" applyAlignment="1">
      <alignment horizontal="center" vertical="center" wrapText="1"/>
    </xf>
    <xf numFmtId="3" fontId="13" fillId="3" borderId="54" xfId="23" applyNumberFormat="1" applyFont="1" applyFill="1" applyBorder="1" applyAlignment="1">
      <alignment horizontal="center" vertical="center" wrapText="1"/>
    </xf>
    <xf numFmtId="0" fontId="16" fillId="9" borderId="71" xfId="57" applyNumberFormat="1" applyFont="1" applyFill="1" applyBorder="1" applyAlignment="1">
      <alignment horizontal="center" vertical="center" wrapText="1"/>
    </xf>
    <xf numFmtId="0" fontId="16" fillId="9" borderId="54" xfId="57" applyNumberFormat="1" applyFont="1" applyFill="1" applyBorder="1" applyAlignment="1">
      <alignment horizontal="center" vertical="center" wrapText="1"/>
    </xf>
    <xf numFmtId="0" fontId="16" fillId="9" borderId="68" xfId="57" applyNumberFormat="1" applyFont="1" applyFill="1" applyBorder="1" applyAlignment="1">
      <alignment horizontal="center" vertical="center"/>
    </xf>
    <xf numFmtId="0" fontId="16" fillId="9" borderId="70" xfId="57" applyNumberFormat="1" applyFont="1" applyFill="1" applyBorder="1" applyAlignment="1">
      <alignment horizontal="center" vertical="center"/>
    </xf>
    <xf numFmtId="0" fontId="16" fillId="9" borderId="31" xfId="57" applyNumberFormat="1" applyFont="1" applyFill="1" applyBorder="1" applyAlignment="1">
      <alignment horizontal="center" vertical="center" wrapText="1"/>
    </xf>
    <xf numFmtId="0" fontId="16" fillId="0" borderId="68" xfId="57" applyNumberFormat="1" applyFont="1" applyBorder="1" applyAlignment="1">
      <alignment horizontal="center"/>
    </xf>
    <xf numFmtId="0" fontId="16" fillId="0" borderId="69" xfId="57" applyNumberFormat="1" applyFont="1" applyBorder="1" applyAlignment="1">
      <alignment horizontal="center"/>
    </xf>
    <xf numFmtId="0" fontId="16" fillId="0" borderId="70" xfId="57" applyNumberFormat="1" applyFont="1" applyBorder="1" applyAlignment="1">
      <alignment horizontal="center"/>
    </xf>
    <xf numFmtId="0" fontId="13" fillId="9" borderId="71" xfId="24" applyFont="1" applyFill="1" applyBorder="1" applyAlignment="1">
      <alignment horizontal="center" vertical="center" wrapText="1"/>
    </xf>
    <xf numFmtId="0" fontId="13" fillId="9" borderId="54" xfId="24" applyFont="1" applyFill="1" applyBorder="1" applyAlignment="1">
      <alignment horizontal="center" vertical="center" wrapText="1"/>
    </xf>
    <xf numFmtId="193" fontId="13" fillId="9" borderId="31" xfId="57" applyFont="1" applyFill="1" applyBorder="1" applyAlignment="1">
      <alignment horizontal="center" vertical="center" wrapText="1"/>
    </xf>
    <xf numFmtId="0" fontId="13" fillId="9" borderId="31" xfId="0" applyFont="1" applyFill="1" applyBorder="1" applyAlignment="1">
      <alignment horizontal="center" vertical="center" wrapText="1"/>
    </xf>
    <xf numFmtId="193" fontId="13" fillId="9" borderId="68" xfId="57" applyFont="1" applyFill="1" applyBorder="1" applyAlignment="1">
      <alignment horizontal="center" vertical="center" wrapText="1"/>
    </xf>
    <xf numFmtId="0" fontId="13" fillId="9" borderId="31" xfId="24" applyFont="1" applyFill="1" applyBorder="1" applyAlignment="1">
      <alignment horizontal="center" vertical="center"/>
    </xf>
    <xf numFmtId="0" fontId="14" fillId="3" borderId="0" xfId="58" applyNumberFormat="1" applyFont="1" applyFill="1" applyBorder="1" applyAlignment="1">
      <alignment horizontal="left" vertical="top" wrapText="1"/>
    </xf>
    <xf numFmtId="0" fontId="14" fillId="3" borderId="31" xfId="58" applyNumberFormat="1" applyFont="1" applyFill="1" applyBorder="1" applyAlignment="1">
      <alignment horizontal="center" vertical="center"/>
    </xf>
    <xf numFmtId="0" fontId="16" fillId="9" borderId="31" xfId="58" applyNumberFormat="1" applyFont="1" applyFill="1" applyBorder="1" applyAlignment="1">
      <alignment horizontal="center" vertical="center" wrapText="1"/>
    </xf>
    <xf numFmtId="0" fontId="16" fillId="9" borderId="71" xfId="58" applyNumberFormat="1" applyFont="1" applyFill="1" applyBorder="1" applyAlignment="1">
      <alignment horizontal="center" vertical="center" wrapText="1"/>
    </xf>
    <xf numFmtId="0" fontId="16" fillId="9" borderId="54" xfId="58" applyNumberFormat="1" applyFont="1" applyFill="1" applyBorder="1" applyAlignment="1">
      <alignment horizontal="center" vertical="center" wrapText="1"/>
    </xf>
    <xf numFmtId="0" fontId="16" fillId="9" borderId="68" xfId="58" applyNumberFormat="1" applyFont="1" applyFill="1" applyBorder="1" applyAlignment="1">
      <alignment horizontal="center" vertical="center" wrapText="1"/>
    </xf>
    <xf numFmtId="0" fontId="16" fillId="9" borderId="70" xfId="58" applyNumberFormat="1" applyFont="1" applyFill="1" applyBorder="1" applyAlignment="1">
      <alignment horizontal="center" vertical="center" wrapText="1"/>
    </xf>
    <xf numFmtId="0" fontId="16" fillId="0" borderId="55" xfId="58" applyNumberFormat="1" applyFont="1" applyBorder="1" applyAlignment="1">
      <alignment horizontal="center"/>
    </xf>
    <xf numFmtId="0" fontId="16" fillId="0" borderId="27" xfId="58" applyNumberFormat="1" applyFont="1" applyBorder="1" applyAlignment="1">
      <alignment horizontal="center"/>
    </xf>
    <xf numFmtId="193" fontId="13" fillId="9" borderId="68" xfId="58" applyFont="1" applyFill="1" applyBorder="1" applyAlignment="1">
      <alignment horizontal="center" vertical="center" wrapText="1"/>
    </xf>
    <xf numFmtId="193" fontId="13" fillId="9" borderId="69" xfId="58" applyFont="1" applyFill="1" applyBorder="1" applyAlignment="1">
      <alignment horizontal="center" vertical="center" wrapText="1"/>
    </xf>
    <xf numFmtId="193" fontId="13" fillId="9" borderId="70" xfId="58" applyFont="1" applyFill="1" applyBorder="1" applyAlignment="1">
      <alignment horizontal="center" vertical="center" wrapText="1"/>
    </xf>
    <xf numFmtId="0" fontId="13" fillId="9" borderId="70" xfId="24" applyFont="1" applyFill="1" applyBorder="1" applyAlignment="1">
      <alignment horizontal="center" vertical="center"/>
    </xf>
    <xf numFmtId="168" fontId="9" fillId="0" borderId="87" xfId="59" applyNumberFormat="1" applyFont="1" applyBorder="1" applyAlignment="1">
      <alignment horizontal="left" vertical="top"/>
    </xf>
    <xf numFmtId="168" fontId="9" fillId="0" borderId="88" xfId="59" applyNumberFormat="1" applyFont="1" applyBorder="1" applyAlignment="1">
      <alignment horizontal="left" vertical="top"/>
    </xf>
    <xf numFmtId="193" fontId="16" fillId="3" borderId="68" xfId="59" applyFont="1" applyFill="1" applyBorder="1" applyAlignment="1">
      <alignment horizontal="center"/>
    </xf>
    <xf numFmtId="193" fontId="16" fillId="3" borderId="69" xfId="59" applyFont="1" applyFill="1" applyBorder="1" applyAlignment="1">
      <alignment horizontal="center"/>
    </xf>
    <xf numFmtId="193" fontId="16" fillId="3" borderId="75" xfId="59" applyFont="1" applyFill="1" applyBorder="1" applyAlignment="1">
      <alignment horizontal="center"/>
    </xf>
    <xf numFmtId="193" fontId="16" fillId="3" borderId="76" xfId="59" applyFont="1" applyFill="1" applyBorder="1" applyAlignment="1">
      <alignment horizontal="center"/>
    </xf>
    <xf numFmtId="193" fontId="16" fillId="0" borderId="79" xfId="59" applyFont="1" applyBorder="1" applyAlignment="1">
      <alignment horizontal="center"/>
    </xf>
    <xf numFmtId="193" fontId="16" fillId="0" borderId="80" xfId="59" applyFont="1" applyBorder="1" applyAlignment="1">
      <alignment horizontal="center"/>
    </xf>
    <xf numFmtId="193" fontId="16" fillId="0" borderId="83" xfId="59" applyFont="1" applyBorder="1" applyAlignment="1">
      <alignment horizontal="center"/>
    </xf>
    <xf numFmtId="193" fontId="16" fillId="0" borderId="84" xfId="59" applyFont="1" applyBorder="1" applyAlignment="1">
      <alignment horizontal="center"/>
    </xf>
    <xf numFmtId="168" fontId="9" fillId="0" borderId="87" xfId="59" applyNumberFormat="1" applyFont="1" applyBorder="1" applyAlignment="1">
      <alignment horizontal="left" vertical="top" wrapText="1"/>
    </xf>
    <xf numFmtId="168" fontId="9" fillId="0" borderId="88" xfId="59" applyNumberFormat="1" applyFont="1" applyBorder="1" applyAlignment="1">
      <alignment horizontal="left" vertical="top" wrapText="1"/>
    </xf>
    <xf numFmtId="168" fontId="9" fillId="0" borderId="10" xfId="59" applyNumberFormat="1" applyFont="1" applyBorder="1" applyAlignment="1">
      <alignment horizontal="left" vertical="center" wrapText="1"/>
    </xf>
    <xf numFmtId="168" fontId="9" fillId="0" borderId="31" xfId="59" applyNumberFormat="1" applyFont="1" applyBorder="1" applyAlignment="1">
      <alignment horizontal="left" vertical="center" wrapText="1"/>
    </xf>
    <xf numFmtId="0" fontId="14" fillId="0" borderId="27" xfId="60" applyNumberFormat="1" applyFont="1" applyBorder="1" applyAlignment="1">
      <alignment horizontal="left" vertical="top"/>
    </xf>
    <xf numFmtId="0" fontId="16" fillId="9" borderId="31" xfId="60" applyNumberFormat="1" applyFont="1" applyFill="1" applyBorder="1" applyAlignment="1">
      <alignment horizontal="center" vertical="center" wrapText="1"/>
    </xf>
    <xf numFmtId="0" fontId="61" fillId="9" borderId="104" xfId="60" applyNumberFormat="1" applyFont="1" applyFill="1" applyBorder="1" applyAlignment="1">
      <alignment horizontal="center" vertical="center" wrapText="1"/>
    </xf>
    <xf numFmtId="0" fontId="61" fillId="9" borderId="23" xfId="60" applyNumberFormat="1" applyFont="1" applyFill="1" applyBorder="1" applyAlignment="1">
      <alignment horizontal="center" vertical="center" wrapText="1"/>
    </xf>
    <xf numFmtId="0" fontId="16" fillId="9" borderId="68" xfId="60" applyNumberFormat="1" applyFont="1" applyFill="1" applyBorder="1" applyAlignment="1">
      <alignment horizontal="center" vertical="center" wrapText="1"/>
    </xf>
    <xf numFmtId="0" fontId="16" fillId="9" borderId="88" xfId="60" applyNumberFormat="1" applyFont="1" applyFill="1" applyBorder="1" applyAlignment="1">
      <alignment horizontal="center" vertical="center" wrapText="1"/>
    </xf>
    <xf numFmtId="0" fontId="16" fillId="9" borderId="89" xfId="60" applyNumberFormat="1" applyFont="1" applyFill="1" applyBorder="1" applyAlignment="1">
      <alignment horizontal="center" vertical="center" wrapText="1"/>
    </xf>
    <xf numFmtId="0" fontId="16" fillId="9" borderId="104" xfId="60" applyNumberFormat="1" applyFont="1" applyFill="1" applyBorder="1" applyAlignment="1">
      <alignment horizontal="center" vertical="center" wrapText="1"/>
    </xf>
    <xf numFmtId="0" fontId="16" fillId="9" borderId="23" xfId="60" applyNumberFormat="1" applyFont="1" applyFill="1" applyBorder="1" applyAlignment="1">
      <alignment horizontal="center" vertical="center" wrapText="1"/>
    </xf>
    <xf numFmtId="196" fontId="12" fillId="0" borderId="104" xfId="60" applyNumberFormat="1" applyFont="1" applyBorder="1" applyAlignment="1">
      <alignment horizontal="center" vertical="center" wrapText="1"/>
    </xf>
    <xf numFmtId="196" fontId="12" fillId="0" borderId="10" xfId="60" applyNumberFormat="1" applyFont="1" applyBorder="1" applyAlignment="1">
      <alignment horizontal="center" vertical="center" wrapText="1"/>
    </xf>
    <xf numFmtId="196" fontId="12" fillId="0" borderId="23" xfId="60" applyNumberFormat="1" applyFont="1" applyBorder="1" applyAlignment="1">
      <alignment horizontal="center" vertical="center" wrapText="1"/>
    </xf>
    <xf numFmtId="193" fontId="12" fillId="0" borderId="104" xfId="60" applyFont="1" applyBorder="1" applyAlignment="1">
      <alignment horizontal="center" vertical="center" wrapText="1"/>
    </xf>
    <xf numFmtId="193" fontId="12" fillId="0" borderId="10" xfId="60" applyFont="1" applyBorder="1" applyAlignment="1">
      <alignment horizontal="center" vertical="center" wrapText="1"/>
    </xf>
    <xf numFmtId="193" fontId="12" fillId="0" borderId="23" xfId="60" applyFont="1" applyBorder="1" applyAlignment="1">
      <alignment horizontal="center" vertical="center" wrapText="1"/>
    </xf>
    <xf numFmtId="193" fontId="32" fillId="0" borderId="27" xfId="61" applyFont="1" applyBorder="1" applyAlignment="1">
      <alignment horizontal="left" vertical="center"/>
    </xf>
    <xf numFmtId="0" fontId="32" fillId="9" borderId="31" xfId="61" applyNumberFormat="1" applyFont="1" applyFill="1" applyBorder="1" applyAlignment="1">
      <alignment horizontal="center" vertical="center" wrapText="1"/>
    </xf>
    <xf numFmtId="0" fontId="32" fillId="9" borderId="104" xfId="61" applyNumberFormat="1" applyFont="1" applyFill="1" applyBorder="1" applyAlignment="1">
      <alignment horizontal="center" vertical="center" wrapText="1"/>
    </xf>
    <xf numFmtId="0" fontId="32" fillId="9" borderId="23" xfId="61" applyNumberFormat="1" applyFont="1" applyFill="1" applyBorder="1" applyAlignment="1">
      <alignment horizontal="center" vertical="center" wrapText="1"/>
    </xf>
    <xf numFmtId="0" fontId="32" fillId="9" borderId="68" xfId="61" applyNumberFormat="1" applyFont="1" applyFill="1" applyBorder="1" applyAlignment="1">
      <alignment horizontal="center" vertical="center" wrapText="1"/>
    </xf>
    <xf numFmtId="0" fontId="32" fillId="9" borderId="88" xfId="61" applyNumberFormat="1" applyFont="1" applyFill="1" applyBorder="1" applyAlignment="1">
      <alignment horizontal="center" vertical="center" wrapText="1"/>
    </xf>
    <xf numFmtId="0" fontId="32" fillId="9" borderId="89" xfId="61" applyNumberFormat="1" applyFont="1" applyFill="1" applyBorder="1" applyAlignment="1">
      <alignment horizontal="center" vertical="center" wrapText="1"/>
    </xf>
    <xf numFmtId="193" fontId="22" fillId="0" borderId="10" xfId="61" applyFont="1" applyBorder="1" applyAlignment="1">
      <alignment horizontal="center" vertical="center" wrapText="1"/>
    </xf>
    <xf numFmtId="193" fontId="22" fillId="0" borderId="23" xfId="61" applyFont="1" applyBorder="1" applyAlignment="1">
      <alignment horizontal="center" vertical="center" wrapText="1"/>
    </xf>
    <xf numFmtId="196" fontId="22" fillId="0" borderId="104" xfId="61" applyNumberFormat="1" applyFont="1" applyBorder="1" applyAlignment="1">
      <alignment horizontal="center" vertical="center" wrapText="1"/>
    </xf>
    <xf numFmtId="196" fontId="22" fillId="0" borderId="23" xfId="61" applyNumberFormat="1" applyFont="1" applyBorder="1" applyAlignment="1">
      <alignment horizontal="center" vertical="center" wrapText="1"/>
    </xf>
    <xf numFmtId="196" fontId="22" fillId="0" borderId="10" xfId="61" applyNumberFormat="1" applyFont="1" applyBorder="1" applyAlignment="1">
      <alignment horizontal="center" vertical="center" wrapText="1"/>
    </xf>
    <xf numFmtId="193" fontId="22" fillId="0" borderId="104" xfId="61" applyFont="1" applyBorder="1" applyAlignment="1">
      <alignment horizontal="center" vertical="center" wrapText="1"/>
    </xf>
    <xf numFmtId="193" fontId="39" fillId="3" borderId="104" xfId="62" applyFont="1" applyFill="1" applyBorder="1" applyAlignment="1">
      <alignment horizontal="center" vertical="center" wrapText="1"/>
    </xf>
    <xf numFmtId="193" fontId="39" fillId="3" borderId="23" xfId="62" applyFont="1" applyFill="1" applyBorder="1" applyAlignment="1">
      <alignment horizontal="center" vertical="center"/>
    </xf>
    <xf numFmtId="0" fontId="14" fillId="3" borderId="27" xfId="0" applyFont="1" applyFill="1" applyBorder="1" applyAlignment="1">
      <alignment horizontal="left" vertical="top"/>
    </xf>
    <xf numFmtId="0" fontId="32" fillId="9" borderId="31" xfId="62" applyNumberFormat="1" applyFont="1" applyFill="1" applyBorder="1" applyAlignment="1">
      <alignment horizontal="center" vertical="center" wrapText="1"/>
    </xf>
    <xf numFmtId="0" fontId="32" fillId="9" borderId="104" xfId="62" applyNumberFormat="1" applyFont="1" applyFill="1" applyBorder="1" applyAlignment="1">
      <alignment horizontal="center" vertical="center" wrapText="1"/>
    </xf>
    <xf numFmtId="0" fontId="32" fillId="9" borderId="23" xfId="62" applyNumberFormat="1" applyFont="1" applyFill="1" applyBorder="1" applyAlignment="1">
      <alignment horizontal="center" vertical="center" wrapText="1"/>
    </xf>
    <xf numFmtId="0" fontId="32" fillId="9" borderId="68" xfId="62" applyNumberFormat="1" applyFont="1" applyFill="1" applyBorder="1" applyAlignment="1">
      <alignment horizontal="center" vertical="center" wrapText="1"/>
    </xf>
    <xf numFmtId="0" fontId="32" fillId="9" borderId="88" xfId="62" applyNumberFormat="1" applyFont="1" applyFill="1" applyBorder="1" applyAlignment="1">
      <alignment horizontal="center" vertical="center" wrapText="1"/>
    </xf>
    <xf numFmtId="0" fontId="32" fillId="9" borderId="89" xfId="62" applyNumberFormat="1" applyFont="1" applyFill="1" applyBorder="1" applyAlignment="1">
      <alignment horizontal="center" vertical="center" wrapText="1"/>
    </xf>
    <xf numFmtId="193" fontId="39" fillId="3" borderId="10" xfId="62" applyFont="1" applyFill="1" applyBorder="1" applyAlignment="1">
      <alignment horizontal="center" vertical="center" wrapText="1"/>
    </xf>
    <xf numFmtId="193" fontId="39" fillId="3" borderId="23" xfId="62" applyFont="1" applyFill="1" applyBorder="1" applyAlignment="1">
      <alignment horizontal="center" vertical="center" wrapText="1"/>
    </xf>
    <xf numFmtId="193" fontId="39" fillId="3" borderId="104" xfId="62" applyFont="1" applyFill="1" applyBorder="1" applyAlignment="1">
      <alignment horizontal="center" vertical="center"/>
    </xf>
    <xf numFmtId="193" fontId="39" fillId="3" borderId="10" xfId="62" applyFont="1" applyFill="1" applyBorder="1" applyAlignment="1">
      <alignment horizontal="center" vertical="center"/>
    </xf>
    <xf numFmtId="43" fontId="11" fillId="3" borderId="31" xfId="1" applyFont="1" applyFill="1" applyBorder="1" applyAlignment="1">
      <alignment horizontal="right" vertical="top" wrapText="1"/>
    </xf>
  </cellXfs>
  <cellStyles count="63">
    <cellStyle name="Comma" xfId="1" builtinId="3"/>
    <cellStyle name="Comma 10 5" xfId="13"/>
    <cellStyle name="Comma 11" xfId="50"/>
    <cellStyle name="Comma 11 2" xfId="36"/>
    <cellStyle name="Comma 11 2 2" xfId="47"/>
    <cellStyle name="Comma 16" xfId="32"/>
    <cellStyle name="Comma 16 2" xfId="33"/>
    <cellStyle name="Comma 16 2 2" xfId="45"/>
    <cellStyle name="Comma 18" xfId="29"/>
    <cellStyle name="Comma 18 2" xfId="43"/>
    <cellStyle name="Comma 2" xfId="11"/>
    <cellStyle name="Comma 2 124" xfId="7"/>
    <cellStyle name="Comma 2 124 2" xfId="28"/>
    <cellStyle name="Comma 2 124 2 2" xfId="42"/>
    <cellStyle name="Comma 2 124 3" xfId="38"/>
    <cellStyle name="Comma 2 2" xfId="39"/>
    <cellStyle name="Comma 2 3 86" xfId="26"/>
    <cellStyle name="Comma 2 3 86 2" xfId="41"/>
    <cellStyle name="Comma 2 4" xfId="30"/>
    <cellStyle name="Comma 2 4 2" xfId="44"/>
    <cellStyle name="Comma 3" xfId="25"/>
    <cellStyle name="Comma 3 101" xfId="27"/>
    <cellStyle name="Comma 3 2" xfId="34"/>
    <cellStyle name="Comma 3 2 2" xfId="46"/>
    <cellStyle name="Comma 4" xfId="37"/>
    <cellStyle name="Comma 7" xfId="17"/>
    <cellStyle name="Comma 7 2" xfId="40"/>
    <cellStyle name="Hyperlink" xfId="35" builtinId="8"/>
    <cellStyle name="Indian Comma" xfId="23"/>
    <cellStyle name="Normal" xfId="0" builtinId="0"/>
    <cellStyle name="Normal 11" xfId="4"/>
    <cellStyle name="Normal 11 2" xfId="16"/>
    <cellStyle name="Normal 12 3 3" xfId="8"/>
    <cellStyle name="Normal 12 3 3 2" xfId="20"/>
    <cellStyle name="Normal 2" xfId="12"/>
    <cellStyle name="Normal 2 10" xfId="49"/>
    <cellStyle name="Normal 2 134" xfId="19"/>
    <cellStyle name="Normal 2 134 10" xfId="62"/>
    <cellStyle name="Normal 2 134 2" xfId="52"/>
    <cellStyle name="Normal 2 134 3" xfId="56"/>
    <cellStyle name="Normal 2 134 4" xfId="51"/>
    <cellStyle name="Normal 2 134 5" xfId="57"/>
    <cellStyle name="Normal 2 134 6" xfId="58"/>
    <cellStyle name="Normal 2 134 7" xfId="59"/>
    <cellStyle name="Normal 2 134 8" xfId="60"/>
    <cellStyle name="Normal 2 134 9" xfId="61"/>
    <cellStyle name="Normal 2 18 2" xfId="9"/>
    <cellStyle name="Normal 2 2" xfId="6"/>
    <cellStyle name="Normal 23 2" xfId="18"/>
    <cellStyle name="Normal 3" xfId="14"/>
    <cellStyle name="Normal 3 144" xfId="24"/>
    <cellStyle name="Normal 30" xfId="48"/>
    <cellStyle name="Normal 34 2" xfId="15"/>
    <cellStyle name="Normal 4" xfId="5"/>
    <cellStyle name="Normal 41" xfId="3"/>
    <cellStyle name="Normal 5 10" xfId="22"/>
    <cellStyle name="Normal 5 10 2" xfId="54"/>
    <cellStyle name="Normal 7" xfId="31"/>
    <cellStyle name="Normal 8" xfId="21"/>
    <cellStyle name="Normal 8 2" xfId="53"/>
    <cellStyle name="Normal_tables-oct 4 2" xfId="55"/>
    <cellStyle name="Percent" xfId="2" builtinId="5"/>
    <cellStyle name="Percent 2" xfId="1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80"/>
  <sheetViews>
    <sheetView tabSelected="1" zoomScaleNormal="100" workbookViewId="0"/>
  </sheetViews>
  <sheetFormatPr defaultColWidth="0" defaultRowHeight="15.75" zeroHeight="1"/>
  <cols>
    <col min="1" max="1" width="109.85546875" style="1170" customWidth="1"/>
    <col min="2" max="9" width="9.140625" style="1171" customWidth="1"/>
    <col min="10" max="16384" width="9.140625" style="1171" hidden="1"/>
  </cols>
  <sheetData>
    <row r="1" spans="1:1" s="1167" customFormat="1" ht="18.75" customHeight="1">
      <c r="A1" s="1166" t="s">
        <v>0</v>
      </c>
    </row>
    <row r="2" spans="1:1" s="1167" customFormat="1" ht="18" customHeight="1">
      <c r="A2" s="1168" t="s">
        <v>1</v>
      </c>
    </row>
    <row r="3" spans="1:1" s="1167" customFormat="1" ht="18" customHeight="1">
      <c r="A3" s="1168" t="s">
        <v>2</v>
      </c>
    </row>
    <row r="4" spans="1:1" s="1167" customFormat="1" ht="18" customHeight="1">
      <c r="A4" s="1168" t="s">
        <v>3</v>
      </c>
    </row>
    <row r="5" spans="1:1" s="366" customFormat="1" ht="18" customHeight="1">
      <c r="A5" s="1168" t="s">
        <v>1146</v>
      </c>
    </row>
    <row r="6" spans="1:1" s="1167" customFormat="1" ht="18" customHeight="1">
      <c r="A6" s="1168" t="s">
        <v>1130</v>
      </c>
    </row>
    <row r="7" spans="1:1" s="1167" customFormat="1" ht="18" customHeight="1">
      <c r="A7" s="1169" t="s">
        <v>1131</v>
      </c>
    </row>
    <row r="8" spans="1:1" s="1167" customFormat="1" ht="18" customHeight="1">
      <c r="A8" s="1168" t="s">
        <v>4</v>
      </c>
    </row>
    <row r="9" spans="1:1" s="1167" customFormat="1" ht="18" customHeight="1">
      <c r="A9" s="1168" t="s">
        <v>5</v>
      </c>
    </row>
    <row r="10" spans="1:1" s="1167" customFormat="1" ht="18" customHeight="1">
      <c r="A10" s="1168" t="s">
        <v>6</v>
      </c>
    </row>
    <row r="11" spans="1:1" s="1167" customFormat="1" ht="18" customHeight="1">
      <c r="A11" s="1168" t="s">
        <v>7</v>
      </c>
    </row>
    <row r="12" spans="1:1" s="1167" customFormat="1" ht="18" customHeight="1">
      <c r="A12" s="1168" t="s">
        <v>1384</v>
      </c>
    </row>
    <row r="13" spans="1:1" s="1167" customFormat="1" ht="18" customHeight="1">
      <c r="A13" s="1168" t="s">
        <v>1164</v>
      </c>
    </row>
    <row r="14" spans="1:1" s="1167" customFormat="1" ht="18" customHeight="1">
      <c r="A14" s="1168" t="s">
        <v>8</v>
      </c>
    </row>
    <row r="15" spans="1:1" s="1167" customFormat="1" ht="18" customHeight="1">
      <c r="A15" s="1168" t="s">
        <v>9</v>
      </c>
    </row>
    <row r="16" spans="1:1" s="1167" customFormat="1" ht="18" customHeight="1">
      <c r="A16" s="1168" t="s">
        <v>10</v>
      </c>
    </row>
    <row r="17" spans="1:1" s="1167" customFormat="1" ht="18" customHeight="1">
      <c r="A17" s="1168" t="s">
        <v>11</v>
      </c>
    </row>
    <row r="18" spans="1:1" s="1167" customFormat="1" ht="18" customHeight="1">
      <c r="A18" s="1168" t="s">
        <v>12</v>
      </c>
    </row>
    <row r="19" spans="1:1" s="1167" customFormat="1" ht="18" customHeight="1">
      <c r="A19" s="1168" t="s">
        <v>13</v>
      </c>
    </row>
    <row r="20" spans="1:1" s="1167" customFormat="1" ht="18" customHeight="1">
      <c r="A20" s="1168" t="s">
        <v>14</v>
      </c>
    </row>
    <row r="21" spans="1:1" s="1167" customFormat="1" ht="18" customHeight="1">
      <c r="A21" s="1168" t="s">
        <v>15</v>
      </c>
    </row>
    <row r="22" spans="1:1" s="1167" customFormat="1" ht="18" customHeight="1">
      <c r="A22" s="1168" t="s">
        <v>16</v>
      </c>
    </row>
    <row r="23" spans="1:1" s="1167" customFormat="1" ht="18" customHeight="1">
      <c r="A23" s="1168" t="s">
        <v>17</v>
      </c>
    </row>
    <row r="24" spans="1:1" s="1167" customFormat="1" ht="18" customHeight="1">
      <c r="A24" s="1168" t="s">
        <v>18</v>
      </c>
    </row>
    <row r="25" spans="1:1" s="1167" customFormat="1" ht="18" customHeight="1">
      <c r="A25" s="1168" t="s">
        <v>19</v>
      </c>
    </row>
    <row r="26" spans="1:1" s="1167" customFormat="1" ht="18" customHeight="1">
      <c r="A26" s="1168" t="s">
        <v>20</v>
      </c>
    </row>
    <row r="27" spans="1:1" s="1167" customFormat="1" ht="18" customHeight="1">
      <c r="A27" s="1168" t="s">
        <v>21</v>
      </c>
    </row>
    <row r="28" spans="1:1" s="1167" customFormat="1" ht="18" customHeight="1">
      <c r="A28" s="1168" t="s">
        <v>22</v>
      </c>
    </row>
    <row r="29" spans="1:1" s="1167" customFormat="1" ht="18" customHeight="1">
      <c r="A29" s="1168" t="s">
        <v>23</v>
      </c>
    </row>
    <row r="30" spans="1:1" s="1167" customFormat="1" ht="18" customHeight="1">
      <c r="A30" s="1168" t="s">
        <v>24</v>
      </c>
    </row>
    <row r="31" spans="1:1" s="1167" customFormat="1" ht="18" customHeight="1">
      <c r="A31" s="1168" t="s">
        <v>25</v>
      </c>
    </row>
    <row r="32" spans="1:1" s="1167" customFormat="1" ht="18" customHeight="1">
      <c r="A32" s="1168" t="s">
        <v>1385</v>
      </c>
    </row>
    <row r="33" spans="1:1" s="1167" customFormat="1" ht="18" customHeight="1">
      <c r="A33" s="1168" t="s">
        <v>1387</v>
      </c>
    </row>
    <row r="34" spans="1:1" s="1167" customFormat="1" ht="18" customHeight="1">
      <c r="A34" s="1168" t="s">
        <v>1389</v>
      </c>
    </row>
    <row r="35" spans="1:1" s="1167" customFormat="1" ht="18" customHeight="1">
      <c r="A35" s="1168" t="s">
        <v>26</v>
      </c>
    </row>
    <row r="36" spans="1:1" s="1167" customFormat="1" ht="18" customHeight="1">
      <c r="A36" s="1168" t="s">
        <v>27</v>
      </c>
    </row>
    <row r="37" spans="1:1" s="1167" customFormat="1" ht="18" customHeight="1">
      <c r="A37" s="1168" t="s">
        <v>28</v>
      </c>
    </row>
    <row r="38" spans="1:1" s="1167" customFormat="1" ht="18" customHeight="1">
      <c r="A38" s="1168" t="s">
        <v>29</v>
      </c>
    </row>
    <row r="39" spans="1:1" s="1167" customFormat="1" ht="18" customHeight="1">
      <c r="A39" s="1168" t="s">
        <v>30</v>
      </c>
    </row>
    <row r="40" spans="1:1" s="1167" customFormat="1" ht="18" customHeight="1">
      <c r="A40" s="1168" t="s">
        <v>31</v>
      </c>
    </row>
    <row r="41" spans="1:1" s="1167" customFormat="1" ht="18" customHeight="1">
      <c r="A41" s="1168" t="s">
        <v>32</v>
      </c>
    </row>
    <row r="42" spans="1:1" s="1167" customFormat="1" ht="18" customHeight="1">
      <c r="A42" s="1168" t="s">
        <v>33</v>
      </c>
    </row>
    <row r="43" spans="1:1" s="1167" customFormat="1" ht="18" customHeight="1">
      <c r="A43" s="1168" t="s">
        <v>34</v>
      </c>
    </row>
    <row r="44" spans="1:1" s="1167" customFormat="1" ht="18" customHeight="1">
      <c r="A44" s="1168" t="s">
        <v>35</v>
      </c>
    </row>
    <row r="45" spans="1:1" s="1167" customFormat="1" ht="18" customHeight="1">
      <c r="A45" s="1168" t="s">
        <v>36</v>
      </c>
    </row>
    <row r="46" spans="1:1" s="1167" customFormat="1" ht="18" customHeight="1">
      <c r="A46" s="1168" t="s">
        <v>37</v>
      </c>
    </row>
    <row r="47" spans="1:1" s="1167" customFormat="1" ht="18" customHeight="1">
      <c r="A47" s="1168" t="s">
        <v>38</v>
      </c>
    </row>
    <row r="48" spans="1:1" s="1167" customFormat="1" ht="18" customHeight="1">
      <c r="A48" s="1168" t="s">
        <v>39</v>
      </c>
    </row>
    <row r="49" spans="1:1" s="1167" customFormat="1" ht="18" customHeight="1">
      <c r="A49" s="1168" t="s">
        <v>40</v>
      </c>
    </row>
    <row r="50" spans="1:1" s="1167" customFormat="1" ht="18" customHeight="1">
      <c r="A50" s="1168" t="s">
        <v>41</v>
      </c>
    </row>
    <row r="51" spans="1:1" s="1167" customFormat="1" ht="18" customHeight="1">
      <c r="A51" s="1168" t="s">
        <v>42</v>
      </c>
    </row>
    <row r="52" spans="1:1" s="1167" customFormat="1" ht="18" customHeight="1">
      <c r="A52" s="1168" t="s">
        <v>43</v>
      </c>
    </row>
    <row r="53" spans="1:1" s="1167" customFormat="1" ht="18" customHeight="1">
      <c r="A53" s="1168" t="s">
        <v>44</v>
      </c>
    </row>
    <row r="54" spans="1:1" s="1167" customFormat="1" ht="18" customHeight="1">
      <c r="A54" s="1168" t="s">
        <v>45</v>
      </c>
    </row>
    <row r="55" spans="1:1" s="1167" customFormat="1" ht="18" customHeight="1">
      <c r="A55" s="1168" t="s">
        <v>46</v>
      </c>
    </row>
    <row r="56" spans="1:1" s="1167" customFormat="1" ht="18" customHeight="1">
      <c r="A56" s="1168" t="s">
        <v>47</v>
      </c>
    </row>
    <row r="57" spans="1:1" s="1167" customFormat="1" ht="18" customHeight="1">
      <c r="A57" s="1168" t="s">
        <v>48</v>
      </c>
    </row>
    <row r="58" spans="1:1" s="1167" customFormat="1" ht="18" customHeight="1">
      <c r="A58" s="1168" t="s">
        <v>49</v>
      </c>
    </row>
    <row r="59" spans="1:1" s="1167" customFormat="1" ht="18" customHeight="1">
      <c r="A59" s="1168" t="s">
        <v>50</v>
      </c>
    </row>
    <row r="60" spans="1:1" s="1167" customFormat="1" ht="18" customHeight="1">
      <c r="A60" s="1168" t="s">
        <v>51</v>
      </c>
    </row>
    <row r="61" spans="1:1" s="1167" customFormat="1" ht="18" customHeight="1">
      <c r="A61" s="1168" t="s">
        <v>52</v>
      </c>
    </row>
    <row r="62" spans="1:1" s="1167" customFormat="1" ht="18" customHeight="1">
      <c r="A62" s="1168" t="s">
        <v>53</v>
      </c>
    </row>
    <row r="63" spans="1:1" s="1167" customFormat="1" ht="18" customHeight="1">
      <c r="A63" s="1168" t="s">
        <v>54</v>
      </c>
    </row>
    <row r="64" spans="1:1" s="1167" customFormat="1" ht="18" customHeight="1">
      <c r="A64" s="1168" t="s">
        <v>55</v>
      </c>
    </row>
    <row r="65" spans="1:1" s="1167" customFormat="1" ht="18" customHeight="1">
      <c r="A65" s="1168" t="s">
        <v>56</v>
      </c>
    </row>
    <row r="66" spans="1:1" s="1167" customFormat="1" ht="18" customHeight="1">
      <c r="A66" s="1168" t="s">
        <v>57</v>
      </c>
    </row>
    <row r="67" spans="1:1" s="1167" customFormat="1" ht="18" customHeight="1">
      <c r="A67" s="1168" t="s">
        <v>58</v>
      </c>
    </row>
    <row r="68" spans="1:1" s="1167" customFormat="1" ht="18" customHeight="1">
      <c r="A68" s="1168" t="s">
        <v>59</v>
      </c>
    </row>
    <row r="69" spans="1:1" s="1167" customFormat="1" ht="18" customHeight="1">
      <c r="A69" s="1168" t="s">
        <v>60</v>
      </c>
    </row>
    <row r="70" spans="1:1" s="1167" customFormat="1" ht="18" customHeight="1">
      <c r="A70" s="1168" t="s">
        <v>61</v>
      </c>
    </row>
    <row r="71" spans="1:1" s="1167" customFormat="1" ht="18" customHeight="1">
      <c r="A71" s="1168" t="s">
        <v>62</v>
      </c>
    </row>
    <row r="72" spans="1:1" s="1167" customFormat="1" ht="18" customHeight="1">
      <c r="A72" s="1168" t="s">
        <v>63</v>
      </c>
    </row>
    <row r="73" spans="1:1" s="1167" customFormat="1" ht="18" customHeight="1">
      <c r="A73" s="1168" t="s">
        <v>64</v>
      </c>
    </row>
    <row r="74" spans="1:1" s="1167" customFormat="1" ht="18" customHeight="1">
      <c r="A74" s="1168" t="s">
        <v>65</v>
      </c>
    </row>
    <row r="75" spans="1:1" s="1167" customFormat="1" ht="15">
      <c r="A75" s="1168" t="s">
        <v>66</v>
      </c>
    </row>
    <row r="76" spans="1:1"/>
    <row r="77" spans="1:1"/>
    <row r="78" spans="1:1"/>
    <row r="79" spans="1:1"/>
    <row r="80" spans="1:1"/>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 '!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BSE"/>
    <hyperlink ref="A33" location="'32'!A1" display="Table 32: Settlement Statistics for Cash Segment of NSE "/>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pageSetUpPr fitToPage="1"/>
  </sheetPr>
  <dimension ref="A1:J63"/>
  <sheetViews>
    <sheetView showWhiteSpace="0" zoomScaleNormal="100" workbookViewId="0">
      <selection activeCell="E6" sqref="E6"/>
    </sheetView>
  </sheetViews>
  <sheetFormatPr defaultRowHeight="15"/>
  <cols>
    <col min="1" max="1" width="48" customWidth="1"/>
    <col min="2" max="2" width="12.28515625" customWidth="1"/>
    <col min="3" max="3" width="11.28515625" style="16" bestFit="1" customWidth="1"/>
    <col min="10" max="10" width="20.42578125" customWidth="1"/>
  </cols>
  <sheetData>
    <row r="1" spans="1:10">
      <c r="A1" s="1179" t="s">
        <v>1</v>
      </c>
      <c r="B1" s="1180"/>
      <c r="C1" s="241"/>
    </row>
    <row r="2" spans="1:10">
      <c r="A2" s="242" t="s">
        <v>1089</v>
      </c>
      <c r="B2" s="243" t="s">
        <v>520</v>
      </c>
      <c r="C2" s="986">
        <v>45504</v>
      </c>
    </row>
    <row r="3" spans="1:10">
      <c r="A3" s="992" t="s">
        <v>1090</v>
      </c>
      <c r="B3" s="991">
        <v>3</v>
      </c>
      <c r="C3" s="991">
        <v>3</v>
      </c>
      <c r="D3" s="16"/>
      <c r="F3" s="1"/>
      <c r="G3" s="1"/>
      <c r="H3" s="1"/>
      <c r="I3" s="1"/>
      <c r="J3" s="1"/>
    </row>
    <row r="4" spans="1:10">
      <c r="A4" s="992" t="s">
        <v>1091</v>
      </c>
      <c r="B4" s="991">
        <v>3</v>
      </c>
      <c r="C4" s="991">
        <v>3</v>
      </c>
      <c r="D4" s="16"/>
      <c r="F4" s="1"/>
      <c r="G4" s="1"/>
      <c r="H4" s="1"/>
      <c r="I4" s="1"/>
      <c r="J4" s="1"/>
    </row>
    <row r="5" spans="1:10">
      <c r="A5" s="992" t="s">
        <v>1092</v>
      </c>
      <c r="B5" s="991">
        <v>3</v>
      </c>
      <c r="C5" s="991">
        <v>3</v>
      </c>
      <c r="D5" s="16"/>
      <c r="F5" s="1"/>
      <c r="G5" s="1"/>
      <c r="H5" s="1"/>
      <c r="I5" s="1"/>
      <c r="J5" s="1"/>
    </row>
    <row r="6" spans="1:10">
      <c r="A6" s="992" t="s">
        <v>1093</v>
      </c>
      <c r="B6" s="991">
        <v>4</v>
      </c>
      <c r="C6" s="991">
        <v>4</v>
      </c>
      <c r="D6" s="16"/>
      <c r="F6" s="1"/>
      <c r="G6" s="1"/>
      <c r="H6" s="1"/>
      <c r="I6" s="1"/>
      <c r="J6" s="1"/>
    </row>
    <row r="7" spans="1:10">
      <c r="A7" s="1177" t="s">
        <v>1094</v>
      </c>
      <c r="B7" s="1178"/>
      <c r="C7" s="366"/>
      <c r="D7" s="16"/>
      <c r="F7" s="1"/>
      <c r="G7" s="1"/>
      <c r="H7" s="1"/>
      <c r="I7" s="1"/>
      <c r="J7" s="1"/>
    </row>
    <row r="8" spans="1:10">
      <c r="A8" s="992" t="s">
        <v>69</v>
      </c>
      <c r="B8" s="991">
        <v>1269</v>
      </c>
      <c r="C8" s="991">
        <v>1228</v>
      </c>
      <c r="D8" s="16"/>
      <c r="F8" s="1"/>
      <c r="G8" s="1"/>
      <c r="H8" s="1"/>
      <c r="I8" s="1"/>
      <c r="J8" s="1"/>
    </row>
    <row r="9" spans="1:10">
      <c r="A9" s="992" t="s">
        <v>70</v>
      </c>
      <c r="B9" s="991">
        <v>1212</v>
      </c>
      <c r="C9" s="991">
        <v>1217</v>
      </c>
      <c r="D9" s="16"/>
      <c r="F9" s="1"/>
      <c r="G9" s="1"/>
      <c r="H9" s="1"/>
      <c r="I9" s="1"/>
      <c r="J9" s="1"/>
    </row>
    <row r="10" spans="1:10">
      <c r="A10" s="992" t="s">
        <v>71</v>
      </c>
      <c r="B10" s="991">
        <v>295</v>
      </c>
      <c r="C10" s="991">
        <v>290</v>
      </c>
      <c r="D10" s="16"/>
      <c r="F10" s="1"/>
      <c r="G10" s="1"/>
      <c r="H10" s="1"/>
      <c r="I10" s="1"/>
      <c r="J10" s="1"/>
    </row>
    <row r="11" spans="1:10">
      <c r="A11" s="1177" t="s">
        <v>1095</v>
      </c>
      <c r="B11" s="1178"/>
      <c r="C11" s="366"/>
      <c r="D11" s="16"/>
      <c r="F11" s="1"/>
      <c r="G11" s="1"/>
      <c r="H11" s="1"/>
      <c r="I11" s="1"/>
      <c r="J11" s="1"/>
    </row>
    <row r="12" spans="1:10">
      <c r="A12" s="992" t="s">
        <v>69</v>
      </c>
      <c r="B12" s="468">
        <v>903</v>
      </c>
      <c r="C12" s="468">
        <v>880</v>
      </c>
      <c r="D12" s="16"/>
      <c r="F12" s="1"/>
      <c r="G12" s="1"/>
      <c r="H12" s="1"/>
      <c r="I12" s="1"/>
      <c r="J12" s="245"/>
    </row>
    <row r="13" spans="1:10">
      <c r="A13" s="992" t="s">
        <v>70</v>
      </c>
      <c r="B13" s="991">
        <v>1138</v>
      </c>
      <c r="C13" s="991">
        <v>1147</v>
      </c>
      <c r="D13" s="16"/>
      <c r="J13" s="246"/>
    </row>
    <row r="14" spans="1:10">
      <c r="A14" s="992" t="s">
        <v>71</v>
      </c>
      <c r="B14" s="468">
        <v>274</v>
      </c>
      <c r="C14" s="468">
        <v>269</v>
      </c>
      <c r="D14" s="16"/>
      <c r="J14" s="246"/>
    </row>
    <row r="15" spans="1:10">
      <c r="A15" s="1177" t="s">
        <v>1096</v>
      </c>
      <c r="B15" s="1178"/>
      <c r="C15" s="473"/>
      <c r="D15" s="16"/>
      <c r="J15" s="246"/>
    </row>
    <row r="16" spans="1:10">
      <c r="A16" s="992" t="s">
        <v>69</v>
      </c>
      <c r="B16" s="468">
        <v>560</v>
      </c>
      <c r="C16" s="468">
        <v>555</v>
      </c>
      <c r="D16" s="16"/>
      <c r="J16" s="246"/>
    </row>
    <row r="17" spans="1:10">
      <c r="A17" s="992" t="s">
        <v>70</v>
      </c>
      <c r="B17" s="468">
        <v>754</v>
      </c>
      <c r="C17" s="468">
        <v>757</v>
      </c>
      <c r="D17" s="16"/>
      <c r="J17" s="246"/>
    </row>
    <row r="18" spans="1:10">
      <c r="A18" s="992" t="s">
        <v>71</v>
      </c>
      <c r="B18" s="468">
        <v>470</v>
      </c>
      <c r="C18" s="468">
        <v>465</v>
      </c>
      <c r="D18" s="16"/>
      <c r="J18" s="246"/>
    </row>
    <row r="19" spans="1:10">
      <c r="A19" s="1177" t="s">
        <v>1097</v>
      </c>
      <c r="B19" s="1178"/>
      <c r="C19" s="473"/>
      <c r="D19" s="16"/>
    </row>
    <row r="20" spans="1:10">
      <c r="A20" s="992" t="s">
        <v>69</v>
      </c>
      <c r="B20" s="468">
        <v>280</v>
      </c>
      <c r="C20" s="468">
        <v>282</v>
      </c>
      <c r="D20" s="16"/>
    </row>
    <row r="21" spans="1:10">
      <c r="A21" s="992" t="s">
        <v>70</v>
      </c>
      <c r="B21" s="468">
        <v>271</v>
      </c>
      <c r="C21" s="468">
        <v>277</v>
      </c>
      <c r="D21" s="16"/>
    </row>
    <row r="22" spans="1:10">
      <c r="A22" s="992" t="s">
        <v>71</v>
      </c>
      <c r="B22" s="468">
        <v>14</v>
      </c>
      <c r="C22" s="468">
        <v>14</v>
      </c>
      <c r="D22" s="16"/>
    </row>
    <row r="23" spans="1:10">
      <c r="A23" s="1177" t="s">
        <v>1098</v>
      </c>
      <c r="B23" s="1178"/>
      <c r="C23" s="473"/>
      <c r="D23" s="16"/>
    </row>
    <row r="24" spans="1:10">
      <c r="A24" s="992" t="s">
        <v>72</v>
      </c>
      <c r="B24" s="468">
        <v>546</v>
      </c>
      <c r="C24" s="468">
        <v>540</v>
      </c>
      <c r="D24" s="16"/>
    </row>
    <row r="25" spans="1:10">
      <c r="A25" s="992" t="s">
        <v>73</v>
      </c>
      <c r="B25" s="468">
        <v>250</v>
      </c>
      <c r="C25" s="468">
        <v>239</v>
      </c>
      <c r="D25" s="16"/>
    </row>
    <row r="26" spans="1:10">
      <c r="A26" s="992" t="s">
        <v>1099</v>
      </c>
      <c r="B26" s="468">
        <v>98</v>
      </c>
      <c r="C26" s="468">
        <v>98</v>
      </c>
      <c r="D26" s="16"/>
    </row>
    <row r="27" spans="1:10">
      <c r="A27" s="992" t="s">
        <v>69</v>
      </c>
      <c r="B27" s="468">
        <v>288</v>
      </c>
      <c r="C27" s="468">
        <v>290</v>
      </c>
      <c r="D27" s="16"/>
    </row>
    <row r="28" spans="1:10">
      <c r="A28" s="992" t="s">
        <v>70</v>
      </c>
      <c r="B28" s="468">
        <v>352</v>
      </c>
      <c r="C28" s="468">
        <v>365</v>
      </c>
      <c r="D28" s="16"/>
    </row>
    <row r="29" spans="1:10">
      <c r="A29" s="1177" t="s">
        <v>1149</v>
      </c>
      <c r="B29" s="1178"/>
      <c r="C29" s="473"/>
      <c r="D29" s="16"/>
    </row>
    <row r="30" spans="1:10">
      <c r="A30" s="992" t="s">
        <v>69</v>
      </c>
      <c r="B30" s="991">
        <v>1092</v>
      </c>
      <c r="C30" s="991">
        <v>1070</v>
      </c>
      <c r="D30" s="16"/>
    </row>
    <row r="31" spans="1:10">
      <c r="A31" s="992" t="s">
        <v>70</v>
      </c>
      <c r="B31" s="991">
        <v>1093</v>
      </c>
      <c r="C31" s="991">
        <v>1098</v>
      </c>
      <c r="D31" s="16"/>
    </row>
    <row r="32" spans="1:10">
      <c r="A32" s="992" t="s">
        <v>71</v>
      </c>
      <c r="B32" s="468">
        <v>270</v>
      </c>
      <c r="C32" s="468">
        <v>265</v>
      </c>
      <c r="D32" s="16"/>
    </row>
    <row r="33" spans="1:4">
      <c r="A33" s="992" t="s">
        <v>1100</v>
      </c>
      <c r="B33" s="472">
        <v>11219</v>
      </c>
      <c r="C33" s="472">
        <v>11483</v>
      </c>
      <c r="D33" s="16"/>
    </row>
    <row r="34" spans="1:4">
      <c r="A34" s="992" t="s">
        <v>1101</v>
      </c>
      <c r="B34" s="472">
        <v>17</v>
      </c>
      <c r="C34" s="472">
        <v>17</v>
      </c>
      <c r="D34" s="16"/>
    </row>
    <row r="35" spans="1:4">
      <c r="A35" s="992" t="s">
        <v>1102</v>
      </c>
      <c r="B35" s="472">
        <v>17</v>
      </c>
      <c r="C35" s="472">
        <v>17</v>
      </c>
      <c r="D35" s="16"/>
    </row>
    <row r="36" spans="1:4">
      <c r="A36" s="990" t="s">
        <v>1103</v>
      </c>
      <c r="B36" s="468">
        <v>2</v>
      </c>
      <c r="C36" s="468">
        <v>2</v>
      </c>
      <c r="D36" s="16"/>
    </row>
    <row r="37" spans="1:4">
      <c r="A37" s="1177" t="s">
        <v>1104</v>
      </c>
      <c r="B37" s="1178"/>
      <c r="C37" s="473"/>
      <c r="D37" s="16"/>
    </row>
    <row r="38" spans="1:4">
      <c r="A38" s="990" t="s">
        <v>74</v>
      </c>
      <c r="B38" s="468">
        <v>281</v>
      </c>
      <c r="C38" s="468">
        <v>285</v>
      </c>
      <c r="D38" s="16"/>
    </row>
    <row r="39" spans="1:4">
      <c r="A39" s="990" t="s">
        <v>75</v>
      </c>
      <c r="B39" s="468">
        <v>580</v>
      </c>
      <c r="C39" s="468">
        <v>572</v>
      </c>
      <c r="D39" s="16"/>
    </row>
    <row r="40" spans="1:4">
      <c r="A40" s="990" t="s">
        <v>1105</v>
      </c>
      <c r="B40" s="468">
        <v>220</v>
      </c>
      <c r="C40" s="468">
        <v>225</v>
      </c>
      <c r="D40" s="16"/>
    </row>
    <row r="41" spans="1:4">
      <c r="A41" s="990" t="s">
        <v>1106</v>
      </c>
      <c r="B41" s="468">
        <v>57</v>
      </c>
      <c r="C41" s="468">
        <v>57</v>
      </c>
      <c r="D41" s="16"/>
    </row>
    <row r="42" spans="1:4">
      <c r="A42" s="990" t="s">
        <v>1107</v>
      </c>
      <c r="B42" s="468">
        <v>25</v>
      </c>
      <c r="C42" s="468">
        <v>25</v>
      </c>
      <c r="D42" s="16"/>
    </row>
    <row r="43" spans="1:4">
      <c r="A43" s="990" t="s">
        <v>1108</v>
      </c>
      <c r="B43" s="468">
        <v>7</v>
      </c>
      <c r="C43" s="468">
        <v>7</v>
      </c>
      <c r="D43" s="16"/>
    </row>
    <row r="44" spans="1:4">
      <c r="A44" s="990" t="s">
        <v>1109</v>
      </c>
      <c r="B44" s="468">
        <v>5</v>
      </c>
      <c r="C44" s="468">
        <v>5</v>
      </c>
      <c r="D44" s="16"/>
    </row>
    <row r="45" spans="1:4">
      <c r="A45" s="990" t="s">
        <v>1110</v>
      </c>
      <c r="B45" s="468">
        <v>75</v>
      </c>
      <c r="C45" s="468">
        <v>74</v>
      </c>
      <c r="D45" s="16"/>
    </row>
    <row r="46" spans="1:4">
      <c r="A46" s="990" t="s">
        <v>1111</v>
      </c>
      <c r="B46" s="472">
        <v>167</v>
      </c>
      <c r="C46" s="468">
        <v>166</v>
      </c>
      <c r="D46" s="361"/>
    </row>
    <row r="47" spans="1:4">
      <c r="A47" s="990" t="s">
        <v>1112</v>
      </c>
      <c r="B47" s="472">
        <v>279</v>
      </c>
      <c r="C47" s="472">
        <v>278</v>
      </c>
      <c r="D47" s="361"/>
    </row>
    <row r="48" spans="1:4">
      <c r="A48" s="990" t="s">
        <v>1113</v>
      </c>
      <c r="B48" s="472">
        <v>1283</v>
      </c>
      <c r="C48" s="472">
        <v>1345</v>
      </c>
    </row>
    <row r="49" spans="1:4" ht="18" customHeight="1">
      <c r="A49" s="990" t="s">
        <v>1114</v>
      </c>
      <c r="B49" s="991">
        <v>420</v>
      </c>
      <c r="C49" s="991">
        <v>435</v>
      </c>
      <c r="D49" s="248"/>
    </row>
    <row r="50" spans="1:4" ht="14.25" customHeight="1">
      <c r="A50" s="990" t="s">
        <v>76</v>
      </c>
      <c r="B50" s="991">
        <v>49</v>
      </c>
      <c r="C50" s="468">
        <v>49</v>
      </c>
      <c r="D50" s="248"/>
    </row>
    <row r="51" spans="1:4">
      <c r="A51" s="990" t="s">
        <v>1115</v>
      </c>
      <c r="B51" s="991">
        <v>1307</v>
      </c>
      <c r="C51" s="468">
        <v>973</v>
      </c>
      <c r="D51" s="16"/>
    </row>
    <row r="52" spans="1:4">
      <c r="A52" s="990" t="s">
        <v>1116</v>
      </c>
      <c r="B52" s="991">
        <v>1191</v>
      </c>
      <c r="C52" s="468">
        <v>1341</v>
      </c>
      <c r="D52" s="16"/>
    </row>
    <row r="53" spans="1:4">
      <c r="A53" s="990" t="s">
        <v>1117</v>
      </c>
      <c r="B53" s="468">
        <v>24</v>
      </c>
      <c r="C53" s="468">
        <v>24</v>
      </c>
      <c r="D53" s="16"/>
    </row>
    <row r="54" spans="1:4">
      <c r="A54" s="990" t="s">
        <v>1118</v>
      </c>
      <c r="B54" s="468">
        <v>5</v>
      </c>
      <c r="C54" s="468">
        <v>5</v>
      </c>
      <c r="D54" s="16"/>
    </row>
    <row r="55" spans="1:4" s="361" customFormat="1">
      <c r="A55" s="990" t="s">
        <v>1355</v>
      </c>
      <c r="B55" s="468">
        <v>0</v>
      </c>
      <c r="C55" s="468">
        <v>1</v>
      </c>
      <c r="D55" s="16"/>
    </row>
    <row r="56" spans="1:4" s="361" customFormat="1">
      <c r="A56" s="990" t="s">
        <v>1163</v>
      </c>
      <c r="B56" s="468">
        <v>0</v>
      </c>
      <c r="C56" s="468">
        <v>8</v>
      </c>
      <c r="D56" s="16"/>
    </row>
    <row r="57" spans="1:4" ht="18.75">
      <c r="A57" s="990" t="s">
        <v>1119</v>
      </c>
      <c r="B57" s="468">
        <v>0</v>
      </c>
      <c r="C57" s="468">
        <v>0</v>
      </c>
      <c r="D57" s="248"/>
    </row>
    <row r="58" spans="1:4">
      <c r="A58" s="990" t="s">
        <v>1120</v>
      </c>
      <c r="B58" s="468">
        <v>2</v>
      </c>
      <c r="C58" s="468">
        <v>2</v>
      </c>
      <c r="D58" s="16"/>
    </row>
    <row r="59" spans="1:4">
      <c r="A59" s="247" t="s">
        <v>1121</v>
      </c>
      <c r="B59" s="244">
        <v>1</v>
      </c>
      <c r="C59" s="244">
        <v>1</v>
      </c>
      <c r="D59" s="16"/>
    </row>
    <row r="60" spans="1:4">
      <c r="A60" s="247" t="s">
        <v>1122</v>
      </c>
      <c r="B60" s="244">
        <v>3</v>
      </c>
      <c r="C60" s="244">
        <v>3</v>
      </c>
      <c r="D60" s="16"/>
    </row>
    <row r="61" spans="1:4">
      <c r="A61" s="240" t="s">
        <v>1123</v>
      </c>
      <c r="B61" s="249"/>
      <c r="D61" s="16"/>
    </row>
    <row r="62" spans="1:4">
      <c r="B62" s="249"/>
      <c r="D62" s="16"/>
    </row>
    <row r="63" spans="1:4">
      <c r="B63" s="249"/>
      <c r="D63" s="16"/>
    </row>
  </sheetData>
  <mergeCells count="8">
    <mergeCell ref="A29:B29"/>
    <mergeCell ref="A37:B37"/>
    <mergeCell ref="A1:B1"/>
    <mergeCell ref="A7:B7"/>
    <mergeCell ref="A11:B11"/>
    <mergeCell ref="A15:B15"/>
    <mergeCell ref="A19:B19"/>
    <mergeCell ref="A23:B23"/>
  </mergeCells>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pageSetUpPr fitToPage="1"/>
  </sheetPr>
  <dimension ref="A1:Q91"/>
  <sheetViews>
    <sheetView zoomScaleNormal="100" workbookViewId="0">
      <pane xSplit="1" ySplit="3" topLeftCell="B34" activePane="bottomRight" state="frozen"/>
      <selection sqref="A1:M1"/>
      <selection pane="topRight" sqref="A1:M1"/>
      <selection pane="bottomLeft" sqref="A1:M1"/>
      <selection pane="bottomRight" activeCell="F12" sqref="F12"/>
    </sheetView>
  </sheetViews>
  <sheetFormatPr defaultRowHeight="15"/>
  <cols>
    <col min="1" max="1" width="10.5703125" style="365" customWidth="1"/>
    <col min="2" max="2" width="36.5703125" style="365" customWidth="1"/>
    <col min="3" max="3" width="11.28515625" style="365" customWidth="1"/>
    <col min="4" max="4" width="14.28515625" style="365" customWidth="1"/>
    <col min="5" max="5" width="24" style="365" bestFit="1" customWidth="1"/>
    <col min="6" max="7" width="10" style="365" customWidth="1"/>
    <col min="8" max="8" width="10.140625" style="365" customWidth="1"/>
    <col min="9" max="9" width="8.5703125" style="365" customWidth="1"/>
    <col min="10" max="10" width="10.85546875" style="365" customWidth="1"/>
    <col min="11" max="11" width="7.85546875" style="365" customWidth="1"/>
    <col min="12" max="12" width="10" style="365" customWidth="1"/>
    <col min="13" max="15" width="12.42578125" style="365" customWidth="1"/>
    <col min="16" max="16" width="16" style="365" customWidth="1"/>
    <col min="17" max="17" width="12.42578125" style="365" customWidth="1"/>
    <col min="18" max="18" width="8.42578125" style="365" customWidth="1"/>
    <col min="19" max="21" width="9" style="365" customWidth="1"/>
    <col min="22" max="22" width="8" style="365" customWidth="1"/>
    <col min="23" max="23" width="10" style="365" bestFit="1" customWidth="1"/>
    <col min="24" max="26" width="5.5703125" style="365" customWidth="1"/>
    <col min="27" max="27" width="4.5703125" style="365" customWidth="1"/>
    <col min="28" max="16384" width="9.140625" style="365"/>
  </cols>
  <sheetData>
    <row r="1" spans="1:17">
      <c r="A1" s="1181" t="s">
        <v>1309</v>
      </c>
      <c r="B1" s="1182"/>
      <c r="C1" s="1182"/>
      <c r="D1" s="1182"/>
      <c r="E1" s="1182"/>
      <c r="F1" s="1182"/>
      <c r="G1" s="1182"/>
      <c r="H1" s="1182"/>
      <c r="I1" s="1182"/>
      <c r="J1" s="1182"/>
      <c r="K1" s="1182"/>
      <c r="L1" s="1182"/>
      <c r="M1" s="1182"/>
      <c r="N1" s="1182"/>
      <c r="O1" s="1182"/>
      <c r="P1" s="1182"/>
      <c r="Q1" s="1182"/>
    </row>
    <row r="2" spans="1:17">
      <c r="A2" s="1185" t="s">
        <v>78</v>
      </c>
      <c r="B2" s="1187" t="s">
        <v>79</v>
      </c>
      <c r="C2" s="1184" t="s">
        <v>80</v>
      </c>
      <c r="D2" s="1184" t="s">
        <v>81</v>
      </c>
      <c r="E2" s="1184" t="s">
        <v>82</v>
      </c>
      <c r="F2" s="1184" t="s">
        <v>83</v>
      </c>
      <c r="G2" s="1184" t="s">
        <v>84</v>
      </c>
      <c r="H2" s="1184" t="s">
        <v>85</v>
      </c>
      <c r="I2" s="1190" t="s">
        <v>86</v>
      </c>
      <c r="J2" s="1191"/>
      <c r="K2" s="1192"/>
      <c r="L2" s="1184" t="s">
        <v>87</v>
      </c>
      <c r="M2" s="1193" t="s">
        <v>88</v>
      </c>
      <c r="N2" s="1194"/>
      <c r="O2" s="1194"/>
      <c r="P2" s="1194"/>
      <c r="Q2" s="1183" t="s">
        <v>89</v>
      </c>
    </row>
    <row r="3" spans="1:17" ht="45">
      <c r="A3" s="1186"/>
      <c r="B3" s="1188"/>
      <c r="C3" s="1189"/>
      <c r="D3" s="1189"/>
      <c r="E3" s="1189"/>
      <c r="F3" s="1189"/>
      <c r="G3" s="1189"/>
      <c r="H3" s="1189"/>
      <c r="I3" s="513" t="s">
        <v>90</v>
      </c>
      <c r="J3" s="513" t="s">
        <v>91</v>
      </c>
      <c r="K3" s="513" t="s">
        <v>92</v>
      </c>
      <c r="L3" s="1189"/>
      <c r="M3" s="513" t="s">
        <v>93</v>
      </c>
      <c r="N3" s="513" t="s">
        <v>94</v>
      </c>
      <c r="O3" s="513" t="s">
        <v>95</v>
      </c>
      <c r="P3" s="3" t="s">
        <v>96</v>
      </c>
      <c r="Q3" s="1184"/>
    </row>
    <row r="4" spans="1:17">
      <c r="A4" s="543">
        <v>1</v>
      </c>
      <c r="B4" s="544" t="s">
        <v>1310</v>
      </c>
      <c r="C4" s="545">
        <v>45474</v>
      </c>
      <c r="D4" s="544" t="s">
        <v>1069</v>
      </c>
      <c r="E4" s="543">
        <v>4760000</v>
      </c>
      <c r="F4" s="546">
        <v>10</v>
      </c>
      <c r="G4" s="546">
        <v>54</v>
      </c>
      <c r="H4" s="546">
        <v>64</v>
      </c>
      <c r="I4" s="547">
        <v>30.463999999999999</v>
      </c>
      <c r="J4" s="547">
        <v>0</v>
      </c>
      <c r="K4" s="547">
        <v>30.463999999999999</v>
      </c>
      <c r="L4" s="547">
        <v>30.661999999999999</v>
      </c>
      <c r="M4" s="546">
        <v>2256000</v>
      </c>
      <c r="N4" s="546">
        <v>680000</v>
      </c>
      <c r="O4" s="546">
        <v>1584000</v>
      </c>
      <c r="P4" s="546">
        <v>240000</v>
      </c>
      <c r="Q4" s="546">
        <v>4520000</v>
      </c>
    </row>
    <row r="5" spans="1:17">
      <c r="A5" s="543">
        <v>2</v>
      </c>
      <c r="B5" s="544" t="s">
        <v>1311</v>
      </c>
      <c r="C5" s="545">
        <v>45474</v>
      </c>
      <c r="D5" s="544" t="s">
        <v>1069</v>
      </c>
      <c r="E5" s="543">
        <v>6432000</v>
      </c>
      <c r="F5" s="546">
        <v>10</v>
      </c>
      <c r="G5" s="546">
        <v>90</v>
      </c>
      <c r="H5" s="546">
        <v>100</v>
      </c>
      <c r="I5" s="547">
        <v>64.319999999999993</v>
      </c>
      <c r="J5" s="547">
        <v>0</v>
      </c>
      <c r="K5" s="547">
        <v>64.319999999999993</v>
      </c>
      <c r="L5" s="547">
        <v>238.63</v>
      </c>
      <c r="M5" s="546">
        <v>3048000</v>
      </c>
      <c r="N5" s="546">
        <v>914400</v>
      </c>
      <c r="O5" s="546">
        <v>2133600</v>
      </c>
      <c r="P5" s="546">
        <v>336000</v>
      </c>
      <c r="Q5" s="546">
        <v>6096000</v>
      </c>
    </row>
    <row r="6" spans="1:17">
      <c r="A6" s="543">
        <v>3</v>
      </c>
      <c r="B6" s="544" t="s">
        <v>1312</v>
      </c>
      <c r="C6" s="545">
        <v>45474</v>
      </c>
      <c r="D6" s="544" t="s">
        <v>1069</v>
      </c>
      <c r="E6" s="543">
        <v>5100000</v>
      </c>
      <c r="F6" s="546">
        <v>10</v>
      </c>
      <c r="G6" s="546">
        <v>45</v>
      </c>
      <c r="H6" s="546">
        <v>55</v>
      </c>
      <c r="I6" s="547">
        <v>28.05</v>
      </c>
      <c r="J6" s="547">
        <v>0</v>
      </c>
      <c r="K6" s="547">
        <v>28.05</v>
      </c>
      <c r="L6" s="547">
        <v>93.1</v>
      </c>
      <c r="M6" s="546">
        <v>0</v>
      </c>
      <c r="N6" s="546">
        <v>2222000</v>
      </c>
      <c r="O6" s="546">
        <v>2622000</v>
      </c>
      <c r="P6" s="546">
        <v>256000</v>
      </c>
      <c r="Q6" s="546">
        <v>4844000</v>
      </c>
    </row>
    <row r="7" spans="1:17">
      <c r="A7" s="543">
        <v>4</v>
      </c>
      <c r="B7" s="544" t="s">
        <v>1313</v>
      </c>
      <c r="C7" s="545">
        <v>45474</v>
      </c>
      <c r="D7" s="544" t="s">
        <v>1069</v>
      </c>
      <c r="E7" s="543">
        <v>3732000</v>
      </c>
      <c r="F7" s="546">
        <v>10</v>
      </c>
      <c r="G7" s="546">
        <v>33</v>
      </c>
      <c r="H7" s="546">
        <v>43</v>
      </c>
      <c r="I7" s="547">
        <v>16.047599999999999</v>
      </c>
      <c r="J7" s="547">
        <v>0</v>
      </c>
      <c r="K7" s="547">
        <v>16.047599999999999</v>
      </c>
      <c r="L7" s="547">
        <v>37.479999999999997</v>
      </c>
      <c r="M7" s="546">
        <v>0</v>
      </c>
      <c r="N7" s="546">
        <v>1251000</v>
      </c>
      <c r="O7" s="546">
        <v>2289000</v>
      </c>
      <c r="P7" s="546">
        <v>192000</v>
      </c>
      <c r="Q7" s="546">
        <v>3540000</v>
      </c>
    </row>
    <row r="8" spans="1:17">
      <c r="A8" s="543">
        <v>5</v>
      </c>
      <c r="B8" s="544" t="s">
        <v>1314</v>
      </c>
      <c r="C8" s="545">
        <v>45475</v>
      </c>
      <c r="D8" s="544" t="s">
        <v>1069</v>
      </c>
      <c r="E8" s="543">
        <v>3001600</v>
      </c>
      <c r="F8" s="546">
        <v>10</v>
      </c>
      <c r="G8" s="546">
        <v>67</v>
      </c>
      <c r="H8" s="546">
        <v>77</v>
      </c>
      <c r="I8" s="547">
        <v>23.11232</v>
      </c>
      <c r="J8" s="547">
        <v>0</v>
      </c>
      <c r="K8" s="547">
        <v>23.11232</v>
      </c>
      <c r="L8" s="547">
        <v>35.25</v>
      </c>
      <c r="M8" s="546">
        <v>1424000</v>
      </c>
      <c r="N8" s="546">
        <v>428800</v>
      </c>
      <c r="O8" s="546">
        <v>998400</v>
      </c>
      <c r="P8" s="546">
        <v>150400</v>
      </c>
      <c r="Q8" s="546">
        <v>2851200</v>
      </c>
    </row>
    <row r="9" spans="1:17">
      <c r="A9" s="543">
        <v>6</v>
      </c>
      <c r="B9" s="544" t="s">
        <v>1315</v>
      </c>
      <c r="C9" s="545">
        <v>45475</v>
      </c>
      <c r="D9" s="544" t="s">
        <v>1069</v>
      </c>
      <c r="E9" s="543">
        <v>5688000</v>
      </c>
      <c r="F9" s="546">
        <v>10</v>
      </c>
      <c r="G9" s="546">
        <v>30</v>
      </c>
      <c r="H9" s="546">
        <v>40</v>
      </c>
      <c r="I9" s="547">
        <v>22.751999999999999</v>
      </c>
      <c r="J9" s="547">
        <v>0</v>
      </c>
      <c r="K9" s="547">
        <v>22.751999999999999</v>
      </c>
      <c r="L9" s="547">
        <v>472.44</v>
      </c>
      <c r="M9" s="546">
        <v>2700000</v>
      </c>
      <c r="N9" s="546">
        <v>810000</v>
      </c>
      <c r="O9" s="546">
        <v>1890000</v>
      </c>
      <c r="P9" s="546">
        <v>288000</v>
      </c>
      <c r="Q9" s="546">
        <v>5400000</v>
      </c>
    </row>
    <row r="10" spans="1:17">
      <c r="A10" s="543">
        <v>7</v>
      </c>
      <c r="B10" s="544" t="s">
        <v>1316</v>
      </c>
      <c r="C10" s="545">
        <v>45475</v>
      </c>
      <c r="D10" s="544" t="s">
        <v>1069</v>
      </c>
      <c r="E10" s="543">
        <v>6617600</v>
      </c>
      <c r="F10" s="546">
        <v>10</v>
      </c>
      <c r="G10" s="546">
        <v>161</v>
      </c>
      <c r="H10" s="546">
        <v>171</v>
      </c>
      <c r="I10" s="547">
        <v>0</v>
      </c>
      <c r="J10" s="547">
        <v>113.16096</v>
      </c>
      <c r="K10" s="547">
        <v>113.16096</v>
      </c>
      <c r="L10" s="547">
        <v>93.55</v>
      </c>
      <c r="M10" s="546">
        <v>3092000</v>
      </c>
      <c r="N10" s="546">
        <v>928800</v>
      </c>
      <c r="O10" s="546">
        <v>2166400</v>
      </c>
      <c r="P10" s="546">
        <v>430400</v>
      </c>
      <c r="Q10" s="546">
        <v>6187200</v>
      </c>
    </row>
    <row r="11" spans="1:17">
      <c r="A11" s="543">
        <v>8</v>
      </c>
      <c r="B11" s="544" t="s">
        <v>1317</v>
      </c>
      <c r="C11" s="545">
        <v>45475</v>
      </c>
      <c r="D11" s="544" t="s">
        <v>97</v>
      </c>
      <c r="E11" s="543">
        <v>53390079</v>
      </c>
      <c r="F11" s="546">
        <v>2</v>
      </c>
      <c r="G11" s="546">
        <v>279</v>
      </c>
      <c r="H11" s="546">
        <v>281</v>
      </c>
      <c r="I11" s="547">
        <v>1000.2612566</v>
      </c>
      <c r="J11" s="547">
        <v>499.99996329999999</v>
      </c>
      <c r="K11" s="547">
        <v>1500.2612199</v>
      </c>
      <c r="L11" s="547">
        <v>25.61</v>
      </c>
      <c r="M11" s="546">
        <v>26644795</v>
      </c>
      <c r="N11" s="546">
        <v>7993439</v>
      </c>
      <c r="O11" s="546">
        <v>18651357</v>
      </c>
      <c r="P11" s="546">
        <v>100488</v>
      </c>
      <c r="Q11" s="546">
        <v>53289591</v>
      </c>
    </row>
    <row r="12" spans="1:17">
      <c r="A12" s="543">
        <v>9</v>
      </c>
      <c r="B12" s="544" t="s">
        <v>1318</v>
      </c>
      <c r="C12" s="545">
        <v>45476</v>
      </c>
      <c r="D12" s="544" t="s">
        <v>1069</v>
      </c>
      <c r="E12" s="543">
        <v>2208000</v>
      </c>
      <c r="F12" s="546">
        <v>10</v>
      </c>
      <c r="G12" s="546">
        <v>90</v>
      </c>
      <c r="H12" s="546">
        <v>100</v>
      </c>
      <c r="I12" s="547">
        <v>22.08</v>
      </c>
      <c r="J12" s="547">
        <v>0</v>
      </c>
      <c r="K12" s="547">
        <v>22.08</v>
      </c>
      <c r="L12" s="547">
        <v>50.47</v>
      </c>
      <c r="M12" s="546">
        <v>1047600</v>
      </c>
      <c r="N12" s="546">
        <v>315600</v>
      </c>
      <c r="O12" s="546">
        <v>734400</v>
      </c>
      <c r="P12" s="546">
        <v>110400</v>
      </c>
      <c r="Q12" s="546">
        <v>2097600</v>
      </c>
    </row>
    <row r="13" spans="1:17">
      <c r="A13" s="543">
        <v>10</v>
      </c>
      <c r="B13" s="544" t="s">
        <v>1319</v>
      </c>
      <c r="C13" s="545">
        <v>45476</v>
      </c>
      <c r="D13" s="544" t="s">
        <v>97</v>
      </c>
      <c r="E13" s="543">
        <v>8260869</v>
      </c>
      <c r="F13" s="546">
        <v>10</v>
      </c>
      <c r="G13" s="546">
        <v>197</v>
      </c>
      <c r="H13" s="546">
        <v>207</v>
      </c>
      <c r="I13" s="547">
        <v>170.99998830000001</v>
      </c>
      <c r="J13" s="547">
        <v>0</v>
      </c>
      <c r="K13" s="547">
        <v>170.99998830000001</v>
      </c>
      <c r="L13" s="547">
        <v>133.9</v>
      </c>
      <c r="M13" s="546">
        <v>4130433</v>
      </c>
      <c r="N13" s="546">
        <v>1239131</v>
      </c>
      <c r="O13" s="546">
        <v>2891305</v>
      </c>
      <c r="P13" s="546">
        <v>0</v>
      </c>
      <c r="Q13" s="546">
        <v>8260869</v>
      </c>
    </row>
    <row r="14" spans="1:17">
      <c r="A14" s="543">
        <v>11</v>
      </c>
      <c r="B14" s="544" t="s">
        <v>1320</v>
      </c>
      <c r="C14" s="545">
        <v>45478</v>
      </c>
      <c r="D14" s="544" t="s">
        <v>1069</v>
      </c>
      <c r="E14" s="543">
        <v>4584000</v>
      </c>
      <c r="F14" s="546">
        <v>10</v>
      </c>
      <c r="G14" s="546">
        <v>80</v>
      </c>
      <c r="H14" s="546">
        <v>90</v>
      </c>
      <c r="I14" s="547">
        <v>41.256</v>
      </c>
      <c r="J14" s="547">
        <v>0</v>
      </c>
      <c r="K14" s="547">
        <v>41.256</v>
      </c>
      <c r="L14" s="547">
        <v>712.36</v>
      </c>
      <c r="M14" s="546">
        <v>2145600</v>
      </c>
      <c r="N14" s="546">
        <v>644800</v>
      </c>
      <c r="O14" s="546">
        <v>1504000</v>
      </c>
      <c r="P14" s="546">
        <v>289600</v>
      </c>
      <c r="Q14" s="546">
        <v>4294400</v>
      </c>
    </row>
    <row r="15" spans="1:17">
      <c r="A15" s="543">
        <v>12</v>
      </c>
      <c r="B15" s="544" t="s">
        <v>1341</v>
      </c>
      <c r="C15" s="545">
        <v>45478</v>
      </c>
      <c r="D15" s="544" t="s">
        <v>98</v>
      </c>
      <c r="E15" s="543">
        <v>153624538</v>
      </c>
      <c r="F15" s="546">
        <v>1</v>
      </c>
      <c r="G15" s="546">
        <v>2.25</v>
      </c>
      <c r="H15" s="546">
        <v>3.25</v>
      </c>
      <c r="I15" s="547">
        <v>49.92</v>
      </c>
      <c r="J15" s="547">
        <v>0</v>
      </c>
      <c r="K15" s="547">
        <v>49.92</v>
      </c>
      <c r="L15" s="547">
        <v>1.1907000000000001</v>
      </c>
      <c r="M15" s="546">
        <v>0</v>
      </c>
      <c r="N15" s="546">
        <v>0</v>
      </c>
      <c r="O15" s="546">
        <v>0</v>
      </c>
      <c r="P15" s="546">
        <v>0</v>
      </c>
      <c r="Q15" s="546">
        <v>0</v>
      </c>
    </row>
    <row r="16" spans="1:17">
      <c r="A16" s="543">
        <v>13</v>
      </c>
      <c r="B16" s="544" t="s">
        <v>1344</v>
      </c>
      <c r="C16" s="545">
        <v>45482</v>
      </c>
      <c r="D16" s="544" t="s">
        <v>98</v>
      </c>
      <c r="E16" s="543">
        <v>495269896</v>
      </c>
      <c r="F16" s="546">
        <v>1</v>
      </c>
      <c r="G16" s="546">
        <v>0</v>
      </c>
      <c r="H16" s="546">
        <v>1</v>
      </c>
      <c r="I16" s="547">
        <v>49.5269896</v>
      </c>
      <c r="J16" s="547">
        <v>0</v>
      </c>
      <c r="K16" s="547">
        <v>49.5269896</v>
      </c>
      <c r="L16" s="547">
        <v>1.2076</v>
      </c>
      <c r="M16" s="546">
        <v>0</v>
      </c>
      <c r="N16" s="546">
        <v>0</v>
      </c>
      <c r="O16" s="546">
        <v>0</v>
      </c>
      <c r="P16" s="546">
        <v>0</v>
      </c>
      <c r="Q16" s="546">
        <v>0</v>
      </c>
    </row>
    <row r="17" spans="1:17">
      <c r="A17" s="543">
        <v>14</v>
      </c>
      <c r="B17" s="544" t="s">
        <v>1321</v>
      </c>
      <c r="C17" s="545">
        <v>45483</v>
      </c>
      <c r="D17" s="544" t="s">
        <v>97</v>
      </c>
      <c r="E17" s="543">
        <v>29101562</v>
      </c>
      <c r="F17" s="546">
        <v>5</v>
      </c>
      <c r="G17" s="546">
        <v>251</v>
      </c>
      <c r="H17" s="546">
        <v>256</v>
      </c>
      <c r="I17" s="547">
        <v>744.99998719999996</v>
      </c>
      <c r="J17" s="547">
        <v>0</v>
      </c>
      <c r="K17" s="547">
        <v>744.99998719999996</v>
      </c>
      <c r="L17" s="547">
        <v>62.904200000000003</v>
      </c>
      <c r="M17" s="546">
        <v>14550780</v>
      </c>
      <c r="N17" s="546">
        <v>4365235</v>
      </c>
      <c r="O17" s="546">
        <v>10185547</v>
      </c>
      <c r="P17" s="546">
        <v>0</v>
      </c>
      <c r="Q17" s="546">
        <v>29101562</v>
      </c>
    </row>
    <row r="18" spans="1:17">
      <c r="A18" s="543">
        <v>15</v>
      </c>
      <c r="B18" s="544" t="s">
        <v>1322</v>
      </c>
      <c r="C18" s="545">
        <v>45483</v>
      </c>
      <c r="D18" s="544" t="s">
        <v>97</v>
      </c>
      <c r="E18" s="543">
        <v>19375070</v>
      </c>
      <c r="F18" s="546">
        <v>10</v>
      </c>
      <c r="G18" s="546">
        <v>998</v>
      </c>
      <c r="H18" s="546">
        <v>1008</v>
      </c>
      <c r="I18" s="552">
        <v>800</v>
      </c>
      <c r="J18" s="552">
        <v>1152.03</v>
      </c>
      <c r="K18" s="552">
        <v>1952.03</v>
      </c>
      <c r="L18" s="547">
        <v>69.180000000000007</v>
      </c>
      <c r="M18" s="546">
        <v>9633084</v>
      </c>
      <c r="N18" s="546">
        <v>2889926</v>
      </c>
      <c r="O18" s="546">
        <v>6743160</v>
      </c>
      <c r="P18" s="546">
        <v>108900</v>
      </c>
      <c r="Q18" s="546">
        <v>19266170</v>
      </c>
    </row>
    <row r="19" spans="1:17">
      <c r="A19" s="543">
        <v>16</v>
      </c>
      <c r="B19" s="544" t="s">
        <v>1323</v>
      </c>
      <c r="C19" s="545">
        <v>45484</v>
      </c>
      <c r="D19" s="544" t="s">
        <v>1069</v>
      </c>
      <c r="E19" s="543">
        <v>6570000</v>
      </c>
      <c r="F19" s="546">
        <v>10</v>
      </c>
      <c r="G19" s="546">
        <v>58</v>
      </c>
      <c r="H19" s="546">
        <v>68</v>
      </c>
      <c r="I19" s="547">
        <v>42.554400000000001</v>
      </c>
      <c r="J19" s="547">
        <v>2.1215999999999999</v>
      </c>
      <c r="K19" s="547">
        <v>44.676000000000002</v>
      </c>
      <c r="L19" s="547">
        <v>176.45</v>
      </c>
      <c r="M19" s="546">
        <v>3120000</v>
      </c>
      <c r="N19" s="546">
        <v>936000</v>
      </c>
      <c r="O19" s="546">
        <v>2184000</v>
      </c>
      <c r="P19" s="546">
        <v>330000</v>
      </c>
      <c r="Q19" s="546">
        <v>6240000</v>
      </c>
    </row>
    <row r="20" spans="1:17">
      <c r="A20" s="543">
        <v>17</v>
      </c>
      <c r="B20" s="544" t="s">
        <v>1347</v>
      </c>
      <c r="C20" s="545">
        <v>45484</v>
      </c>
      <c r="D20" s="544" t="s">
        <v>98</v>
      </c>
      <c r="E20" s="543">
        <v>9865121</v>
      </c>
      <c r="F20" s="546">
        <v>5</v>
      </c>
      <c r="G20" s="546">
        <v>20</v>
      </c>
      <c r="H20" s="546">
        <v>25</v>
      </c>
      <c r="I20" s="547">
        <v>49.32</v>
      </c>
      <c r="J20" s="547">
        <v>0</v>
      </c>
      <c r="K20" s="552">
        <v>49.32</v>
      </c>
      <c r="L20" s="547">
        <v>1.0931</v>
      </c>
      <c r="M20" s="546">
        <v>0</v>
      </c>
      <c r="N20" s="546">
        <v>0</v>
      </c>
      <c r="O20" s="546">
        <v>0</v>
      </c>
      <c r="P20" s="546">
        <v>0</v>
      </c>
      <c r="Q20" s="546">
        <v>0</v>
      </c>
    </row>
    <row r="21" spans="1:17">
      <c r="A21" s="543">
        <v>18</v>
      </c>
      <c r="B21" s="544" t="s">
        <v>1324</v>
      </c>
      <c r="C21" s="545">
        <v>45485</v>
      </c>
      <c r="D21" s="544" t="s">
        <v>1069</v>
      </c>
      <c r="E21" s="543">
        <v>6252800</v>
      </c>
      <c r="F21" s="546">
        <v>10</v>
      </c>
      <c r="G21" s="546">
        <v>72</v>
      </c>
      <c r="H21" s="546">
        <v>82</v>
      </c>
      <c r="I21" s="547">
        <v>43.597760000000001</v>
      </c>
      <c r="J21" s="547">
        <v>7.6752000000000002</v>
      </c>
      <c r="K21" s="547">
        <v>51.272959999999998</v>
      </c>
      <c r="L21" s="547">
        <v>324.16000000000003</v>
      </c>
      <c r="M21" s="546">
        <v>2916800</v>
      </c>
      <c r="N21" s="546">
        <v>920000</v>
      </c>
      <c r="O21" s="546">
        <v>2091200</v>
      </c>
      <c r="P21" s="546">
        <v>324800</v>
      </c>
      <c r="Q21" s="546">
        <v>5928000</v>
      </c>
    </row>
    <row r="22" spans="1:17">
      <c r="A22" s="543">
        <v>19</v>
      </c>
      <c r="B22" s="544" t="s">
        <v>1325</v>
      </c>
      <c r="C22" s="545">
        <v>45485</v>
      </c>
      <c r="D22" s="544" t="s">
        <v>1069</v>
      </c>
      <c r="E22" s="543">
        <v>6591000</v>
      </c>
      <c r="F22" s="546">
        <v>10</v>
      </c>
      <c r="G22" s="546">
        <v>180</v>
      </c>
      <c r="H22" s="546">
        <v>190</v>
      </c>
      <c r="I22" s="547">
        <v>125.229</v>
      </c>
      <c r="J22" s="547">
        <v>0</v>
      </c>
      <c r="K22" s="547">
        <v>125.229</v>
      </c>
      <c r="L22" s="547">
        <v>215.51</v>
      </c>
      <c r="M22" s="546">
        <v>3100800</v>
      </c>
      <c r="N22" s="546">
        <v>931200</v>
      </c>
      <c r="O22" s="546">
        <v>2172000</v>
      </c>
      <c r="P22" s="546">
        <v>387000</v>
      </c>
      <c r="Q22" s="546">
        <v>6204000</v>
      </c>
    </row>
    <row r="23" spans="1:17">
      <c r="A23" s="543">
        <v>20</v>
      </c>
      <c r="B23" s="544" t="s">
        <v>1339</v>
      </c>
      <c r="C23" s="545">
        <v>45485</v>
      </c>
      <c r="D23" s="544" t="s">
        <v>98</v>
      </c>
      <c r="E23" s="543">
        <v>60000000</v>
      </c>
      <c r="F23" s="546">
        <v>1</v>
      </c>
      <c r="G23" s="546">
        <v>0.5</v>
      </c>
      <c r="H23" s="546">
        <v>1.5</v>
      </c>
      <c r="I23" s="547">
        <v>9</v>
      </c>
      <c r="J23" s="547">
        <v>0</v>
      </c>
      <c r="K23" s="547">
        <v>9</v>
      </c>
      <c r="L23" s="547">
        <v>1.0931</v>
      </c>
      <c r="M23" s="546">
        <v>0</v>
      </c>
      <c r="N23" s="546">
        <v>0</v>
      </c>
      <c r="O23" s="546">
        <v>0</v>
      </c>
      <c r="P23" s="546">
        <v>0</v>
      </c>
      <c r="Q23" s="546">
        <v>0</v>
      </c>
    </row>
    <row r="24" spans="1:17">
      <c r="A24" s="543">
        <v>21</v>
      </c>
      <c r="B24" s="544" t="s">
        <v>1337</v>
      </c>
      <c r="C24" s="545">
        <v>45491</v>
      </c>
      <c r="D24" s="544" t="s">
        <v>98</v>
      </c>
      <c r="E24" s="543">
        <v>5090056</v>
      </c>
      <c r="F24" s="546">
        <v>10</v>
      </c>
      <c r="G24" s="546">
        <v>15</v>
      </c>
      <c r="H24" s="546">
        <v>25</v>
      </c>
      <c r="I24" s="547">
        <v>12.72</v>
      </c>
      <c r="J24" s="547">
        <v>0</v>
      </c>
      <c r="K24" s="547">
        <v>12.72</v>
      </c>
      <c r="L24" s="547">
        <v>2.6753</v>
      </c>
      <c r="M24" s="546">
        <v>0</v>
      </c>
      <c r="N24" s="546">
        <v>0</v>
      </c>
      <c r="O24" s="546">
        <v>0</v>
      </c>
      <c r="P24" s="546">
        <v>0</v>
      </c>
      <c r="Q24" s="546">
        <v>0</v>
      </c>
    </row>
    <row r="25" spans="1:17">
      <c r="A25" s="543">
        <v>22</v>
      </c>
      <c r="B25" s="544" t="s">
        <v>1326</v>
      </c>
      <c r="C25" s="545">
        <v>45492</v>
      </c>
      <c r="D25" s="544" t="s">
        <v>1069</v>
      </c>
      <c r="E25" s="543">
        <v>2920000</v>
      </c>
      <c r="F25" s="546">
        <v>10</v>
      </c>
      <c r="G25" s="546">
        <v>170</v>
      </c>
      <c r="H25" s="546">
        <v>180</v>
      </c>
      <c r="I25" s="547">
        <v>52.52</v>
      </c>
      <c r="J25" s="547">
        <v>0</v>
      </c>
      <c r="K25" s="547">
        <v>52.52</v>
      </c>
      <c r="L25" s="547">
        <v>474.24</v>
      </c>
      <c r="M25" s="546">
        <v>1374400</v>
      </c>
      <c r="N25" s="546">
        <v>412800</v>
      </c>
      <c r="O25" s="546">
        <v>962400</v>
      </c>
      <c r="P25" s="546">
        <v>170400</v>
      </c>
      <c r="Q25" s="546">
        <v>2749600</v>
      </c>
    </row>
    <row r="26" spans="1:17">
      <c r="A26" s="543">
        <v>23</v>
      </c>
      <c r="B26" s="544" t="s">
        <v>1346</v>
      </c>
      <c r="C26" s="545">
        <v>45492</v>
      </c>
      <c r="D26" s="544" t="s">
        <v>98</v>
      </c>
      <c r="E26" s="543">
        <v>61108960</v>
      </c>
      <c r="F26" s="546">
        <v>1</v>
      </c>
      <c r="G26" s="546">
        <v>7</v>
      </c>
      <c r="H26" s="546">
        <v>8</v>
      </c>
      <c r="I26" s="547">
        <v>48.887168000000003</v>
      </c>
      <c r="J26" s="547">
        <v>0</v>
      </c>
      <c r="K26" s="547">
        <v>48.887168000000003</v>
      </c>
      <c r="L26" s="547">
        <v>2.2292000000000001</v>
      </c>
      <c r="M26" s="546">
        <v>0</v>
      </c>
      <c r="N26" s="546">
        <v>0</v>
      </c>
      <c r="O26" s="546">
        <v>0</v>
      </c>
      <c r="P26" s="546">
        <v>0</v>
      </c>
      <c r="Q26" s="546">
        <v>0</v>
      </c>
    </row>
    <row r="27" spans="1:17">
      <c r="A27" s="543">
        <v>24</v>
      </c>
      <c r="B27" s="544" t="s">
        <v>1327</v>
      </c>
      <c r="C27" s="545">
        <v>45495</v>
      </c>
      <c r="D27" s="544" t="s">
        <v>1069</v>
      </c>
      <c r="E27" s="543">
        <v>2891200</v>
      </c>
      <c r="F27" s="546">
        <v>10</v>
      </c>
      <c r="G27" s="546">
        <v>77</v>
      </c>
      <c r="H27" s="546">
        <v>87</v>
      </c>
      <c r="I27" s="547">
        <v>25.15344</v>
      </c>
      <c r="J27" s="547">
        <v>0</v>
      </c>
      <c r="K27" s="547">
        <v>25.15344</v>
      </c>
      <c r="L27" s="547">
        <v>242.49</v>
      </c>
      <c r="M27" s="546">
        <v>1358400</v>
      </c>
      <c r="N27" s="546">
        <v>412800</v>
      </c>
      <c r="O27" s="546">
        <v>960000</v>
      </c>
      <c r="P27" s="546">
        <v>160000</v>
      </c>
      <c r="Q27" s="546">
        <v>2731200</v>
      </c>
    </row>
    <row r="28" spans="1:17">
      <c r="A28" s="543">
        <v>25</v>
      </c>
      <c r="B28" s="544" t="s">
        <v>1328</v>
      </c>
      <c r="C28" s="545">
        <v>45495</v>
      </c>
      <c r="D28" s="544" t="s">
        <v>1069</v>
      </c>
      <c r="E28" s="543">
        <v>1335000</v>
      </c>
      <c r="F28" s="546">
        <v>10</v>
      </c>
      <c r="G28" s="546">
        <v>120</v>
      </c>
      <c r="H28" s="546">
        <v>130</v>
      </c>
      <c r="I28" s="547">
        <v>17.355</v>
      </c>
      <c r="J28" s="547">
        <v>0</v>
      </c>
      <c r="K28" s="547">
        <v>17.355</v>
      </c>
      <c r="L28" s="547">
        <v>527.37</v>
      </c>
      <c r="M28" s="546">
        <v>632000</v>
      </c>
      <c r="N28" s="546">
        <v>190000</v>
      </c>
      <c r="O28" s="546">
        <v>443000</v>
      </c>
      <c r="P28" s="546">
        <v>70000</v>
      </c>
      <c r="Q28" s="546">
        <v>1265000</v>
      </c>
    </row>
    <row r="29" spans="1:17">
      <c r="A29" s="543">
        <v>26</v>
      </c>
      <c r="B29" s="544" t="s">
        <v>1338</v>
      </c>
      <c r="C29" s="545">
        <v>45495</v>
      </c>
      <c r="D29" s="544" t="s">
        <v>98</v>
      </c>
      <c r="E29" s="543">
        <v>12107981</v>
      </c>
      <c r="F29" s="546">
        <v>10</v>
      </c>
      <c r="G29" s="546">
        <v>1641</v>
      </c>
      <c r="H29" s="546">
        <v>1651</v>
      </c>
      <c r="I29" s="547">
        <v>1999.0276630999999</v>
      </c>
      <c r="J29" s="547">
        <v>0</v>
      </c>
      <c r="K29" s="547">
        <v>1999.0276630999999</v>
      </c>
      <c r="L29" s="547">
        <v>1.3965000000000001</v>
      </c>
      <c r="M29" s="546">
        <v>0</v>
      </c>
      <c r="N29" s="546">
        <v>0</v>
      </c>
      <c r="O29" s="546">
        <v>0</v>
      </c>
      <c r="P29" s="546">
        <v>0</v>
      </c>
      <c r="Q29" s="546">
        <v>0</v>
      </c>
    </row>
    <row r="30" spans="1:17">
      <c r="A30" s="543">
        <v>27</v>
      </c>
      <c r="B30" s="544" t="s">
        <v>1351</v>
      </c>
      <c r="C30" s="545">
        <v>45495</v>
      </c>
      <c r="D30" s="544" t="s">
        <v>1350</v>
      </c>
      <c r="E30" s="543">
        <v>5772000</v>
      </c>
      <c r="F30" s="546">
        <v>10</v>
      </c>
      <c r="G30" s="546">
        <v>59</v>
      </c>
      <c r="H30" s="546">
        <v>69</v>
      </c>
      <c r="I30" s="547">
        <v>39.826799999999999</v>
      </c>
      <c r="J30" s="547">
        <v>0</v>
      </c>
      <c r="K30" s="547">
        <v>39.826799999999999</v>
      </c>
      <c r="L30" s="547">
        <v>39.82</v>
      </c>
      <c r="M30" s="546">
        <v>2738000</v>
      </c>
      <c r="N30" s="546">
        <v>824000</v>
      </c>
      <c r="O30" s="546">
        <v>1920000</v>
      </c>
      <c r="P30" s="546">
        <v>290000</v>
      </c>
      <c r="Q30" s="546">
        <v>5482000</v>
      </c>
    </row>
    <row r="31" spans="1:17">
      <c r="A31" s="543">
        <v>28</v>
      </c>
      <c r="B31" s="544" t="s">
        <v>1352</v>
      </c>
      <c r="C31" s="545">
        <v>45495</v>
      </c>
      <c r="D31" s="544" t="s">
        <v>1350</v>
      </c>
      <c r="E31" s="543">
        <v>5368800</v>
      </c>
      <c r="F31" s="546">
        <v>10</v>
      </c>
      <c r="G31" s="546">
        <v>85</v>
      </c>
      <c r="H31" s="546">
        <v>95</v>
      </c>
      <c r="I31" s="547">
        <v>51.003599999999999</v>
      </c>
      <c r="J31" s="547">
        <v>0</v>
      </c>
      <c r="K31" s="547">
        <v>51.003599999999999</v>
      </c>
      <c r="L31" s="547">
        <v>51</v>
      </c>
      <c r="M31" s="546">
        <v>2548800</v>
      </c>
      <c r="N31" s="546">
        <v>765600</v>
      </c>
      <c r="O31" s="546">
        <v>1785600</v>
      </c>
      <c r="P31" s="546">
        <v>268800</v>
      </c>
      <c r="Q31" s="546">
        <v>5100000</v>
      </c>
    </row>
    <row r="32" spans="1:17">
      <c r="A32" s="543">
        <v>29</v>
      </c>
      <c r="B32" s="544" t="s">
        <v>1329</v>
      </c>
      <c r="C32" s="545">
        <v>45496</v>
      </c>
      <c r="D32" s="544" t="s">
        <v>1069</v>
      </c>
      <c r="E32" s="543">
        <v>19600000</v>
      </c>
      <c r="F32" s="546">
        <v>2</v>
      </c>
      <c r="G32" s="546">
        <v>57</v>
      </c>
      <c r="H32" s="546">
        <v>59</v>
      </c>
      <c r="I32" s="547">
        <v>81.715000000000003</v>
      </c>
      <c r="J32" s="547">
        <v>33.924999999999997</v>
      </c>
      <c r="K32" s="547">
        <v>115.64</v>
      </c>
      <c r="L32" s="547">
        <v>11.57</v>
      </c>
      <c r="M32" s="546">
        <v>0</v>
      </c>
      <c r="N32" s="546">
        <v>5860000</v>
      </c>
      <c r="O32" s="546">
        <v>12760000</v>
      </c>
      <c r="P32" s="546">
        <v>980000</v>
      </c>
      <c r="Q32" s="546">
        <v>18620000</v>
      </c>
    </row>
    <row r="33" spans="1:17">
      <c r="A33" s="543">
        <v>30</v>
      </c>
      <c r="B33" s="544" t="s">
        <v>1330</v>
      </c>
      <c r="C33" s="545">
        <v>45497</v>
      </c>
      <c r="D33" s="544" t="s">
        <v>1069</v>
      </c>
      <c r="E33" s="543">
        <v>5684400</v>
      </c>
      <c r="F33" s="546">
        <v>10</v>
      </c>
      <c r="G33" s="546">
        <v>86</v>
      </c>
      <c r="H33" s="546">
        <v>96</v>
      </c>
      <c r="I33" s="547">
        <v>54.570239999999998</v>
      </c>
      <c r="J33" s="547">
        <v>0</v>
      </c>
      <c r="K33" s="547">
        <v>54.570239999999998</v>
      </c>
      <c r="L33" s="547">
        <v>387.38</v>
      </c>
      <c r="M33" s="546">
        <v>2697600</v>
      </c>
      <c r="N33" s="546">
        <v>810000</v>
      </c>
      <c r="O33" s="546">
        <v>1888800</v>
      </c>
      <c r="P33" s="546">
        <v>288000</v>
      </c>
      <c r="Q33" s="546">
        <v>5396400</v>
      </c>
    </row>
    <row r="34" spans="1:17">
      <c r="A34" s="543">
        <v>31</v>
      </c>
      <c r="B34" s="544" t="s">
        <v>1331</v>
      </c>
      <c r="C34" s="545">
        <v>45497</v>
      </c>
      <c r="D34" s="544" t="s">
        <v>1069</v>
      </c>
      <c r="E34" s="543">
        <v>2595200</v>
      </c>
      <c r="F34" s="546">
        <v>10</v>
      </c>
      <c r="G34" s="546">
        <v>65</v>
      </c>
      <c r="H34" s="546">
        <v>75</v>
      </c>
      <c r="I34" s="547">
        <v>19.463999999999999</v>
      </c>
      <c r="J34" s="547">
        <v>0</v>
      </c>
      <c r="K34" s="547">
        <v>19.463999999999999</v>
      </c>
      <c r="L34" s="547">
        <v>212.32</v>
      </c>
      <c r="M34" s="546">
        <v>739200</v>
      </c>
      <c r="N34" s="546">
        <v>862400</v>
      </c>
      <c r="O34" s="546">
        <v>862400</v>
      </c>
      <c r="P34" s="546">
        <v>131200</v>
      </c>
      <c r="Q34" s="546">
        <v>2464000</v>
      </c>
    </row>
    <row r="35" spans="1:17">
      <c r="A35" s="543">
        <v>32</v>
      </c>
      <c r="B35" s="544" t="s">
        <v>1332</v>
      </c>
      <c r="C35" s="545">
        <v>45499</v>
      </c>
      <c r="D35" s="544" t="s">
        <v>97</v>
      </c>
      <c r="E35" s="543">
        <v>53700000</v>
      </c>
      <c r="F35" s="546">
        <v>2</v>
      </c>
      <c r="G35" s="546">
        <v>93</v>
      </c>
      <c r="H35" s="546">
        <v>95</v>
      </c>
      <c r="I35" s="547">
        <v>397.1</v>
      </c>
      <c r="J35" s="547">
        <v>113.05</v>
      </c>
      <c r="K35" s="547">
        <v>510.15000000000003</v>
      </c>
      <c r="L35" s="547">
        <v>85.48</v>
      </c>
      <c r="M35" s="546">
        <v>26850000</v>
      </c>
      <c r="N35" s="546">
        <v>8055000</v>
      </c>
      <c r="O35" s="546">
        <v>18795000</v>
      </c>
      <c r="P35" s="546">
        <v>0</v>
      </c>
      <c r="Q35" s="546">
        <v>53700000</v>
      </c>
    </row>
    <row r="36" spans="1:17">
      <c r="A36" s="543">
        <v>33</v>
      </c>
      <c r="B36" s="544" t="s">
        <v>1343</v>
      </c>
      <c r="C36" s="545">
        <v>45499</v>
      </c>
      <c r="D36" s="544" t="s">
        <v>98</v>
      </c>
      <c r="E36" s="543">
        <v>38348146</v>
      </c>
      <c r="F36" s="546">
        <v>2</v>
      </c>
      <c r="G36" s="546">
        <v>4.4000000000000004</v>
      </c>
      <c r="H36" s="546">
        <v>6.4</v>
      </c>
      <c r="I36" s="547">
        <v>24.54281344</v>
      </c>
      <c r="J36" s="547">
        <v>0</v>
      </c>
      <c r="K36" s="547">
        <v>24.54281344</v>
      </c>
      <c r="L36" s="547">
        <v>94.64</v>
      </c>
      <c r="M36" s="546">
        <v>0</v>
      </c>
      <c r="N36" s="546">
        <v>0</v>
      </c>
      <c r="O36" s="546">
        <v>0</v>
      </c>
      <c r="P36" s="546">
        <v>0</v>
      </c>
      <c r="Q36" s="546">
        <v>0</v>
      </c>
    </row>
    <row r="37" spans="1:17">
      <c r="A37" s="543">
        <v>34</v>
      </c>
      <c r="B37" s="544" t="s">
        <v>1333</v>
      </c>
      <c r="C37" s="545">
        <v>45502</v>
      </c>
      <c r="D37" s="544" t="s">
        <v>1069</v>
      </c>
      <c r="E37" s="543">
        <v>6744000</v>
      </c>
      <c r="F37" s="546">
        <v>10</v>
      </c>
      <c r="G37" s="546">
        <v>95</v>
      </c>
      <c r="H37" s="546">
        <v>105</v>
      </c>
      <c r="I37" s="547">
        <v>70.811999999999998</v>
      </c>
      <c r="J37" s="547">
        <v>0</v>
      </c>
      <c r="K37" s="547">
        <v>70.811999999999998</v>
      </c>
      <c r="L37" s="547">
        <v>225.64</v>
      </c>
      <c r="M37" s="546">
        <v>3180000</v>
      </c>
      <c r="N37" s="546">
        <v>954000</v>
      </c>
      <c r="O37" s="546">
        <v>2226000</v>
      </c>
      <c r="P37" s="546">
        <v>384000</v>
      </c>
      <c r="Q37" s="546">
        <v>6360000</v>
      </c>
    </row>
    <row r="38" spans="1:17">
      <c r="A38" s="543">
        <v>35</v>
      </c>
      <c r="B38" s="544" t="s">
        <v>1342</v>
      </c>
      <c r="C38" s="545">
        <v>45502</v>
      </c>
      <c r="D38" s="544" t="s">
        <v>98</v>
      </c>
      <c r="E38" s="543">
        <v>15000000</v>
      </c>
      <c r="F38" s="546">
        <v>2</v>
      </c>
      <c r="G38" s="546">
        <v>198</v>
      </c>
      <c r="H38" s="546">
        <v>200</v>
      </c>
      <c r="I38" s="547">
        <v>300</v>
      </c>
      <c r="J38" s="547">
        <v>0</v>
      </c>
      <c r="K38" s="547">
        <v>300</v>
      </c>
      <c r="L38" s="547">
        <v>119.59</v>
      </c>
      <c r="M38" s="546">
        <v>0</v>
      </c>
      <c r="N38" s="546">
        <v>0</v>
      </c>
      <c r="O38" s="546">
        <v>0</v>
      </c>
      <c r="P38" s="546">
        <v>0</v>
      </c>
      <c r="Q38" s="546">
        <v>0</v>
      </c>
    </row>
    <row r="39" spans="1:17" s="540" customFormat="1">
      <c r="A39" s="543">
        <v>36</v>
      </c>
      <c r="B39" s="544" t="s">
        <v>1342</v>
      </c>
      <c r="C39" s="545">
        <v>45502</v>
      </c>
      <c r="D39" s="544" t="s">
        <v>1348</v>
      </c>
      <c r="E39" s="543">
        <v>7142500</v>
      </c>
      <c r="F39" s="546">
        <v>2</v>
      </c>
      <c r="G39" s="546">
        <v>208</v>
      </c>
      <c r="H39" s="546">
        <v>210</v>
      </c>
      <c r="I39" s="547">
        <v>149.99250000000001</v>
      </c>
      <c r="J39" s="547">
        <v>0</v>
      </c>
      <c r="K39" s="547">
        <v>149.99250000000001</v>
      </c>
      <c r="L39" s="547">
        <v>2.87</v>
      </c>
      <c r="M39" s="546">
        <v>3392500</v>
      </c>
      <c r="N39" s="546">
        <v>1018000</v>
      </c>
      <c r="O39" s="546">
        <v>2375000</v>
      </c>
      <c r="P39" s="546">
        <v>357000</v>
      </c>
      <c r="Q39" s="546">
        <v>6785500</v>
      </c>
    </row>
    <row r="40" spans="1:17">
      <c r="A40" s="543">
        <v>37</v>
      </c>
      <c r="B40" s="544" t="s">
        <v>1334</v>
      </c>
      <c r="C40" s="545">
        <v>45503</v>
      </c>
      <c r="D40" s="544" t="s">
        <v>1069</v>
      </c>
      <c r="E40" s="543">
        <v>4410000</v>
      </c>
      <c r="F40" s="546">
        <v>10</v>
      </c>
      <c r="G40" s="546">
        <v>32</v>
      </c>
      <c r="H40" s="546">
        <v>42</v>
      </c>
      <c r="I40" s="547">
        <v>18.521999999999998</v>
      </c>
      <c r="J40" s="547">
        <v>0</v>
      </c>
      <c r="K40" s="547">
        <v>18.521999999999998</v>
      </c>
      <c r="L40" s="547">
        <v>655.52</v>
      </c>
      <c r="M40" s="546">
        <v>2082000</v>
      </c>
      <c r="N40" s="546">
        <v>627000</v>
      </c>
      <c r="O40" s="546">
        <v>1461000</v>
      </c>
      <c r="P40" s="546">
        <v>240000</v>
      </c>
      <c r="Q40" s="546">
        <v>4170000</v>
      </c>
    </row>
    <row r="41" spans="1:17">
      <c r="A41" s="543">
        <v>38</v>
      </c>
      <c r="B41" s="544" t="s">
        <v>1340</v>
      </c>
      <c r="C41" s="545">
        <v>45503</v>
      </c>
      <c r="D41" s="544" t="s">
        <v>98</v>
      </c>
      <c r="E41" s="543">
        <v>153846153</v>
      </c>
      <c r="F41" s="546">
        <v>10</v>
      </c>
      <c r="G41" s="546">
        <v>3</v>
      </c>
      <c r="H41" s="546">
        <v>13</v>
      </c>
      <c r="I41" s="547">
        <v>199.99999890000001</v>
      </c>
      <c r="J41" s="547">
        <v>0</v>
      </c>
      <c r="K41" s="547">
        <v>199.99999890000001</v>
      </c>
      <c r="L41" s="547">
        <v>2.0950000000000002</v>
      </c>
      <c r="M41" s="546">
        <v>0</v>
      </c>
      <c r="N41" s="546">
        <v>0</v>
      </c>
      <c r="O41" s="546">
        <v>0</v>
      </c>
      <c r="P41" s="546">
        <v>0</v>
      </c>
      <c r="Q41" s="546">
        <v>0</v>
      </c>
    </row>
    <row r="42" spans="1:17">
      <c r="A42" s="543">
        <v>39</v>
      </c>
      <c r="B42" s="544" t="s">
        <v>1349</v>
      </c>
      <c r="C42" s="545">
        <v>45503</v>
      </c>
      <c r="D42" s="544" t="s">
        <v>1350</v>
      </c>
      <c r="E42" s="543">
        <v>6582000</v>
      </c>
      <c r="F42" s="546">
        <v>10</v>
      </c>
      <c r="G42" s="546">
        <v>83</v>
      </c>
      <c r="H42" s="546">
        <v>93</v>
      </c>
      <c r="I42" s="547">
        <v>61.212600000000002</v>
      </c>
      <c r="J42" s="547">
        <v>0</v>
      </c>
      <c r="K42" s="547">
        <v>61.212600000000002</v>
      </c>
      <c r="L42" s="547">
        <v>61.21</v>
      </c>
      <c r="M42" s="546">
        <v>3120000</v>
      </c>
      <c r="N42" s="546">
        <v>937200</v>
      </c>
      <c r="O42" s="546">
        <v>2186400</v>
      </c>
      <c r="P42" s="546">
        <v>338400</v>
      </c>
      <c r="Q42" s="546">
        <v>6243600</v>
      </c>
    </row>
    <row r="43" spans="1:17">
      <c r="A43" s="543">
        <v>40</v>
      </c>
      <c r="B43" s="544" t="s">
        <v>1335</v>
      </c>
      <c r="C43" s="545">
        <v>45504</v>
      </c>
      <c r="D43" s="544" t="s">
        <v>1069</v>
      </c>
      <c r="E43" s="543">
        <v>4932000</v>
      </c>
      <c r="F43" s="546">
        <v>10</v>
      </c>
      <c r="G43" s="546">
        <v>46</v>
      </c>
      <c r="H43" s="546">
        <v>56</v>
      </c>
      <c r="I43" s="547">
        <v>27.619199999999999</v>
      </c>
      <c r="J43" s="547">
        <v>0</v>
      </c>
      <c r="K43" s="547">
        <v>27.619199999999999</v>
      </c>
      <c r="L43" s="547">
        <v>374.41</v>
      </c>
      <c r="M43" s="546">
        <v>2204000</v>
      </c>
      <c r="N43" s="546">
        <v>662000</v>
      </c>
      <c r="O43" s="546">
        <v>1544000</v>
      </c>
      <c r="P43" s="546">
        <v>522000</v>
      </c>
      <c r="Q43" s="546">
        <v>4410000</v>
      </c>
    </row>
    <row r="44" spans="1:17">
      <c r="A44" s="543">
        <v>41</v>
      </c>
      <c r="B44" s="544" t="s">
        <v>1336</v>
      </c>
      <c r="C44" s="545">
        <v>45504</v>
      </c>
      <c r="D44" s="544" t="s">
        <v>1069</v>
      </c>
      <c r="E44" s="543">
        <v>5400000</v>
      </c>
      <c r="F44" s="546">
        <v>10</v>
      </c>
      <c r="G44" s="546">
        <v>75</v>
      </c>
      <c r="H44" s="546">
        <v>85</v>
      </c>
      <c r="I44" s="547">
        <v>45.9</v>
      </c>
      <c r="J44" s="547">
        <v>0</v>
      </c>
      <c r="K44" s="547">
        <v>45.9</v>
      </c>
      <c r="L44" s="547">
        <v>200.55</v>
      </c>
      <c r="M44" s="546">
        <v>2561600</v>
      </c>
      <c r="N44" s="546">
        <v>769600</v>
      </c>
      <c r="O44" s="546">
        <v>1795200</v>
      </c>
      <c r="P44" s="546">
        <v>273600</v>
      </c>
      <c r="Q44" s="546">
        <v>5126400</v>
      </c>
    </row>
    <row r="45" spans="1:17">
      <c r="A45" s="543">
        <v>42</v>
      </c>
      <c r="B45" s="548" t="s">
        <v>1345</v>
      </c>
      <c r="C45" s="549">
        <v>45504</v>
      </c>
      <c r="D45" s="548" t="s">
        <v>98</v>
      </c>
      <c r="E45" s="550">
        <v>240000000</v>
      </c>
      <c r="F45" s="551">
        <v>2</v>
      </c>
      <c r="G45" s="551">
        <v>0</v>
      </c>
      <c r="H45" s="551">
        <v>2</v>
      </c>
      <c r="I45" s="552">
        <v>48</v>
      </c>
      <c r="J45" s="552">
        <v>0</v>
      </c>
      <c r="K45" s="547">
        <v>48</v>
      </c>
      <c r="L45" s="552">
        <v>1.093</v>
      </c>
      <c r="M45" s="551">
        <v>0</v>
      </c>
      <c r="N45" s="551">
        <v>0</v>
      </c>
      <c r="O45" s="551">
        <v>0</v>
      </c>
      <c r="P45" s="551">
        <v>0</v>
      </c>
      <c r="Q45" s="551">
        <v>0</v>
      </c>
    </row>
    <row r="46" spans="1:17">
      <c r="A46" s="553"/>
      <c r="B46" s="544"/>
      <c r="C46" s="554"/>
      <c r="D46" s="544"/>
      <c r="E46" s="546"/>
      <c r="F46" s="546"/>
      <c r="G46" s="546"/>
      <c r="H46" s="546"/>
      <c r="I46" s="546"/>
      <c r="J46" s="547"/>
      <c r="K46" s="546"/>
      <c r="L46" s="546"/>
      <c r="M46" s="543"/>
      <c r="N46" s="543"/>
      <c r="O46" s="543"/>
      <c r="P46" s="543"/>
      <c r="Q46" s="543"/>
    </row>
    <row r="47" spans="1:17">
      <c r="A47" s="5" t="s">
        <v>99</v>
      </c>
      <c r="B47" s="225"/>
      <c r="C47" s="555"/>
      <c r="D47" s="544"/>
      <c r="E47" s="556"/>
      <c r="F47" s="556"/>
      <c r="G47" s="556"/>
      <c r="H47" s="7"/>
      <c r="I47" s="557"/>
      <c r="J47" s="558"/>
      <c r="K47" s="557"/>
      <c r="L47" s="556"/>
      <c r="M47" s="556"/>
      <c r="N47" s="556"/>
      <c r="O47" s="556"/>
      <c r="P47" s="556"/>
      <c r="Q47" s="559"/>
    </row>
    <row r="48" spans="1:17">
      <c r="A48" s="6" t="s">
        <v>100</v>
      </c>
      <c r="B48" s="542"/>
      <c r="C48" s="560"/>
      <c r="D48" s="7"/>
      <c r="E48" s="7"/>
      <c r="F48" s="7"/>
      <c r="G48" s="556"/>
      <c r="H48" s="7"/>
      <c r="I48" s="561"/>
      <c r="J48" s="562"/>
      <c r="K48" s="561"/>
      <c r="L48" s="7"/>
      <c r="M48" s="7"/>
      <c r="N48" s="7"/>
      <c r="O48" s="7"/>
      <c r="P48" s="556"/>
      <c r="Q48" s="559"/>
    </row>
    <row r="49" spans="1:17">
      <c r="A49" s="291" t="s">
        <v>141</v>
      </c>
      <c r="B49" s="542"/>
      <c r="C49" s="555"/>
      <c r="D49" s="556"/>
      <c r="E49" s="556"/>
      <c r="F49" s="556"/>
      <c r="G49" s="556"/>
      <c r="H49" s="556"/>
      <c r="I49" s="561"/>
      <c r="J49" s="562"/>
      <c r="K49" s="561"/>
      <c r="L49" s="556"/>
      <c r="M49" s="556"/>
      <c r="N49" s="556"/>
      <c r="O49" s="556"/>
      <c r="P49" s="559"/>
      <c r="Q49" s="559"/>
    </row>
    <row r="55" spans="1:17">
      <c r="C55" s="225"/>
      <c r="D55" s="563"/>
    </row>
    <row r="56" spans="1:17">
      <c r="C56" s="541"/>
      <c r="D56" s="560"/>
    </row>
    <row r="57" spans="1:17">
      <c r="C57" s="542"/>
      <c r="D57" s="560"/>
    </row>
    <row r="58" spans="1:17">
      <c r="C58" s="225"/>
      <c r="D58" s="555"/>
    </row>
    <row r="59" spans="1:17">
      <c r="C59" s="564"/>
      <c r="D59" s="555"/>
    </row>
    <row r="60" spans="1:17">
      <c r="C60" s="542"/>
      <c r="D60" s="560"/>
    </row>
    <row r="61" spans="1:17">
      <c r="C61" s="225"/>
      <c r="D61" s="555"/>
    </row>
    <row r="62" spans="1:17">
      <c r="C62" s="225"/>
      <c r="D62" s="555"/>
    </row>
    <row r="63" spans="1:17">
      <c r="C63" s="225"/>
      <c r="D63" s="563"/>
    </row>
    <row r="64" spans="1:17">
      <c r="C64" s="542"/>
      <c r="D64" s="560"/>
    </row>
    <row r="65" spans="3:4">
      <c r="C65" s="542"/>
      <c r="D65" s="560"/>
    </row>
    <row r="66" spans="3:4">
      <c r="C66" s="225"/>
      <c r="D66" s="555"/>
    </row>
    <row r="67" spans="3:4">
      <c r="C67" s="542"/>
      <c r="D67" s="560"/>
    </row>
    <row r="68" spans="3:4">
      <c r="C68" s="542"/>
      <c r="D68" s="560"/>
    </row>
    <row r="69" spans="3:4">
      <c r="C69" s="225"/>
      <c r="D69" s="563"/>
    </row>
    <row r="70" spans="3:4">
      <c r="C70" s="225"/>
      <c r="D70" s="563"/>
    </row>
    <row r="71" spans="3:4">
      <c r="C71" s="225"/>
      <c r="D71" s="563"/>
    </row>
    <row r="72" spans="3:4">
      <c r="C72" s="225"/>
      <c r="D72" s="563"/>
    </row>
    <row r="73" spans="3:4">
      <c r="C73" s="564"/>
      <c r="D73" s="560"/>
    </row>
    <row r="74" spans="3:4">
      <c r="C74" s="542"/>
      <c r="D74" s="560"/>
    </row>
    <row r="75" spans="3:4">
      <c r="C75" s="225"/>
      <c r="D75" s="555"/>
    </row>
    <row r="76" spans="3:4">
      <c r="C76" s="225"/>
      <c r="D76" s="555"/>
    </row>
    <row r="77" spans="3:4">
      <c r="C77" s="225"/>
      <c r="D77" s="555"/>
    </row>
    <row r="78" spans="3:4">
      <c r="C78" s="225"/>
      <c r="D78" s="563"/>
    </row>
    <row r="79" spans="3:4">
      <c r="C79" s="542"/>
      <c r="D79" s="560"/>
    </row>
    <row r="80" spans="3:4">
      <c r="C80" s="225"/>
      <c r="D80" s="555"/>
    </row>
    <row r="81" spans="3:4">
      <c r="C81" s="564"/>
      <c r="D81" s="560"/>
    </row>
    <row r="82" spans="3:4">
      <c r="C82" s="564"/>
      <c r="D82" s="560"/>
    </row>
    <row r="83" spans="3:4">
      <c r="C83" s="564"/>
      <c r="D83" s="560"/>
    </row>
    <row r="84" spans="3:4">
      <c r="C84" s="542"/>
      <c r="D84" s="560"/>
    </row>
    <row r="85" spans="3:4">
      <c r="C85" s="225"/>
      <c r="D85" s="563"/>
    </row>
    <row r="86" spans="3:4">
      <c r="C86" s="542"/>
      <c r="D86" s="560"/>
    </row>
    <row r="87" spans="3:4">
      <c r="C87" s="225"/>
      <c r="D87" s="555"/>
    </row>
    <row r="88" spans="3:4">
      <c r="C88" s="564"/>
      <c r="D88" s="560"/>
    </row>
    <row r="89" spans="3:4">
      <c r="C89" s="225"/>
      <c r="D89" s="555"/>
    </row>
    <row r="90" spans="3:4">
      <c r="C90" s="542"/>
      <c r="D90" s="560"/>
    </row>
    <row r="91" spans="3:4">
      <c r="C91" s="542"/>
      <c r="D91" s="555"/>
    </row>
  </sheetData>
  <sortState ref="B5:Q45">
    <sortCondition ref="C4:C45"/>
  </sortState>
  <mergeCells count="13">
    <mergeCell ref="A1:Q1"/>
    <mergeCell ref="Q2:Q3"/>
    <mergeCell ref="A2:A3"/>
    <mergeCell ref="B2:B3"/>
    <mergeCell ref="C2:C3"/>
    <mergeCell ref="D2:D3"/>
    <mergeCell ref="E2:E3"/>
    <mergeCell ref="F2:F3"/>
    <mergeCell ref="G2:G3"/>
    <mergeCell ref="H2:H3"/>
    <mergeCell ref="I2:K2"/>
    <mergeCell ref="L2:L3"/>
    <mergeCell ref="M2:P2"/>
  </mergeCells>
  <conditionalFormatting sqref="C63:C68 C70:C78">
    <cfRule type="duplicateValues" dxfId="3" priority="9"/>
  </conditionalFormatting>
  <conditionalFormatting sqref="C55:C62">
    <cfRule type="duplicateValues" dxfId="2" priority="8"/>
  </conditionalFormatting>
  <conditionalFormatting sqref="C69">
    <cfRule type="duplicateValues" dxfId="1" priority="7"/>
  </conditionalFormatting>
  <conditionalFormatting sqref="B46">
    <cfRule type="duplicateValues" dxfId="0" priority="1"/>
  </conditionalFormatting>
  <printOptions horizontalCentered="1"/>
  <pageMargins left="0.7" right="0.7" top="0.75" bottom="0.75" header="0.3" footer="0.3"/>
  <pageSetup paperSize="9" scale="5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pageSetUpPr fitToPage="1"/>
  </sheetPr>
  <dimension ref="A1:M20"/>
  <sheetViews>
    <sheetView zoomScaleNormal="100" workbookViewId="0">
      <selection activeCell="G11" sqref="G11"/>
    </sheetView>
  </sheetViews>
  <sheetFormatPr defaultRowHeight="15"/>
  <cols>
    <col min="1" max="1" width="6.42578125" bestFit="1" customWidth="1"/>
    <col min="2" max="2" width="32.28515625" bestFit="1" customWidth="1"/>
    <col min="3" max="3" width="30.42578125" customWidth="1"/>
    <col min="4" max="4" width="11.28515625" style="14" bestFit="1" customWidth="1"/>
    <col min="5" max="6" width="11.28515625" style="15" bestFit="1" customWidth="1"/>
    <col min="7" max="7" width="12.42578125" bestFit="1" customWidth="1"/>
    <col min="8" max="8" width="9.42578125" bestFit="1" customWidth="1"/>
    <col min="9" max="9" width="12.7109375" customWidth="1"/>
    <col min="10" max="10" width="10.140625" customWidth="1"/>
  </cols>
  <sheetData>
    <row r="1" spans="1:13">
      <c r="A1" s="1195" t="s">
        <v>1354</v>
      </c>
      <c r="B1" s="1195"/>
      <c r="C1" s="1195"/>
      <c r="D1" s="1195"/>
      <c r="E1" s="1195"/>
      <c r="F1" s="1195"/>
      <c r="G1" s="1195"/>
      <c r="H1" s="1195"/>
      <c r="I1" s="1195"/>
      <c r="J1" s="1195"/>
      <c r="K1" s="8"/>
    </row>
    <row r="2" spans="1:13">
      <c r="A2" s="1196" t="s">
        <v>101</v>
      </c>
      <c r="B2" s="1196" t="s">
        <v>102</v>
      </c>
      <c r="C2" s="1198" t="s">
        <v>103</v>
      </c>
      <c r="D2" s="1200" t="s">
        <v>104</v>
      </c>
      <c r="E2" s="1202" t="s">
        <v>105</v>
      </c>
      <c r="F2" s="1204" t="s">
        <v>106</v>
      </c>
      <c r="G2" s="1206" t="s">
        <v>107</v>
      </c>
      <c r="H2" s="1207"/>
      <c r="I2" s="1208" t="s">
        <v>108</v>
      </c>
      <c r="J2" s="1196" t="s">
        <v>109</v>
      </c>
      <c r="K2" s="9"/>
    </row>
    <row r="3" spans="1:13" ht="60">
      <c r="A3" s="1197"/>
      <c r="B3" s="1197"/>
      <c r="C3" s="1199"/>
      <c r="D3" s="1201"/>
      <c r="E3" s="1203"/>
      <c r="F3" s="1205"/>
      <c r="G3" s="10" t="s">
        <v>110</v>
      </c>
      <c r="H3" s="10" t="s">
        <v>111</v>
      </c>
      <c r="I3" s="1209"/>
      <c r="J3" s="1197"/>
      <c r="K3" s="9"/>
    </row>
    <row r="4" spans="1:13">
      <c r="A4" s="994">
        <v>1</v>
      </c>
      <c r="B4" s="544" t="s">
        <v>1356</v>
      </c>
      <c r="C4" s="544" t="s">
        <v>1357</v>
      </c>
      <c r="D4" s="250">
        <v>45322</v>
      </c>
      <c r="E4" s="250">
        <v>45471</v>
      </c>
      <c r="F4" s="250">
        <v>45484</v>
      </c>
      <c r="G4" s="779">
        <v>2081950</v>
      </c>
      <c r="H4" s="780">
        <v>26</v>
      </c>
      <c r="I4" s="781">
        <v>20</v>
      </c>
      <c r="J4" s="993">
        <v>4.1638999999999999</v>
      </c>
      <c r="K4" s="11"/>
    </row>
    <row r="5" spans="1:13">
      <c r="A5" s="544">
        <v>2</v>
      </c>
      <c r="B5" s="544" t="s">
        <v>1358</v>
      </c>
      <c r="C5" s="544" t="s">
        <v>1359</v>
      </c>
      <c r="D5" s="250">
        <v>45344</v>
      </c>
      <c r="E5" s="250">
        <v>45474</v>
      </c>
      <c r="F5" s="250">
        <v>45485</v>
      </c>
      <c r="G5" s="779">
        <v>12889500</v>
      </c>
      <c r="H5" s="779">
        <v>26</v>
      </c>
      <c r="I5" s="781">
        <v>1.1200000000000001</v>
      </c>
      <c r="J5" s="993">
        <v>1.4436240000000002</v>
      </c>
      <c r="K5" s="12"/>
      <c r="L5" s="13"/>
    </row>
    <row r="6" spans="1:13">
      <c r="A6" s="544">
        <v>3</v>
      </c>
      <c r="B6" s="544" t="s">
        <v>1360</v>
      </c>
      <c r="C6" s="544" t="s">
        <v>1361</v>
      </c>
      <c r="D6" s="250">
        <v>45357</v>
      </c>
      <c r="E6" s="250">
        <v>45474</v>
      </c>
      <c r="F6" s="250">
        <v>45485</v>
      </c>
      <c r="G6" s="779">
        <v>1598027</v>
      </c>
      <c r="H6" s="780">
        <v>26</v>
      </c>
      <c r="I6" s="781">
        <v>4</v>
      </c>
      <c r="J6" s="993">
        <v>0.63921079999999997</v>
      </c>
      <c r="K6" s="16"/>
      <c r="L6" s="13"/>
    </row>
    <row r="7" spans="1:13">
      <c r="A7" s="544">
        <v>4</v>
      </c>
      <c r="B7" s="544" t="s">
        <v>1362</v>
      </c>
      <c r="C7" s="544" t="s">
        <v>1363</v>
      </c>
      <c r="D7" s="250">
        <v>45364</v>
      </c>
      <c r="E7" s="250">
        <v>45474</v>
      </c>
      <c r="F7" s="250">
        <v>45485</v>
      </c>
      <c r="G7" s="779">
        <v>1247844</v>
      </c>
      <c r="H7" s="780">
        <v>26</v>
      </c>
      <c r="I7" s="781">
        <v>28.5</v>
      </c>
      <c r="J7" s="993">
        <v>3.5563554000000002</v>
      </c>
      <c r="K7" s="16"/>
      <c r="L7" s="13"/>
    </row>
    <row r="8" spans="1:13">
      <c r="A8" s="544">
        <v>5</v>
      </c>
      <c r="B8" s="544" t="s">
        <v>1364</v>
      </c>
      <c r="C8" s="544" t="s">
        <v>1365</v>
      </c>
      <c r="D8" s="250">
        <v>45351</v>
      </c>
      <c r="E8" s="250">
        <v>45484</v>
      </c>
      <c r="F8" s="250">
        <v>45498</v>
      </c>
      <c r="G8" s="779">
        <v>6336009</v>
      </c>
      <c r="H8" s="780">
        <v>26</v>
      </c>
      <c r="I8" s="781">
        <v>578.03</v>
      </c>
      <c r="J8" s="993">
        <v>366.24032822700002</v>
      </c>
      <c r="L8" s="13"/>
    </row>
    <row r="9" spans="1:13">
      <c r="A9" s="544">
        <v>6</v>
      </c>
      <c r="B9" s="544" t="s">
        <v>1366</v>
      </c>
      <c r="C9" s="544" t="s">
        <v>1367</v>
      </c>
      <c r="D9" s="250">
        <v>45364</v>
      </c>
      <c r="E9" s="250">
        <v>45484</v>
      </c>
      <c r="F9" s="250">
        <v>45498</v>
      </c>
      <c r="G9" s="779">
        <v>364559</v>
      </c>
      <c r="H9" s="780">
        <v>26</v>
      </c>
      <c r="I9" s="781">
        <v>12</v>
      </c>
      <c r="J9" s="993">
        <v>0.43747079999999999</v>
      </c>
    </row>
    <row r="10" spans="1:13">
      <c r="A10" s="544">
        <v>7</v>
      </c>
      <c r="B10" s="544" t="s">
        <v>1368</v>
      </c>
      <c r="C10" s="544" t="s">
        <v>1369</v>
      </c>
      <c r="D10" s="250">
        <v>45415</v>
      </c>
      <c r="E10" s="250">
        <v>45485</v>
      </c>
      <c r="F10" s="250">
        <v>45499</v>
      </c>
      <c r="G10" s="779">
        <v>1063920</v>
      </c>
      <c r="H10" s="780">
        <v>26</v>
      </c>
      <c r="I10" s="781">
        <v>54</v>
      </c>
      <c r="J10" s="993">
        <v>5.7451679999999996</v>
      </c>
    </row>
    <row r="11" spans="1:13">
      <c r="A11" s="544">
        <v>8</v>
      </c>
      <c r="B11" s="544" t="s">
        <v>1370</v>
      </c>
      <c r="C11" s="544" t="s">
        <v>1371</v>
      </c>
      <c r="D11" s="250">
        <v>45318</v>
      </c>
      <c r="E11" s="250">
        <v>45489</v>
      </c>
      <c r="F11" s="250">
        <v>45503</v>
      </c>
      <c r="G11" s="779">
        <v>3088947</v>
      </c>
      <c r="H11" s="780">
        <v>25.03</v>
      </c>
      <c r="I11" s="781">
        <v>155</v>
      </c>
      <c r="J11" s="993">
        <v>47.878678499999999</v>
      </c>
    </row>
    <row r="12" spans="1:13">
      <c r="A12" s="544">
        <v>9</v>
      </c>
      <c r="B12" s="544" t="s">
        <v>1372</v>
      </c>
      <c r="C12" s="544" t="s">
        <v>1373</v>
      </c>
      <c r="D12" s="250">
        <v>45343</v>
      </c>
      <c r="E12" s="250">
        <v>45489</v>
      </c>
      <c r="F12" s="250">
        <v>45503</v>
      </c>
      <c r="G12" s="779">
        <v>2812667</v>
      </c>
      <c r="H12" s="780">
        <v>26</v>
      </c>
      <c r="I12" s="781">
        <v>2</v>
      </c>
      <c r="J12" s="993">
        <v>0.56253339999999996</v>
      </c>
    </row>
    <row r="13" spans="1:13">
      <c r="A13" s="544">
        <v>10</v>
      </c>
      <c r="B13" s="544" t="s">
        <v>1374</v>
      </c>
      <c r="C13" s="544" t="s">
        <v>1375</v>
      </c>
      <c r="D13" s="250">
        <v>45356</v>
      </c>
      <c r="E13" s="250">
        <v>45489</v>
      </c>
      <c r="F13" s="250">
        <v>45503</v>
      </c>
      <c r="G13" s="779">
        <v>2652000</v>
      </c>
      <c r="H13" s="780">
        <v>26.65</v>
      </c>
      <c r="I13" s="781">
        <v>10</v>
      </c>
      <c r="J13" s="993">
        <v>2.6520000000000001</v>
      </c>
    </row>
    <row r="14" spans="1:13">
      <c r="A14" s="544">
        <v>11</v>
      </c>
      <c r="B14" s="544" t="s">
        <v>1376</v>
      </c>
      <c r="C14" s="544" t="s">
        <v>1377</v>
      </c>
      <c r="D14" s="250">
        <v>45397</v>
      </c>
      <c r="E14" s="250">
        <v>45489</v>
      </c>
      <c r="F14" s="250">
        <v>45503</v>
      </c>
      <c r="G14" s="779">
        <v>793500</v>
      </c>
      <c r="H14" s="780">
        <v>26</v>
      </c>
      <c r="I14" s="781">
        <v>25</v>
      </c>
      <c r="J14" s="993">
        <v>1.9837499999999999</v>
      </c>
      <c r="K14" s="12"/>
      <c r="L14" s="12"/>
      <c r="M14" s="12"/>
    </row>
    <row r="15" spans="1:13">
      <c r="A15" s="544">
        <v>12</v>
      </c>
      <c r="B15" s="544" t="s">
        <v>1378</v>
      </c>
      <c r="C15" s="544" t="s">
        <v>1379</v>
      </c>
      <c r="D15" s="250">
        <v>45398</v>
      </c>
      <c r="E15" s="250">
        <v>45489</v>
      </c>
      <c r="F15" s="250">
        <v>45503</v>
      </c>
      <c r="G15" s="779">
        <v>1285908</v>
      </c>
      <c r="H15" s="780">
        <v>26</v>
      </c>
      <c r="I15" s="781">
        <v>7</v>
      </c>
      <c r="J15" s="993">
        <v>0.90013560000000004</v>
      </c>
      <c r="K15" s="12"/>
      <c r="L15" s="12"/>
      <c r="M15" s="12"/>
    </row>
    <row r="16" spans="1:13">
      <c r="A16" s="544">
        <v>13</v>
      </c>
      <c r="B16" s="544" t="s">
        <v>1380</v>
      </c>
      <c r="C16" s="544" t="s">
        <v>1381</v>
      </c>
      <c r="D16" s="250">
        <v>45334</v>
      </c>
      <c r="E16" s="250">
        <v>45489</v>
      </c>
      <c r="F16" s="250">
        <v>45503</v>
      </c>
      <c r="G16" s="779">
        <v>749216</v>
      </c>
      <c r="H16" s="780">
        <v>26</v>
      </c>
      <c r="I16" s="781">
        <v>12</v>
      </c>
      <c r="J16" s="993">
        <v>0.89905919999999995</v>
      </c>
      <c r="K16" s="12"/>
      <c r="L16" s="12"/>
      <c r="M16" s="12"/>
    </row>
    <row r="17" spans="1:13" s="361" customFormat="1">
      <c r="D17" s="14"/>
      <c r="E17" s="15"/>
      <c r="F17" s="15"/>
      <c r="J17" s="1002"/>
      <c r="K17" s="12"/>
      <c r="L17" s="12"/>
      <c r="M17" s="12"/>
    </row>
    <row r="18" spans="1:13">
      <c r="A18" s="291" t="s">
        <v>126</v>
      </c>
      <c r="K18" s="12"/>
      <c r="L18" s="12"/>
      <c r="M18" s="12"/>
    </row>
    <row r="19" spans="1:13">
      <c r="K19" s="12"/>
      <c r="L19" s="12"/>
      <c r="M19" s="12"/>
    </row>
    <row r="20" spans="1:13">
      <c r="K20" s="12"/>
      <c r="L20" s="12"/>
      <c r="M20" s="12"/>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pageSetUpPr fitToPage="1"/>
  </sheetPr>
  <dimension ref="A1:N28"/>
  <sheetViews>
    <sheetView zoomScaleNormal="100" workbookViewId="0">
      <selection activeCell="I7" sqref="I7"/>
    </sheetView>
  </sheetViews>
  <sheetFormatPr defaultRowHeight="15"/>
  <cols>
    <col min="1" max="1" width="14" customWidth="1"/>
    <col min="2" max="2" width="13.7109375" customWidth="1"/>
    <col min="3" max="3" width="13" customWidth="1"/>
    <col min="4" max="4" width="11.28515625" customWidth="1"/>
    <col min="5" max="5" width="9.42578125" customWidth="1"/>
    <col min="6" max="6" width="13" customWidth="1"/>
    <col min="7" max="7" width="13.7109375" customWidth="1"/>
    <col min="8" max="8" width="16.140625" customWidth="1"/>
    <col min="9" max="9" width="16.5703125" customWidth="1"/>
  </cols>
  <sheetData>
    <row r="1" spans="1:14">
      <c r="A1" s="1211" t="s">
        <v>1146</v>
      </c>
      <c r="B1" s="1211"/>
      <c r="C1" s="1211"/>
      <c r="D1" s="1211"/>
      <c r="E1" s="1211"/>
      <c r="F1" s="1211"/>
      <c r="G1" s="1211"/>
      <c r="H1" s="1211"/>
      <c r="I1" s="1211"/>
      <c r="J1" s="17"/>
      <c r="K1" s="17"/>
      <c r="L1" s="17"/>
    </row>
    <row r="2" spans="1:14">
      <c r="A2" s="1212" t="s">
        <v>112</v>
      </c>
      <c r="B2" s="1215" t="s">
        <v>113</v>
      </c>
      <c r="C2" s="1216"/>
      <c r="D2" s="1216"/>
      <c r="E2" s="1216"/>
      <c r="F2" s="1216"/>
      <c r="G2" s="1216"/>
      <c r="H2" s="1216"/>
      <c r="I2" s="1217"/>
    </row>
    <row r="3" spans="1:14">
      <c r="A3" s="1213"/>
      <c r="B3" s="1215" t="s">
        <v>114</v>
      </c>
      <c r="C3" s="1216"/>
      <c r="D3" s="1216"/>
      <c r="E3" s="1216"/>
      <c r="F3" s="1216"/>
      <c r="G3" s="1217"/>
      <c r="H3" s="1218" t="s">
        <v>92</v>
      </c>
      <c r="I3" s="1219"/>
    </row>
    <row r="4" spans="1:14" ht="30" customHeight="1">
      <c r="A4" s="1213"/>
      <c r="B4" s="1220" t="s">
        <v>115</v>
      </c>
      <c r="C4" s="1221"/>
      <c r="D4" s="1220" t="s">
        <v>116</v>
      </c>
      <c r="E4" s="1221"/>
      <c r="F4" s="1220" t="s">
        <v>117</v>
      </c>
      <c r="G4" s="1221"/>
      <c r="H4" s="1222" t="s">
        <v>118</v>
      </c>
      <c r="I4" s="1222" t="s">
        <v>119</v>
      </c>
    </row>
    <row r="5" spans="1:14" ht="30">
      <c r="A5" s="1214"/>
      <c r="B5" s="18" t="s">
        <v>118</v>
      </c>
      <c r="C5" s="18" t="s">
        <v>119</v>
      </c>
      <c r="D5" s="18" t="s">
        <v>118</v>
      </c>
      <c r="E5" s="18" t="s">
        <v>119</v>
      </c>
      <c r="F5" s="18" t="s">
        <v>118</v>
      </c>
      <c r="G5" s="18" t="s">
        <v>120</v>
      </c>
      <c r="H5" s="1223"/>
      <c r="I5" s="1223"/>
    </row>
    <row r="6" spans="1:14">
      <c r="A6" s="490" t="s">
        <v>520</v>
      </c>
      <c r="B6" s="19">
        <v>1</v>
      </c>
      <c r="C6" s="19">
        <v>4.3600000000000003</v>
      </c>
      <c r="D6" s="19">
        <v>1</v>
      </c>
      <c r="E6" s="19">
        <v>3.27</v>
      </c>
      <c r="F6" s="19">
        <v>71</v>
      </c>
      <c r="G6" s="19">
        <v>10243.92</v>
      </c>
      <c r="H6" s="19">
        <v>73</v>
      </c>
      <c r="I6" s="19">
        <v>10251.549999999999</v>
      </c>
      <c r="K6" s="20"/>
      <c r="L6" s="20"/>
      <c r="M6" s="21"/>
      <c r="N6" s="21"/>
    </row>
    <row r="7" spans="1:14">
      <c r="A7" s="491" t="s">
        <v>1271</v>
      </c>
      <c r="B7" s="264">
        <f t="shared" ref="B7:I7" si="0">SUM(B8:B11)</f>
        <v>21</v>
      </c>
      <c r="C7" s="264">
        <f t="shared" si="0"/>
        <v>477.45710000000003</v>
      </c>
      <c r="D7" s="264">
        <f t="shared" si="0"/>
        <v>1</v>
      </c>
      <c r="E7" s="264">
        <f t="shared" si="0"/>
        <v>5.61</v>
      </c>
      <c r="F7" s="264">
        <f t="shared" si="0"/>
        <v>0</v>
      </c>
      <c r="G7" s="264">
        <f t="shared" si="0"/>
        <v>0</v>
      </c>
      <c r="H7" s="264">
        <f t="shared" si="0"/>
        <v>22</v>
      </c>
      <c r="I7" s="264">
        <f t="shared" si="0"/>
        <v>483.06710000000004</v>
      </c>
      <c r="K7" s="20"/>
      <c r="L7" s="20"/>
      <c r="M7" s="21"/>
      <c r="N7" s="21"/>
    </row>
    <row r="8" spans="1:14">
      <c r="A8" s="57">
        <v>45383</v>
      </c>
      <c r="B8" s="22">
        <v>4</v>
      </c>
      <c r="C8" s="370">
        <v>25.34</v>
      </c>
      <c r="D8" s="22">
        <v>1</v>
      </c>
      <c r="E8" s="370">
        <v>5.61</v>
      </c>
      <c r="F8" s="22">
        <v>0</v>
      </c>
      <c r="G8" s="22">
        <v>0</v>
      </c>
      <c r="H8" s="22">
        <f>SUM(B8,D8,F8)</f>
        <v>5</v>
      </c>
      <c r="I8" s="24">
        <f>SUM(C8,E8,G8)</f>
        <v>30.95</v>
      </c>
      <c r="K8" s="20"/>
      <c r="L8" s="20"/>
      <c r="M8" s="21"/>
      <c r="N8" s="21"/>
    </row>
    <row r="9" spans="1:14">
      <c r="A9" s="57">
        <f>EOMONTH(A8,1)</f>
        <v>45443</v>
      </c>
      <c r="B9" s="23">
        <v>1</v>
      </c>
      <c r="C9" s="24">
        <v>4.9800000000000004</v>
      </c>
      <c r="D9" s="23">
        <v>0</v>
      </c>
      <c r="E9" s="24">
        <v>0</v>
      </c>
      <c r="F9" s="23">
        <v>0</v>
      </c>
      <c r="G9" s="24">
        <v>0</v>
      </c>
      <c r="H9" s="22">
        <v>1</v>
      </c>
      <c r="I9" s="24">
        <v>4.9800000000000004</v>
      </c>
      <c r="K9" s="20"/>
      <c r="L9" s="20"/>
      <c r="M9" s="21"/>
      <c r="N9" s="21"/>
    </row>
    <row r="10" spans="1:14">
      <c r="A10" s="57">
        <f t="shared" ref="A10:A11" si="1">EOMONTH(A9,1)</f>
        <v>45473</v>
      </c>
      <c r="B10" s="23">
        <v>3</v>
      </c>
      <c r="C10" s="24">
        <v>10.037100000000001</v>
      </c>
      <c r="D10" s="23">
        <v>0</v>
      </c>
      <c r="E10" s="24">
        <v>0</v>
      </c>
      <c r="F10" s="23">
        <v>0</v>
      </c>
      <c r="G10" s="24">
        <v>0</v>
      </c>
      <c r="H10" s="22">
        <f t="shared" ref="H10" si="2">SUM(B10,D10,F10)</f>
        <v>3</v>
      </c>
      <c r="I10" s="24">
        <f t="shared" ref="I10" si="3">SUM(C10,E10,G10)</f>
        <v>10.037100000000001</v>
      </c>
      <c r="K10" s="20"/>
      <c r="L10" s="20"/>
      <c r="M10" s="21"/>
      <c r="N10" s="21"/>
    </row>
    <row r="11" spans="1:14">
      <c r="A11" s="57">
        <f t="shared" si="1"/>
        <v>45504</v>
      </c>
      <c r="B11" s="23">
        <v>13</v>
      </c>
      <c r="C11" s="24">
        <v>437.1</v>
      </c>
      <c r="D11" s="23">
        <v>0</v>
      </c>
      <c r="E11" s="24">
        <v>0</v>
      </c>
      <c r="F11" s="23">
        <v>0</v>
      </c>
      <c r="G11" s="24">
        <v>0</v>
      </c>
      <c r="H11" s="22">
        <f>SUM(B11,D11,F11)</f>
        <v>13</v>
      </c>
      <c r="I11" s="24">
        <f>SUM(C11,E11,G11)</f>
        <v>437.1</v>
      </c>
      <c r="K11" s="20"/>
      <c r="L11" s="20"/>
      <c r="M11" s="21"/>
      <c r="N11" s="21"/>
    </row>
    <row r="12" spans="1:14" s="361" customFormat="1">
      <c r="A12" s="484" t="str">
        <f>"# indicates as on "&amp;TEXT('1'!$C$2,"mmmm dd, yyyy")</f>
        <v># indicates as on July 31, 2024</v>
      </c>
      <c r="B12" s="25"/>
      <c r="C12" s="25"/>
      <c r="D12" s="25"/>
      <c r="E12" s="25"/>
      <c r="F12" s="28"/>
      <c r="G12" s="28"/>
      <c r="H12" s="489"/>
      <c r="I12" s="28"/>
      <c r="K12" s="20"/>
      <c r="L12" s="20"/>
      <c r="M12" s="21"/>
      <c r="N12" s="21"/>
    </row>
    <row r="13" spans="1:14">
      <c r="A13" s="1210" t="s">
        <v>123</v>
      </c>
      <c r="B13" s="1210"/>
      <c r="C13" s="1210"/>
      <c r="D13" s="1210"/>
      <c r="E13" s="1210"/>
      <c r="F13" s="1210"/>
      <c r="G13" s="1210"/>
      <c r="H13" s="25"/>
      <c r="I13" s="26"/>
      <c r="K13" s="20"/>
      <c r="L13" s="20"/>
      <c r="M13" s="21"/>
      <c r="N13" s="21"/>
    </row>
    <row r="14" spans="1:14">
      <c r="A14" s="1210" t="s">
        <v>124</v>
      </c>
      <c r="B14" s="1210"/>
      <c r="C14" s="1210"/>
      <c r="D14" s="27"/>
      <c r="E14" s="28"/>
      <c r="F14" s="25"/>
      <c r="G14" s="28"/>
      <c r="H14" s="25"/>
      <c r="I14" s="26"/>
      <c r="K14" s="20"/>
      <c r="L14" s="20"/>
      <c r="M14" s="21"/>
      <c r="N14" s="21"/>
    </row>
    <row r="15" spans="1:14">
      <c r="A15" s="29" t="s">
        <v>126</v>
      </c>
      <c r="B15" s="29"/>
      <c r="C15" s="29"/>
      <c r="D15" s="29"/>
      <c r="E15" s="29"/>
      <c r="F15" s="29"/>
      <c r="G15" s="29"/>
      <c r="H15" s="25"/>
      <c r="I15" s="26"/>
      <c r="K15" s="20"/>
      <c r="L15" s="20"/>
      <c r="M15" s="21"/>
      <c r="N15" s="21"/>
    </row>
    <row r="16" spans="1:14">
      <c r="A16" s="30"/>
      <c r="B16" s="25"/>
      <c r="C16" s="31"/>
      <c r="D16" s="25"/>
      <c r="E16" s="25"/>
      <c r="F16" s="25"/>
      <c r="G16" s="25"/>
      <c r="H16" s="25"/>
      <c r="I16" s="31"/>
      <c r="J16" s="32"/>
      <c r="K16" s="20"/>
      <c r="L16" s="20"/>
      <c r="M16" s="21"/>
      <c r="N16" s="21"/>
    </row>
    <row r="17" spans="1:14">
      <c r="A17" s="30"/>
      <c r="B17" s="25"/>
      <c r="C17" s="31"/>
      <c r="D17" s="25"/>
      <c r="E17" s="25"/>
      <c r="F17" s="25"/>
      <c r="G17" s="25"/>
      <c r="H17" s="25"/>
      <c r="I17" s="31"/>
      <c r="J17" s="32"/>
      <c r="K17" s="20"/>
      <c r="L17" s="20"/>
      <c r="M17" s="21"/>
      <c r="N17" s="21"/>
    </row>
    <row r="18" spans="1:14">
      <c r="A18" s="30"/>
      <c r="B18" s="33"/>
      <c r="C18" s="34"/>
      <c r="D18" s="33"/>
      <c r="E18" s="34"/>
      <c r="F18" s="33"/>
      <c r="G18" s="33"/>
      <c r="H18" s="33"/>
      <c r="I18" s="34"/>
      <c r="J18" s="12"/>
      <c r="K18" s="20"/>
      <c r="L18" s="20"/>
      <c r="M18" s="35"/>
      <c r="N18" s="35"/>
    </row>
    <row r="19" spans="1:14">
      <c r="A19" s="36"/>
      <c r="B19" s="37"/>
      <c r="C19" s="37"/>
      <c r="D19" s="37"/>
      <c r="E19" s="37"/>
      <c r="F19" s="37"/>
      <c r="G19" s="37"/>
      <c r="H19" s="37"/>
      <c r="I19" s="37"/>
    </row>
    <row r="20" spans="1:14">
      <c r="A20" s="36"/>
      <c r="B20" s="37"/>
      <c r="C20" s="37"/>
      <c r="D20" s="37"/>
      <c r="E20" s="37"/>
      <c r="F20" s="37"/>
      <c r="G20" s="37"/>
      <c r="H20" s="37"/>
      <c r="I20" s="37"/>
    </row>
    <row r="21" spans="1:14">
      <c r="A21" s="38"/>
      <c r="B21" s="37"/>
      <c r="C21" s="37"/>
      <c r="D21" s="37"/>
      <c r="E21" s="37"/>
      <c r="F21" s="37"/>
      <c r="G21" s="37"/>
      <c r="H21" s="37"/>
      <c r="I21" s="37"/>
    </row>
    <row r="22" spans="1:14">
      <c r="A22" s="38"/>
      <c r="B22" s="37"/>
      <c r="C22" s="37"/>
      <c r="D22" s="37"/>
      <c r="E22" s="37"/>
      <c r="F22" s="37"/>
      <c r="G22" s="37"/>
      <c r="H22" s="37"/>
      <c r="I22" s="37"/>
    </row>
    <row r="23" spans="1:14">
      <c r="H23" s="29"/>
      <c r="I23" s="29"/>
    </row>
    <row r="24" spans="1:14">
      <c r="H24" s="29"/>
      <c r="I24" s="29"/>
    </row>
    <row r="25" spans="1:14">
      <c r="H25" s="39"/>
      <c r="I25" s="39"/>
    </row>
    <row r="26" spans="1:14">
      <c r="H26" s="40"/>
      <c r="I26" s="40"/>
    </row>
    <row r="28" spans="1:14">
      <c r="B28" s="21"/>
      <c r="C28" s="21"/>
      <c r="D28" s="21"/>
      <c r="E28" s="21"/>
      <c r="F28" s="21"/>
      <c r="G28" s="21"/>
      <c r="H28" s="21"/>
      <c r="I28" s="21"/>
    </row>
  </sheetData>
  <mergeCells count="12">
    <mergeCell ref="A13:G13"/>
    <mergeCell ref="A14:C14"/>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Y100"/>
  <sheetViews>
    <sheetView workbookViewId="0">
      <pane xSplit="1" ySplit="4" topLeftCell="B17" activePane="bottomRight" state="frozen"/>
      <selection pane="topRight" activeCell="B1" sqref="B1"/>
      <selection pane="bottomLeft" activeCell="A5" sqref="A5"/>
      <selection pane="bottomRight" activeCell="B5" sqref="B5"/>
    </sheetView>
  </sheetViews>
  <sheetFormatPr defaultRowHeight="15"/>
  <cols>
    <col min="1" max="1" width="56" style="361" customWidth="1"/>
    <col min="2" max="2" width="13.28515625" style="361" customWidth="1"/>
    <col min="3" max="3" width="9.85546875" style="361" customWidth="1"/>
    <col min="4" max="4" width="13.28515625" style="361" customWidth="1"/>
    <col min="5" max="5" width="9.85546875" style="361" customWidth="1"/>
    <col min="6" max="6" width="9.42578125" style="361" customWidth="1"/>
    <col min="7" max="7" width="9.85546875" style="361" customWidth="1"/>
    <col min="8" max="8" width="11.5703125" style="361" customWidth="1"/>
    <col min="9" max="9" width="9.85546875" style="361" customWidth="1"/>
    <col min="10" max="10" width="9.5703125" style="361" customWidth="1"/>
    <col min="11" max="11" width="9.85546875" style="361" customWidth="1"/>
    <col min="12" max="12" width="10.28515625" style="361" customWidth="1"/>
    <col min="13" max="13" width="9.85546875" style="361" customWidth="1"/>
    <col min="14" max="14" width="10.7109375" style="361" customWidth="1"/>
    <col min="15" max="15" width="10.140625" style="361" customWidth="1"/>
    <col min="16" max="16" width="9.140625" style="361" customWidth="1"/>
    <col min="17" max="17" width="12.5703125" style="361" customWidth="1"/>
    <col min="18" max="20" width="9.140625" style="361" customWidth="1"/>
    <col min="21" max="21" width="10" style="361" customWidth="1"/>
    <col min="22" max="22" width="9.140625" style="361" customWidth="1"/>
    <col min="23" max="23" width="10.42578125" style="361" customWidth="1"/>
    <col min="24" max="25" width="9.140625" style="361" customWidth="1"/>
    <col min="26" max="16384" width="9.140625" style="361"/>
  </cols>
  <sheetData>
    <row r="1" spans="1:25" ht="15" customHeight="1">
      <c r="A1" s="1224" t="s">
        <v>1125</v>
      </c>
      <c r="B1" s="1224"/>
      <c r="C1" s="1224"/>
      <c r="D1" s="1224"/>
      <c r="E1" s="1224"/>
      <c r="F1" s="1224"/>
      <c r="G1" s="1224"/>
      <c r="H1" s="1224"/>
      <c r="I1" s="1224"/>
      <c r="J1" s="514"/>
      <c r="K1" s="514"/>
      <c r="L1" s="514"/>
      <c r="M1" s="514"/>
      <c r="N1" s="365"/>
      <c r="O1" s="365"/>
      <c r="U1" s="21">
        <f>U6+S6</f>
        <v>1957.2800000000002</v>
      </c>
    </row>
    <row r="2" spans="1:25">
      <c r="A2" s="1225" t="s">
        <v>127</v>
      </c>
      <c r="B2" s="1228" t="s">
        <v>520</v>
      </c>
      <c r="C2" s="1228"/>
      <c r="D2" s="1228"/>
      <c r="E2" s="1228"/>
      <c r="F2" s="1228" t="str">
        <f>"2024-25 (upto "&amp;TEXT('1'!$C$2,"mmmm dd, yyyy")&amp;")"</f>
        <v>2024-25 (upto July 31, 2024)</v>
      </c>
      <c r="G2" s="1228"/>
      <c r="H2" s="1228"/>
      <c r="I2" s="1228"/>
      <c r="J2" s="1229">
        <v>45412</v>
      </c>
      <c r="K2" s="1230"/>
      <c r="L2" s="1230"/>
      <c r="M2" s="1231"/>
      <c r="N2" s="1229">
        <f>EOMONTH(J2,1)</f>
        <v>45443</v>
      </c>
      <c r="O2" s="1230"/>
      <c r="P2" s="1230"/>
      <c r="Q2" s="1231"/>
      <c r="R2" s="1229">
        <f>EOMONTH(N2,1)</f>
        <v>45473</v>
      </c>
      <c r="S2" s="1230"/>
      <c r="T2" s="1230"/>
      <c r="U2" s="1231"/>
      <c r="V2" s="1229">
        <f>EOMONTH(R2,1)</f>
        <v>45504</v>
      </c>
      <c r="W2" s="1230"/>
      <c r="X2" s="1230"/>
      <c r="Y2" s="1231"/>
    </row>
    <row r="3" spans="1:25">
      <c r="A3" s="1226"/>
      <c r="B3" s="1232" t="s">
        <v>128</v>
      </c>
      <c r="C3" s="1233"/>
      <c r="D3" s="1232" t="s">
        <v>129</v>
      </c>
      <c r="E3" s="1233"/>
      <c r="F3" s="1232" t="s">
        <v>128</v>
      </c>
      <c r="G3" s="1233"/>
      <c r="H3" s="1232" t="s">
        <v>129</v>
      </c>
      <c r="I3" s="1233"/>
      <c r="J3" s="1232" t="s">
        <v>128</v>
      </c>
      <c r="K3" s="1233"/>
      <c r="L3" s="1232" t="s">
        <v>129</v>
      </c>
      <c r="M3" s="1233"/>
      <c r="N3" s="1232" t="s">
        <v>128</v>
      </c>
      <c r="O3" s="1233"/>
      <c r="P3" s="1232" t="s">
        <v>129</v>
      </c>
      <c r="Q3" s="1233"/>
      <c r="R3" s="1232" t="s">
        <v>128</v>
      </c>
      <c r="S3" s="1233"/>
      <c r="T3" s="1232" t="s">
        <v>129</v>
      </c>
      <c r="U3" s="1233"/>
      <c r="V3" s="1232" t="s">
        <v>128</v>
      </c>
      <c r="W3" s="1233"/>
      <c r="X3" s="1232" t="s">
        <v>129</v>
      </c>
      <c r="Y3" s="1233"/>
    </row>
    <row r="4" spans="1:25" ht="31.5" customHeight="1">
      <c r="A4" s="1227"/>
      <c r="B4" s="565" t="s">
        <v>130</v>
      </c>
      <c r="C4" s="565" t="s">
        <v>131</v>
      </c>
      <c r="D4" s="565" t="s">
        <v>130</v>
      </c>
      <c r="E4" s="565" t="s">
        <v>131</v>
      </c>
      <c r="F4" s="565" t="s">
        <v>130</v>
      </c>
      <c r="G4" s="565" t="s">
        <v>131</v>
      </c>
      <c r="H4" s="565" t="s">
        <v>130</v>
      </c>
      <c r="I4" s="565" t="s">
        <v>131</v>
      </c>
      <c r="J4" s="565" t="s">
        <v>130</v>
      </c>
      <c r="K4" s="565" t="s">
        <v>131</v>
      </c>
      <c r="L4" s="565" t="s">
        <v>130</v>
      </c>
      <c r="M4" s="565" t="s">
        <v>131</v>
      </c>
      <c r="N4" s="565" t="s">
        <v>130</v>
      </c>
      <c r="O4" s="565" t="s">
        <v>131</v>
      </c>
      <c r="P4" s="565" t="s">
        <v>130</v>
      </c>
      <c r="Q4" s="565" t="s">
        <v>131</v>
      </c>
      <c r="R4" s="565" t="s">
        <v>130</v>
      </c>
      <c r="S4" s="565" t="s">
        <v>131</v>
      </c>
      <c r="T4" s="565" t="s">
        <v>130</v>
      </c>
      <c r="U4" s="565" t="s">
        <v>131</v>
      </c>
      <c r="V4" s="565" t="s">
        <v>130</v>
      </c>
      <c r="W4" s="565" t="s">
        <v>131</v>
      </c>
      <c r="X4" s="565" t="s">
        <v>130</v>
      </c>
      <c r="Y4" s="565" t="s">
        <v>131</v>
      </c>
    </row>
    <row r="5" spans="1:25">
      <c r="A5" s="294" t="s">
        <v>132</v>
      </c>
      <c r="B5" s="294"/>
      <c r="C5" s="294"/>
      <c r="D5" s="294"/>
      <c r="E5" s="294"/>
      <c r="F5" s="294"/>
      <c r="G5" s="294"/>
      <c r="H5" s="294"/>
      <c r="I5" s="294"/>
      <c r="J5" s="294"/>
      <c r="K5" s="294"/>
      <c r="L5" s="294"/>
      <c r="M5" s="294"/>
      <c r="N5" s="294"/>
      <c r="O5" s="294"/>
      <c r="P5" s="294"/>
      <c r="Q5" s="294"/>
      <c r="R5" s="294"/>
      <c r="S5" s="294"/>
      <c r="T5" s="294"/>
      <c r="U5" s="294"/>
      <c r="V5" s="294"/>
      <c r="W5" s="294"/>
      <c r="X5" s="294"/>
      <c r="Y5" s="294"/>
    </row>
    <row r="6" spans="1:25" s="16" customFormat="1">
      <c r="A6" s="566" t="s">
        <v>1038</v>
      </c>
      <c r="B6" s="208">
        <v>9</v>
      </c>
      <c r="C6" s="208">
        <v>7506.2741069999993</v>
      </c>
      <c r="D6" s="208">
        <v>67</v>
      </c>
      <c r="E6" s="208">
        <v>54353.573211499992</v>
      </c>
      <c r="F6" s="208">
        <v>3</v>
      </c>
      <c r="G6" s="208">
        <v>5746.6458591999999</v>
      </c>
      <c r="H6" s="208">
        <v>15</v>
      </c>
      <c r="I6" s="208">
        <v>15749.872750400002</v>
      </c>
      <c r="J6" s="208">
        <v>0</v>
      </c>
      <c r="K6" s="232">
        <v>0</v>
      </c>
      <c r="L6" s="236">
        <v>3</v>
      </c>
      <c r="M6" s="233">
        <v>5054.67</v>
      </c>
      <c r="N6" s="208">
        <v>2</v>
      </c>
      <c r="O6" s="232">
        <v>5614.6458591999999</v>
      </c>
      <c r="P6" s="236">
        <v>3</v>
      </c>
      <c r="Q6" s="233">
        <v>3991.4845838000001</v>
      </c>
      <c r="R6" s="208">
        <v>1</v>
      </c>
      <c r="S6" s="232">
        <v>132</v>
      </c>
      <c r="T6" s="236">
        <v>4</v>
      </c>
      <c r="U6" s="233">
        <v>1825.2800000000002</v>
      </c>
      <c r="V6" s="209">
        <v>0</v>
      </c>
      <c r="W6" s="237">
        <v>0</v>
      </c>
      <c r="X6" s="236">
        <v>5</v>
      </c>
      <c r="Y6" s="233">
        <f>SUM(Y7:Y8)</f>
        <v>4878.4381665999999</v>
      </c>
    </row>
    <row r="7" spans="1:25" s="16" customFormat="1">
      <c r="A7" s="567" t="s">
        <v>1039</v>
      </c>
      <c r="B7" s="208" t="s">
        <v>234</v>
      </c>
      <c r="C7" s="208">
        <v>2942.2087618999999</v>
      </c>
      <c r="D7" s="208" t="s">
        <v>234</v>
      </c>
      <c r="E7" s="208">
        <v>30160.0312982</v>
      </c>
      <c r="F7" s="301" t="s">
        <v>234</v>
      </c>
      <c r="G7" s="208">
        <v>3489.6458468999999</v>
      </c>
      <c r="H7" s="301" t="s">
        <v>234</v>
      </c>
      <c r="I7" s="208">
        <v>10273.338095399999</v>
      </c>
      <c r="J7" s="301" t="s">
        <v>234</v>
      </c>
      <c r="K7" s="232">
        <v>0</v>
      </c>
      <c r="L7" s="209" t="s">
        <v>234</v>
      </c>
      <c r="M7" s="235">
        <v>4624.4736579999999</v>
      </c>
      <c r="N7" s="209" t="s">
        <v>234</v>
      </c>
      <c r="O7" s="234">
        <v>3489.6458468999999</v>
      </c>
      <c r="P7" s="209" t="s">
        <v>234</v>
      </c>
      <c r="Q7" s="235">
        <v>2703.4940821</v>
      </c>
      <c r="R7" s="209" t="s">
        <v>234</v>
      </c>
      <c r="S7" s="234">
        <v>0</v>
      </c>
      <c r="T7" s="209" t="s">
        <v>234</v>
      </c>
      <c r="U7" s="235">
        <v>1180.2934208000001</v>
      </c>
      <c r="V7" s="209" t="s">
        <v>234</v>
      </c>
      <c r="W7" s="234">
        <v>0</v>
      </c>
      <c r="X7" s="209" t="s">
        <v>234</v>
      </c>
      <c r="Y7" s="235">
        <v>1765.0769344999999</v>
      </c>
    </row>
    <row r="8" spans="1:25" s="16" customFormat="1">
      <c r="A8" s="567" t="s">
        <v>1040</v>
      </c>
      <c r="B8" s="208" t="s">
        <v>234</v>
      </c>
      <c r="C8" s="208">
        <v>4564.8984638000002</v>
      </c>
      <c r="D8" s="208" t="s">
        <v>234</v>
      </c>
      <c r="E8" s="208">
        <v>24200.778626200001</v>
      </c>
      <c r="F8" s="301" t="s">
        <v>234</v>
      </c>
      <c r="G8" s="208">
        <v>2257.5513492999999</v>
      </c>
      <c r="H8" s="301" t="s">
        <v>234</v>
      </c>
      <c r="I8" s="208">
        <v>5477.6258603999995</v>
      </c>
      <c r="J8" s="301" t="s">
        <v>234</v>
      </c>
      <c r="K8" s="232">
        <v>0</v>
      </c>
      <c r="L8" s="209" t="s">
        <v>234</v>
      </c>
      <c r="M8" s="235">
        <v>430.1999725</v>
      </c>
      <c r="N8" s="209" t="s">
        <v>234</v>
      </c>
      <c r="O8" s="210">
        <v>2125.5513492999999</v>
      </c>
      <c r="P8" s="209" t="s">
        <v>234</v>
      </c>
      <c r="Q8" s="235">
        <v>1288.9614293</v>
      </c>
      <c r="R8" s="209" t="s">
        <v>234</v>
      </c>
      <c r="S8" s="210">
        <v>132</v>
      </c>
      <c r="T8" s="209" t="s">
        <v>234</v>
      </c>
      <c r="U8" s="235">
        <v>645.10322650000001</v>
      </c>
      <c r="V8" s="209" t="s">
        <v>234</v>
      </c>
      <c r="W8" s="234">
        <v>0</v>
      </c>
      <c r="X8" s="209" t="s">
        <v>234</v>
      </c>
      <c r="Y8" s="235">
        <v>3113.3612321000001</v>
      </c>
    </row>
    <row r="9" spans="1:25" s="16" customFormat="1">
      <c r="A9" s="566" t="s">
        <v>1041</v>
      </c>
      <c r="B9" s="208">
        <v>3</v>
      </c>
      <c r="C9" s="208">
        <v>121.60543999999999</v>
      </c>
      <c r="D9" s="208">
        <v>193</v>
      </c>
      <c r="E9" s="208">
        <v>5973.859480000001</v>
      </c>
      <c r="F9" s="208">
        <v>1</v>
      </c>
      <c r="G9" s="208">
        <v>32.520000000000003</v>
      </c>
      <c r="H9" s="208">
        <v>85</v>
      </c>
      <c r="I9" s="208">
        <v>2912.7607600000001</v>
      </c>
      <c r="J9" s="208">
        <v>0</v>
      </c>
      <c r="K9" s="232">
        <v>0</v>
      </c>
      <c r="L9" s="178">
        <v>23</v>
      </c>
      <c r="M9" s="210">
        <v>672.70851999999991</v>
      </c>
      <c r="N9" s="209">
        <v>0</v>
      </c>
      <c r="O9" s="237">
        <v>0</v>
      </c>
      <c r="P9" s="178">
        <v>21</v>
      </c>
      <c r="Q9" s="210">
        <v>527.21852000000001</v>
      </c>
      <c r="R9" s="209">
        <v>1</v>
      </c>
      <c r="S9" s="237">
        <v>32.520000000000003</v>
      </c>
      <c r="T9" s="178">
        <v>16</v>
      </c>
      <c r="U9" s="210">
        <v>530.8180000000001</v>
      </c>
      <c r="V9" s="209">
        <v>0</v>
      </c>
      <c r="W9" s="237">
        <v>0</v>
      </c>
      <c r="X9" s="178">
        <v>25</v>
      </c>
      <c r="Y9" s="210">
        <f>SUM(Y10:Y11)</f>
        <v>1182.0157199999999</v>
      </c>
    </row>
    <row r="10" spans="1:25" s="16" customFormat="1">
      <c r="A10" s="567" t="s">
        <v>1039</v>
      </c>
      <c r="B10" s="208" t="s">
        <v>234</v>
      </c>
      <c r="C10" s="208">
        <v>6.08</v>
      </c>
      <c r="D10" s="208" t="s">
        <v>234</v>
      </c>
      <c r="E10" s="208">
        <v>322.28524649999997</v>
      </c>
      <c r="F10" s="301" t="s">
        <v>234</v>
      </c>
      <c r="G10" s="208">
        <v>9.2880000000000003</v>
      </c>
      <c r="H10" s="301" t="s">
        <v>234</v>
      </c>
      <c r="I10" s="208">
        <v>212.01756</v>
      </c>
      <c r="J10" s="301" t="s">
        <v>234</v>
      </c>
      <c r="K10" s="232">
        <v>0</v>
      </c>
      <c r="L10" s="209" t="s">
        <v>234</v>
      </c>
      <c r="M10" s="210">
        <v>0</v>
      </c>
      <c r="N10" s="209" t="s">
        <v>234</v>
      </c>
      <c r="O10" s="234">
        <v>0</v>
      </c>
      <c r="P10" s="209" t="s">
        <v>234</v>
      </c>
      <c r="Q10" s="210">
        <v>6.5987999999999998</v>
      </c>
      <c r="R10" s="209" t="s">
        <v>234</v>
      </c>
      <c r="S10" s="234">
        <v>9.2880000000000003</v>
      </c>
      <c r="T10" s="209" t="s">
        <v>234</v>
      </c>
      <c r="U10" s="210">
        <v>48.536000000000001</v>
      </c>
      <c r="V10" s="209" t="s">
        <v>234</v>
      </c>
      <c r="W10" s="234">
        <v>0</v>
      </c>
      <c r="X10" s="209" t="s">
        <v>234</v>
      </c>
      <c r="Y10" s="210">
        <v>156.88276000000002</v>
      </c>
    </row>
    <row r="11" spans="1:25" s="16" customFormat="1">
      <c r="A11" s="567" t="s">
        <v>1040</v>
      </c>
      <c r="B11" s="208" t="s">
        <v>234</v>
      </c>
      <c r="C11" s="208">
        <v>115.52356</v>
      </c>
      <c r="D11" s="208" t="s">
        <v>234</v>
      </c>
      <c r="E11" s="208">
        <v>5651.7001455</v>
      </c>
      <c r="F11" s="301" t="s">
        <v>234</v>
      </c>
      <c r="G11" s="208">
        <v>23.231999999999999</v>
      </c>
      <c r="H11" s="301" t="s">
        <v>234</v>
      </c>
      <c r="I11" s="208">
        <v>2700.7884799999997</v>
      </c>
      <c r="J11" s="301" t="s">
        <v>234</v>
      </c>
      <c r="K11" s="232">
        <v>0</v>
      </c>
      <c r="L11" s="209" t="s">
        <v>234</v>
      </c>
      <c r="M11" s="210">
        <v>672.72667999999987</v>
      </c>
      <c r="N11" s="209" t="s">
        <v>234</v>
      </c>
      <c r="O11" s="234">
        <v>0</v>
      </c>
      <c r="P11" s="209" t="s">
        <v>234</v>
      </c>
      <c r="Q11" s="210">
        <v>520.62464</v>
      </c>
      <c r="R11" s="209" t="s">
        <v>234</v>
      </c>
      <c r="S11" s="234">
        <v>23.231999999999999</v>
      </c>
      <c r="T11" s="209" t="s">
        <v>234</v>
      </c>
      <c r="U11" s="210">
        <v>482.30420000000004</v>
      </c>
      <c r="V11" s="209" t="s">
        <v>234</v>
      </c>
      <c r="W11" s="234">
        <v>0</v>
      </c>
      <c r="X11" s="209" t="s">
        <v>234</v>
      </c>
      <c r="Y11" s="210">
        <v>1025.1329599999999</v>
      </c>
    </row>
    <row r="12" spans="1:25" s="16" customFormat="1">
      <c r="A12" s="566" t="s">
        <v>1042</v>
      </c>
      <c r="B12" s="208">
        <v>12</v>
      </c>
      <c r="C12" s="208">
        <v>7627.8795469999995</v>
      </c>
      <c r="D12" s="208">
        <v>260</v>
      </c>
      <c r="E12" s="208">
        <v>60327.432691499991</v>
      </c>
      <c r="F12" s="178">
        <v>4</v>
      </c>
      <c r="G12" s="237">
        <v>5779.1658592000003</v>
      </c>
      <c r="H12" s="178">
        <v>100</v>
      </c>
      <c r="I12" s="235">
        <v>18662.633510400003</v>
      </c>
      <c r="J12" s="178">
        <f t="shared" ref="J12:Y12" si="0">J9+J6</f>
        <v>0</v>
      </c>
      <c r="K12" s="237">
        <f t="shared" si="0"/>
        <v>0</v>
      </c>
      <c r="L12" s="178">
        <f t="shared" si="0"/>
        <v>26</v>
      </c>
      <c r="M12" s="235">
        <f t="shared" si="0"/>
        <v>5727.3785200000002</v>
      </c>
      <c r="N12" s="178">
        <f t="shared" si="0"/>
        <v>2</v>
      </c>
      <c r="O12" s="237">
        <f t="shared" si="0"/>
        <v>5614.6458591999999</v>
      </c>
      <c r="P12" s="178">
        <f t="shared" si="0"/>
        <v>24</v>
      </c>
      <c r="Q12" s="235">
        <f t="shared" si="0"/>
        <v>4518.7031038000005</v>
      </c>
      <c r="R12" s="178">
        <f t="shared" si="0"/>
        <v>2</v>
      </c>
      <c r="S12" s="237">
        <f t="shared" si="0"/>
        <v>164.52</v>
      </c>
      <c r="T12" s="178">
        <f t="shared" si="0"/>
        <v>20</v>
      </c>
      <c r="U12" s="235">
        <f t="shared" si="0"/>
        <v>2356.0980000000004</v>
      </c>
      <c r="V12" s="178">
        <f t="shared" si="0"/>
        <v>0</v>
      </c>
      <c r="W12" s="237">
        <f t="shared" si="0"/>
        <v>0</v>
      </c>
      <c r="X12" s="178">
        <f t="shared" si="0"/>
        <v>30</v>
      </c>
      <c r="Y12" s="235">
        <f t="shared" si="0"/>
        <v>6060.4538866000003</v>
      </c>
    </row>
    <row r="13" spans="1:25" s="16" customFormat="1">
      <c r="A13" s="568" t="s">
        <v>1043</v>
      </c>
      <c r="B13" s="208" t="s">
        <v>234</v>
      </c>
      <c r="C13" s="208">
        <v>2948.2887618999998</v>
      </c>
      <c r="D13" s="208" t="s">
        <v>234</v>
      </c>
      <c r="E13" s="208">
        <v>30482.316544699999</v>
      </c>
      <c r="F13" s="209" t="s">
        <v>234</v>
      </c>
      <c r="G13" s="237">
        <v>3498.9338468999999</v>
      </c>
      <c r="H13" s="209" t="s">
        <v>234</v>
      </c>
      <c r="I13" s="235">
        <v>10485.355655399999</v>
      </c>
      <c r="J13" s="209" t="s">
        <v>234</v>
      </c>
      <c r="K13" s="237">
        <f>K7+K10</f>
        <v>0</v>
      </c>
      <c r="L13" s="209" t="s">
        <v>234</v>
      </c>
      <c r="M13" s="235">
        <f>M7+M10</f>
        <v>4624.4736579999999</v>
      </c>
      <c r="N13" s="209" t="s">
        <v>234</v>
      </c>
      <c r="O13" s="237">
        <f>O7+O10</f>
        <v>3489.6458468999999</v>
      </c>
      <c r="P13" s="209" t="s">
        <v>234</v>
      </c>
      <c r="Q13" s="235">
        <f>Q7+Q10</f>
        <v>2710.0928821000002</v>
      </c>
      <c r="R13" s="209" t="s">
        <v>234</v>
      </c>
      <c r="S13" s="237">
        <f>S7+S10</f>
        <v>9.2880000000000003</v>
      </c>
      <c r="T13" s="209" t="s">
        <v>234</v>
      </c>
      <c r="U13" s="235">
        <f>U7+U10</f>
        <v>1228.8294208000002</v>
      </c>
      <c r="V13" s="209" t="s">
        <v>234</v>
      </c>
      <c r="W13" s="237">
        <f>W7+W10</f>
        <v>0</v>
      </c>
      <c r="X13" s="209" t="s">
        <v>234</v>
      </c>
      <c r="Y13" s="235">
        <f>Y7+Y10</f>
        <v>1921.9596944999998</v>
      </c>
    </row>
    <row r="14" spans="1:25" s="16" customFormat="1">
      <c r="A14" s="568" t="s">
        <v>1044</v>
      </c>
      <c r="B14" s="208" t="s">
        <v>234</v>
      </c>
      <c r="C14" s="208">
        <v>4680.4220237999998</v>
      </c>
      <c r="D14" s="208" t="s">
        <v>234</v>
      </c>
      <c r="E14" s="208">
        <v>29852.4787717</v>
      </c>
      <c r="F14" s="209" t="s">
        <v>234</v>
      </c>
      <c r="G14" s="237">
        <v>2280.7833492999998</v>
      </c>
      <c r="H14" s="209" t="s">
        <v>234</v>
      </c>
      <c r="I14" s="235">
        <v>8178.4143403999988</v>
      </c>
      <c r="J14" s="209" t="s">
        <v>234</v>
      </c>
      <c r="K14" s="237">
        <f>K8+K11</f>
        <v>0</v>
      </c>
      <c r="L14" s="209" t="s">
        <v>234</v>
      </c>
      <c r="M14" s="235">
        <f>M11+M8</f>
        <v>1102.9266524999998</v>
      </c>
      <c r="N14" s="209" t="s">
        <v>234</v>
      </c>
      <c r="O14" s="237">
        <f>O8+O11</f>
        <v>2125.5513492999999</v>
      </c>
      <c r="P14" s="209" t="s">
        <v>234</v>
      </c>
      <c r="Q14" s="235">
        <f>Q11+Q8</f>
        <v>1809.5860693</v>
      </c>
      <c r="R14" s="209" t="s">
        <v>234</v>
      </c>
      <c r="S14" s="237">
        <f>S8+S11</f>
        <v>155.232</v>
      </c>
      <c r="T14" s="209" t="s">
        <v>234</v>
      </c>
      <c r="U14" s="235">
        <f>U11+U8</f>
        <v>1127.4074264999999</v>
      </c>
      <c r="V14" s="209" t="s">
        <v>234</v>
      </c>
      <c r="W14" s="237">
        <f>W8+W11</f>
        <v>0</v>
      </c>
      <c r="X14" s="209" t="s">
        <v>234</v>
      </c>
      <c r="Y14" s="235">
        <f>Y11+Y8</f>
        <v>4138.4941921</v>
      </c>
    </row>
    <row r="15" spans="1:25" s="16" customFormat="1">
      <c r="A15" s="566" t="s">
        <v>1045</v>
      </c>
      <c r="B15" s="208">
        <v>0</v>
      </c>
      <c r="C15" s="208">
        <v>0</v>
      </c>
      <c r="D15" s="208">
        <v>0</v>
      </c>
      <c r="E15" s="208">
        <v>0</v>
      </c>
      <c r="F15" s="208">
        <v>0</v>
      </c>
      <c r="G15" s="208">
        <v>0</v>
      </c>
      <c r="H15" s="208">
        <v>2</v>
      </c>
      <c r="I15" s="208">
        <v>18149.992499299999</v>
      </c>
      <c r="J15" s="234">
        <f>J16+J17</f>
        <v>0</v>
      </c>
      <c r="K15" s="234">
        <f>K16+K17</f>
        <v>0</v>
      </c>
      <c r="L15" s="234">
        <v>1</v>
      </c>
      <c r="M15" s="377">
        <v>17999.999999299998</v>
      </c>
      <c r="N15" s="234">
        <f t="shared" ref="N15:Y15" si="1">N16+N17</f>
        <v>0</v>
      </c>
      <c r="O15" s="234">
        <f t="shared" si="1"/>
        <v>0</v>
      </c>
      <c r="P15" s="234">
        <f t="shared" si="1"/>
        <v>0</v>
      </c>
      <c r="Q15" s="234">
        <f t="shared" si="1"/>
        <v>0</v>
      </c>
      <c r="R15" s="234">
        <f t="shared" si="1"/>
        <v>0</v>
      </c>
      <c r="S15" s="234">
        <f t="shared" si="1"/>
        <v>0</v>
      </c>
      <c r="T15" s="234">
        <f t="shared" si="1"/>
        <v>0</v>
      </c>
      <c r="U15" s="234">
        <f t="shared" si="1"/>
        <v>0</v>
      </c>
      <c r="V15" s="234">
        <f t="shared" si="1"/>
        <v>0</v>
      </c>
      <c r="W15" s="234">
        <f t="shared" si="1"/>
        <v>0</v>
      </c>
      <c r="X15" s="234">
        <f t="shared" si="1"/>
        <v>1</v>
      </c>
      <c r="Y15" s="234">
        <f t="shared" si="1"/>
        <v>149.99250000000001</v>
      </c>
    </row>
    <row r="16" spans="1:25" s="16" customFormat="1">
      <c r="A16" s="567" t="s">
        <v>1039</v>
      </c>
      <c r="B16" s="208">
        <v>0</v>
      </c>
      <c r="C16" s="208">
        <v>0</v>
      </c>
      <c r="D16" s="208">
        <v>0</v>
      </c>
      <c r="E16" s="208">
        <v>0</v>
      </c>
      <c r="F16" s="208">
        <v>0</v>
      </c>
      <c r="G16" s="208">
        <v>0</v>
      </c>
      <c r="H16" s="208">
        <v>0</v>
      </c>
      <c r="I16" s="208">
        <v>0</v>
      </c>
      <c r="J16" s="209">
        <v>0</v>
      </c>
      <c r="K16" s="209">
        <v>0</v>
      </c>
      <c r="L16" s="209">
        <v>0</v>
      </c>
      <c r="M16" s="209">
        <v>0</v>
      </c>
      <c r="N16" s="209">
        <v>0</v>
      </c>
      <c r="O16" s="209">
        <v>0</v>
      </c>
      <c r="P16" s="209">
        <v>0</v>
      </c>
      <c r="Q16" s="209">
        <v>0</v>
      </c>
      <c r="R16" s="209">
        <v>0</v>
      </c>
      <c r="S16" s="209">
        <v>0</v>
      </c>
      <c r="T16" s="209">
        <v>0</v>
      </c>
      <c r="U16" s="209">
        <v>0</v>
      </c>
      <c r="V16" s="209">
        <v>0</v>
      </c>
      <c r="W16" s="209">
        <v>0</v>
      </c>
      <c r="X16" s="209">
        <v>0</v>
      </c>
      <c r="Y16" s="209">
        <v>0</v>
      </c>
    </row>
    <row r="17" spans="1:25" s="16" customFormat="1">
      <c r="A17" s="567" t="s">
        <v>1040</v>
      </c>
      <c r="B17" s="208">
        <v>0</v>
      </c>
      <c r="C17" s="208">
        <v>0</v>
      </c>
      <c r="D17" s="208">
        <v>0</v>
      </c>
      <c r="E17" s="208">
        <v>0</v>
      </c>
      <c r="F17" s="208">
        <v>0</v>
      </c>
      <c r="G17" s="208">
        <v>0</v>
      </c>
      <c r="H17" s="208">
        <v>2</v>
      </c>
      <c r="I17" s="208">
        <v>18149.992499299999</v>
      </c>
      <c r="J17" s="209">
        <v>0</v>
      </c>
      <c r="K17" s="234">
        <v>0</v>
      </c>
      <c r="L17" s="209">
        <v>1</v>
      </c>
      <c r="M17" s="377">
        <v>17999.999999299998</v>
      </c>
      <c r="N17" s="209">
        <v>0</v>
      </c>
      <c r="O17" s="209">
        <v>0</v>
      </c>
      <c r="P17" s="209">
        <v>0</v>
      </c>
      <c r="Q17" s="209">
        <v>0</v>
      </c>
      <c r="R17" s="209">
        <v>0</v>
      </c>
      <c r="S17" s="209">
        <v>0</v>
      </c>
      <c r="T17" s="209">
        <v>0</v>
      </c>
      <c r="U17" s="209">
        <v>0</v>
      </c>
      <c r="V17" s="209">
        <v>0</v>
      </c>
      <c r="W17" s="209">
        <v>0</v>
      </c>
      <c r="X17" s="209">
        <v>1</v>
      </c>
      <c r="Y17" s="234">
        <v>149.99250000000001</v>
      </c>
    </row>
    <row r="18" spans="1:25" s="16" customFormat="1">
      <c r="A18" s="566" t="s">
        <v>1046</v>
      </c>
      <c r="B18" s="208">
        <v>0</v>
      </c>
      <c r="C18" s="208">
        <v>0</v>
      </c>
      <c r="D18" s="208">
        <v>1</v>
      </c>
      <c r="E18" s="208">
        <v>27</v>
      </c>
      <c r="F18" s="208">
        <v>0</v>
      </c>
      <c r="G18" s="208">
        <v>0</v>
      </c>
      <c r="H18" s="208">
        <v>0</v>
      </c>
      <c r="I18" s="208">
        <v>0</v>
      </c>
      <c r="J18" s="234">
        <f t="shared" ref="J18:Y18" si="2">J19+J20</f>
        <v>0</v>
      </c>
      <c r="K18" s="234">
        <f t="shared" si="2"/>
        <v>0</v>
      </c>
      <c r="L18" s="234">
        <f t="shared" si="2"/>
        <v>0</v>
      </c>
      <c r="M18" s="234">
        <f t="shared" si="2"/>
        <v>0</v>
      </c>
      <c r="N18" s="234">
        <f t="shared" si="2"/>
        <v>0</v>
      </c>
      <c r="O18" s="234">
        <f t="shared" si="2"/>
        <v>0</v>
      </c>
      <c r="P18" s="234">
        <f t="shared" si="2"/>
        <v>0</v>
      </c>
      <c r="Q18" s="234">
        <f t="shared" si="2"/>
        <v>0</v>
      </c>
      <c r="R18" s="234">
        <f t="shared" si="2"/>
        <v>0</v>
      </c>
      <c r="S18" s="234">
        <f t="shared" si="2"/>
        <v>0</v>
      </c>
      <c r="T18" s="234">
        <f t="shared" si="2"/>
        <v>0</v>
      </c>
      <c r="U18" s="234">
        <f t="shared" si="2"/>
        <v>0</v>
      </c>
      <c r="V18" s="234">
        <f t="shared" si="2"/>
        <v>0</v>
      </c>
      <c r="W18" s="234">
        <f t="shared" si="2"/>
        <v>0</v>
      </c>
      <c r="X18" s="234">
        <f t="shared" si="2"/>
        <v>0</v>
      </c>
      <c r="Y18" s="234">
        <f t="shared" si="2"/>
        <v>0</v>
      </c>
    </row>
    <row r="19" spans="1:25" s="16" customFormat="1">
      <c r="A19" s="567" t="s">
        <v>1039</v>
      </c>
      <c r="B19" s="208">
        <v>0</v>
      </c>
      <c r="C19" s="208">
        <v>0</v>
      </c>
      <c r="D19" s="208">
        <v>0</v>
      </c>
      <c r="E19" s="208">
        <v>0</v>
      </c>
      <c r="F19" s="208">
        <v>0</v>
      </c>
      <c r="G19" s="208">
        <v>0</v>
      </c>
      <c r="H19" s="208">
        <v>0</v>
      </c>
      <c r="I19" s="208">
        <v>0</v>
      </c>
      <c r="J19" s="209">
        <v>0</v>
      </c>
      <c r="K19" s="209">
        <v>0</v>
      </c>
      <c r="L19" s="209">
        <v>0</v>
      </c>
      <c r="M19" s="209">
        <v>0</v>
      </c>
      <c r="N19" s="209">
        <v>0</v>
      </c>
      <c r="O19" s="209">
        <v>0</v>
      </c>
      <c r="P19" s="209">
        <v>0</v>
      </c>
      <c r="Q19" s="209">
        <v>0</v>
      </c>
      <c r="R19" s="209">
        <v>0</v>
      </c>
      <c r="S19" s="209">
        <v>0</v>
      </c>
      <c r="T19" s="209">
        <v>0</v>
      </c>
      <c r="U19" s="209">
        <v>0</v>
      </c>
      <c r="V19" s="209">
        <v>0</v>
      </c>
      <c r="W19" s="209">
        <v>0</v>
      </c>
      <c r="X19" s="209">
        <v>0</v>
      </c>
      <c r="Y19" s="209">
        <v>0</v>
      </c>
    </row>
    <row r="20" spans="1:25" s="16" customFormat="1">
      <c r="A20" s="567" t="s">
        <v>1040</v>
      </c>
      <c r="B20" s="208">
        <v>0</v>
      </c>
      <c r="C20" s="208">
        <v>0</v>
      </c>
      <c r="D20" s="208">
        <v>1</v>
      </c>
      <c r="E20" s="208">
        <v>27</v>
      </c>
      <c r="F20" s="208">
        <v>0</v>
      </c>
      <c r="G20" s="208">
        <v>0</v>
      </c>
      <c r="H20" s="208">
        <v>0</v>
      </c>
      <c r="I20" s="208">
        <v>0</v>
      </c>
      <c r="J20" s="209">
        <v>0</v>
      </c>
      <c r="K20" s="209">
        <v>0</v>
      </c>
      <c r="L20" s="209">
        <v>0</v>
      </c>
      <c r="M20" s="209">
        <v>0</v>
      </c>
      <c r="N20" s="209">
        <v>0</v>
      </c>
      <c r="O20" s="209">
        <v>0</v>
      </c>
      <c r="P20" s="209">
        <v>0</v>
      </c>
      <c r="Q20" s="209">
        <v>0</v>
      </c>
      <c r="R20" s="209">
        <v>0</v>
      </c>
      <c r="S20" s="209">
        <v>0</v>
      </c>
      <c r="T20" s="209">
        <v>0</v>
      </c>
      <c r="U20" s="209">
        <v>0</v>
      </c>
      <c r="V20" s="209">
        <v>0</v>
      </c>
      <c r="W20" s="209">
        <v>0</v>
      </c>
      <c r="X20" s="209">
        <v>0</v>
      </c>
      <c r="Y20" s="209">
        <v>0</v>
      </c>
    </row>
    <row r="21" spans="1:25" s="16" customFormat="1">
      <c r="A21" s="566" t="s">
        <v>1047</v>
      </c>
      <c r="B21" s="208">
        <v>0</v>
      </c>
      <c r="C21" s="208">
        <v>0</v>
      </c>
      <c r="D21" s="208">
        <v>1</v>
      </c>
      <c r="E21" s="208">
        <v>27</v>
      </c>
      <c r="F21" s="209">
        <v>0</v>
      </c>
      <c r="G21" s="209">
        <v>0</v>
      </c>
      <c r="H21" s="209">
        <v>2</v>
      </c>
      <c r="I21" s="209">
        <v>18149.992499299999</v>
      </c>
      <c r="J21" s="209">
        <f t="shared" ref="J21:Y21" si="3">J18+J15</f>
        <v>0</v>
      </c>
      <c r="K21" s="209">
        <f t="shared" si="3"/>
        <v>0</v>
      </c>
      <c r="L21" s="209">
        <f t="shared" si="3"/>
        <v>1</v>
      </c>
      <c r="M21" s="209">
        <f t="shared" si="3"/>
        <v>17999.999999299998</v>
      </c>
      <c r="N21" s="209">
        <f t="shared" si="3"/>
        <v>0</v>
      </c>
      <c r="O21" s="209">
        <f t="shared" si="3"/>
        <v>0</v>
      </c>
      <c r="P21" s="209">
        <f t="shared" si="3"/>
        <v>0</v>
      </c>
      <c r="Q21" s="209">
        <f t="shared" si="3"/>
        <v>0</v>
      </c>
      <c r="R21" s="209">
        <f t="shared" si="3"/>
        <v>0</v>
      </c>
      <c r="S21" s="209">
        <f t="shared" si="3"/>
        <v>0</v>
      </c>
      <c r="T21" s="209">
        <f t="shared" si="3"/>
        <v>0</v>
      </c>
      <c r="U21" s="209">
        <f t="shared" si="3"/>
        <v>0</v>
      </c>
      <c r="V21" s="209">
        <f t="shared" si="3"/>
        <v>0</v>
      </c>
      <c r="W21" s="209">
        <f t="shared" si="3"/>
        <v>0</v>
      </c>
      <c r="X21" s="209">
        <f t="shared" si="3"/>
        <v>1</v>
      </c>
      <c r="Y21" s="209">
        <f t="shared" si="3"/>
        <v>149.99250000000001</v>
      </c>
    </row>
    <row r="22" spans="1:25" s="16" customFormat="1">
      <c r="A22" s="568" t="s">
        <v>1039</v>
      </c>
      <c r="B22" s="208">
        <v>0</v>
      </c>
      <c r="C22" s="208">
        <v>0</v>
      </c>
      <c r="D22" s="208">
        <v>0</v>
      </c>
      <c r="E22" s="208">
        <v>0</v>
      </c>
      <c r="F22" s="209">
        <v>0</v>
      </c>
      <c r="G22" s="209">
        <v>0</v>
      </c>
      <c r="H22" s="209">
        <v>0</v>
      </c>
      <c r="I22" s="209">
        <v>0</v>
      </c>
      <c r="J22" s="209">
        <f t="shared" ref="J22:Y22" si="4">J16+J19</f>
        <v>0</v>
      </c>
      <c r="K22" s="209">
        <f t="shared" si="4"/>
        <v>0</v>
      </c>
      <c r="L22" s="209">
        <f t="shared" si="4"/>
        <v>0</v>
      </c>
      <c r="M22" s="209">
        <f t="shared" si="4"/>
        <v>0</v>
      </c>
      <c r="N22" s="209">
        <f t="shared" si="4"/>
        <v>0</v>
      </c>
      <c r="O22" s="209">
        <f t="shared" si="4"/>
        <v>0</v>
      </c>
      <c r="P22" s="209">
        <f t="shared" si="4"/>
        <v>0</v>
      </c>
      <c r="Q22" s="209">
        <f t="shared" si="4"/>
        <v>0</v>
      </c>
      <c r="R22" s="209">
        <f t="shared" si="4"/>
        <v>0</v>
      </c>
      <c r="S22" s="209">
        <f t="shared" si="4"/>
        <v>0</v>
      </c>
      <c r="T22" s="209">
        <f t="shared" si="4"/>
        <v>0</v>
      </c>
      <c r="U22" s="209">
        <f t="shared" si="4"/>
        <v>0</v>
      </c>
      <c r="V22" s="209">
        <f t="shared" si="4"/>
        <v>0</v>
      </c>
      <c r="W22" s="209">
        <f t="shared" si="4"/>
        <v>0</v>
      </c>
      <c r="X22" s="209">
        <f t="shared" si="4"/>
        <v>0</v>
      </c>
      <c r="Y22" s="209">
        <f t="shared" si="4"/>
        <v>0</v>
      </c>
    </row>
    <row r="23" spans="1:25" s="16" customFormat="1">
      <c r="A23" s="568" t="s">
        <v>1040</v>
      </c>
      <c r="B23" s="208">
        <v>0</v>
      </c>
      <c r="C23" s="208">
        <v>0</v>
      </c>
      <c r="D23" s="208">
        <v>1</v>
      </c>
      <c r="E23" s="208">
        <v>27</v>
      </c>
      <c r="F23" s="209">
        <v>0</v>
      </c>
      <c r="G23" s="209">
        <v>0</v>
      </c>
      <c r="H23" s="209">
        <v>2</v>
      </c>
      <c r="I23" s="209">
        <v>18149.992499299999</v>
      </c>
      <c r="J23" s="209">
        <f t="shared" ref="J23:Y23" si="5">J20+J17</f>
        <v>0</v>
      </c>
      <c r="K23" s="209">
        <f t="shared" si="5"/>
        <v>0</v>
      </c>
      <c r="L23" s="209">
        <f t="shared" si="5"/>
        <v>1</v>
      </c>
      <c r="M23" s="209">
        <f t="shared" si="5"/>
        <v>17999.999999299998</v>
      </c>
      <c r="N23" s="209">
        <f t="shared" si="5"/>
        <v>0</v>
      </c>
      <c r="O23" s="209">
        <f t="shared" si="5"/>
        <v>0</v>
      </c>
      <c r="P23" s="209">
        <f t="shared" si="5"/>
        <v>0</v>
      </c>
      <c r="Q23" s="209">
        <f t="shared" si="5"/>
        <v>0</v>
      </c>
      <c r="R23" s="209">
        <f t="shared" si="5"/>
        <v>0</v>
      </c>
      <c r="S23" s="209">
        <f t="shared" si="5"/>
        <v>0</v>
      </c>
      <c r="T23" s="209">
        <f t="shared" si="5"/>
        <v>0</v>
      </c>
      <c r="U23" s="209">
        <f t="shared" si="5"/>
        <v>0</v>
      </c>
      <c r="V23" s="209">
        <f t="shared" si="5"/>
        <v>0</v>
      </c>
      <c r="W23" s="209">
        <f t="shared" si="5"/>
        <v>0</v>
      </c>
      <c r="X23" s="209">
        <f t="shared" si="5"/>
        <v>1</v>
      </c>
      <c r="Y23" s="209">
        <f t="shared" si="5"/>
        <v>149.99250000000001</v>
      </c>
    </row>
    <row r="24" spans="1:25" s="16" customFormat="1">
      <c r="A24" s="569" t="s">
        <v>1048</v>
      </c>
      <c r="B24" s="303">
        <f>B12+B21</f>
        <v>12</v>
      </c>
      <c r="C24" s="307">
        <f t="shared" ref="C24" si="6">C12+C21</f>
        <v>7627.8795469999995</v>
      </c>
      <c r="D24" s="303">
        <f>D12+D21</f>
        <v>261</v>
      </c>
      <c r="E24" s="308">
        <f>E12+E21</f>
        <v>60354.432691499991</v>
      </c>
      <c r="F24" s="303">
        <v>4</v>
      </c>
      <c r="G24" s="307">
        <v>5779.1658592000003</v>
      </c>
      <c r="H24" s="303">
        <v>102</v>
      </c>
      <c r="I24" s="308">
        <v>36812.626009700005</v>
      </c>
      <c r="J24" s="303">
        <f t="shared" ref="J24:Q26" si="7">J12+J21</f>
        <v>0</v>
      </c>
      <c r="K24" s="307">
        <f t="shared" si="7"/>
        <v>0</v>
      </c>
      <c r="L24" s="303">
        <f t="shared" si="7"/>
        <v>27</v>
      </c>
      <c r="M24" s="308">
        <f t="shared" si="7"/>
        <v>23727.3785193</v>
      </c>
      <c r="N24" s="303">
        <f t="shared" si="7"/>
        <v>2</v>
      </c>
      <c r="O24" s="307">
        <f t="shared" si="7"/>
        <v>5614.6458591999999</v>
      </c>
      <c r="P24" s="303">
        <f t="shared" si="7"/>
        <v>24</v>
      </c>
      <c r="Q24" s="308">
        <f t="shared" si="7"/>
        <v>4518.7031038000005</v>
      </c>
      <c r="R24" s="303">
        <f>R12+R21</f>
        <v>2</v>
      </c>
      <c r="S24" s="307">
        <f t="shared" ref="S24:U26" si="8">S12+S21</f>
        <v>164.52</v>
      </c>
      <c r="T24" s="303">
        <f t="shared" si="8"/>
        <v>20</v>
      </c>
      <c r="U24" s="308">
        <f t="shared" si="8"/>
        <v>2356.0980000000004</v>
      </c>
      <c r="V24" s="303">
        <f>V12+V21</f>
        <v>0</v>
      </c>
      <c r="W24" s="307">
        <f t="shared" ref="W24:Y26" si="9">W12+W21</f>
        <v>0</v>
      </c>
      <c r="X24" s="303">
        <f>X12+X21</f>
        <v>31</v>
      </c>
      <c r="Y24" s="308">
        <f>Y12+Y21</f>
        <v>6210.4463866000006</v>
      </c>
    </row>
    <row r="25" spans="1:25" s="16" customFormat="1">
      <c r="A25" s="570" t="s">
        <v>1043</v>
      </c>
      <c r="B25" s="303" t="s">
        <v>234</v>
      </c>
      <c r="C25" s="305">
        <f>C13+C22</f>
        <v>2948.2887618999998</v>
      </c>
      <c r="D25" s="303" t="s">
        <v>234</v>
      </c>
      <c r="E25" s="309">
        <f t="shared" ref="E25:E26" si="10">E13+E22</f>
        <v>30482.316544699999</v>
      </c>
      <c r="F25" s="303" t="s">
        <v>234</v>
      </c>
      <c r="G25" s="305">
        <v>3498.9338468999999</v>
      </c>
      <c r="H25" s="303" t="s">
        <v>234</v>
      </c>
      <c r="I25" s="309">
        <v>10485.355655399999</v>
      </c>
      <c r="J25" s="303" t="s">
        <v>234</v>
      </c>
      <c r="K25" s="305">
        <f>K13+K22</f>
        <v>0</v>
      </c>
      <c r="L25" s="303" t="s">
        <v>234</v>
      </c>
      <c r="M25" s="309">
        <f>M13+M22</f>
        <v>4624.4736579999999</v>
      </c>
      <c r="N25" s="303" t="s">
        <v>234</v>
      </c>
      <c r="O25" s="305">
        <f t="shared" si="7"/>
        <v>3489.6458468999999</v>
      </c>
      <c r="P25" s="303" t="s">
        <v>234</v>
      </c>
      <c r="Q25" s="309">
        <f t="shared" si="7"/>
        <v>2710.0928821000002</v>
      </c>
      <c r="R25" s="303" t="s">
        <v>234</v>
      </c>
      <c r="S25" s="305">
        <f t="shared" si="8"/>
        <v>9.2880000000000003</v>
      </c>
      <c r="T25" s="303" t="s">
        <v>234</v>
      </c>
      <c r="U25" s="309">
        <f t="shared" si="8"/>
        <v>1228.8294208000002</v>
      </c>
      <c r="V25" s="303" t="s">
        <v>234</v>
      </c>
      <c r="W25" s="305">
        <f t="shared" si="9"/>
        <v>0</v>
      </c>
      <c r="X25" s="303" t="s">
        <v>234</v>
      </c>
      <c r="Y25" s="309">
        <f t="shared" si="9"/>
        <v>1921.9596944999998</v>
      </c>
    </row>
    <row r="26" spans="1:25" s="16" customFormat="1">
      <c r="A26" s="571" t="s">
        <v>1044</v>
      </c>
      <c r="B26" s="303" t="s">
        <v>234</v>
      </c>
      <c r="C26" s="305">
        <f>C14+C23</f>
        <v>4680.4220237999998</v>
      </c>
      <c r="D26" s="303" t="s">
        <v>234</v>
      </c>
      <c r="E26" s="309">
        <f t="shared" si="10"/>
        <v>29879.4787717</v>
      </c>
      <c r="F26" s="303" t="s">
        <v>234</v>
      </c>
      <c r="G26" s="305">
        <v>2280.7833492999998</v>
      </c>
      <c r="H26" s="303" t="s">
        <v>234</v>
      </c>
      <c r="I26" s="309">
        <v>26328.406839699997</v>
      </c>
      <c r="J26" s="303" t="s">
        <v>234</v>
      </c>
      <c r="K26" s="305">
        <f>K14+K23</f>
        <v>0</v>
      </c>
      <c r="L26" s="303" t="s">
        <v>234</v>
      </c>
      <c r="M26" s="309">
        <f>M14+M23</f>
        <v>19102.926651799997</v>
      </c>
      <c r="N26" s="303" t="s">
        <v>234</v>
      </c>
      <c r="O26" s="305">
        <f t="shared" si="7"/>
        <v>2125.5513492999999</v>
      </c>
      <c r="P26" s="303" t="s">
        <v>234</v>
      </c>
      <c r="Q26" s="309">
        <f t="shared" si="7"/>
        <v>1809.5860693</v>
      </c>
      <c r="R26" s="303" t="s">
        <v>234</v>
      </c>
      <c r="S26" s="305">
        <f t="shared" si="8"/>
        <v>155.232</v>
      </c>
      <c r="T26" s="303" t="s">
        <v>234</v>
      </c>
      <c r="U26" s="309">
        <f t="shared" si="8"/>
        <v>1127.4074264999999</v>
      </c>
      <c r="V26" s="303" t="s">
        <v>234</v>
      </c>
      <c r="W26" s="305">
        <f t="shared" si="9"/>
        <v>0</v>
      </c>
      <c r="X26" s="303" t="s">
        <v>234</v>
      </c>
      <c r="Y26" s="309">
        <f t="shared" si="9"/>
        <v>4288.4866921000003</v>
      </c>
    </row>
    <row r="27" spans="1:25" s="16" customFormat="1">
      <c r="A27" s="572" t="s">
        <v>1049</v>
      </c>
      <c r="B27" s="208">
        <v>9</v>
      </c>
      <c r="C27" s="208">
        <v>7241.9912989999993</v>
      </c>
      <c r="D27" s="208">
        <v>58</v>
      </c>
      <c r="E27" s="208">
        <v>7868.2127025000009</v>
      </c>
      <c r="F27" s="208">
        <v>6</v>
      </c>
      <c r="G27" s="208">
        <v>2594.4881</v>
      </c>
      <c r="H27" s="208">
        <v>41</v>
      </c>
      <c r="I27" s="208">
        <v>5045.4624713900002</v>
      </c>
      <c r="J27" s="573">
        <f t="shared" ref="J27:Y27" si="11">SUM(J28:J29)</f>
        <v>2</v>
      </c>
      <c r="K27" s="573">
        <f t="shared" si="11"/>
        <v>1184.1300000000001</v>
      </c>
      <c r="L27" s="573">
        <f t="shared" si="11"/>
        <v>6</v>
      </c>
      <c r="M27" s="573">
        <f t="shared" si="11"/>
        <v>459.05831260000002</v>
      </c>
      <c r="N27" s="573">
        <f t="shared" si="11"/>
        <v>1</v>
      </c>
      <c r="O27" s="573">
        <f t="shared" si="11"/>
        <v>1271.8280999999999</v>
      </c>
      <c r="P27" s="573">
        <f t="shared" si="11"/>
        <v>11</v>
      </c>
      <c r="Q27" s="573">
        <f t="shared" si="11"/>
        <v>883.40640980000012</v>
      </c>
      <c r="R27" s="573">
        <f t="shared" si="11"/>
        <v>2</v>
      </c>
      <c r="S27" s="573">
        <f t="shared" si="11"/>
        <v>90.53</v>
      </c>
      <c r="T27" s="573">
        <f t="shared" si="11"/>
        <v>14</v>
      </c>
      <c r="U27" s="573">
        <f t="shared" si="11"/>
        <v>960.05</v>
      </c>
      <c r="V27" s="573">
        <f t="shared" si="11"/>
        <v>1</v>
      </c>
      <c r="W27" s="573">
        <f t="shared" si="11"/>
        <v>48</v>
      </c>
      <c r="X27" s="573">
        <f>SUM(X28:X29)</f>
        <v>10</v>
      </c>
      <c r="Y27" s="573">
        <f t="shared" si="11"/>
        <v>2742.94774899</v>
      </c>
    </row>
    <row r="28" spans="1:25" s="16" customFormat="1">
      <c r="A28" s="574" t="s">
        <v>1050</v>
      </c>
      <c r="B28" s="208">
        <v>8</v>
      </c>
      <c r="C28" s="208">
        <v>7215.1312989999997</v>
      </c>
      <c r="D28" s="208">
        <v>50</v>
      </c>
      <c r="E28" s="208">
        <v>7661.5575825000005</v>
      </c>
      <c r="F28" s="208">
        <v>6</v>
      </c>
      <c r="G28" s="208">
        <v>2594.4881</v>
      </c>
      <c r="H28" s="208">
        <v>32</v>
      </c>
      <c r="I28" s="208">
        <v>4234.7065179500005</v>
      </c>
      <c r="J28" s="575">
        <v>2</v>
      </c>
      <c r="K28" s="575">
        <v>1184.1300000000001</v>
      </c>
      <c r="L28" s="573">
        <v>4</v>
      </c>
      <c r="M28" s="576">
        <v>425.2083126</v>
      </c>
      <c r="N28" s="575">
        <v>1</v>
      </c>
      <c r="O28" s="575">
        <v>1271.8280999999999</v>
      </c>
      <c r="P28" s="573">
        <v>9</v>
      </c>
      <c r="Q28" s="576">
        <v>454.31840980000004</v>
      </c>
      <c r="R28" s="575">
        <v>2</v>
      </c>
      <c r="S28" s="575">
        <v>90.53</v>
      </c>
      <c r="T28" s="573">
        <v>12</v>
      </c>
      <c r="U28" s="576">
        <v>949.5</v>
      </c>
      <c r="V28" s="575">
        <v>1</v>
      </c>
      <c r="W28" s="575">
        <v>48</v>
      </c>
      <c r="X28" s="573">
        <v>7</v>
      </c>
      <c r="Y28" s="576">
        <v>2405.6797955500001</v>
      </c>
    </row>
    <row r="29" spans="1:25" s="16" customFormat="1">
      <c r="A29" s="574" t="s">
        <v>1051</v>
      </c>
      <c r="B29" s="208">
        <v>1</v>
      </c>
      <c r="C29" s="208">
        <v>26.86</v>
      </c>
      <c r="D29" s="208">
        <v>8</v>
      </c>
      <c r="E29" s="208">
        <v>206.65512000000001</v>
      </c>
      <c r="F29" s="208">
        <v>0</v>
      </c>
      <c r="G29" s="208">
        <v>0</v>
      </c>
      <c r="H29" s="208">
        <v>9</v>
      </c>
      <c r="I29" s="208">
        <v>810.75595343999998</v>
      </c>
      <c r="J29" s="575">
        <v>0</v>
      </c>
      <c r="K29" s="575">
        <v>0</v>
      </c>
      <c r="L29" s="573">
        <v>2</v>
      </c>
      <c r="M29" s="576">
        <v>33.85</v>
      </c>
      <c r="N29" s="575">
        <v>0</v>
      </c>
      <c r="O29" s="575">
        <v>0</v>
      </c>
      <c r="P29" s="573">
        <v>2</v>
      </c>
      <c r="Q29" s="576">
        <v>429.08800000000002</v>
      </c>
      <c r="R29" s="575">
        <v>0</v>
      </c>
      <c r="S29" s="575">
        <v>0</v>
      </c>
      <c r="T29" s="573">
        <v>2</v>
      </c>
      <c r="U29" s="576">
        <v>10.55</v>
      </c>
      <c r="V29" s="575">
        <v>0</v>
      </c>
      <c r="W29" s="575">
        <v>0</v>
      </c>
      <c r="X29" s="573">
        <v>3</v>
      </c>
      <c r="Y29" s="576">
        <v>337.26795343999999</v>
      </c>
    </row>
    <row r="30" spans="1:25" s="16" customFormat="1">
      <c r="A30" s="995" t="s">
        <v>1052</v>
      </c>
      <c r="B30" s="208">
        <v>69</v>
      </c>
      <c r="C30" s="208">
        <v>7021.1732980100014</v>
      </c>
      <c r="D30" s="208">
        <v>620</v>
      </c>
      <c r="E30" s="208">
        <v>38134.003589003994</v>
      </c>
      <c r="F30" s="208">
        <v>46</v>
      </c>
      <c r="G30" s="208">
        <v>8282.4075000000012</v>
      </c>
      <c r="H30" s="208">
        <v>299</v>
      </c>
      <c r="I30" s="208">
        <v>35732.38164664201</v>
      </c>
      <c r="J30" s="237">
        <f>J31+J32</f>
        <v>8</v>
      </c>
      <c r="K30" s="237">
        <f>K31+K32</f>
        <v>120.31</v>
      </c>
      <c r="L30" s="237">
        <f>L31+L32</f>
        <v>99</v>
      </c>
      <c r="M30" s="237">
        <f>M31+M32</f>
        <v>7581.8799313500012</v>
      </c>
      <c r="N30" s="237">
        <f t="shared" ref="N30:Y30" si="12">N31+N32</f>
        <v>15</v>
      </c>
      <c r="O30" s="237">
        <f t="shared" si="12"/>
        <v>2614.4275000000002</v>
      </c>
      <c r="P30" s="237">
        <f t="shared" si="12"/>
        <v>99</v>
      </c>
      <c r="Q30" s="237">
        <f t="shared" si="12"/>
        <v>22378.765600392002</v>
      </c>
      <c r="R30" s="237">
        <f t="shared" si="12"/>
        <v>13</v>
      </c>
      <c r="S30" s="237">
        <f t="shared" si="12"/>
        <v>2200.2600000000002</v>
      </c>
      <c r="T30" s="237">
        <f t="shared" si="12"/>
        <v>48</v>
      </c>
      <c r="U30" s="237">
        <f t="shared" si="12"/>
        <v>4794.9335981000022</v>
      </c>
      <c r="V30" s="237">
        <f t="shared" si="12"/>
        <v>10</v>
      </c>
      <c r="W30" s="237">
        <f t="shared" si="12"/>
        <v>3347.41</v>
      </c>
      <c r="X30" s="237">
        <f t="shared" si="12"/>
        <v>53</v>
      </c>
      <c r="Y30" s="237">
        <f t="shared" si="12"/>
        <v>976.80251680000015</v>
      </c>
    </row>
    <row r="31" spans="1:25" s="16" customFormat="1">
      <c r="A31" s="996" t="s">
        <v>1050</v>
      </c>
      <c r="B31" s="208">
        <v>69</v>
      </c>
      <c r="C31" s="208">
        <v>7021.1732980100014</v>
      </c>
      <c r="D31" s="208">
        <v>564</v>
      </c>
      <c r="E31" s="208">
        <v>37516.551904204003</v>
      </c>
      <c r="F31" s="208">
        <v>45</v>
      </c>
      <c r="G31" s="208">
        <v>8268.3974999999991</v>
      </c>
      <c r="H31" s="208">
        <v>262</v>
      </c>
      <c r="I31" s="208">
        <v>35130.316520242006</v>
      </c>
      <c r="J31" s="237">
        <v>8</v>
      </c>
      <c r="K31" s="237">
        <v>120.31</v>
      </c>
      <c r="L31" s="237">
        <v>85</v>
      </c>
      <c r="M31" s="237">
        <v>7298.8208013500016</v>
      </c>
      <c r="N31" s="237">
        <v>15</v>
      </c>
      <c r="O31" s="237">
        <v>2614.4275000000002</v>
      </c>
      <c r="P31" s="237">
        <v>92</v>
      </c>
      <c r="Q31" s="237">
        <v>22307.353909992002</v>
      </c>
      <c r="R31" s="237">
        <v>12</v>
      </c>
      <c r="S31" s="237">
        <v>2186.25</v>
      </c>
      <c r="T31" s="237">
        <v>42</v>
      </c>
      <c r="U31" s="237">
        <v>4664.8295521000018</v>
      </c>
      <c r="V31" s="300">
        <v>10</v>
      </c>
      <c r="W31" s="237">
        <v>3347.41</v>
      </c>
      <c r="X31" s="300">
        <v>43</v>
      </c>
      <c r="Y31" s="237">
        <v>859.31225680000011</v>
      </c>
    </row>
    <row r="32" spans="1:25" s="16" customFormat="1">
      <c r="A32" s="996" t="s">
        <v>1051</v>
      </c>
      <c r="B32" s="208">
        <v>0</v>
      </c>
      <c r="C32" s="208">
        <v>0</v>
      </c>
      <c r="D32" s="208">
        <v>56</v>
      </c>
      <c r="E32" s="208">
        <v>617.45168479999995</v>
      </c>
      <c r="F32" s="208">
        <v>1</v>
      </c>
      <c r="G32" s="208">
        <v>14.01</v>
      </c>
      <c r="H32" s="208">
        <v>37</v>
      </c>
      <c r="I32" s="208">
        <v>602.06512639999994</v>
      </c>
      <c r="J32" s="237">
        <v>0</v>
      </c>
      <c r="K32" s="237">
        <v>0</v>
      </c>
      <c r="L32" s="237">
        <v>14</v>
      </c>
      <c r="M32" s="237">
        <v>283.05912999999998</v>
      </c>
      <c r="N32" s="237">
        <v>0</v>
      </c>
      <c r="O32" s="237">
        <v>0</v>
      </c>
      <c r="P32" s="237">
        <v>7</v>
      </c>
      <c r="Q32" s="237">
        <v>71.411690399999998</v>
      </c>
      <c r="R32" s="237">
        <v>1</v>
      </c>
      <c r="S32" s="237">
        <v>14.01</v>
      </c>
      <c r="T32" s="237">
        <v>6</v>
      </c>
      <c r="U32" s="237">
        <v>130.10404599999998</v>
      </c>
      <c r="V32" s="300"/>
      <c r="W32" s="237"/>
      <c r="X32" s="300">
        <v>10</v>
      </c>
      <c r="Y32" s="237">
        <v>117.49026000000001</v>
      </c>
    </row>
    <row r="33" spans="1:25" s="366" customFormat="1">
      <c r="A33" s="995" t="s">
        <v>1053</v>
      </c>
      <c r="B33" s="997">
        <v>15</v>
      </c>
      <c r="C33" s="997">
        <v>40320.469933204993</v>
      </c>
      <c r="D33" s="997">
        <v>46</v>
      </c>
      <c r="E33" s="997">
        <v>28651.001407938005</v>
      </c>
      <c r="F33" s="997">
        <v>3</v>
      </c>
      <c r="G33" s="997">
        <v>2599.9997684179998</v>
      </c>
      <c r="H33" s="997">
        <v>27</v>
      </c>
      <c r="I33" s="997">
        <v>28385.677084316998</v>
      </c>
      <c r="J33" s="998">
        <f>J34+J35</f>
        <v>2</v>
      </c>
      <c r="K33" s="999">
        <f>K34+K35</f>
        <v>2099.999868418</v>
      </c>
      <c r="L33" s="998">
        <f>L34+L35</f>
        <v>9</v>
      </c>
      <c r="M33" s="1000">
        <f>M34+M35</f>
        <v>9371.7329127920002</v>
      </c>
      <c r="N33" s="998">
        <f t="shared" ref="N33:Y33" si="13">N34+N35</f>
        <v>0</v>
      </c>
      <c r="O33" s="999">
        <f t="shared" si="13"/>
        <v>0</v>
      </c>
      <c r="P33" s="998">
        <f t="shared" si="13"/>
        <v>2</v>
      </c>
      <c r="Q33" s="1000">
        <f t="shared" si="13"/>
        <v>3039.9998919999998</v>
      </c>
      <c r="R33" s="998">
        <f t="shared" si="13"/>
        <v>1</v>
      </c>
      <c r="S33" s="999">
        <f t="shared" si="13"/>
        <v>499.99990000000003</v>
      </c>
      <c r="T33" s="998">
        <f t="shared" si="13"/>
        <v>5</v>
      </c>
      <c r="U33" s="1000">
        <f t="shared" si="13"/>
        <v>2274.8397000000004</v>
      </c>
      <c r="V33" s="998">
        <f t="shared" si="13"/>
        <v>0</v>
      </c>
      <c r="W33" s="999">
        <f t="shared" si="13"/>
        <v>0</v>
      </c>
      <c r="X33" s="998">
        <f t="shared" si="13"/>
        <v>11</v>
      </c>
      <c r="Y33" s="1000">
        <f t="shared" si="13"/>
        <v>13699.104579524997</v>
      </c>
    </row>
    <row r="34" spans="1:25" s="366" customFormat="1">
      <c r="A34" s="996" t="s">
        <v>1050</v>
      </c>
      <c r="B34" s="997">
        <v>15</v>
      </c>
      <c r="C34" s="997">
        <v>40320.469933204993</v>
      </c>
      <c r="D34" s="997">
        <v>44</v>
      </c>
      <c r="E34" s="997">
        <v>28534.463557938001</v>
      </c>
      <c r="F34" s="997">
        <v>3</v>
      </c>
      <c r="G34" s="997">
        <v>2599.9997684179998</v>
      </c>
      <c r="H34" s="997">
        <v>26</v>
      </c>
      <c r="I34" s="997">
        <v>28360.837084316998</v>
      </c>
      <c r="J34" s="999">
        <v>2</v>
      </c>
      <c r="K34" s="999">
        <v>2099.999868418</v>
      </c>
      <c r="L34" s="1001">
        <v>9</v>
      </c>
      <c r="M34" s="1001">
        <v>9371.7329127920002</v>
      </c>
      <c r="N34" s="1001">
        <v>0</v>
      </c>
      <c r="O34" s="1001">
        <v>0</v>
      </c>
      <c r="P34" s="1000">
        <v>2</v>
      </c>
      <c r="Q34" s="1000">
        <v>3039.9998919999998</v>
      </c>
      <c r="R34" s="1000">
        <v>1</v>
      </c>
      <c r="S34" s="1000">
        <v>499.99990000000003</v>
      </c>
      <c r="T34" s="1000">
        <v>4</v>
      </c>
      <c r="U34" s="1000">
        <v>2249.9997000000003</v>
      </c>
      <c r="V34" s="575">
        <v>0</v>
      </c>
      <c r="W34" s="575">
        <v>0</v>
      </c>
      <c r="X34" s="300">
        <v>11</v>
      </c>
      <c r="Y34" s="237">
        <v>13699.104579524997</v>
      </c>
    </row>
    <row r="35" spans="1:25" s="366" customFormat="1">
      <c r="A35" s="996" t="s">
        <v>1051</v>
      </c>
      <c r="B35" s="997">
        <v>0</v>
      </c>
      <c r="C35" s="997">
        <v>0</v>
      </c>
      <c r="D35" s="997">
        <v>2</v>
      </c>
      <c r="E35" s="997">
        <v>116.53785000000001</v>
      </c>
      <c r="F35" s="997">
        <v>0</v>
      </c>
      <c r="G35" s="997">
        <v>0</v>
      </c>
      <c r="H35" s="997">
        <v>1</v>
      </c>
      <c r="I35" s="997">
        <v>24.84</v>
      </c>
      <c r="J35" s="1001">
        <v>0</v>
      </c>
      <c r="K35" s="1001">
        <v>0</v>
      </c>
      <c r="L35" s="1001">
        <v>0</v>
      </c>
      <c r="M35" s="1001">
        <v>0</v>
      </c>
      <c r="N35" s="1001">
        <v>0</v>
      </c>
      <c r="O35" s="1001">
        <v>0</v>
      </c>
      <c r="P35" s="1001">
        <v>0</v>
      </c>
      <c r="Q35" s="1001">
        <v>0</v>
      </c>
      <c r="R35" s="1001">
        <v>0</v>
      </c>
      <c r="S35" s="1001">
        <v>0</v>
      </c>
      <c r="T35" s="1001">
        <v>1</v>
      </c>
      <c r="U35" s="1001">
        <v>24.84</v>
      </c>
      <c r="V35" s="575">
        <v>0</v>
      </c>
      <c r="W35" s="575">
        <v>0</v>
      </c>
      <c r="X35" s="575">
        <v>0</v>
      </c>
      <c r="Y35" s="575">
        <v>0</v>
      </c>
    </row>
    <row r="36" spans="1:25" s="366" customFormat="1">
      <c r="A36" s="995" t="s">
        <v>1054</v>
      </c>
      <c r="B36" s="997">
        <v>4</v>
      </c>
      <c r="C36" s="997">
        <v>1652.7280414000002</v>
      </c>
      <c r="D36" s="997">
        <v>47</v>
      </c>
      <c r="E36" s="997">
        <v>22881.828268093999</v>
      </c>
      <c r="F36" s="997">
        <v>0</v>
      </c>
      <c r="G36" s="997">
        <v>0</v>
      </c>
      <c r="H36" s="997">
        <v>6</v>
      </c>
      <c r="I36" s="997">
        <v>1186.0239422499999</v>
      </c>
      <c r="J36" s="1001">
        <f>J37+J38</f>
        <v>0</v>
      </c>
      <c r="K36" s="1001">
        <f>K37+K38</f>
        <v>0</v>
      </c>
      <c r="L36" s="1001">
        <f>L37+L38</f>
        <v>1</v>
      </c>
      <c r="M36" s="1001">
        <f>M37+M38</f>
        <v>14.3120016</v>
      </c>
      <c r="N36" s="1001">
        <f t="shared" ref="N36:Y36" si="14">N37+N38</f>
        <v>0</v>
      </c>
      <c r="O36" s="1001">
        <f t="shared" si="14"/>
        <v>0</v>
      </c>
      <c r="P36" s="1001">
        <f t="shared" si="14"/>
        <v>1</v>
      </c>
      <c r="Q36" s="1001">
        <f t="shared" si="14"/>
        <v>219.9577275</v>
      </c>
      <c r="R36" s="1001">
        <f t="shared" si="14"/>
        <v>0</v>
      </c>
      <c r="S36" s="1001">
        <f t="shared" si="14"/>
        <v>0</v>
      </c>
      <c r="T36" s="1001">
        <f t="shared" si="14"/>
        <v>1</v>
      </c>
      <c r="U36" s="1001">
        <f t="shared" si="14"/>
        <v>91.010919999999999</v>
      </c>
      <c r="V36" s="1001">
        <f t="shared" si="14"/>
        <v>0</v>
      </c>
      <c r="W36" s="1001">
        <f t="shared" si="14"/>
        <v>0</v>
      </c>
      <c r="X36" s="1001">
        <f t="shared" si="14"/>
        <v>3</v>
      </c>
      <c r="Y36" s="1001">
        <f t="shared" si="14"/>
        <v>860.74329315</v>
      </c>
    </row>
    <row r="37" spans="1:25" s="366" customFormat="1">
      <c r="A37" s="996" t="s">
        <v>1055</v>
      </c>
      <c r="B37" s="997">
        <v>4</v>
      </c>
      <c r="C37" s="997">
        <v>1652.7280414000002</v>
      </c>
      <c r="D37" s="997">
        <v>47</v>
      </c>
      <c r="E37" s="997">
        <v>22881.828268093999</v>
      </c>
      <c r="F37" s="997">
        <v>0</v>
      </c>
      <c r="G37" s="997">
        <v>0</v>
      </c>
      <c r="H37" s="997">
        <v>6</v>
      </c>
      <c r="I37" s="997">
        <v>1186.0239422499999</v>
      </c>
      <c r="J37" s="1001">
        <v>0</v>
      </c>
      <c r="K37" s="1001">
        <v>0</v>
      </c>
      <c r="L37" s="1006">
        <v>1</v>
      </c>
      <c r="M37" s="1001">
        <v>14.3120016</v>
      </c>
      <c r="N37" s="1006">
        <v>0</v>
      </c>
      <c r="O37" s="1001">
        <v>0</v>
      </c>
      <c r="P37" s="1006">
        <v>1</v>
      </c>
      <c r="Q37" s="1001">
        <v>219.9577275</v>
      </c>
      <c r="R37" s="1001">
        <v>0</v>
      </c>
      <c r="S37" s="1001">
        <v>0</v>
      </c>
      <c r="T37" s="1007">
        <v>1</v>
      </c>
      <c r="U37" s="550">
        <v>91.010919999999999</v>
      </c>
      <c r="V37" s="1001">
        <v>0</v>
      </c>
      <c r="W37" s="1001">
        <v>0</v>
      </c>
      <c r="X37" s="1007">
        <v>3</v>
      </c>
      <c r="Y37" s="550">
        <v>860.74329315</v>
      </c>
    </row>
    <row r="38" spans="1:25" s="366" customFormat="1">
      <c r="A38" s="996" t="s">
        <v>1056</v>
      </c>
      <c r="B38" s="997">
        <v>0</v>
      </c>
      <c r="C38" s="997">
        <v>0</v>
      </c>
      <c r="D38" s="997">
        <v>0</v>
      </c>
      <c r="E38" s="997">
        <v>0</v>
      </c>
      <c r="F38" s="997">
        <v>0</v>
      </c>
      <c r="G38" s="997">
        <v>0</v>
      </c>
      <c r="H38" s="997">
        <v>0</v>
      </c>
      <c r="I38" s="997">
        <v>0</v>
      </c>
      <c r="J38" s="1001">
        <v>0</v>
      </c>
      <c r="K38" s="1001">
        <v>0</v>
      </c>
      <c r="L38" s="1001">
        <v>0</v>
      </c>
      <c r="M38" s="1001">
        <v>0</v>
      </c>
      <c r="N38" s="1001">
        <v>0</v>
      </c>
      <c r="O38" s="1001">
        <v>0</v>
      </c>
      <c r="P38" s="1001">
        <v>0</v>
      </c>
      <c r="Q38" s="1001">
        <v>0</v>
      </c>
      <c r="R38" s="1001">
        <v>0</v>
      </c>
      <c r="S38" s="1001">
        <v>0</v>
      </c>
      <c r="T38" s="1001">
        <v>0</v>
      </c>
      <c r="U38" s="1001">
        <v>0</v>
      </c>
      <c r="V38" s="1001">
        <v>0</v>
      </c>
      <c r="W38" s="1001">
        <v>0</v>
      </c>
      <c r="X38" s="1001">
        <v>0</v>
      </c>
      <c r="Y38" s="1001">
        <v>0</v>
      </c>
    </row>
    <row r="39" spans="1:25" s="16" customFormat="1">
      <c r="A39" s="569" t="s">
        <v>1132</v>
      </c>
      <c r="B39" s="302">
        <f>B24+B27+B30+B33+B36</f>
        <v>109</v>
      </c>
      <c r="C39" s="302">
        <f t="shared" ref="C39:E39" si="15">C24+C27+C30+C33+C36</f>
        <v>63864.242118614988</v>
      </c>
      <c r="D39" s="302">
        <f t="shared" si="15"/>
        <v>1032</v>
      </c>
      <c r="E39" s="302">
        <f t="shared" si="15"/>
        <v>157889.47865903599</v>
      </c>
      <c r="F39" s="302">
        <v>59</v>
      </c>
      <c r="G39" s="302">
        <v>19256.061227618004</v>
      </c>
      <c r="H39" s="302">
        <v>475</v>
      </c>
      <c r="I39" s="302">
        <v>107162.17115429901</v>
      </c>
      <c r="J39" s="302">
        <f t="shared" ref="J39:X39" si="16">J24+J27+J30+J33+J36</f>
        <v>12</v>
      </c>
      <c r="K39" s="302">
        <f t="shared" si="16"/>
        <v>3404.4398684180001</v>
      </c>
      <c r="L39" s="302">
        <f t="shared" si="16"/>
        <v>142</v>
      </c>
      <c r="M39" s="302">
        <f t="shared" si="16"/>
        <v>41154.361677642002</v>
      </c>
      <c r="N39" s="302">
        <f t="shared" si="16"/>
        <v>18</v>
      </c>
      <c r="O39" s="302">
        <f t="shared" si="16"/>
        <v>9500.9014592000003</v>
      </c>
      <c r="P39" s="302">
        <f t="shared" si="16"/>
        <v>137</v>
      </c>
      <c r="Q39" s="302">
        <f t="shared" si="16"/>
        <v>31040.832733492003</v>
      </c>
      <c r="R39" s="302">
        <f t="shared" si="16"/>
        <v>18</v>
      </c>
      <c r="S39" s="302">
        <f t="shared" si="16"/>
        <v>2955.3099000000002</v>
      </c>
      <c r="T39" s="302">
        <f t="shared" si="16"/>
        <v>88</v>
      </c>
      <c r="U39" s="302">
        <f t="shared" si="16"/>
        <v>10476.932218100003</v>
      </c>
      <c r="V39" s="302">
        <f t="shared" si="16"/>
        <v>11</v>
      </c>
      <c r="W39" s="302">
        <f>W24+W27+W30+W33+W36</f>
        <v>3395.41</v>
      </c>
      <c r="X39" s="302">
        <f t="shared" si="16"/>
        <v>108</v>
      </c>
      <c r="Y39" s="302">
        <f>Y24+Y27+Y30+Y33+Y36</f>
        <v>24490.044525065001</v>
      </c>
    </row>
    <row r="40" spans="1:25" s="16" customFormat="1">
      <c r="A40" s="570" t="s">
        <v>1141</v>
      </c>
      <c r="B40" s="303" t="s">
        <v>234</v>
      </c>
      <c r="C40" s="304">
        <f>C25+C36</f>
        <v>4601.0168033</v>
      </c>
      <c r="D40" s="303" t="s">
        <v>234</v>
      </c>
      <c r="E40" s="304">
        <f>E25+E36</f>
        <v>53364.144812793995</v>
      </c>
      <c r="F40" s="303" t="s">
        <v>234</v>
      </c>
      <c r="G40" s="304">
        <v>3498.9338468999999</v>
      </c>
      <c r="H40" s="303" t="s">
        <v>234</v>
      </c>
      <c r="I40" s="304">
        <v>11671.379597649999</v>
      </c>
      <c r="J40" s="303" t="s">
        <v>234</v>
      </c>
      <c r="K40" s="304">
        <f>K25+K36</f>
        <v>0</v>
      </c>
      <c r="L40" s="303" t="s">
        <v>234</v>
      </c>
      <c r="M40" s="304">
        <f>M25+M36</f>
        <v>4638.7856596000001</v>
      </c>
      <c r="N40" s="303" t="s">
        <v>234</v>
      </c>
      <c r="O40" s="304">
        <f>O25+O36</f>
        <v>3489.6458468999999</v>
      </c>
      <c r="P40" s="303" t="s">
        <v>234</v>
      </c>
      <c r="Q40" s="304">
        <f>Q25+Q36</f>
        <v>2930.0506096000004</v>
      </c>
      <c r="R40" s="303" t="s">
        <v>234</v>
      </c>
      <c r="S40" s="304">
        <f>S25+S36</f>
        <v>9.2880000000000003</v>
      </c>
      <c r="T40" s="303" t="s">
        <v>234</v>
      </c>
      <c r="U40" s="304">
        <f>U25+U36</f>
        <v>1319.8403408000001</v>
      </c>
      <c r="V40" s="303" t="s">
        <v>234</v>
      </c>
      <c r="W40" s="304">
        <f>W25+W36</f>
        <v>0</v>
      </c>
      <c r="X40" s="303" t="s">
        <v>234</v>
      </c>
      <c r="Y40" s="304">
        <f>Y25+Y36</f>
        <v>2782.7029876500001</v>
      </c>
    </row>
    <row r="41" spans="1:25" s="16" customFormat="1">
      <c r="A41" s="570" t="s">
        <v>1142</v>
      </c>
      <c r="B41" s="303" t="s">
        <v>234</v>
      </c>
      <c r="C41" s="305">
        <f>C33+C30+C27+C26</f>
        <v>59264.056554014991</v>
      </c>
      <c r="D41" s="303" t="s">
        <v>234</v>
      </c>
      <c r="E41" s="305">
        <f>E33+E30+E27+E26</f>
        <v>104532.696471142</v>
      </c>
      <c r="F41" s="303" t="s">
        <v>234</v>
      </c>
      <c r="G41" s="305">
        <v>15757.678717718001</v>
      </c>
      <c r="H41" s="303" t="s">
        <v>234</v>
      </c>
      <c r="I41" s="305">
        <v>95491.928042048996</v>
      </c>
      <c r="J41" s="303" t="s">
        <v>234</v>
      </c>
      <c r="K41" s="305">
        <f>K33+K30+K27+K26</f>
        <v>3404.4398684180001</v>
      </c>
      <c r="L41" s="303" t="s">
        <v>234</v>
      </c>
      <c r="M41" s="305">
        <f>M33+M30+M27+M26</f>
        <v>36515.597808541992</v>
      </c>
      <c r="N41" s="303" t="s">
        <v>234</v>
      </c>
      <c r="O41" s="305">
        <f>O33+O30+O27+O26</f>
        <v>6011.8069493000003</v>
      </c>
      <c r="P41" s="303" t="s">
        <v>234</v>
      </c>
      <c r="Q41" s="305">
        <f>Q33+Q30+Q27+Q26</f>
        <v>28111.757971492003</v>
      </c>
      <c r="R41" s="303" t="s">
        <v>234</v>
      </c>
      <c r="S41" s="305">
        <f>S33+S30+S27+S26</f>
        <v>2946.0219000000002</v>
      </c>
      <c r="T41" s="303" t="s">
        <v>234</v>
      </c>
      <c r="U41" s="305">
        <f>U33+U30+U27+U26</f>
        <v>9157.2307246000018</v>
      </c>
      <c r="V41" s="303" t="s">
        <v>234</v>
      </c>
      <c r="W41" s="305">
        <f>W33+W30+W27+W26</f>
        <v>3395.41</v>
      </c>
      <c r="X41" s="303" t="s">
        <v>234</v>
      </c>
      <c r="Y41" s="305">
        <f>Y33+Y30+Y27+Y26</f>
        <v>21707.341537414999</v>
      </c>
    </row>
    <row r="42" spans="1:25" s="16" customFormat="1">
      <c r="A42" s="577" t="s">
        <v>1057</v>
      </c>
      <c r="B42" s="462"/>
      <c r="C42" s="462"/>
      <c r="D42" s="462"/>
      <c r="E42" s="462"/>
      <c r="F42" s="578"/>
      <c r="G42" s="578"/>
      <c r="H42" s="578"/>
      <c r="I42" s="578"/>
      <c r="J42" s="578"/>
      <c r="K42" s="578"/>
      <c r="L42" s="578"/>
      <c r="M42" s="579"/>
      <c r="N42" s="578"/>
      <c r="O42" s="578"/>
      <c r="P42" s="578"/>
      <c r="Q42" s="579"/>
      <c r="R42" s="578"/>
      <c r="S42" s="578"/>
      <c r="T42" s="578"/>
      <c r="U42" s="579"/>
      <c r="V42" s="578"/>
      <c r="W42" s="578"/>
      <c r="X42" s="578"/>
      <c r="Y42" s="579"/>
    </row>
    <row r="43" spans="1:25" s="366" customFormat="1" ht="30">
      <c r="A43" s="1008" t="s">
        <v>1133</v>
      </c>
      <c r="B43" s="997">
        <v>1120</v>
      </c>
      <c r="C43" s="997">
        <v>664316.12712287006</v>
      </c>
      <c r="D43" s="997">
        <v>227</v>
      </c>
      <c r="E43" s="997">
        <v>173440.80634450002</v>
      </c>
      <c r="F43" s="1009">
        <v>413</v>
      </c>
      <c r="G43" s="1009">
        <v>211894.79081731898</v>
      </c>
      <c r="H43" s="1009">
        <v>77</v>
      </c>
      <c r="I43" s="1009">
        <v>38181.959421424006</v>
      </c>
      <c r="J43" s="1009">
        <v>86</v>
      </c>
      <c r="K43" s="1009">
        <v>25739.755809819999</v>
      </c>
      <c r="L43" s="1009">
        <v>15</v>
      </c>
      <c r="M43" s="1009">
        <v>4768.2442944240001</v>
      </c>
      <c r="N43" s="999">
        <v>112</v>
      </c>
      <c r="O43" s="999">
        <v>58075.972811163985</v>
      </c>
      <c r="P43" s="999">
        <v>11</v>
      </c>
      <c r="Q43" s="999">
        <v>3151.2303027000003</v>
      </c>
      <c r="R43" s="999">
        <v>105</v>
      </c>
      <c r="S43" s="999">
        <v>54569.274626990002</v>
      </c>
      <c r="T43" s="999">
        <v>26</v>
      </c>
      <c r="U43" s="999">
        <v>9727.8817677999996</v>
      </c>
      <c r="V43" s="999">
        <v>110</v>
      </c>
      <c r="W43" s="999">
        <v>73509.787569345004</v>
      </c>
      <c r="X43" s="999">
        <v>25</v>
      </c>
      <c r="Y43" s="999">
        <v>20534.6030565</v>
      </c>
    </row>
    <row r="44" spans="1:25" s="16" customFormat="1">
      <c r="A44" s="572" t="s">
        <v>1134</v>
      </c>
      <c r="B44" s="1003">
        <v>45</v>
      </c>
      <c r="C44" s="1003">
        <v>19166.309999999998</v>
      </c>
      <c r="D44" s="1003">
        <v>0</v>
      </c>
      <c r="E44" s="1003">
        <v>0</v>
      </c>
      <c r="F44" s="1003">
        <v>12</v>
      </c>
      <c r="G44" s="1003">
        <v>2715.96</v>
      </c>
      <c r="H44" s="1003">
        <v>0</v>
      </c>
      <c r="I44" s="1003">
        <v>0</v>
      </c>
      <c r="J44" s="1004">
        <v>4</v>
      </c>
      <c r="K44" s="1004">
        <v>686.75</v>
      </c>
      <c r="L44" s="1004">
        <v>0</v>
      </c>
      <c r="M44" s="1004">
        <v>0</v>
      </c>
      <c r="N44" s="1005">
        <v>3</v>
      </c>
      <c r="O44" s="1005">
        <v>1206.96</v>
      </c>
      <c r="P44" s="1004">
        <v>0</v>
      </c>
      <c r="Q44" s="1004">
        <v>0</v>
      </c>
      <c r="R44" s="1005">
        <v>3</v>
      </c>
      <c r="S44" s="1005">
        <v>560.25</v>
      </c>
      <c r="T44" s="1004">
        <v>0</v>
      </c>
      <c r="U44" s="1004">
        <v>0</v>
      </c>
      <c r="V44" s="1004">
        <v>2</v>
      </c>
      <c r="W44" s="1004">
        <v>262</v>
      </c>
      <c r="X44" s="1004">
        <v>0</v>
      </c>
      <c r="Y44" s="1004">
        <v>0</v>
      </c>
    </row>
    <row r="45" spans="1:25" s="366" customFormat="1">
      <c r="A45" s="995" t="s">
        <v>1140</v>
      </c>
      <c r="B45" s="999">
        <f t="shared" ref="B45:Y45" si="17">B43+B44</f>
        <v>1165</v>
      </c>
      <c r="C45" s="999">
        <f t="shared" si="17"/>
        <v>683482.43712287</v>
      </c>
      <c r="D45" s="999">
        <f t="shared" si="17"/>
        <v>227</v>
      </c>
      <c r="E45" s="999">
        <f t="shared" si="17"/>
        <v>173440.80634450002</v>
      </c>
      <c r="F45" s="999">
        <v>425</v>
      </c>
      <c r="G45" s="999">
        <v>214610.75081731897</v>
      </c>
      <c r="H45" s="999">
        <v>77</v>
      </c>
      <c r="I45" s="999">
        <v>38181.959421424006</v>
      </c>
      <c r="J45" s="999">
        <f t="shared" si="17"/>
        <v>90</v>
      </c>
      <c r="K45" s="999">
        <f t="shared" si="17"/>
        <v>26426.505809819999</v>
      </c>
      <c r="L45" s="999">
        <f t="shared" si="17"/>
        <v>15</v>
      </c>
      <c r="M45" s="999">
        <f t="shared" si="17"/>
        <v>4768.2442944240001</v>
      </c>
      <c r="N45" s="999">
        <f t="shared" si="17"/>
        <v>115</v>
      </c>
      <c r="O45" s="999">
        <f t="shared" si="17"/>
        <v>59282.932811163984</v>
      </c>
      <c r="P45" s="999">
        <f t="shared" si="17"/>
        <v>11</v>
      </c>
      <c r="Q45" s="999">
        <f t="shared" si="17"/>
        <v>3151.2303027000003</v>
      </c>
      <c r="R45" s="999">
        <f t="shared" si="17"/>
        <v>108</v>
      </c>
      <c r="S45" s="999">
        <f t="shared" si="17"/>
        <v>55129.524626990002</v>
      </c>
      <c r="T45" s="999">
        <f t="shared" si="17"/>
        <v>26</v>
      </c>
      <c r="U45" s="999">
        <f t="shared" si="17"/>
        <v>9727.8817677999996</v>
      </c>
      <c r="V45" s="999">
        <f t="shared" si="17"/>
        <v>112</v>
      </c>
      <c r="W45" s="999">
        <f t="shared" si="17"/>
        <v>73771.787569345004</v>
      </c>
      <c r="X45" s="999">
        <f t="shared" si="17"/>
        <v>25</v>
      </c>
      <c r="Y45" s="999">
        <f t="shared" si="17"/>
        <v>20534.6030565</v>
      </c>
    </row>
    <row r="46" spans="1:25" s="16" customFormat="1">
      <c r="A46" s="577" t="s">
        <v>1058</v>
      </c>
      <c r="B46" s="462"/>
      <c r="C46" s="462"/>
      <c r="D46" s="462"/>
      <c r="E46" s="462"/>
      <c r="F46" s="578"/>
      <c r="G46" s="578"/>
      <c r="H46" s="578"/>
      <c r="I46" s="578"/>
      <c r="J46" s="578"/>
      <c r="K46" s="578"/>
      <c r="L46" s="578"/>
      <c r="M46" s="579"/>
      <c r="N46" s="578"/>
      <c r="O46" s="578"/>
      <c r="P46" s="578"/>
      <c r="Q46" s="579"/>
      <c r="R46" s="578"/>
      <c r="S46" s="578"/>
      <c r="T46" s="578"/>
      <c r="U46" s="579"/>
      <c r="V46" s="578"/>
      <c r="W46" s="578"/>
      <c r="X46" s="578"/>
      <c r="Y46" s="579"/>
    </row>
    <row r="47" spans="1:25" s="366" customFormat="1">
      <c r="A47" s="995" t="s">
        <v>1135</v>
      </c>
      <c r="B47" s="997">
        <v>0</v>
      </c>
      <c r="C47" s="997">
        <v>0</v>
      </c>
      <c r="D47" s="997">
        <v>3</v>
      </c>
      <c r="E47" s="997">
        <v>5905</v>
      </c>
      <c r="F47" s="997">
        <v>0</v>
      </c>
      <c r="G47" s="997">
        <v>0</v>
      </c>
      <c r="H47" s="997">
        <v>1</v>
      </c>
      <c r="I47" s="997">
        <v>1228</v>
      </c>
      <c r="J47" s="999">
        <v>0</v>
      </c>
      <c r="K47" s="999">
        <v>0</v>
      </c>
      <c r="L47" s="999">
        <v>0</v>
      </c>
      <c r="M47" s="999">
        <v>0</v>
      </c>
      <c r="N47" s="999">
        <v>0</v>
      </c>
      <c r="O47" s="999">
        <v>0</v>
      </c>
      <c r="P47" s="999">
        <v>0</v>
      </c>
      <c r="Q47" s="999">
        <v>0</v>
      </c>
      <c r="R47" s="999">
        <v>0</v>
      </c>
      <c r="S47" s="999">
        <v>0</v>
      </c>
      <c r="T47" s="999">
        <v>1</v>
      </c>
      <c r="U47" s="999">
        <v>1228</v>
      </c>
      <c r="V47" s="999">
        <v>0</v>
      </c>
      <c r="W47" s="999">
        <v>0</v>
      </c>
      <c r="X47" s="999">
        <v>0</v>
      </c>
      <c r="Y47" s="999">
        <v>0</v>
      </c>
    </row>
    <row r="48" spans="1:25" s="366" customFormat="1">
      <c r="A48" s="995" t="s">
        <v>1136</v>
      </c>
      <c r="B48" s="997">
        <v>0</v>
      </c>
      <c r="C48" s="997">
        <v>0</v>
      </c>
      <c r="D48" s="997">
        <v>14</v>
      </c>
      <c r="E48" s="997">
        <v>33118.6</v>
      </c>
      <c r="F48" s="997">
        <v>0</v>
      </c>
      <c r="G48" s="997">
        <v>0</v>
      </c>
      <c r="H48" s="997">
        <v>2</v>
      </c>
      <c r="I48" s="997">
        <v>1622.5</v>
      </c>
      <c r="J48" s="999">
        <v>0</v>
      </c>
      <c r="K48" s="999">
        <v>0</v>
      </c>
      <c r="L48" s="999">
        <v>0</v>
      </c>
      <c r="M48" s="999">
        <v>0</v>
      </c>
      <c r="N48" s="999">
        <v>0</v>
      </c>
      <c r="O48" s="999">
        <v>0</v>
      </c>
      <c r="P48" s="999">
        <v>0</v>
      </c>
      <c r="Q48" s="999">
        <v>0</v>
      </c>
      <c r="R48" s="999"/>
      <c r="S48" s="999"/>
      <c r="T48" s="999">
        <v>1</v>
      </c>
      <c r="U48" s="999">
        <v>102.5</v>
      </c>
      <c r="V48" s="999">
        <v>0</v>
      </c>
      <c r="W48" s="999">
        <v>0</v>
      </c>
      <c r="X48" s="999">
        <v>1</v>
      </c>
      <c r="Y48" s="999">
        <v>1520</v>
      </c>
    </row>
    <row r="49" spans="1:25" s="16" customFormat="1">
      <c r="A49" s="569" t="s">
        <v>1139</v>
      </c>
      <c r="B49" s="306">
        <f>SUM(B47:B48)</f>
        <v>0</v>
      </c>
      <c r="C49" s="306">
        <f t="shared" ref="C49:E49" si="18">SUM(C47:C48)</f>
        <v>0</v>
      </c>
      <c r="D49" s="306">
        <f t="shared" si="18"/>
        <v>17</v>
      </c>
      <c r="E49" s="306">
        <f t="shared" si="18"/>
        <v>39023.599999999999</v>
      </c>
      <c r="F49" s="306">
        <v>0</v>
      </c>
      <c r="G49" s="306">
        <v>0</v>
      </c>
      <c r="H49" s="306">
        <v>3</v>
      </c>
      <c r="I49" s="306">
        <v>2850.5</v>
      </c>
      <c r="J49" s="305">
        <f>SUM(J47:J48)</f>
        <v>0</v>
      </c>
      <c r="K49" s="305">
        <f>SUM(K47:K48)</f>
        <v>0</v>
      </c>
      <c r="L49" s="305">
        <f t="shared" ref="L49:Y49" si="19">SUM(L47:L48)</f>
        <v>0</v>
      </c>
      <c r="M49" s="305">
        <f t="shared" si="19"/>
        <v>0</v>
      </c>
      <c r="N49" s="305">
        <f t="shared" si="19"/>
        <v>0</v>
      </c>
      <c r="O49" s="305">
        <f t="shared" si="19"/>
        <v>0</v>
      </c>
      <c r="P49" s="305">
        <f t="shared" si="19"/>
        <v>0</v>
      </c>
      <c r="Q49" s="305">
        <f t="shared" si="19"/>
        <v>0</v>
      </c>
      <c r="R49" s="305">
        <f t="shared" si="19"/>
        <v>0</v>
      </c>
      <c r="S49" s="305">
        <f t="shared" si="19"/>
        <v>0</v>
      </c>
      <c r="T49" s="305">
        <f t="shared" si="19"/>
        <v>2</v>
      </c>
      <c r="U49" s="305">
        <f t="shared" si="19"/>
        <v>1330.5</v>
      </c>
      <c r="V49" s="305">
        <f t="shared" si="19"/>
        <v>0</v>
      </c>
      <c r="W49" s="305">
        <f t="shared" si="19"/>
        <v>0</v>
      </c>
      <c r="X49" s="305">
        <f t="shared" si="19"/>
        <v>1</v>
      </c>
      <c r="Y49" s="305">
        <f t="shared" si="19"/>
        <v>1520</v>
      </c>
    </row>
    <row r="50" spans="1:25">
      <c r="A50" s="1234" t="s">
        <v>77</v>
      </c>
      <c r="B50" s="1234"/>
      <c r="C50" s="1234"/>
      <c r="D50" s="1234"/>
      <c r="E50" s="1234"/>
      <c r="F50" s="1234"/>
      <c r="G50" s="1234"/>
      <c r="H50" s="1234"/>
      <c r="I50" s="1234"/>
      <c r="J50" s="1234"/>
      <c r="K50" s="1234"/>
      <c r="L50" s="1234"/>
      <c r="M50" s="1234"/>
      <c r="N50" s="365"/>
      <c r="O50" s="365"/>
    </row>
    <row r="51" spans="1:25">
      <c r="A51" s="515" t="s">
        <v>1147</v>
      </c>
      <c r="B51" s="515"/>
      <c r="C51" s="515"/>
      <c r="D51" s="515"/>
      <c r="E51" s="515"/>
      <c r="F51" s="515"/>
      <c r="G51" s="987"/>
      <c r="H51" s="515"/>
      <c r="I51" s="515"/>
      <c r="J51" s="515"/>
      <c r="K51" s="515"/>
      <c r="L51" s="515"/>
      <c r="M51" s="515"/>
      <c r="N51" s="365"/>
      <c r="O51" s="365"/>
    </row>
    <row r="52" spans="1:25">
      <c r="A52" s="515" t="s">
        <v>1148</v>
      </c>
      <c r="B52" s="515"/>
      <c r="C52" s="515"/>
      <c r="D52" s="515"/>
      <c r="E52" s="515"/>
      <c r="F52" s="515"/>
      <c r="G52" s="515"/>
      <c r="H52" s="515"/>
      <c r="I52" s="515"/>
      <c r="J52" s="515"/>
      <c r="K52" s="515"/>
      <c r="L52" s="515"/>
      <c r="M52" s="515"/>
      <c r="N52" s="365"/>
      <c r="O52" s="365"/>
    </row>
    <row r="53" spans="1:25">
      <c r="A53" s="365" t="s">
        <v>1137</v>
      </c>
      <c r="B53" s="365"/>
      <c r="C53" s="365"/>
      <c r="D53" s="365"/>
      <c r="E53" s="365"/>
      <c r="F53" s="365"/>
      <c r="G53" s="365"/>
      <c r="H53" s="365"/>
      <c r="I53" s="365"/>
      <c r="J53" s="365"/>
      <c r="K53" s="365"/>
      <c r="L53" s="365"/>
      <c r="M53" s="365"/>
      <c r="N53" s="365"/>
      <c r="O53" s="365"/>
    </row>
    <row r="54" spans="1:25">
      <c r="A54" s="365" t="s">
        <v>1138</v>
      </c>
      <c r="B54" s="365"/>
      <c r="C54" s="365"/>
      <c r="D54" s="365"/>
      <c r="E54" s="365"/>
      <c r="F54" s="365"/>
      <c r="G54" s="365"/>
      <c r="H54" s="365"/>
      <c r="I54" s="365"/>
      <c r="J54" s="365"/>
      <c r="K54" s="365"/>
      <c r="L54" s="365"/>
      <c r="M54" s="365"/>
      <c r="N54" s="365"/>
      <c r="O54" s="365"/>
    </row>
    <row r="55" spans="1:25">
      <c r="A55" s="365" t="s">
        <v>1072</v>
      </c>
      <c r="B55" s="365"/>
      <c r="C55" s="365"/>
      <c r="D55" s="365"/>
      <c r="E55" s="365"/>
      <c r="F55" s="365"/>
      <c r="G55" s="365"/>
      <c r="H55" s="365"/>
      <c r="I55" s="365"/>
      <c r="J55" s="365"/>
      <c r="K55" s="365"/>
      <c r="L55" s="365"/>
      <c r="M55" s="365"/>
      <c r="N55" s="365"/>
      <c r="O55" s="365"/>
    </row>
    <row r="56" spans="1:25">
      <c r="A56" s="291" t="s">
        <v>126</v>
      </c>
      <c r="B56" s="365"/>
      <c r="C56" s="365"/>
      <c r="D56" s="365"/>
      <c r="E56" s="365"/>
      <c r="F56" s="365"/>
      <c r="G56" s="365"/>
      <c r="H56" s="365"/>
      <c r="I56" s="365"/>
      <c r="J56" s="365"/>
      <c r="K56" s="365"/>
      <c r="L56" s="365"/>
      <c r="M56" s="365"/>
      <c r="N56" s="365"/>
      <c r="O56" s="365"/>
    </row>
    <row r="57" spans="1:25">
      <c r="A57" s="365"/>
      <c r="B57" s="365"/>
      <c r="C57" s="365"/>
      <c r="D57" s="365"/>
      <c r="E57" s="365"/>
      <c r="F57" s="365"/>
      <c r="G57" s="365"/>
      <c r="H57" s="365"/>
      <c r="I57" s="365"/>
      <c r="J57" s="365"/>
      <c r="K57" s="365"/>
      <c r="L57" s="365"/>
      <c r="M57" s="365"/>
      <c r="N57" s="365"/>
      <c r="O57" s="365"/>
    </row>
    <row r="63" spans="1:25">
      <c r="Q63" s="42"/>
      <c r="R63" s="42"/>
      <c r="S63" s="42"/>
      <c r="T63" s="42"/>
      <c r="U63" s="42"/>
      <c r="V63" s="580"/>
      <c r="X63" s="580"/>
    </row>
    <row r="64" spans="1:25">
      <c r="P64" s="42"/>
      <c r="Q64" s="42"/>
      <c r="R64" s="42"/>
      <c r="S64" s="42"/>
      <c r="T64" s="42"/>
      <c r="U64" s="42"/>
      <c r="V64" s="580"/>
      <c r="X64" s="580"/>
    </row>
    <row r="65" spans="17:24">
      <c r="Q65" s="42"/>
      <c r="R65" s="42"/>
      <c r="S65" s="42"/>
      <c r="T65" s="42"/>
      <c r="U65" s="42"/>
      <c r="V65" s="580"/>
      <c r="X65" s="580"/>
    </row>
    <row r="66" spans="17:24">
      <c r="Q66" s="42"/>
      <c r="R66" s="42"/>
      <c r="S66" s="42"/>
      <c r="T66" s="42"/>
      <c r="U66" s="42"/>
      <c r="V66" s="580"/>
      <c r="X66" s="580"/>
    </row>
    <row r="67" spans="17:24">
      <c r="Q67" s="42"/>
      <c r="R67" s="42"/>
      <c r="S67" s="42"/>
      <c r="T67" s="42"/>
      <c r="U67" s="42"/>
      <c r="V67" s="580"/>
      <c r="X67" s="580"/>
    </row>
    <row r="68" spans="17:24">
      <c r="Q68" s="42"/>
      <c r="R68" s="42"/>
      <c r="S68" s="42"/>
      <c r="T68" s="42"/>
      <c r="U68" s="42"/>
      <c r="V68" s="580"/>
      <c r="X68" s="580"/>
    </row>
    <row r="69" spans="17:24">
      <c r="Q69" s="42"/>
      <c r="R69" s="42"/>
      <c r="S69" s="42"/>
      <c r="T69" s="42"/>
      <c r="U69" s="42"/>
      <c r="V69" s="580"/>
      <c r="X69" s="580"/>
    </row>
    <row r="70" spans="17:24">
      <c r="Q70" s="42"/>
      <c r="R70" s="42"/>
      <c r="S70" s="42"/>
      <c r="T70" s="42"/>
      <c r="U70" s="42"/>
      <c r="V70" s="580"/>
      <c r="X70" s="580"/>
    </row>
    <row r="71" spans="17:24">
      <c r="Q71" s="42"/>
      <c r="R71" s="42"/>
      <c r="S71" s="42"/>
      <c r="T71" s="42"/>
      <c r="U71" s="42"/>
      <c r="V71" s="580"/>
      <c r="X71" s="580"/>
    </row>
    <row r="72" spans="17:24">
      <c r="Q72" s="42"/>
      <c r="R72" s="42"/>
      <c r="S72" s="42"/>
      <c r="T72" s="42"/>
      <c r="U72" s="42"/>
      <c r="V72" s="580"/>
      <c r="X72" s="580"/>
    </row>
    <row r="73" spans="17:24">
      <c r="Q73" s="42"/>
      <c r="R73" s="42"/>
      <c r="S73" s="42"/>
      <c r="T73" s="42"/>
      <c r="U73" s="42"/>
      <c r="V73" s="580"/>
      <c r="X73" s="580"/>
    </row>
    <row r="74" spans="17:24">
      <c r="Q74" s="42"/>
      <c r="R74" s="42"/>
      <c r="S74" s="42"/>
      <c r="T74" s="42"/>
      <c r="U74" s="42"/>
      <c r="V74" s="580"/>
      <c r="X74" s="580"/>
    </row>
    <row r="75" spans="17:24">
      <c r="Q75" s="42"/>
      <c r="R75" s="42"/>
      <c r="S75" s="42"/>
      <c r="T75" s="42"/>
      <c r="U75" s="42"/>
      <c r="V75" s="580"/>
      <c r="X75" s="580"/>
    </row>
    <row r="76" spans="17:24">
      <c r="Q76" s="42"/>
      <c r="R76" s="42"/>
      <c r="S76" s="42"/>
      <c r="T76" s="42"/>
      <c r="U76" s="42"/>
      <c r="V76" s="580"/>
      <c r="X76" s="580"/>
    </row>
    <row r="77" spans="17:24">
      <c r="Q77" s="42"/>
      <c r="R77" s="42"/>
      <c r="S77" s="42"/>
      <c r="T77" s="42"/>
      <c r="U77" s="42"/>
      <c r="V77" s="580"/>
      <c r="X77" s="580"/>
    </row>
    <row r="78" spans="17:24">
      <c r="Q78" s="42"/>
      <c r="R78" s="42"/>
      <c r="S78" s="42"/>
      <c r="T78" s="42"/>
      <c r="U78" s="42"/>
      <c r="V78" s="580"/>
      <c r="X78" s="580"/>
    </row>
    <row r="79" spans="17:24">
      <c r="R79" s="42"/>
      <c r="S79" s="42"/>
      <c r="T79" s="42"/>
      <c r="U79" s="42"/>
      <c r="V79" s="580"/>
      <c r="X79" s="580"/>
    </row>
    <row r="80" spans="17:24">
      <c r="R80" s="42"/>
      <c r="S80" s="42"/>
      <c r="T80" s="42"/>
      <c r="U80" s="42"/>
      <c r="V80" s="580"/>
      <c r="X80" s="580"/>
    </row>
    <row r="81" spans="1:24">
      <c r="R81" s="42"/>
      <c r="S81" s="42"/>
      <c r="T81" s="42"/>
      <c r="U81" s="42"/>
      <c r="V81" s="580"/>
      <c r="X81" s="580"/>
    </row>
    <row r="82" spans="1:24">
      <c r="R82" s="42"/>
      <c r="S82" s="42"/>
      <c r="T82" s="42"/>
      <c r="U82" s="42"/>
      <c r="V82" s="580"/>
      <c r="X82" s="580"/>
    </row>
    <row r="83" spans="1:24" ht="15.75">
      <c r="A83" s="46"/>
      <c r="B83" s="46"/>
      <c r="C83" s="46"/>
      <c r="D83" s="46"/>
      <c r="E83" s="46"/>
      <c r="F83" s="47"/>
      <c r="G83" s="47"/>
      <c r="H83" s="48"/>
      <c r="I83" s="49"/>
      <c r="K83" s="49"/>
      <c r="L83" s="49"/>
      <c r="M83" s="49"/>
      <c r="R83" s="42"/>
      <c r="S83" s="42"/>
      <c r="T83" s="42"/>
      <c r="U83" s="42"/>
      <c r="V83" s="580"/>
      <c r="X83" s="580"/>
    </row>
    <row r="84" spans="1:24">
      <c r="A84" s="50"/>
      <c r="B84" s="50"/>
      <c r="C84" s="50"/>
      <c r="D84" s="50"/>
      <c r="E84" s="50"/>
      <c r="F84" s="51"/>
      <c r="G84" s="51"/>
      <c r="H84" s="170"/>
      <c r="I84" s="170"/>
      <c r="K84" s="52"/>
      <c r="L84" s="52"/>
      <c r="M84" s="52"/>
    </row>
    <row r="85" spans="1:24">
      <c r="A85" s="50"/>
      <c r="B85" s="50"/>
      <c r="C85" s="50"/>
      <c r="D85" s="50"/>
      <c r="E85" s="50"/>
      <c r="F85" s="51"/>
      <c r="G85" s="51"/>
      <c r="H85" s="51"/>
      <c r="I85" s="51"/>
      <c r="K85" s="51"/>
      <c r="L85" s="51"/>
      <c r="M85" s="51"/>
    </row>
    <row r="86" spans="1:24">
      <c r="A86" s="50"/>
      <c r="B86" s="50"/>
      <c r="C86" s="50"/>
      <c r="D86" s="50"/>
      <c r="E86" s="50"/>
      <c r="F86" s="51"/>
      <c r="G86" s="51"/>
      <c r="H86" s="51"/>
      <c r="I86" s="51"/>
      <c r="K86" s="51"/>
      <c r="L86" s="51"/>
      <c r="M86" s="51"/>
      <c r="N86" s="53"/>
      <c r="O86" s="54"/>
    </row>
    <row r="90" spans="1:24">
      <c r="P90" s="42"/>
      <c r="Q90" s="42"/>
    </row>
    <row r="93" spans="1:24">
      <c r="F93" s="42"/>
      <c r="G93" s="42"/>
      <c r="H93" s="42"/>
      <c r="I93" s="42"/>
      <c r="J93" s="42"/>
      <c r="K93" s="42"/>
      <c r="L93" s="42"/>
      <c r="M93" s="42"/>
      <c r="N93" s="42"/>
      <c r="O93" s="42"/>
    </row>
    <row r="94" spans="1:24">
      <c r="F94" s="42"/>
      <c r="G94" s="42"/>
      <c r="H94" s="42"/>
      <c r="I94" s="42"/>
      <c r="J94" s="42"/>
      <c r="K94" s="42"/>
      <c r="L94" s="42"/>
      <c r="M94" s="42"/>
      <c r="N94" s="42"/>
      <c r="O94" s="42"/>
    </row>
    <row r="100" spans="14:14">
      <c r="N100" s="55"/>
    </row>
  </sheetData>
  <mergeCells count="21">
    <mergeCell ref="A50:M50"/>
    <mergeCell ref="R3:S3"/>
    <mergeCell ref="R2:U2"/>
    <mergeCell ref="V2:Y2"/>
    <mergeCell ref="T3:U3"/>
    <mergeCell ref="V3:W3"/>
    <mergeCell ref="X3:Y3"/>
    <mergeCell ref="N2:Q2"/>
    <mergeCell ref="N3:O3"/>
    <mergeCell ref="P3:Q3"/>
    <mergeCell ref="A1:I1"/>
    <mergeCell ref="A2:A4"/>
    <mergeCell ref="B2:E2"/>
    <mergeCell ref="F2:I2"/>
    <mergeCell ref="J2:M2"/>
    <mergeCell ref="B3:C3"/>
    <mergeCell ref="D3:E3"/>
    <mergeCell ref="F3:G3"/>
    <mergeCell ref="H3:I3"/>
    <mergeCell ref="J3:K3"/>
    <mergeCell ref="L3:M3"/>
  </mergeCells>
  <printOptions horizontalCentered="1"/>
  <pageMargins left="0.7" right="0.7" top="0.75" bottom="0.75" header="0.3" footer="0.3"/>
  <pageSetup paperSize="9" scale="57"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pageSetUpPr fitToPage="1"/>
  </sheetPr>
  <dimension ref="A1:R15"/>
  <sheetViews>
    <sheetView zoomScaleNormal="100" workbookViewId="0">
      <selection activeCell="G15" sqref="G15"/>
    </sheetView>
  </sheetViews>
  <sheetFormatPr defaultRowHeight="15"/>
  <sheetData>
    <row r="1" spans="1:18">
      <c r="A1" s="1237" t="s">
        <v>1273</v>
      </c>
      <c r="B1" s="1237"/>
      <c r="C1" s="1237"/>
      <c r="D1" s="1237"/>
      <c r="E1" s="1237"/>
      <c r="F1" s="1237"/>
      <c r="G1" s="1237"/>
      <c r="H1" s="1237"/>
      <c r="I1" s="1237"/>
      <c r="J1" s="1237"/>
      <c r="K1" s="1237"/>
      <c r="L1" s="1237"/>
      <c r="M1" s="1237"/>
      <c r="N1" s="1237"/>
      <c r="O1" s="1237"/>
    </row>
    <row r="2" spans="1:18" ht="15" customHeight="1">
      <c r="A2" s="1246" t="s">
        <v>112</v>
      </c>
      <c r="B2" s="1242" t="s">
        <v>133</v>
      </c>
      <c r="C2" s="1243"/>
      <c r="D2" s="1248" t="s">
        <v>623</v>
      </c>
      <c r="E2" s="1249"/>
      <c r="F2" s="1249"/>
      <c r="G2" s="1249"/>
      <c r="H2" s="1249"/>
      <c r="I2" s="1249"/>
      <c r="J2" s="1249"/>
      <c r="K2" s="1249"/>
      <c r="L2" s="1249"/>
      <c r="M2" s="1250"/>
      <c r="N2" s="1251" t="s">
        <v>136</v>
      </c>
      <c r="O2" s="1252"/>
    </row>
    <row r="3" spans="1:18">
      <c r="A3" s="1247"/>
      <c r="B3" s="1244"/>
      <c r="C3" s="1245"/>
      <c r="D3" s="1240" t="s">
        <v>1128</v>
      </c>
      <c r="E3" s="1241"/>
      <c r="F3" s="1235" t="s">
        <v>1127</v>
      </c>
      <c r="G3" s="1236"/>
      <c r="H3" s="1235" t="s">
        <v>1129</v>
      </c>
      <c r="I3" s="1236"/>
      <c r="J3" s="1240" t="s">
        <v>98</v>
      </c>
      <c r="K3" s="1241"/>
      <c r="L3" s="1240" t="s">
        <v>1126</v>
      </c>
      <c r="M3" s="1241"/>
      <c r="N3" s="1240" t="s">
        <v>1124</v>
      </c>
      <c r="O3" s="1241"/>
    </row>
    <row r="4" spans="1:18" ht="45">
      <c r="A4" s="1244"/>
      <c r="B4" s="56" t="s">
        <v>137</v>
      </c>
      <c r="C4" s="56" t="s">
        <v>138</v>
      </c>
      <c r="D4" s="56" t="s">
        <v>137</v>
      </c>
      <c r="E4" s="56" t="s">
        <v>138</v>
      </c>
      <c r="F4" s="56" t="s">
        <v>137</v>
      </c>
      <c r="G4" s="56" t="s">
        <v>138</v>
      </c>
      <c r="H4" s="56" t="s">
        <v>137</v>
      </c>
      <c r="I4" s="56" t="s">
        <v>138</v>
      </c>
      <c r="J4" s="56" t="s">
        <v>137</v>
      </c>
      <c r="K4" s="56" t="s">
        <v>138</v>
      </c>
      <c r="L4" s="56" t="s">
        <v>137</v>
      </c>
      <c r="M4" s="56" t="s">
        <v>138</v>
      </c>
      <c r="N4" s="56" t="s">
        <v>137</v>
      </c>
      <c r="O4" s="56" t="s">
        <v>138</v>
      </c>
    </row>
    <row r="5" spans="1:18">
      <c r="A5" s="490" t="s">
        <v>520</v>
      </c>
      <c r="B5" s="371">
        <v>385</v>
      </c>
      <c r="C5" s="371">
        <v>102259.41623999999</v>
      </c>
      <c r="D5" s="371">
        <v>76</v>
      </c>
      <c r="E5" s="371">
        <v>61859.847318499997</v>
      </c>
      <c r="F5" s="371">
        <v>196</v>
      </c>
      <c r="G5" s="371">
        <v>6095.4649200000003</v>
      </c>
      <c r="H5" s="372">
        <v>272</v>
      </c>
      <c r="I5" s="372">
        <v>67955.312238500002</v>
      </c>
      <c r="J5" s="41">
        <v>67</v>
      </c>
      <c r="K5" s="41">
        <v>15110.204001500002</v>
      </c>
      <c r="L5" s="41">
        <v>1</v>
      </c>
      <c r="M5" s="41">
        <v>27</v>
      </c>
      <c r="N5" s="41">
        <v>45</v>
      </c>
      <c r="O5" s="41">
        <v>19166.899999999998</v>
      </c>
      <c r="Q5" s="950"/>
      <c r="R5" s="950"/>
    </row>
    <row r="6" spans="1:18">
      <c r="A6" s="491" t="s">
        <v>1271</v>
      </c>
      <c r="B6" s="266">
        <f t="shared" ref="B6:G6" si="0">SUM(B7:B10)</f>
        <v>165</v>
      </c>
      <c r="C6" s="266">
        <f t="shared" si="0"/>
        <v>52947.409157799993</v>
      </c>
      <c r="D6" s="266">
        <f t="shared" si="0"/>
        <v>18</v>
      </c>
      <c r="E6" s="266">
        <f t="shared" si="0"/>
        <v>21496.260418499998</v>
      </c>
      <c r="F6" s="266">
        <f t="shared" si="0"/>
        <v>86</v>
      </c>
      <c r="G6" s="266">
        <f t="shared" si="0"/>
        <v>2945.2717600000001</v>
      </c>
      <c r="H6" s="266">
        <f>D6+F6</f>
        <v>104</v>
      </c>
      <c r="I6" s="266">
        <f t="shared" ref="H6:I8" si="1">E6+G6</f>
        <v>24441.532178499998</v>
      </c>
      <c r="J6" s="265">
        <f t="shared" ref="J6:O6" si="2">SUM(J7:J10)</f>
        <v>47</v>
      </c>
      <c r="K6" s="265">
        <f t="shared" si="2"/>
        <v>7639.9269800000002</v>
      </c>
      <c r="L6" s="265">
        <f t="shared" si="2"/>
        <v>2</v>
      </c>
      <c r="M6" s="265">
        <f t="shared" si="2"/>
        <v>18149.9899993</v>
      </c>
      <c r="N6" s="265">
        <f t="shared" si="2"/>
        <v>12</v>
      </c>
      <c r="O6" s="265">
        <f t="shared" si="2"/>
        <v>2715.96</v>
      </c>
      <c r="Q6" s="950"/>
      <c r="R6" s="950"/>
    </row>
    <row r="7" spans="1:18">
      <c r="A7" s="57">
        <v>45383</v>
      </c>
      <c r="B7" s="43">
        <f t="shared" ref="B7:C8" si="3">H7+J7+L7+N7</f>
        <v>39</v>
      </c>
      <c r="C7" s="43">
        <f t="shared" si="3"/>
        <v>26057.3168319</v>
      </c>
      <c r="D7" s="43">
        <v>3</v>
      </c>
      <c r="E7" s="43">
        <v>5054.67</v>
      </c>
      <c r="F7" s="43">
        <v>23</v>
      </c>
      <c r="G7" s="43">
        <v>672.70851999999991</v>
      </c>
      <c r="H7" s="43">
        <f t="shared" si="1"/>
        <v>26</v>
      </c>
      <c r="I7" s="43">
        <f t="shared" si="1"/>
        <v>5727.3785200000002</v>
      </c>
      <c r="J7" s="43">
        <v>8</v>
      </c>
      <c r="K7" s="43">
        <v>1643.1883126000002</v>
      </c>
      <c r="L7" s="43">
        <v>1</v>
      </c>
      <c r="M7" s="43">
        <v>17999.999999299998</v>
      </c>
      <c r="N7" s="43">
        <v>4</v>
      </c>
      <c r="O7" s="43">
        <v>686.75</v>
      </c>
    </row>
    <row r="8" spans="1:18">
      <c r="A8" s="57">
        <v>45443</v>
      </c>
      <c r="B8" s="43">
        <f t="shared" si="3"/>
        <v>41</v>
      </c>
      <c r="C8" s="43">
        <f t="shared" si="3"/>
        <v>13495.5434728</v>
      </c>
      <c r="D8" s="43">
        <v>5</v>
      </c>
      <c r="E8" s="43">
        <v>9606.130443</v>
      </c>
      <c r="F8" s="43">
        <v>21</v>
      </c>
      <c r="G8" s="43">
        <v>527.21852000000001</v>
      </c>
      <c r="H8" s="43">
        <f t="shared" si="1"/>
        <v>26</v>
      </c>
      <c r="I8" s="43">
        <f t="shared" si="1"/>
        <v>10133.348963</v>
      </c>
      <c r="J8" s="43">
        <v>12</v>
      </c>
      <c r="K8" s="43">
        <v>2155.2345098000001</v>
      </c>
      <c r="L8" s="43">
        <v>0</v>
      </c>
      <c r="M8" s="43">
        <v>0</v>
      </c>
      <c r="N8" s="43">
        <v>3</v>
      </c>
      <c r="O8" s="43">
        <v>1206.96</v>
      </c>
    </row>
    <row r="9" spans="1:18">
      <c r="A9" s="57">
        <v>45473</v>
      </c>
      <c r="B9" s="43">
        <f>H9+J9+L9+N9</f>
        <v>41</v>
      </c>
      <c r="C9" s="43">
        <f>I9+K9+M9+O9</f>
        <v>4131.4480000000003</v>
      </c>
      <c r="D9" s="43">
        <v>5</v>
      </c>
      <c r="E9" s="43">
        <v>1957.28</v>
      </c>
      <c r="F9" s="43">
        <v>17</v>
      </c>
      <c r="G9" s="43">
        <v>563.33800000000008</v>
      </c>
      <c r="H9" s="43">
        <f t="shared" ref="H9" si="4">D9+F9</f>
        <v>22</v>
      </c>
      <c r="I9" s="43">
        <f t="shared" ref="I9" si="5">E9+G9</f>
        <v>2520.6179999999999</v>
      </c>
      <c r="J9" s="43">
        <v>16</v>
      </c>
      <c r="K9" s="43">
        <v>1050.58</v>
      </c>
      <c r="L9" s="43">
        <v>0</v>
      </c>
      <c r="M9" s="43">
        <v>0</v>
      </c>
      <c r="N9" s="43">
        <v>3</v>
      </c>
      <c r="O9" s="43">
        <v>560.25</v>
      </c>
    </row>
    <row r="10" spans="1:18">
      <c r="A10" s="57">
        <v>45504</v>
      </c>
      <c r="B10" s="43">
        <f>H10+J10+L10+N10</f>
        <v>44</v>
      </c>
      <c r="C10" s="43">
        <f>I10+K10+M10+O10</f>
        <v>9263.1008530999989</v>
      </c>
      <c r="D10" s="296">
        <v>5</v>
      </c>
      <c r="E10" s="297">
        <v>4878.1799754999993</v>
      </c>
      <c r="F10" s="298">
        <v>25</v>
      </c>
      <c r="G10" s="299">
        <v>1182.0067199999999</v>
      </c>
      <c r="H10" s="43">
        <f>D10+F10</f>
        <v>30</v>
      </c>
      <c r="I10" s="43">
        <f>E10+G10</f>
        <v>6060.1866954999987</v>
      </c>
      <c r="J10" s="297">
        <v>11</v>
      </c>
      <c r="K10" s="297">
        <v>2790.9241575999999</v>
      </c>
      <c r="L10" s="43">
        <v>1</v>
      </c>
      <c r="M10" s="43">
        <v>149.99</v>
      </c>
      <c r="N10" s="212">
        <v>2</v>
      </c>
      <c r="O10" s="212">
        <v>262</v>
      </c>
      <c r="P10" s="42"/>
      <c r="Q10" s="42"/>
    </row>
    <row r="11" spans="1:18">
      <c r="A11" s="1238" t="s">
        <v>1255</v>
      </c>
      <c r="B11" s="1239"/>
      <c r="C11" s="1239"/>
      <c r="D11" s="1239"/>
      <c r="E11" s="1239"/>
      <c r="F11" s="1239"/>
      <c r="G11" s="1239"/>
      <c r="H11" s="1239"/>
      <c r="I11" s="1239"/>
      <c r="J11" s="1239"/>
      <c r="K11" s="1239"/>
      <c r="L11" s="1239"/>
      <c r="M11" s="1239"/>
      <c r="N11" s="1239"/>
      <c r="O11" s="1239"/>
    </row>
    <row r="12" spans="1:18">
      <c r="A12" s="292" t="s">
        <v>1256</v>
      </c>
      <c r="B12" s="292"/>
      <c r="C12" s="292"/>
      <c r="D12" s="292"/>
      <c r="E12" s="292"/>
      <c r="F12" s="292"/>
      <c r="G12" s="292"/>
      <c r="H12" s="292"/>
      <c r="I12" s="292"/>
      <c r="J12" s="292"/>
      <c r="K12" s="238"/>
      <c r="L12" s="44"/>
      <c r="M12" s="211"/>
    </row>
    <row r="13" spans="1:18">
      <c r="A13" s="293" t="s">
        <v>1257</v>
      </c>
      <c r="B13" s="293"/>
      <c r="C13" s="293"/>
      <c r="D13" s="293"/>
      <c r="E13" s="45"/>
      <c r="F13" s="45"/>
      <c r="G13" s="45"/>
      <c r="H13" s="45"/>
      <c r="I13" s="45"/>
      <c r="J13" s="42"/>
      <c r="K13" s="45"/>
      <c r="L13" s="45"/>
      <c r="M13" s="45"/>
    </row>
    <row r="14" spans="1:18" s="361" customFormat="1">
      <c r="A14" s="484" t="str">
        <f>"# indicates as on "&amp;TEXT('1'!$C$2,"mmmm dd, yyyy")</f>
        <v># indicates as on July 31, 2024</v>
      </c>
      <c r="B14" s="293"/>
      <c r="C14" s="293"/>
      <c r="D14" s="293"/>
      <c r="E14" s="45"/>
      <c r="F14" s="45"/>
      <c r="G14" s="45"/>
      <c r="H14" s="45"/>
      <c r="I14" s="45"/>
      <c r="J14" s="42"/>
      <c r="K14" s="45"/>
      <c r="L14" s="45"/>
      <c r="M14" s="45"/>
    </row>
    <row r="15" spans="1:18">
      <c r="A15" s="291" t="s">
        <v>126</v>
      </c>
      <c r="B15" s="291"/>
      <c r="C15" s="291"/>
      <c r="D15" s="291"/>
      <c r="E15" s="291"/>
      <c r="F15" s="291"/>
      <c r="G15" s="291"/>
      <c r="H15" s="291"/>
      <c r="I15" s="291"/>
      <c r="K15" s="291"/>
      <c r="L15" s="291"/>
      <c r="M15" s="291"/>
    </row>
  </sheetData>
  <mergeCells count="12">
    <mergeCell ref="H3:I3"/>
    <mergeCell ref="A1:O1"/>
    <mergeCell ref="A11:O11"/>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sheetPr>
  <dimension ref="A1:O66"/>
  <sheetViews>
    <sheetView zoomScaleNormal="100" workbookViewId="0"/>
  </sheetViews>
  <sheetFormatPr defaultRowHeight="15"/>
  <cols>
    <col min="1" max="1" width="17.5703125" customWidth="1"/>
    <col min="2" max="2" width="19.42578125" customWidth="1"/>
    <col min="3" max="3" width="25.5703125" customWidth="1"/>
    <col min="4" max="4" width="10.5703125" customWidth="1"/>
    <col min="5" max="5" width="10.28515625" customWidth="1"/>
    <col min="6" max="6" width="10.28515625" style="16" customWidth="1"/>
    <col min="7" max="7" width="12.85546875" style="16" customWidth="1"/>
    <col min="10" max="10" width="10.140625" bestFit="1" customWidth="1"/>
  </cols>
  <sheetData>
    <row r="1" spans="1:15" ht="15.75">
      <c r="A1" s="461" t="s">
        <v>142</v>
      </c>
      <c r="B1" s="461"/>
      <c r="C1" s="461"/>
      <c r="D1" s="461"/>
      <c r="E1" s="461"/>
      <c r="F1" s="461"/>
      <c r="G1" s="461"/>
    </row>
    <row r="2" spans="1:15" ht="15" customHeight="1">
      <c r="A2" s="1259" t="s">
        <v>1171</v>
      </c>
      <c r="B2" s="1261" t="s">
        <v>1172</v>
      </c>
      <c r="C2" s="1261" t="s">
        <v>143</v>
      </c>
      <c r="D2" s="1260" t="s">
        <v>520</v>
      </c>
      <c r="E2" s="1260"/>
      <c r="F2" s="1260" t="s">
        <v>1353</v>
      </c>
      <c r="G2" s="1260"/>
      <c r="H2" s="1258">
        <v>45383</v>
      </c>
      <c r="I2" s="1258"/>
      <c r="J2" s="1253">
        <f>EOMONTH(H2,1)</f>
        <v>45443</v>
      </c>
      <c r="K2" s="1254"/>
      <c r="L2" s="1253">
        <f>EOMONTH(J2,1)</f>
        <v>45473</v>
      </c>
      <c r="M2" s="1254"/>
      <c r="N2" s="1253">
        <f>EOMONTH(L2,1)</f>
        <v>45504</v>
      </c>
      <c r="O2" s="1254"/>
    </row>
    <row r="3" spans="1:15" ht="38.25">
      <c r="A3" s="1259"/>
      <c r="B3" s="1261"/>
      <c r="C3" s="1261"/>
      <c r="D3" s="458" t="s">
        <v>137</v>
      </c>
      <c r="E3" s="458" t="s">
        <v>138</v>
      </c>
      <c r="F3" s="977" t="s">
        <v>137</v>
      </c>
      <c r="G3" s="977" t="s">
        <v>138</v>
      </c>
      <c r="H3" s="458" t="s">
        <v>137</v>
      </c>
      <c r="I3" s="458" t="s">
        <v>138</v>
      </c>
      <c r="J3" s="467" t="s">
        <v>137</v>
      </c>
      <c r="K3" s="467" t="s">
        <v>138</v>
      </c>
      <c r="L3" s="508" t="s">
        <v>137</v>
      </c>
      <c r="M3" s="508" t="s">
        <v>138</v>
      </c>
      <c r="N3" s="509" t="s">
        <v>137</v>
      </c>
      <c r="O3" s="509" t="s">
        <v>138</v>
      </c>
    </row>
    <row r="4" spans="1:15">
      <c r="A4" s="1255" t="s">
        <v>1232</v>
      </c>
      <c r="B4" s="1255" t="s">
        <v>1233</v>
      </c>
      <c r="C4" s="423" t="s">
        <v>1173</v>
      </c>
      <c r="D4" s="459">
        <v>7</v>
      </c>
      <c r="E4" s="210">
        <v>615.83574079999994</v>
      </c>
      <c r="F4" s="263">
        <v>5</v>
      </c>
      <c r="G4" s="263">
        <v>209.77160000000001</v>
      </c>
      <c r="H4" s="210">
        <v>0</v>
      </c>
      <c r="I4" s="210">
        <v>0</v>
      </c>
      <c r="J4" s="210">
        <v>2</v>
      </c>
      <c r="K4" s="210">
        <v>60.491599999999998</v>
      </c>
      <c r="L4" s="210">
        <v>3</v>
      </c>
      <c r="M4" s="210">
        <v>149.28</v>
      </c>
      <c r="N4" s="210">
        <v>0</v>
      </c>
      <c r="O4" s="210">
        <v>0</v>
      </c>
    </row>
    <row r="5" spans="1:15">
      <c r="A5" s="1256"/>
      <c r="B5" s="1257"/>
      <c r="C5" s="423" t="s">
        <v>1174</v>
      </c>
      <c r="D5" s="459">
        <v>2</v>
      </c>
      <c r="E5" s="210">
        <v>170.5403</v>
      </c>
      <c r="F5" s="263">
        <v>1</v>
      </c>
      <c r="G5" s="263">
        <v>44.676000000000002</v>
      </c>
      <c r="H5" s="210">
        <v>0</v>
      </c>
      <c r="I5" s="210">
        <v>0</v>
      </c>
      <c r="J5" s="210">
        <v>0</v>
      </c>
      <c r="K5" s="210">
        <v>0</v>
      </c>
      <c r="L5" s="210">
        <v>0</v>
      </c>
      <c r="M5" s="210">
        <v>0</v>
      </c>
      <c r="N5" s="210">
        <v>1</v>
      </c>
      <c r="O5" s="210">
        <v>44.676000000000002</v>
      </c>
    </row>
    <row r="6" spans="1:15">
      <c r="A6" s="1256"/>
      <c r="B6" s="1255" t="s">
        <v>1234</v>
      </c>
      <c r="C6" s="423" t="s">
        <v>1175</v>
      </c>
      <c r="D6" s="459">
        <v>2</v>
      </c>
      <c r="E6" s="210">
        <v>4447.0123926000006</v>
      </c>
      <c r="F6" s="263">
        <v>1</v>
      </c>
      <c r="G6" s="263">
        <v>400</v>
      </c>
      <c r="H6" s="210">
        <v>0</v>
      </c>
      <c r="I6" s="210">
        <v>0</v>
      </c>
      <c r="J6" s="210">
        <v>1</v>
      </c>
      <c r="K6" s="210">
        <v>400</v>
      </c>
      <c r="L6" s="210">
        <v>0</v>
      </c>
      <c r="M6" s="210">
        <v>0</v>
      </c>
      <c r="N6" s="210">
        <v>0</v>
      </c>
      <c r="O6" s="210">
        <v>0</v>
      </c>
    </row>
    <row r="7" spans="1:15">
      <c r="A7" s="1256"/>
      <c r="B7" s="1257"/>
      <c r="C7" s="423" t="s">
        <v>1176</v>
      </c>
      <c r="D7" s="459">
        <v>1</v>
      </c>
      <c r="E7" s="210">
        <v>49.98</v>
      </c>
      <c r="F7" s="263">
        <v>0</v>
      </c>
      <c r="G7" s="263">
        <v>0</v>
      </c>
      <c r="H7" s="210">
        <v>0</v>
      </c>
      <c r="I7" s="210">
        <v>0</v>
      </c>
      <c r="J7" s="210">
        <v>0</v>
      </c>
      <c r="K7" s="210">
        <v>0</v>
      </c>
      <c r="L7" s="210">
        <v>0</v>
      </c>
      <c r="M7" s="210">
        <v>0</v>
      </c>
      <c r="N7" s="210">
        <v>0</v>
      </c>
      <c r="O7" s="210">
        <v>0</v>
      </c>
    </row>
    <row r="8" spans="1:15">
      <c r="A8" s="1256"/>
      <c r="B8" s="1255" t="s">
        <v>1235</v>
      </c>
      <c r="C8" s="423" t="s">
        <v>1177</v>
      </c>
      <c r="D8" s="459">
        <v>1</v>
      </c>
      <c r="E8" s="210">
        <v>42.692639999999997</v>
      </c>
      <c r="F8" s="263">
        <v>1</v>
      </c>
      <c r="G8" s="263">
        <v>170.99998830000001</v>
      </c>
      <c r="H8" s="210">
        <v>0</v>
      </c>
      <c r="I8" s="210">
        <v>0</v>
      </c>
      <c r="J8" s="210">
        <v>0</v>
      </c>
      <c r="K8" s="210">
        <v>0</v>
      </c>
      <c r="L8" s="210">
        <v>0</v>
      </c>
      <c r="M8" s="210">
        <v>0</v>
      </c>
      <c r="N8" s="210">
        <v>1</v>
      </c>
      <c r="O8" s="210">
        <v>170.99998830000001</v>
      </c>
    </row>
    <row r="9" spans="1:15">
      <c r="A9" s="1256"/>
      <c r="B9" s="1256"/>
      <c r="C9" s="423" t="s">
        <v>1178</v>
      </c>
      <c r="D9" s="459">
        <v>0</v>
      </c>
      <c r="E9" s="210">
        <v>0</v>
      </c>
      <c r="F9" s="263">
        <v>0</v>
      </c>
      <c r="G9" s="263">
        <v>0</v>
      </c>
      <c r="H9" s="210">
        <v>0</v>
      </c>
      <c r="I9" s="210">
        <v>0</v>
      </c>
      <c r="J9" s="210">
        <v>0</v>
      </c>
      <c r="K9" s="210">
        <v>0</v>
      </c>
      <c r="L9" s="210">
        <v>0</v>
      </c>
      <c r="M9" s="210">
        <v>0</v>
      </c>
      <c r="N9" s="210">
        <v>0</v>
      </c>
      <c r="O9" s="210">
        <v>0</v>
      </c>
    </row>
    <row r="10" spans="1:15">
      <c r="A10" s="1256"/>
      <c r="B10" s="1256"/>
      <c r="C10" s="423" t="s">
        <v>1179</v>
      </c>
      <c r="D10" s="459">
        <v>0</v>
      </c>
      <c r="E10" s="210">
        <v>0</v>
      </c>
      <c r="F10" s="263">
        <v>0</v>
      </c>
      <c r="G10" s="263">
        <v>0</v>
      </c>
      <c r="H10" s="210">
        <v>0</v>
      </c>
      <c r="I10" s="210">
        <v>0</v>
      </c>
      <c r="J10" s="210">
        <v>0</v>
      </c>
      <c r="K10" s="210">
        <v>0</v>
      </c>
      <c r="L10" s="210">
        <v>0</v>
      </c>
      <c r="M10" s="210">
        <v>0</v>
      </c>
      <c r="N10" s="210">
        <v>0</v>
      </c>
      <c r="O10" s="210">
        <v>0</v>
      </c>
    </row>
    <row r="11" spans="1:15">
      <c r="A11" s="1256"/>
      <c r="B11" s="1256"/>
      <c r="C11" s="423" t="s">
        <v>1180</v>
      </c>
      <c r="D11" s="459">
        <v>0</v>
      </c>
      <c r="E11" s="210">
        <v>0</v>
      </c>
      <c r="F11" s="263">
        <v>1</v>
      </c>
      <c r="G11" s="263">
        <v>113.16096</v>
      </c>
      <c r="H11" s="210">
        <v>0</v>
      </c>
      <c r="I11" s="210">
        <v>0</v>
      </c>
      <c r="J11" s="210">
        <v>0</v>
      </c>
      <c r="K11" s="210">
        <v>0</v>
      </c>
      <c r="L11" s="210">
        <v>0</v>
      </c>
      <c r="M11" s="210">
        <v>0</v>
      </c>
      <c r="N11" s="210">
        <v>1</v>
      </c>
      <c r="O11" s="210">
        <v>113.16096</v>
      </c>
    </row>
    <row r="12" spans="1:15">
      <c r="A12" s="1256"/>
      <c r="B12" s="1257"/>
      <c r="C12" s="423" t="s">
        <v>1181</v>
      </c>
      <c r="D12" s="459">
        <v>1</v>
      </c>
      <c r="E12" s="210">
        <v>37.5335775</v>
      </c>
      <c r="F12" s="263">
        <v>0</v>
      </c>
      <c r="G12" s="263">
        <v>0</v>
      </c>
      <c r="H12" s="210">
        <v>0</v>
      </c>
      <c r="I12" s="210">
        <v>0</v>
      </c>
      <c r="J12" s="210">
        <v>0</v>
      </c>
      <c r="K12" s="210">
        <v>0</v>
      </c>
      <c r="L12" s="210">
        <v>0</v>
      </c>
      <c r="M12" s="210">
        <v>0</v>
      </c>
      <c r="N12" s="210">
        <v>0</v>
      </c>
      <c r="O12" s="210">
        <v>0</v>
      </c>
    </row>
    <row r="13" spans="1:15">
      <c r="A13" s="1257"/>
      <c r="B13" s="463" t="s">
        <v>1236</v>
      </c>
      <c r="C13" s="423" t="s">
        <v>1182</v>
      </c>
      <c r="D13" s="459">
        <v>2</v>
      </c>
      <c r="E13" s="210">
        <v>77.48</v>
      </c>
      <c r="F13" s="263">
        <v>2</v>
      </c>
      <c r="G13" s="263">
        <v>84.9273448</v>
      </c>
      <c r="H13" s="210">
        <v>0</v>
      </c>
      <c r="I13" s="210">
        <v>0</v>
      </c>
      <c r="J13" s="210">
        <v>1</v>
      </c>
      <c r="K13" s="210">
        <v>45.1073448</v>
      </c>
      <c r="L13" s="210">
        <v>0</v>
      </c>
      <c r="M13" s="210">
        <v>0</v>
      </c>
      <c r="N13" s="210">
        <v>1</v>
      </c>
      <c r="O13" s="210">
        <v>39.82</v>
      </c>
    </row>
    <row r="14" spans="1:15">
      <c r="A14" s="1255" t="s">
        <v>1237</v>
      </c>
      <c r="B14" s="1255" t="s">
        <v>1238</v>
      </c>
      <c r="C14" s="423" t="s">
        <v>1183</v>
      </c>
      <c r="D14" s="459">
        <v>1</v>
      </c>
      <c r="E14" s="210">
        <v>601.54999999999995</v>
      </c>
      <c r="F14" s="263">
        <v>1</v>
      </c>
      <c r="G14" s="263">
        <v>115.64</v>
      </c>
      <c r="H14" s="210">
        <v>0</v>
      </c>
      <c r="I14" s="210">
        <v>0</v>
      </c>
      <c r="J14" s="210">
        <v>0</v>
      </c>
      <c r="K14" s="210">
        <v>0</v>
      </c>
      <c r="L14" s="210">
        <v>0</v>
      </c>
      <c r="M14" s="210">
        <v>0</v>
      </c>
      <c r="N14" s="210">
        <v>1</v>
      </c>
      <c r="O14" s="210">
        <v>115.64</v>
      </c>
    </row>
    <row r="15" spans="1:15">
      <c r="A15" s="1256"/>
      <c r="B15" s="1257"/>
      <c r="C15" s="423" t="s">
        <v>1184</v>
      </c>
      <c r="D15" s="459">
        <v>3</v>
      </c>
      <c r="E15" s="210">
        <v>914.20791999999994</v>
      </c>
      <c r="F15" s="263">
        <v>2</v>
      </c>
      <c r="G15" s="263">
        <v>79.135599999999997</v>
      </c>
      <c r="H15" s="210">
        <v>1</v>
      </c>
      <c r="I15" s="210">
        <v>53.89</v>
      </c>
      <c r="J15" s="210">
        <v>1</v>
      </c>
      <c r="K15" s="210">
        <v>25.2456</v>
      </c>
      <c r="L15" s="210">
        <v>0</v>
      </c>
      <c r="M15" s="210">
        <v>0</v>
      </c>
      <c r="N15" s="210">
        <v>0</v>
      </c>
      <c r="O15" s="210">
        <v>0</v>
      </c>
    </row>
    <row r="16" spans="1:15">
      <c r="A16" s="1256"/>
      <c r="B16" s="463" t="s">
        <v>1239</v>
      </c>
      <c r="C16" s="423" t="s">
        <v>1185</v>
      </c>
      <c r="D16" s="459">
        <v>22</v>
      </c>
      <c r="E16" s="210">
        <v>4644.4648800999994</v>
      </c>
      <c r="F16" s="263">
        <v>11</v>
      </c>
      <c r="G16" s="263">
        <v>817.74036499999988</v>
      </c>
      <c r="H16" s="210">
        <v>5</v>
      </c>
      <c r="I16" s="210">
        <v>141.13036500000001</v>
      </c>
      <c r="J16" s="210">
        <v>1</v>
      </c>
      <c r="K16" s="210">
        <v>15</v>
      </c>
      <c r="L16" s="210">
        <v>4</v>
      </c>
      <c r="M16" s="210">
        <v>633.55999999999995</v>
      </c>
      <c r="N16" s="210">
        <v>1</v>
      </c>
      <c r="O16" s="210">
        <v>28.05</v>
      </c>
    </row>
    <row r="17" spans="1:15">
      <c r="A17" s="1256"/>
      <c r="B17" s="463" t="s">
        <v>1240</v>
      </c>
      <c r="C17" s="423" t="s">
        <v>1186</v>
      </c>
      <c r="D17" s="459">
        <v>14</v>
      </c>
      <c r="E17" s="210">
        <v>279.06739999999996</v>
      </c>
      <c r="F17" s="263">
        <v>7</v>
      </c>
      <c r="G17" s="263">
        <v>199.92130760000003</v>
      </c>
      <c r="H17" s="210">
        <v>1</v>
      </c>
      <c r="I17" s="210">
        <v>44.741307599999999</v>
      </c>
      <c r="J17" s="210">
        <v>2</v>
      </c>
      <c r="K17" s="210">
        <v>28.87</v>
      </c>
      <c r="L17" s="210">
        <v>3</v>
      </c>
      <c r="M17" s="210">
        <v>76.39</v>
      </c>
      <c r="N17" s="210">
        <v>1</v>
      </c>
      <c r="O17" s="210">
        <v>49.92</v>
      </c>
    </row>
    <row r="18" spans="1:15">
      <c r="A18" s="1256"/>
      <c r="B18" s="1255" t="s">
        <v>1241</v>
      </c>
      <c r="C18" s="423" t="s">
        <v>1187</v>
      </c>
      <c r="D18" s="459">
        <v>5</v>
      </c>
      <c r="E18" s="210">
        <v>555.20499999999993</v>
      </c>
      <c r="F18" s="263">
        <v>1</v>
      </c>
      <c r="G18" s="263">
        <v>8.4816000000000003</v>
      </c>
      <c r="H18" s="210">
        <v>0</v>
      </c>
      <c r="I18" s="210">
        <v>0</v>
      </c>
      <c r="J18" s="210">
        <v>1</v>
      </c>
      <c r="K18" s="210">
        <v>8.4816000000000003</v>
      </c>
      <c r="L18" s="210">
        <v>0</v>
      </c>
      <c r="M18" s="210">
        <v>0</v>
      </c>
      <c r="N18" s="210">
        <v>0</v>
      </c>
      <c r="O18" s="210">
        <v>0</v>
      </c>
    </row>
    <row r="19" spans="1:15">
      <c r="A19" s="1256"/>
      <c r="B19" s="1256"/>
      <c r="C19" s="423" t="s">
        <v>1188</v>
      </c>
      <c r="D19" s="459">
        <v>6</v>
      </c>
      <c r="E19" s="210">
        <v>240.97613100000001</v>
      </c>
      <c r="F19" s="263">
        <v>1</v>
      </c>
      <c r="G19" s="263">
        <v>14.251519999999999</v>
      </c>
      <c r="H19" s="210">
        <v>1</v>
      </c>
      <c r="I19" s="210">
        <v>14.251519999999999</v>
      </c>
      <c r="J19" s="210">
        <v>0</v>
      </c>
      <c r="K19" s="210">
        <v>0</v>
      </c>
      <c r="L19" s="210">
        <v>0</v>
      </c>
      <c r="M19" s="210">
        <v>0</v>
      </c>
      <c r="N19" s="210">
        <v>0</v>
      </c>
      <c r="O19" s="210">
        <v>0</v>
      </c>
    </row>
    <row r="20" spans="1:15">
      <c r="A20" s="1256"/>
      <c r="B20" s="1257"/>
      <c r="C20" s="423" t="s">
        <v>1189</v>
      </c>
      <c r="D20" s="459">
        <v>0</v>
      </c>
      <c r="E20" s="210">
        <v>0</v>
      </c>
      <c r="F20" s="263">
        <v>1</v>
      </c>
      <c r="G20" s="263">
        <v>45.9</v>
      </c>
      <c r="H20" s="210">
        <v>0</v>
      </c>
      <c r="I20" s="210">
        <v>0</v>
      </c>
      <c r="J20" s="210">
        <v>0</v>
      </c>
      <c r="K20" s="210">
        <v>0</v>
      </c>
      <c r="L20" s="210">
        <v>0</v>
      </c>
      <c r="M20" s="210">
        <v>0</v>
      </c>
      <c r="N20" s="210">
        <v>1</v>
      </c>
      <c r="O20" s="210">
        <v>45.9</v>
      </c>
    </row>
    <row r="21" spans="1:15">
      <c r="A21" s="1256"/>
      <c r="B21" s="463" t="s">
        <v>1242</v>
      </c>
      <c r="C21" s="423" t="s">
        <v>1190</v>
      </c>
      <c r="D21" s="459">
        <v>6</v>
      </c>
      <c r="E21" s="210">
        <v>1256.2571</v>
      </c>
      <c r="F21" s="263">
        <v>2</v>
      </c>
      <c r="G21" s="263">
        <v>2029.4839999999999</v>
      </c>
      <c r="H21" s="210">
        <v>0</v>
      </c>
      <c r="I21" s="210">
        <v>0</v>
      </c>
      <c r="J21" s="210">
        <v>0</v>
      </c>
      <c r="K21" s="210">
        <v>0</v>
      </c>
      <c r="L21" s="210">
        <v>0</v>
      </c>
      <c r="M21" s="210">
        <v>0</v>
      </c>
      <c r="N21" s="210">
        <v>2</v>
      </c>
      <c r="O21" s="210">
        <v>2029.4839999999999</v>
      </c>
    </row>
    <row r="22" spans="1:15">
      <c r="A22" s="1256"/>
      <c r="B22" s="1255" t="s">
        <v>144</v>
      </c>
      <c r="C22" s="423" t="s">
        <v>1191</v>
      </c>
      <c r="D22" s="459">
        <v>5</v>
      </c>
      <c r="E22" s="210">
        <v>4895.93</v>
      </c>
      <c r="F22" s="263">
        <v>4</v>
      </c>
      <c r="G22" s="263">
        <v>2316.5109160000002</v>
      </c>
      <c r="H22" s="210">
        <v>1</v>
      </c>
      <c r="I22" s="210">
        <v>16.473600000000001</v>
      </c>
      <c r="J22" s="210">
        <v>1</v>
      </c>
      <c r="K22" s="210">
        <v>1550.8093160000001</v>
      </c>
      <c r="L22" s="210">
        <v>2</v>
      </c>
      <c r="M22" s="210">
        <v>749.22800000000007</v>
      </c>
      <c r="N22" s="210">
        <v>0</v>
      </c>
      <c r="O22" s="210">
        <v>0</v>
      </c>
    </row>
    <row r="23" spans="1:15">
      <c r="A23" s="1256"/>
      <c r="B23" s="1256"/>
      <c r="C23" s="423" t="s">
        <v>1192</v>
      </c>
      <c r="D23" s="459">
        <v>7</v>
      </c>
      <c r="E23" s="210">
        <v>215.69183999999998</v>
      </c>
      <c r="F23" s="263">
        <v>1</v>
      </c>
      <c r="G23" s="263">
        <v>6.81</v>
      </c>
      <c r="H23" s="210">
        <v>0</v>
      </c>
      <c r="I23" s="210">
        <v>0</v>
      </c>
      <c r="J23" s="210">
        <v>0</v>
      </c>
      <c r="K23" s="210">
        <v>0</v>
      </c>
      <c r="L23" s="210">
        <v>1</v>
      </c>
      <c r="M23" s="210">
        <v>6.81</v>
      </c>
      <c r="N23" s="210">
        <v>0</v>
      </c>
      <c r="O23" s="210">
        <v>0</v>
      </c>
    </row>
    <row r="24" spans="1:15">
      <c r="A24" s="1257"/>
      <c r="B24" s="1257"/>
      <c r="C24" s="423" t="s">
        <v>1193</v>
      </c>
      <c r="D24" s="459">
        <v>12</v>
      </c>
      <c r="E24" s="210">
        <v>3584.8555719999995</v>
      </c>
      <c r="F24" s="263">
        <v>1</v>
      </c>
      <c r="G24" s="263">
        <v>13.53</v>
      </c>
      <c r="H24" s="210">
        <v>0</v>
      </c>
      <c r="I24" s="210">
        <v>0</v>
      </c>
      <c r="J24" s="210">
        <v>1</v>
      </c>
      <c r="K24" s="210">
        <v>13.53</v>
      </c>
      <c r="L24" s="210">
        <v>0</v>
      </c>
      <c r="M24" s="210">
        <v>0</v>
      </c>
      <c r="N24" s="210">
        <v>0</v>
      </c>
      <c r="O24" s="210">
        <v>0</v>
      </c>
    </row>
    <row r="25" spans="1:15">
      <c r="A25" s="1255" t="s">
        <v>686</v>
      </c>
      <c r="B25" s="1255" t="s">
        <v>1243</v>
      </c>
      <c r="C25" s="423" t="s">
        <v>1194</v>
      </c>
      <c r="D25" s="459">
        <v>2</v>
      </c>
      <c r="E25" s="210">
        <v>558.4</v>
      </c>
      <c r="F25" s="263">
        <v>0</v>
      </c>
      <c r="G25" s="263">
        <v>0</v>
      </c>
      <c r="H25" s="210">
        <v>0</v>
      </c>
      <c r="I25" s="210">
        <v>0</v>
      </c>
      <c r="J25" s="210">
        <v>0</v>
      </c>
      <c r="K25" s="210">
        <v>0</v>
      </c>
      <c r="L25" s="210">
        <v>0</v>
      </c>
      <c r="M25" s="210">
        <v>0</v>
      </c>
      <c r="N25" s="210">
        <v>0</v>
      </c>
      <c r="O25" s="210">
        <v>0</v>
      </c>
    </row>
    <row r="26" spans="1:15">
      <c r="A26" s="1256"/>
      <c r="B26" s="1256"/>
      <c r="C26" s="423" t="s">
        <v>1195</v>
      </c>
      <c r="D26" s="459">
        <v>0</v>
      </c>
      <c r="E26" s="210">
        <v>0</v>
      </c>
      <c r="F26" s="263">
        <v>0</v>
      </c>
      <c r="G26" s="263">
        <v>0</v>
      </c>
      <c r="H26" s="210">
        <v>0</v>
      </c>
      <c r="I26" s="210">
        <v>0</v>
      </c>
      <c r="J26" s="210">
        <v>0</v>
      </c>
      <c r="K26" s="210">
        <v>0</v>
      </c>
      <c r="L26" s="210">
        <v>0</v>
      </c>
      <c r="M26" s="210">
        <v>0</v>
      </c>
      <c r="N26" s="210">
        <v>0</v>
      </c>
      <c r="O26" s="210">
        <v>0</v>
      </c>
    </row>
    <row r="27" spans="1:15">
      <c r="A27" s="1256"/>
      <c r="B27" s="1256"/>
      <c r="C27" s="423" t="s">
        <v>1196</v>
      </c>
      <c r="D27" s="459">
        <v>2</v>
      </c>
      <c r="E27" s="210">
        <v>520.92999999999995</v>
      </c>
      <c r="F27" s="263">
        <v>1</v>
      </c>
      <c r="G27" s="263">
        <v>6.3</v>
      </c>
      <c r="H27" s="210">
        <v>1</v>
      </c>
      <c r="I27" s="210">
        <v>6.3</v>
      </c>
      <c r="J27" s="210">
        <v>0</v>
      </c>
      <c r="K27" s="210">
        <v>0</v>
      </c>
      <c r="L27" s="210">
        <v>0</v>
      </c>
      <c r="M27" s="210">
        <v>0</v>
      </c>
      <c r="N27" s="210">
        <v>0</v>
      </c>
      <c r="O27" s="210">
        <v>0</v>
      </c>
    </row>
    <row r="28" spans="1:15">
      <c r="A28" s="1257"/>
      <c r="B28" s="1257"/>
      <c r="C28" s="423" t="s">
        <v>1197</v>
      </c>
      <c r="D28" s="459">
        <v>0</v>
      </c>
      <c r="E28" s="210">
        <v>0</v>
      </c>
      <c r="F28" s="263">
        <v>0</v>
      </c>
      <c r="G28" s="263">
        <v>0</v>
      </c>
      <c r="H28" s="210">
        <v>0</v>
      </c>
      <c r="I28" s="210">
        <v>0</v>
      </c>
      <c r="J28" s="210">
        <v>0</v>
      </c>
      <c r="K28" s="210">
        <v>0</v>
      </c>
      <c r="L28" s="210">
        <v>0</v>
      </c>
      <c r="M28" s="210">
        <v>0</v>
      </c>
      <c r="N28" s="210">
        <v>0</v>
      </c>
      <c r="O28" s="210">
        <v>0</v>
      </c>
    </row>
    <row r="29" spans="1:15">
      <c r="A29" s="1262" t="s">
        <v>1244</v>
      </c>
      <c r="B29" s="1262" t="s">
        <v>1244</v>
      </c>
      <c r="C29" s="423" t="s">
        <v>1198</v>
      </c>
      <c r="D29" s="459">
        <v>8</v>
      </c>
      <c r="E29" s="210">
        <v>324.42033169999996</v>
      </c>
      <c r="F29" s="263">
        <v>8</v>
      </c>
      <c r="G29" s="263">
        <v>778.04512</v>
      </c>
      <c r="H29" s="210">
        <v>2</v>
      </c>
      <c r="I29" s="210">
        <v>76.065600000000003</v>
      </c>
      <c r="J29" s="210">
        <v>2</v>
      </c>
      <c r="K29" s="210">
        <v>54.699999999999996</v>
      </c>
      <c r="L29" s="210">
        <v>2</v>
      </c>
      <c r="M29" s="210">
        <v>86.129519999999999</v>
      </c>
      <c r="N29" s="210">
        <v>2</v>
      </c>
      <c r="O29" s="210">
        <v>561.15</v>
      </c>
    </row>
    <row r="30" spans="1:15">
      <c r="A30" s="1263"/>
      <c r="B30" s="1263"/>
      <c r="C30" s="423" t="s">
        <v>1199</v>
      </c>
      <c r="D30" s="459">
        <v>1</v>
      </c>
      <c r="E30" s="210">
        <v>48.943300000000001</v>
      </c>
      <c r="F30" s="263">
        <v>2</v>
      </c>
      <c r="G30" s="263">
        <v>1521.78</v>
      </c>
      <c r="H30" s="210">
        <v>1</v>
      </c>
      <c r="I30" s="210">
        <v>21.78</v>
      </c>
      <c r="J30" s="210">
        <v>0</v>
      </c>
      <c r="K30" s="210">
        <v>0</v>
      </c>
      <c r="L30" s="210">
        <v>0</v>
      </c>
      <c r="M30" s="210">
        <v>0</v>
      </c>
      <c r="N30" s="210">
        <v>1</v>
      </c>
      <c r="O30" s="210">
        <v>1500</v>
      </c>
    </row>
    <row r="31" spans="1:15">
      <c r="A31" s="1263"/>
      <c r="B31" s="1263"/>
      <c r="C31" s="423" t="s">
        <v>1200</v>
      </c>
      <c r="D31" s="459">
        <v>1</v>
      </c>
      <c r="E31" s="210">
        <v>16.07</v>
      </c>
      <c r="F31" s="263">
        <v>0</v>
      </c>
      <c r="G31" s="263">
        <v>0</v>
      </c>
      <c r="H31" s="210">
        <v>0</v>
      </c>
      <c r="I31" s="210">
        <v>0</v>
      </c>
      <c r="J31" s="210">
        <v>0</v>
      </c>
      <c r="K31" s="210">
        <v>0</v>
      </c>
      <c r="L31" s="210">
        <v>0</v>
      </c>
      <c r="M31" s="210">
        <v>0</v>
      </c>
      <c r="N31" s="210">
        <v>0</v>
      </c>
      <c r="O31" s="210">
        <v>0</v>
      </c>
    </row>
    <row r="32" spans="1:15">
      <c r="A32" s="1263"/>
      <c r="B32" s="1263"/>
      <c r="C32" s="423" t="s">
        <v>1201</v>
      </c>
      <c r="D32" s="459">
        <v>13</v>
      </c>
      <c r="E32" s="210">
        <v>1596.7931286</v>
      </c>
      <c r="F32" s="263">
        <v>7</v>
      </c>
      <c r="G32" s="263">
        <v>166.28400000000002</v>
      </c>
      <c r="H32" s="210">
        <v>2</v>
      </c>
      <c r="I32" s="210">
        <v>32.1</v>
      </c>
      <c r="J32" s="210">
        <v>2</v>
      </c>
      <c r="K32" s="210">
        <v>44.323999999999998</v>
      </c>
      <c r="L32" s="210">
        <v>2</v>
      </c>
      <c r="M32" s="210">
        <v>77.14</v>
      </c>
      <c r="N32" s="210">
        <v>1</v>
      </c>
      <c r="O32" s="210">
        <v>12.72</v>
      </c>
    </row>
    <row r="33" spans="1:15">
      <c r="A33" s="1263"/>
      <c r="B33" s="1263"/>
      <c r="C33" s="423" t="s">
        <v>1202</v>
      </c>
      <c r="D33" s="459">
        <v>1</v>
      </c>
      <c r="E33" s="210">
        <v>1701.44</v>
      </c>
      <c r="F33" s="263">
        <v>1</v>
      </c>
      <c r="G33" s="263">
        <v>19.463999999999999</v>
      </c>
      <c r="H33" s="210">
        <v>0</v>
      </c>
      <c r="I33" s="210">
        <v>0</v>
      </c>
      <c r="J33" s="210">
        <v>0</v>
      </c>
      <c r="K33" s="210">
        <v>0</v>
      </c>
      <c r="L33" s="210">
        <v>0</v>
      </c>
      <c r="M33" s="210">
        <v>0</v>
      </c>
      <c r="N33" s="210">
        <v>1</v>
      </c>
      <c r="O33" s="210">
        <v>19.463999999999999</v>
      </c>
    </row>
    <row r="34" spans="1:15">
      <c r="A34" s="1263"/>
      <c r="B34" s="1263"/>
      <c r="C34" s="423" t="s">
        <v>1203</v>
      </c>
      <c r="D34" s="459">
        <v>2</v>
      </c>
      <c r="E34" s="210">
        <v>1793</v>
      </c>
      <c r="F34" s="263">
        <v>1</v>
      </c>
      <c r="G34" s="263">
        <v>24.54</v>
      </c>
      <c r="H34" s="210">
        <v>0</v>
      </c>
      <c r="I34" s="210">
        <v>0</v>
      </c>
      <c r="J34" s="210">
        <v>0</v>
      </c>
      <c r="K34" s="210">
        <v>0</v>
      </c>
      <c r="L34" s="210">
        <v>0</v>
      </c>
      <c r="M34" s="210">
        <v>0</v>
      </c>
      <c r="N34" s="210">
        <v>1</v>
      </c>
      <c r="O34" s="210">
        <v>24.54</v>
      </c>
    </row>
    <row r="35" spans="1:15">
      <c r="A35" s="1264"/>
      <c r="B35" s="1264"/>
      <c r="C35" s="423" t="s">
        <v>1204</v>
      </c>
      <c r="D35" s="459">
        <v>0</v>
      </c>
      <c r="E35" s="210">
        <v>0</v>
      </c>
      <c r="F35" s="263">
        <v>0</v>
      </c>
      <c r="G35" s="263">
        <v>0</v>
      </c>
      <c r="H35" s="210">
        <v>0</v>
      </c>
      <c r="I35" s="210">
        <v>0</v>
      </c>
      <c r="J35" s="210">
        <v>0</v>
      </c>
      <c r="K35" s="210">
        <v>0</v>
      </c>
      <c r="L35" s="210">
        <v>0</v>
      </c>
      <c r="M35" s="210">
        <v>0</v>
      </c>
      <c r="N35" s="210">
        <v>0</v>
      </c>
      <c r="O35" s="210">
        <v>0</v>
      </c>
    </row>
    <row r="36" spans="1:15">
      <c r="A36" s="1255" t="s">
        <v>1245</v>
      </c>
      <c r="B36" s="1255" t="s">
        <v>1245</v>
      </c>
      <c r="C36" s="423" t="s">
        <v>1205</v>
      </c>
      <c r="D36" s="459">
        <v>12</v>
      </c>
      <c r="E36" s="210">
        <v>12826.930345999999</v>
      </c>
      <c r="F36" s="263">
        <v>11</v>
      </c>
      <c r="G36" s="263">
        <v>4710.9324200000001</v>
      </c>
      <c r="H36" s="210">
        <v>1</v>
      </c>
      <c r="I36" s="210">
        <v>33.130000000000003</v>
      </c>
      <c r="J36" s="210">
        <v>2</v>
      </c>
      <c r="K36" s="210">
        <v>4271.8280999999997</v>
      </c>
      <c r="L36" s="210">
        <v>4</v>
      </c>
      <c r="M36" s="210">
        <v>255.05</v>
      </c>
      <c r="N36" s="210">
        <v>4</v>
      </c>
      <c r="O36" s="210">
        <v>150.92431999999999</v>
      </c>
    </row>
    <row r="37" spans="1:15">
      <c r="A37" s="1256"/>
      <c r="B37" s="1256"/>
      <c r="C37" s="423" t="s">
        <v>1206</v>
      </c>
      <c r="D37" s="459">
        <v>4</v>
      </c>
      <c r="E37" s="210">
        <v>2057.21</v>
      </c>
      <c r="F37" s="263">
        <v>1</v>
      </c>
      <c r="G37" s="263">
        <v>1151</v>
      </c>
      <c r="H37" s="210">
        <v>1</v>
      </c>
      <c r="I37" s="210">
        <v>1151</v>
      </c>
      <c r="J37" s="210">
        <v>0</v>
      </c>
      <c r="K37" s="210">
        <v>0</v>
      </c>
      <c r="L37" s="210">
        <v>0</v>
      </c>
      <c r="M37" s="210">
        <v>0</v>
      </c>
      <c r="N37" s="210">
        <v>0</v>
      </c>
      <c r="O37" s="210">
        <v>0</v>
      </c>
    </row>
    <row r="38" spans="1:15">
      <c r="A38" s="1256"/>
      <c r="B38" s="1256"/>
      <c r="C38" s="423" t="s">
        <v>1207</v>
      </c>
      <c r="D38" s="459">
        <v>4</v>
      </c>
      <c r="E38" s="210">
        <v>914.39506000000006</v>
      </c>
      <c r="F38" s="263">
        <v>0</v>
      </c>
      <c r="G38" s="263">
        <v>0</v>
      </c>
      <c r="H38" s="210">
        <v>0</v>
      </c>
      <c r="I38" s="210">
        <v>0</v>
      </c>
      <c r="J38" s="210">
        <v>0</v>
      </c>
      <c r="K38" s="210">
        <v>0</v>
      </c>
      <c r="L38" s="210">
        <v>0</v>
      </c>
      <c r="M38" s="210">
        <v>0</v>
      </c>
      <c r="N38" s="210">
        <v>0</v>
      </c>
      <c r="O38" s="210">
        <v>0</v>
      </c>
    </row>
    <row r="39" spans="1:15">
      <c r="A39" s="1256"/>
      <c r="B39" s="1256"/>
      <c r="C39" s="423" t="s">
        <v>1208</v>
      </c>
      <c r="D39" s="459">
        <v>1</v>
      </c>
      <c r="E39" s="210">
        <v>1171.58</v>
      </c>
      <c r="F39" s="263">
        <v>1</v>
      </c>
      <c r="G39" s="263">
        <v>2614.6458591999999</v>
      </c>
      <c r="H39" s="210">
        <v>0</v>
      </c>
      <c r="I39" s="210">
        <v>0</v>
      </c>
      <c r="J39" s="210">
        <v>1</v>
      </c>
      <c r="K39" s="210">
        <v>2614.6458591999999</v>
      </c>
      <c r="L39" s="210">
        <v>0</v>
      </c>
      <c r="M39" s="210">
        <v>0</v>
      </c>
      <c r="N39" s="210">
        <v>0</v>
      </c>
      <c r="O39" s="210">
        <v>0</v>
      </c>
    </row>
    <row r="40" spans="1:15">
      <c r="A40" s="1257"/>
      <c r="B40" s="1257"/>
      <c r="C40" s="423" t="s">
        <v>1209</v>
      </c>
      <c r="D40" s="459">
        <v>1</v>
      </c>
      <c r="E40" s="210">
        <v>49.965440000000001</v>
      </c>
      <c r="F40" s="263">
        <v>0</v>
      </c>
      <c r="G40" s="263">
        <v>0</v>
      </c>
      <c r="H40" s="210">
        <v>0</v>
      </c>
      <c r="I40" s="210">
        <v>0</v>
      </c>
      <c r="J40" s="210">
        <v>0</v>
      </c>
      <c r="K40" s="210">
        <v>0</v>
      </c>
      <c r="L40" s="210">
        <v>0</v>
      </c>
      <c r="M40" s="210">
        <v>0</v>
      </c>
      <c r="N40" s="210">
        <v>0</v>
      </c>
      <c r="O40" s="210">
        <v>0</v>
      </c>
    </row>
    <row r="41" spans="1:15">
      <c r="A41" s="1255" t="s">
        <v>145</v>
      </c>
      <c r="B41" s="1255" t="s">
        <v>145</v>
      </c>
      <c r="C41" s="423" t="s">
        <v>1210</v>
      </c>
      <c r="D41" s="459">
        <v>18</v>
      </c>
      <c r="E41" s="210">
        <v>8849.0514124000001</v>
      </c>
      <c r="F41" s="263">
        <v>5</v>
      </c>
      <c r="G41" s="263">
        <v>2467.7511199999999</v>
      </c>
      <c r="H41" s="210">
        <v>1</v>
      </c>
      <c r="I41" s="210">
        <v>12.07</v>
      </c>
      <c r="J41" s="210">
        <v>1</v>
      </c>
      <c r="K41" s="210">
        <v>43.161119999999997</v>
      </c>
      <c r="L41" s="210">
        <v>2</v>
      </c>
      <c r="M41" s="210">
        <v>460.49</v>
      </c>
      <c r="N41" s="210">
        <v>1</v>
      </c>
      <c r="O41" s="210">
        <v>1952.03</v>
      </c>
    </row>
    <row r="42" spans="1:15">
      <c r="A42" s="1256"/>
      <c r="B42" s="1256"/>
      <c r="C42" s="423" t="s">
        <v>1211</v>
      </c>
      <c r="D42" s="459">
        <v>3</v>
      </c>
      <c r="E42" s="210">
        <v>88.767200000000003</v>
      </c>
      <c r="F42" s="263">
        <v>1</v>
      </c>
      <c r="G42" s="263">
        <v>12.6</v>
      </c>
      <c r="H42" s="210">
        <v>0</v>
      </c>
      <c r="I42" s="210">
        <v>0</v>
      </c>
      <c r="J42" s="210">
        <v>1</v>
      </c>
      <c r="K42" s="210">
        <v>12.6</v>
      </c>
      <c r="L42" s="210">
        <v>0</v>
      </c>
      <c r="M42" s="210">
        <v>0</v>
      </c>
      <c r="N42" s="210">
        <v>0</v>
      </c>
      <c r="O42" s="210">
        <v>0</v>
      </c>
    </row>
    <row r="43" spans="1:15">
      <c r="A43" s="1257"/>
      <c r="B43" s="1257"/>
      <c r="C43" s="423" t="s">
        <v>1212</v>
      </c>
      <c r="D43" s="459">
        <v>10</v>
      </c>
      <c r="E43" s="210">
        <v>2250.5</v>
      </c>
      <c r="F43" s="263">
        <v>2</v>
      </c>
      <c r="G43" s="263">
        <v>1883.0060000000001</v>
      </c>
      <c r="H43" s="210">
        <v>0</v>
      </c>
      <c r="I43" s="210">
        <v>0</v>
      </c>
      <c r="J43" s="210">
        <v>1</v>
      </c>
      <c r="K43" s="210">
        <v>1841.75</v>
      </c>
      <c r="L43" s="210">
        <v>0</v>
      </c>
      <c r="M43" s="210">
        <v>0</v>
      </c>
      <c r="N43" s="210">
        <v>1</v>
      </c>
      <c r="O43" s="210">
        <v>41.256</v>
      </c>
    </row>
    <row r="44" spans="1:15">
      <c r="A44" s="1255" t="s">
        <v>1246</v>
      </c>
      <c r="B44" s="463" t="s">
        <v>1247</v>
      </c>
      <c r="C44" s="423" t="s">
        <v>1213</v>
      </c>
      <c r="D44" s="459">
        <v>12</v>
      </c>
      <c r="E44" s="210">
        <v>770.89711699999998</v>
      </c>
      <c r="F44" s="263">
        <v>9</v>
      </c>
      <c r="G44" s="263">
        <v>981.56148000000007</v>
      </c>
      <c r="H44" s="210">
        <v>4</v>
      </c>
      <c r="I44" s="210">
        <v>565.13648000000001</v>
      </c>
      <c r="J44" s="210">
        <v>1</v>
      </c>
      <c r="K44" s="210">
        <v>23.364000000000001</v>
      </c>
      <c r="L44" s="210">
        <v>0</v>
      </c>
      <c r="M44" s="210">
        <v>0</v>
      </c>
      <c r="N44" s="210">
        <v>4</v>
      </c>
      <c r="O44" s="210">
        <v>393.06099999999998</v>
      </c>
    </row>
    <row r="45" spans="1:15">
      <c r="A45" s="1256"/>
      <c r="B45" s="1255" t="s">
        <v>1248</v>
      </c>
      <c r="C45" s="423" t="s">
        <v>1214</v>
      </c>
      <c r="D45" s="459">
        <v>2</v>
      </c>
      <c r="E45" s="210">
        <v>653.04</v>
      </c>
      <c r="F45" s="263">
        <v>0</v>
      </c>
      <c r="G45" s="263">
        <v>0</v>
      </c>
      <c r="H45" s="210">
        <v>0</v>
      </c>
      <c r="I45" s="210">
        <v>0</v>
      </c>
      <c r="J45" s="210">
        <v>0</v>
      </c>
      <c r="K45" s="210">
        <v>0</v>
      </c>
      <c r="L45" s="210">
        <v>0</v>
      </c>
      <c r="M45" s="210">
        <v>0</v>
      </c>
      <c r="N45" s="210">
        <v>0</v>
      </c>
      <c r="O45" s="210">
        <v>0</v>
      </c>
    </row>
    <row r="46" spans="1:15" ht="23.25">
      <c r="A46" s="1256"/>
      <c r="B46" s="1256"/>
      <c r="C46" s="460" t="s">
        <v>1215</v>
      </c>
      <c r="D46" s="459">
        <v>0</v>
      </c>
      <c r="E46" s="210">
        <v>0</v>
      </c>
      <c r="F46" s="263">
        <v>1</v>
      </c>
      <c r="G46" s="263">
        <v>49.07</v>
      </c>
      <c r="H46" s="210">
        <v>0</v>
      </c>
      <c r="I46" s="210">
        <v>0</v>
      </c>
      <c r="J46" s="210">
        <v>0</v>
      </c>
      <c r="K46" s="210">
        <v>0</v>
      </c>
      <c r="L46" s="210">
        <v>1</v>
      </c>
      <c r="M46" s="210">
        <v>49.07</v>
      </c>
      <c r="N46" s="210">
        <v>0</v>
      </c>
      <c r="O46" s="210">
        <v>0</v>
      </c>
    </row>
    <row r="47" spans="1:15">
      <c r="A47" s="1256"/>
      <c r="B47" s="1256"/>
      <c r="C47" s="423" t="s">
        <v>1216</v>
      </c>
      <c r="D47" s="459">
        <v>16</v>
      </c>
      <c r="E47" s="210">
        <v>3342.4780930000002</v>
      </c>
      <c r="F47" s="263">
        <v>4</v>
      </c>
      <c r="G47" s="263">
        <v>322.26546500000001</v>
      </c>
      <c r="H47" s="210">
        <v>0</v>
      </c>
      <c r="I47" s="210">
        <v>0</v>
      </c>
      <c r="J47" s="210">
        <v>1</v>
      </c>
      <c r="K47" s="210">
        <v>174.63106500000001</v>
      </c>
      <c r="L47" s="210">
        <v>1</v>
      </c>
      <c r="M47" s="210">
        <v>30.7944</v>
      </c>
      <c r="N47" s="210">
        <v>2</v>
      </c>
      <c r="O47" s="210">
        <v>116.84</v>
      </c>
    </row>
    <row r="48" spans="1:15">
      <c r="A48" s="1256"/>
      <c r="B48" s="1256"/>
      <c r="C48" s="423" t="s">
        <v>1217</v>
      </c>
      <c r="D48" s="459">
        <v>13</v>
      </c>
      <c r="E48" s="210">
        <v>2010.2531999999999</v>
      </c>
      <c r="F48" s="263">
        <v>10</v>
      </c>
      <c r="G48" s="263">
        <v>1351.0497280000002</v>
      </c>
      <c r="H48" s="210">
        <v>3</v>
      </c>
      <c r="I48" s="210">
        <v>666.32</v>
      </c>
      <c r="J48" s="210">
        <v>2</v>
      </c>
      <c r="K48" s="210">
        <v>51.0916</v>
      </c>
      <c r="L48" s="210">
        <v>2</v>
      </c>
      <c r="M48" s="210">
        <v>505.02728000000002</v>
      </c>
      <c r="N48" s="210">
        <v>3</v>
      </c>
      <c r="O48" s="210">
        <v>128.610848</v>
      </c>
    </row>
    <row r="49" spans="1:15">
      <c r="A49" s="1257"/>
      <c r="B49" s="1257"/>
      <c r="C49" s="423" t="s">
        <v>1218</v>
      </c>
      <c r="D49" s="459">
        <v>43</v>
      </c>
      <c r="E49" s="210">
        <v>6129.4286200000006</v>
      </c>
      <c r="F49" s="263">
        <v>12</v>
      </c>
      <c r="G49" s="263">
        <v>1095.1605872</v>
      </c>
      <c r="H49" s="210">
        <v>3</v>
      </c>
      <c r="I49" s="210">
        <v>134.09199999999998</v>
      </c>
      <c r="J49" s="210">
        <v>3</v>
      </c>
      <c r="K49" s="210">
        <v>59.557999999999993</v>
      </c>
      <c r="L49" s="210">
        <v>2</v>
      </c>
      <c r="M49" s="210">
        <v>100.35599999999999</v>
      </c>
      <c r="N49" s="210">
        <v>4</v>
      </c>
      <c r="O49" s="210">
        <v>801.15458719999992</v>
      </c>
    </row>
    <row r="50" spans="1:15">
      <c r="A50" s="1255" t="s">
        <v>1249</v>
      </c>
      <c r="B50" s="1255" t="s">
        <v>1249</v>
      </c>
      <c r="C50" s="423" t="s">
        <v>1219</v>
      </c>
      <c r="D50" s="459">
        <v>10</v>
      </c>
      <c r="E50" s="210">
        <v>302.71300000000002</v>
      </c>
      <c r="F50" s="263">
        <v>2</v>
      </c>
      <c r="G50" s="263">
        <v>93.441959999999995</v>
      </c>
      <c r="H50" s="210">
        <v>2</v>
      </c>
      <c r="I50" s="210">
        <v>93.441959999999995</v>
      </c>
      <c r="J50" s="210">
        <v>0</v>
      </c>
      <c r="K50" s="210">
        <v>0</v>
      </c>
      <c r="L50" s="210">
        <v>0</v>
      </c>
      <c r="M50" s="210">
        <v>0</v>
      </c>
      <c r="N50" s="210">
        <v>0</v>
      </c>
      <c r="O50" s="210">
        <v>0</v>
      </c>
    </row>
    <row r="51" spans="1:15">
      <c r="A51" s="1256"/>
      <c r="B51" s="1256"/>
      <c r="C51" s="423" t="s">
        <v>1220</v>
      </c>
      <c r="D51" s="459">
        <v>15</v>
      </c>
      <c r="E51" s="210">
        <v>4756.0068719999999</v>
      </c>
      <c r="F51" s="263">
        <v>3</v>
      </c>
      <c r="G51" s="263">
        <v>82.62</v>
      </c>
      <c r="H51" s="210">
        <v>0</v>
      </c>
      <c r="I51" s="210">
        <v>0</v>
      </c>
      <c r="J51" s="210">
        <v>1</v>
      </c>
      <c r="K51" s="210">
        <v>49.4</v>
      </c>
      <c r="L51" s="210">
        <v>2</v>
      </c>
      <c r="M51" s="210">
        <v>33.22</v>
      </c>
      <c r="N51" s="210">
        <v>0</v>
      </c>
      <c r="O51" s="210">
        <v>0</v>
      </c>
    </row>
    <row r="52" spans="1:15">
      <c r="A52" s="1257"/>
      <c r="B52" s="1257"/>
      <c r="C52" s="423" t="s">
        <v>1221</v>
      </c>
      <c r="D52" s="459">
        <v>5</v>
      </c>
      <c r="E52" s="210">
        <v>1311.6339999999998</v>
      </c>
      <c r="F52" s="263">
        <v>2</v>
      </c>
      <c r="G52" s="263">
        <v>35.18</v>
      </c>
      <c r="H52" s="210">
        <v>0</v>
      </c>
      <c r="I52" s="210">
        <v>0</v>
      </c>
      <c r="J52" s="210">
        <v>2</v>
      </c>
      <c r="K52" s="210">
        <v>35.18</v>
      </c>
      <c r="L52" s="210">
        <v>0</v>
      </c>
      <c r="M52" s="210">
        <v>0</v>
      </c>
      <c r="N52" s="210">
        <v>0</v>
      </c>
      <c r="O52" s="210">
        <v>0</v>
      </c>
    </row>
    <row r="53" spans="1:15">
      <c r="A53" s="1255" t="s">
        <v>1250</v>
      </c>
      <c r="B53" s="1255" t="s">
        <v>1250</v>
      </c>
      <c r="C53" s="423" t="s">
        <v>1222</v>
      </c>
      <c r="D53" s="459">
        <v>0</v>
      </c>
      <c r="E53" s="210">
        <v>0</v>
      </c>
      <c r="F53" s="263">
        <v>0</v>
      </c>
      <c r="G53" s="263">
        <v>0</v>
      </c>
      <c r="H53" s="210">
        <v>0</v>
      </c>
      <c r="I53" s="210">
        <v>0</v>
      </c>
      <c r="J53" s="210">
        <v>0</v>
      </c>
      <c r="K53" s="210">
        <v>0</v>
      </c>
      <c r="L53" s="210">
        <v>0</v>
      </c>
      <c r="M53" s="210">
        <v>0</v>
      </c>
      <c r="N53" s="210">
        <v>0</v>
      </c>
      <c r="O53" s="210">
        <v>0</v>
      </c>
    </row>
    <row r="54" spans="1:15">
      <c r="A54" s="1256"/>
      <c r="B54" s="1256"/>
      <c r="C54" s="423" t="s">
        <v>1223</v>
      </c>
      <c r="D54" s="459">
        <v>13</v>
      </c>
      <c r="E54" s="210">
        <v>1336.1109836000001</v>
      </c>
      <c r="F54" s="263">
        <v>3</v>
      </c>
      <c r="G54" s="263">
        <v>142.2458</v>
      </c>
      <c r="H54" s="210">
        <v>1</v>
      </c>
      <c r="I54" s="210">
        <v>5.6</v>
      </c>
      <c r="J54" s="210">
        <v>2</v>
      </c>
      <c r="K54" s="210">
        <v>136.64580000000001</v>
      </c>
      <c r="L54" s="210">
        <v>0</v>
      </c>
      <c r="M54" s="210">
        <v>0</v>
      </c>
      <c r="N54" s="210">
        <v>0</v>
      </c>
      <c r="O54" s="210">
        <v>0</v>
      </c>
    </row>
    <row r="55" spans="1:15">
      <c r="A55" s="1256"/>
      <c r="B55" s="1256"/>
      <c r="C55" s="423" t="s">
        <v>1224</v>
      </c>
      <c r="D55" s="459">
        <v>1</v>
      </c>
      <c r="E55" s="210">
        <v>2800</v>
      </c>
      <c r="F55" s="263">
        <v>1</v>
      </c>
      <c r="G55" s="263">
        <v>28</v>
      </c>
      <c r="H55" s="210">
        <v>0</v>
      </c>
      <c r="I55" s="210">
        <v>0</v>
      </c>
      <c r="J55" s="210">
        <v>1</v>
      </c>
      <c r="K55" s="210">
        <v>28</v>
      </c>
      <c r="L55" s="210">
        <v>0</v>
      </c>
      <c r="M55" s="210">
        <v>0</v>
      </c>
      <c r="N55" s="210">
        <v>0</v>
      </c>
      <c r="O55" s="210">
        <v>0</v>
      </c>
    </row>
    <row r="56" spans="1:15">
      <c r="A56" s="1256"/>
      <c r="B56" s="1256"/>
      <c r="C56" s="423" t="s">
        <v>1225</v>
      </c>
      <c r="D56" s="459">
        <v>19</v>
      </c>
      <c r="E56" s="210">
        <v>1437.8788473000002</v>
      </c>
      <c r="F56" s="263">
        <v>13</v>
      </c>
      <c r="G56" s="263">
        <v>1096.9082573999999</v>
      </c>
      <c r="H56" s="210">
        <v>2</v>
      </c>
      <c r="I56" s="210">
        <v>28.043999999999997</v>
      </c>
      <c r="J56" s="210">
        <v>4</v>
      </c>
      <c r="K56" s="210">
        <v>700.16846780000003</v>
      </c>
      <c r="L56" s="210">
        <v>4</v>
      </c>
      <c r="M56" s="210">
        <v>269.46960000000001</v>
      </c>
      <c r="N56" s="210">
        <v>3</v>
      </c>
      <c r="O56" s="210">
        <v>99.226189599999998</v>
      </c>
    </row>
    <row r="57" spans="1:15">
      <c r="A57" s="1257"/>
      <c r="B57" s="1257"/>
      <c r="C57" s="423" t="s">
        <v>1226</v>
      </c>
      <c r="D57" s="459">
        <v>0</v>
      </c>
      <c r="E57" s="210">
        <v>0</v>
      </c>
      <c r="F57" s="263">
        <v>0</v>
      </c>
      <c r="G57" s="263">
        <v>0</v>
      </c>
      <c r="H57" s="210">
        <v>0</v>
      </c>
      <c r="I57" s="210">
        <v>0</v>
      </c>
      <c r="J57" s="210">
        <v>0</v>
      </c>
      <c r="K57" s="210">
        <v>0</v>
      </c>
      <c r="L57" s="210">
        <v>0</v>
      </c>
      <c r="M57" s="210">
        <v>0</v>
      </c>
      <c r="N57" s="210">
        <v>0</v>
      </c>
      <c r="O57" s="210">
        <v>0</v>
      </c>
    </row>
    <row r="58" spans="1:15">
      <c r="A58" s="1255" t="s">
        <v>1251</v>
      </c>
      <c r="B58" s="1255" t="s">
        <v>1251</v>
      </c>
      <c r="C58" s="423" t="s">
        <v>1227</v>
      </c>
      <c r="D58" s="459">
        <v>4</v>
      </c>
      <c r="E58" s="210">
        <v>134.93</v>
      </c>
      <c r="F58" s="263">
        <v>4</v>
      </c>
      <c r="G58" s="263">
        <v>22724.9899993</v>
      </c>
      <c r="H58" s="210">
        <v>2</v>
      </c>
      <c r="I58" s="210">
        <v>22274.999999299998</v>
      </c>
      <c r="J58" s="210">
        <v>0</v>
      </c>
      <c r="K58" s="210">
        <v>0</v>
      </c>
      <c r="L58" s="210">
        <v>0</v>
      </c>
      <c r="M58" s="210">
        <v>0</v>
      </c>
      <c r="N58" s="210">
        <v>2</v>
      </c>
      <c r="O58" s="210">
        <v>449.99</v>
      </c>
    </row>
    <row r="59" spans="1:15">
      <c r="A59" s="1257"/>
      <c r="B59" s="1257"/>
      <c r="C59" s="423" t="s">
        <v>1228</v>
      </c>
      <c r="D59" s="459">
        <v>0</v>
      </c>
      <c r="E59" s="210">
        <v>0</v>
      </c>
      <c r="F59" s="263">
        <v>0</v>
      </c>
      <c r="G59" s="263">
        <v>0</v>
      </c>
      <c r="H59" s="210">
        <v>0</v>
      </c>
      <c r="I59" s="210">
        <v>0</v>
      </c>
      <c r="J59" s="210">
        <v>0</v>
      </c>
      <c r="K59" s="210">
        <v>0</v>
      </c>
      <c r="L59" s="210">
        <v>0</v>
      </c>
      <c r="M59" s="210">
        <v>0</v>
      </c>
      <c r="N59" s="210">
        <v>0</v>
      </c>
      <c r="O59" s="210">
        <v>0</v>
      </c>
    </row>
    <row r="60" spans="1:15">
      <c r="A60" s="1255" t="s">
        <v>1252</v>
      </c>
      <c r="B60" s="463" t="s">
        <v>146</v>
      </c>
      <c r="C60" s="423" t="s">
        <v>1229</v>
      </c>
      <c r="D60" s="459">
        <v>3</v>
      </c>
      <c r="E60" s="210">
        <v>273.99879440000001</v>
      </c>
      <c r="F60" s="263">
        <v>0</v>
      </c>
      <c r="G60" s="263">
        <v>0</v>
      </c>
      <c r="H60" s="210">
        <v>0</v>
      </c>
      <c r="I60" s="210">
        <v>0</v>
      </c>
      <c r="J60" s="210">
        <v>0</v>
      </c>
      <c r="K60" s="210">
        <v>0</v>
      </c>
      <c r="L60" s="210">
        <v>0</v>
      </c>
      <c r="M60" s="210">
        <v>0</v>
      </c>
      <c r="N60" s="210">
        <v>0</v>
      </c>
      <c r="O60" s="210">
        <v>0</v>
      </c>
    </row>
    <row r="61" spans="1:15">
      <c r="A61" s="1257"/>
      <c r="B61" s="463" t="s">
        <v>1252</v>
      </c>
      <c r="C61" s="423" t="s">
        <v>1230</v>
      </c>
      <c r="D61" s="459">
        <v>4</v>
      </c>
      <c r="E61" s="210">
        <v>435.47</v>
      </c>
      <c r="F61" s="263">
        <v>4</v>
      </c>
      <c r="G61" s="263">
        <v>194.70615999999998</v>
      </c>
      <c r="H61" s="210">
        <v>0</v>
      </c>
      <c r="I61" s="210">
        <v>0</v>
      </c>
      <c r="J61" s="210">
        <v>0</v>
      </c>
      <c r="K61" s="210">
        <v>0</v>
      </c>
      <c r="L61" s="210">
        <v>2</v>
      </c>
      <c r="M61" s="210">
        <v>82.223199999999991</v>
      </c>
      <c r="N61" s="210">
        <v>2</v>
      </c>
      <c r="O61" s="210">
        <v>112.48295999999999</v>
      </c>
    </row>
    <row r="62" spans="1:15">
      <c r="A62" s="463" t="s">
        <v>1253</v>
      </c>
      <c r="B62" s="463" t="s">
        <v>1253</v>
      </c>
      <c r="C62" s="423" t="s">
        <v>1231</v>
      </c>
      <c r="D62" s="459">
        <v>0</v>
      </c>
      <c r="E62" s="210">
        <v>0</v>
      </c>
      <c r="F62" s="263">
        <v>1</v>
      </c>
      <c r="G62" s="263">
        <v>6.96</v>
      </c>
      <c r="H62" s="210">
        <v>0</v>
      </c>
      <c r="I62" s="210">
        <v>0</v>
      </c>
      <c r="J62" s="210">
        <v>0</v>
      </c>
      <c r="K62" s="210">
        <v>0</v>
      </c>
      <c r="L62" s="210">
        <v>1</v>
      </c>
      <c r="M62" s="210">
        <v>6.96</v>
      </c>
      <c r="N62" s="210">
        <v>0</v>
      </c>
      <c r="O62" s="210">
        <v>0</v>
      </c>
    </row>
    <row r="63" spans="1:15">
      <c r="A63" s="241"/>
      <c r="B63" s="241"/>
      <c r="C63" s="510" t="s">
        <v>92</v>
      </c>
      <c r="D63" s="511">
        <f t="shared" ref="D63" si="0">SUM(D4:D62)</f>
        <v>340</v>
      </c>
      <c r="E63" s="512">
        <f t="shared" ref="E63" si="1">SUM(E4:E62)</f>
        <v>83092.516240000012</v>
      </c>
      <c r="F63" s="512">
        <v>153</v>
      </c>
      <c r="G63" s="512">
        <v>50231.449157800002</v>
      </c>
      <c r="H63" s="512">
        <f t="shared" ref="H63" si="2">SUM(H4:H62)</f>
        <v>35</v>
      </c>
      <c r="I63" s="512">
        <f t="shared" ref="I63:M63" si="3">SUM(I4:I62)</f>
        <v>25370.5668319</v>
      </c>
      <c r="J63" s="512">
        <f t="shared" si="3"/>
        <v>38</v>
      </c>
      <c r="K63" s="512">
        <f t="shared" si="3"/>
        <v>12288.583472799999</v>
      </c>
      <c r="L63" s="512">
        <f t="shared" si="3"/>
        <v>38</v>
      </c>
      <c r="M63" s="512">
        <f t="shared" si="3"/>
        <v>3571.1979999999999</v>
      </c>
      <c r="N63" s="512">
        <v>42</v>
      </c>
      <c r="O63" s="512">
        <v>9001.1008531000007</v>
      </c>
    </row>
    <row r="64" spans="1:15" s="361" customFormat="1">
      <c r="A64" s="1"/>
      <c r="B64" s="1"/>
      <c r="C64" s="464"/>
      <c r="D64" s="465"/>
      <c r="E64" s="466"/>
      <c r="F64" s="979"/>
      <c r="G64" s="979"/>
      <c r="H64" s="466"/>
      <c r="I64" s="466"/>
    </row>
    <row r="65" spans="1:15" ht="15" customHeight="1">
      <c r="A65" s="421" t="s">
        <v>1254</v>
      </c>
      <c r="B65" s="421"/>
      <c r="C65" s="421"/>
      <c r="D65" s="421"/>
      <c r="E65" s="421"/>
      <c r="F65" s="980"/>
      <c r="G65" s="980"/>
      <c r="H65" s="421"/>
      <c r="I65" s="421"/>
      <c r="J65" s="421"/>
      <c r="K65" s="421"/>
      <c r="L65" s="421"/>
      <c r="M65" s="421"/>
      <c r="N65" s="421"/>
      <c r="O65" s="421"/>
    </row>
    <row r="66" spans="1:15">
      <c r="A66" s="291" t="s">
        <v>141</v>
      </c>
      <c r="H66" s="21"/>
      <c r="I66" s="21"/>
    </row>
  </sheetData>
  <sortState ref="A4:G26">
    <sortCondition ref="A4:A26"/>
  </sortState>
  <mergeCells count="34">
    <mergeCell ref="A29:A35"/>
    <mergeCell ref="B29:B35"/>
    <mergeCell ref="A36:A40"/>
    <mergeCell ref="B36:B40"/>
    <mergeCell ref="A41:A43"/>
    <mergeCell ref="B41:B43"/>
    <mergeCell ref="A58:A59"/>
    <mergeCell ref="B58:B59"/>
    <mergeCell ref="A60:A61"/>
    <mergeCell ref="A44:A49"/>
    <mergeCell ref="B45:B49"/>
    <mergeCell ref="A50:A52"/>
    <mergeCell ref="B50:B52"/>
    <mergeCell ref="A53:A57"/>
    <mergeCell ref="B53:B57"/>
    <mergeCell ref="A25:A28"/>
    <mergeCell ref="B25:B28"/>
    <mergeCell ref="H2:I2"/>
    <mergeCell ref="A4:A13"/>
    <mergeCell ref="B4:B5"/>
    <mergeCell ref="B6:B7"/>
    <mergeCell ref="B8:B12"/>
    <mergeCell ref="A2:A3"/>
    <mergeCell ref="D2:E2"/>
    <mergeCell ref="F2:G2"/>
    <mergeCell ref="B2:B3"/>
    <mergeCell ref="C2:C3"/>
    <mergeCell ref="N2:O2"/>
    <mergeCell ref="J2:K2"/>
    <mergeCell ref="A14:A24"/>
    <mergeCell ref="B14:B15"/>
    <mergeCell ref="B18:B20"/>
    <mergeCell ref="B22:B24"/>
    <mergeCell ref="L2:M2"/>
  </mergeCells>
  <printOptions horizontalCentered="1"/>
  <pageMargins left="0.7" right="0.7" top="0.75" bottom="0.75" header="0.3" footer="0.3"/>
  <pageSetup paperSize="9" scale="90" fitToHeight="0" orientation="landscape" r:id="rId1"/>
  <rowBreaks count="1" manualBreakCount="1">
    <brk id="35"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pageSetUpPr fitToPage="1"/>
  </sheetPr>
  <dimension ref="A1:U25"/>
  <sheetViews>
    <sheetView zoomScaleNormal="100" workbookViewId="0">
      <selection sqref="A1:Q1"/>
    </sheetView>
  </sheetViews>
  <sheetFormatPr defaultRowHeight="15"/>
  <sheetData>
    <row r="1" spans="1:21">
      <c r="A1" s="1267" t="s">
        <v>5</v>
      </c>
      <c r="B1" s="1268"/>
      <c r="C1" s="1268"/>
      <c r="D1" s="1268"/>
      <c r="E1" s="1268"/>
      <c r="F1" s="1268"/>
      <c r="G1" s="1268"/>
      <c r="H1" s="1268"/>
      <c r="I1" s="1268"/>
      <c r="J1" s="1268"/>
      <c r="K1" s="1268"/>
      <c r="L1" s="1268"/>
      <c r="M1" s="1268"/>
      <c r="N1" s="1268"/>
      <c r="O1" s="1268"/>
      <c r="P1" s="1268"/>
      <c r="Q1" s="1269"/>
      <c r="R1" s="60"/>
      <c r="S1" s="60"/>
    </row>
    <row r="2" spans="1:21">
      <c r="A2" s="1270" t="s">
        <v>112</v>
      </c>
      <c r="B2" s="1272" t="s">
        <v>92</v>
      </c>
      <c r="C2" s="1272"/>
      <c r="D2" s="1272" t="s">
        <v>148</v>
      </c>
      <c r="E2" s="1272"/>
      <c r="F2" s="1272"/>
      <c r="G2" s="1272"/>
      <c r="H2" s="1272" t="s">
        <v>149</v>
      </c>
      <c r="I2" s="1272"/>
      <c r="J2" s="1272"/>
      <c r="K2" s="1272"/>
      <c r="L2" s="1272"/>
      <c r="M2" s="1272"/>
      <c r="N2" s="1272"/>
      <c r="O2" s="1272"/>
      <c r="P2" s="1272"/>
      <c r="Q2" s="1272"/>
      <c r="R2" s="61"/>
      <c r="S2" s="61"/>
    </row>
    <row r="3" spans="1:21">
      <c r="A3" s="1271"/>
      <c r="B3" s="1273"/>
      <c r="C3" s="1273"/>
      <c r="D3" s="1273" t="s">
        <v>150</v>
      </c>
      <c r="E3" s="1273"/>
      <c r="F3" s="1273" t="s">
        <v>134</v>
      </c>
      <c r="G3" s="1273"/>
      <c r="H3" s="1273" t="s">
        <v>151</v>
      </c>
      <c r="I3" s="1273"/>
      <c r="J3" s="1273" t="s">
        <v>152</v>
      </c>
      <c r="K3" s="1273"/>
      <c r="L3" s="1273" t="s">
        <v>153</v>
      </c>
      <c r="M3" s="1273"/>
      <c r="N3" s="1273" t="s">
        <v>154</v>
      </c>
      <c r="O3" s="1273"/>
      <c r="P3" s="1273" t="s">
        <v>155</v>
      </c>
      <c r="Q3" s="1273"/>
      <c r="R3" s="61"/>
      <c r="S3" s="61"/>
    </row>
    <row r="4" spans="1:21" ht="45">
      <c r="A4" s="1271"/>
      <c r="B4" s="56" t="s">
        <v>137</v>
      </c>
      <c r="C4" s="56" t="s">
        <v>138</v>
      </c>
      <c r="D4" s="56" t="s">
        <v>137</v>
      </c>
      <c r="E4" s="56" t="s">
        <v>138</v>
      </c>
      <c r="F4" s="56" t="s">
        <v>137</v>
      </c>
      <c r="G4" s="56" t="s">
        <v>138</v>
      </c>
      <c r="H4" s="56" t="s">
        <v>137</v>
      </c>
      <c r="I4" s="56" t="s">
        <v>138</v>
      </c>
      <c r="J4" s="56" t="s">
        <v>137</v>
      </c>
      <c r="K4" s="56" t="s">
        <v>138</v>
      </c>
      <c r="L4" s="56" t="s">
        <v>137</v>
      </c>
      <c r="M4" s="56" t="s">
        <v>138</v>
      </c>
      <c r="N4" s="56" t="s">
        <v>137</v>
      </c>
      <c r="O4" s="56" t="s">
        <v>138</v>
      </c>
      <c r="P4" s="56" t="s">
        <v>137</v>
      </c>
      <c r="Q4" s="56" t="s">
        <v>138</v>
      </c>
      <c r="R4" s="62"/>
      <c r="S4" s="62"/>
    </row>
    <row r="5" spans="1:21">
      <c r="A5" s="490" t="s">
        <v>520</v>
      </c>
      <c r="B5" s="373">
        <v>340</v>
      </c>
      <c r="C5" s="373">
        <v>83091.975847599984</v>
      </c>
      <c r="D5" s="373">
        <v>337</v>
      </c>
      <c r="E5" s="373">
        <v>80426.091544199997</v>
      </c>
      <c r="F5" s="373">
        <v>2</v>
      </c>
      <c r="G5" s="373">
        <v>2639.41</v>
      </c>
      <c r="H5" s="373">
        <v>72</v>
      </c>
      <c r="I5" s="373">
        <v>32405.593709199999</v>
      </c>
      <c r="J5" s="373">
        <v>16</v>
      </c>
      <c r="K5" s="373">
        <v>2306.4180996999999</v>
      </c>
      <c r="L5" s="373">
        <v>195</v>
      </c>
      <c r="M5" s="373">
        <v>37193.107738699997</v>
      </c>
      <c r="N5" s="373">
        <v>50</v>
      </c>
      <c r="O5" s="373">
        <v>10340.569020000001</v>
      </c>
      <c r="P5" s="373">
        <v>7</v>
      </c>
      <c r="Q5" s="373">
        <v>846.28728000000001</v>
      </c>
      <c r="R5" s="63"/>
      <c r="S5" s="63"/>
    </row>
    <row r="6" spans="1:21">
      <c r="A6" s="491" t="s">
        <v>1271</v>
      </c>
      <c r="B6" s="267">
        <f t="shared" ref="B6:C10" si="0">SUM(H6,J6,L6,N6,P6)</f>
        <v>153</v>
      </c>
      <c r="C6" s="267">
        <f t="shared" si="0"/>
        <v>50231.449157800002</v>
      </c>
      <c r="D6" s="268">
        <f t="shared" ref="D6:Q6" si="1">SUM(D7:D10)</f>
        <v>153</v>
      </c>
      <c r="E6" s="268">
        <f t="shared" si="1"/>
        <v>50231.348304700005</v>
      </c>
      <c r="F6" s="268">
        <f t="shared" si="1"/>
        <v>0</v>
      </c>
      <c r="G6" s="268">
        <f t="shared" si="1"/>
        <v>0</v>
      </c>
      <c r="H6" s="268">
        <f t="shared" si="1"/>
        <v>35</v>
      </c>
      <c r="I6" s="268">
        <f t="shared" si="1"/>
        <v>9782.3163656000015</v>
      </c>
      <c r="J6" s="268">
        <f t="shared" si="1"/>
        <v>10</v>
      </c>
      <c r="K6" s="268">
        <f t="shared" si="1"/>
        <v>714.31996000000004</v>
      </c>
      <c r="L6" s="268">
        <f t="shared" si="1"/>
        <v>88</v>
      </c>
      <c r="M6" s="268">
        <f t="shared" si="1"/>
        <v>30314.881363899996</v>
      </c>
      <c r="N6" s="268">
        <f t="shared" si="1"/>
        <v>15</v>
      </c>
      <c r="O6" s="268">
        <f t="shared" si="1"/>
        <v>9092.7865199999997</v>
      </c>
      <c r="P6" s="268">
        <f t="shared" si="1"/>
        <v>5</v>
      </c>
      <c r="Q6" s="268">
        <f t="shared" si="1"/>
        <v>327.14494830000001</v>
      </c>
      <c r="R6" s="64"/>
      <c r="S6" s="64"/>
    </row>
    <row r="7" spans="1:21">
      <c r="A7" s="57">
        <v>45383</v>
      </c>
      <c r="B7" s="177">
        <f t="shared" si="0"/>
        <v>35</v>
      </c>
      <c r="C7" s="177">
        <f t="shared" si="0"/>
        <v>25370.566831899996</v>
      </c>
      <c r="D7" s="177">
        <v>35</v>
      </c>
      <c r="E7" s="177">
        <v>25370.566831899996</v>
      </c>
      <c r="F7" s="177">
        <v>0</v>
      </c>
      <c r="G7" s="177">
        <v>0</v>
      </c>
      <c r="H7" s="177">
        <v>10</v>
      </c>
      <c r="I7" s="177">
        <v>4644.9488850000007</v>
      </c>
      <c r="J7" s="177"/>
      <c r="K7" s="177"/>
      <c r="L7" s="177">
        <v>22</v>
      </c>
      <c r="M7" s="177">
        <v>19527.236426899995</v>
      </c>
      <c r="N7" s="177">
        <v>3</v>
      </c>
      <c r="O7" s="177">
        <v>1198.3815200000001</v>
      </c>
      <c r="P7" s="177"/>
      <c r="Q7" s="177"/>
      <c r="R7" s="65"/>
      <c r="S7" s="65"/>
      <c r="T7" s="65"/>
      <c r="U7" s="65"/>
    </row>
    <row r="8" spans="1:21">
      <c r="A8" s="57">
        <f>EOMONTH(A7,1)</f>
        <v>45443</v>
      </c>
      <c r="B8" s="177">
        <f t="shared" si="0"/>
        <v>38</v>
      </c>
      <c r="C8" s="177">
        <f t="shared" si="0"/>
        <v>12288.583472800001</v>
      </c>
      <c r="D8" s="177">
        <v>38</v>
      </c>
      <c r="E8" s="177">
        <v>12288.583472800001</v>
      </c>
      <c r="F8" s="177">
        <v>0</v>
      </c>
      <c r="G8" s="177">
        <v>0</v>
      </c>
      <c r="H8" s="177">
        <v>6</v>
      </c>
      <c r="I8" s="177">
        <v>2234.4149838000003</v>
      </c>
      <c r="J8" s="177">
        <v>3</v>
      </c>
      <c r="K8" s="177">
        <v>426.58800000000002</v>
      </c>
      <c r="L8" s="177">
        <v>22</v>
      </c>
      <c r="M8" s="177">
        <v>4558.1943689999998</v>
      </c>
      <c r="N8" s="177">
        <v>6</v>
      </c>
      <c r="O8" s="177">
        <v>5026.2249999999995</v>
      </c>
      <c r="P8" s="177">
        <v>1</v>
      </c>
      <c r="Q8" s="177">
        <v>43.161119999999997</v>
      </c>
      <c r="R8" s="65"/>
      <c r="S8" s="65"/>
      <c r="T8" s="171"/>
      <c r="U8" s="171"/>
    </row>
    <row r="9" spans="1:21">
      <c r="A9" s="57">
        <f t="shared" ref="A9:A10" si="2">EOMONTH(A8,1)</f>
        <v>45473</v>
      </c>
      <c r="B9" s="177">
        <f t="shared" si="0"/>
        <v>38</v>
      </c>
      <c r="C9" s="177">
        <f t="shared" si="0"/>
        <v>3571.1980000000003</v>
      </c>
      <c r="D9" s="177">
        <v>38</v>
      </c>
      <c r="E9" s="177">
        <v>3571.1980000000003</v>
      </c>
      <c r="F9" s="177">
        <v>0</v>
      </c>
      <c r="G9" s="177">
        <v>0</v>
      </c>
      <c r="H9" s="177">
        <v>7</v>
      </c>
      <c r="I9" s="177">
        <v>1299.5532000000001</v>
      </c>
      <c r="J9" s="177">
        <v>3</v>
      </c>
      <c r="K9" s="177">
        <v>87.91</v>
      </c>
      <c r="L9" s="177">
        <v>25</v>
      </c>
      <c r="M9" s="177">
        <v>1581.0903999999998</v>
      </c>
      <c r="N9" s="177">
        <v>2</v>
      </c>
      <c r="O9" s="177">
        <v>571.85</v>
      </c>
      <c r="P9" s="177">
        <v>1</v>
      </c>
      <c r="Q9" s="177">
        <v>30.7944</v>
      </c>
      <c r="R9" s="65"/>
      <c r="S9" s="65"/>
    </row>
    <row r="10" spans="1:21">
      <c r="A10" s="57">
        <f t="shared" si="2"/>
        <v>45504</v>
      </c>
      <c r="B10" s="177">
        <f t="shared" si="0"/>
        <v>42</v>
      </c>
      <c r="C10" s="177">
        <f t="shared" si="0"/>
        <v>9001.1008530999989</v>
      </c>
      <c r="D10" s="177">
        <v>42</v>
      </c>
      <c r="E10" s="177">
        <v>9001</v>
      </c>
      <c r="F10" s="177">
        <v>0</v>
      </c>
      <c r="G10" s="177">
        <v>0</v>
      </c>
      <c r="H10" s="177">
        <v>12</v>
      </c>
      <c r="I10" s="177">
        <v>1603.3992967999998</v>
      </c>
      <c r="J10" s="177">
        <v>4</v>
      </c>
      <c r="K10" s="177">
        <v>199.82195999999999</v>
      </c>
      <c r="L10" s="177">
        <v>19</v>
      </c>
      <c r="M10" s="177">
        <v>4648.3601679999992</v>
      </c>
      <c r="N10" s="177">
        <v>4</v>
      </c>
      <c r="O10" s="177">
        <v>2296.33</v>
      </c>
      <c r="P10" s="177">
        <v>3</v>
      </c>
      <c r="Q10" s="177">
        <v>253.1894283</v>
      </c>
      <c r="R10" s="65"/>
      <c r="S10" s="65"/>
    </row>
    <row r="11" spans="1:21">
      <c r="A11" s="1266" t="s">
        <v>147</v>
      </c>
      <c r="B11" s="1266"/>
      <c r="C11" s="1266"/>
      <c r="D11" s="1266"/>
      <c r="E11" s="1266"/>
      <c r="F11" s="1266"/>
      <c r="G11" s="1266"/>
      <c r="H11" s="1266"/>
      <c r="I11" s="1266"/>
      <c r="J11" s="66"/>
      <c r="K11" s="67"/>
      <c r="L11" s="66"/>
      <c r="M11" s="67"/>
      <c r="N11" s="66"/>
      <c r="O11" s="67"/>
      <c r="P11" s="66"/>
      <c r="Q11" s="67"/>
      <c r="R11" s="25"/>
      <c r="S11" s="25"/>
    </row>
    <row r="12" spans="1:21" s="361" customFormat="1">
      <c r="A12" s="484" t="str">
        <f>"# indicates as on "&amp;TEXT('1'!$C$2,"mmmm dd, yyyy")</f>
        <v># indicates as on July 31, 2024</v>
      </c>
      <c r="B12" s="1020"/>
      <c r="C12" s="1020"/>
      <c r="D12" s="1020"/>
      <c r="E12" s="1020"/>
      <c r="F12" s="1020"/>
      <c r="G12" s="1020"/>
      <c r="H12" s="1020"/>
      <c r="I12" s="1020"/>
      <c r="J12" s="66"/>
      <c r="K12" s="67"/>
      <c r="L12" s="66"/>
      <c r="M12" s="67"/>
      <c r="N12" s="66"/>
      <c r="O12" s="67"/>
      <c r="P12" s="66"/>
      <c r="Q12" s="67"/>
      <c r="R12" s="25"/>
      <c r="S12" s="25"/>
    </row>
    <row r="13" spans="1:21">
      <c r="A13" s="1265" t="s">
        <v>126</v>
      </c>
      <c r="B13" s="1265"/>
      <c r="C13" s="29"/>
      <c r="D13" s="68"/>
      <c r="E13" s="68"/>
      <c r="F13" s="68"/>
      <c r="G13" s="68"/>
      <c r="H13" s="68"/>
      <c r="I13" s="68"/>
      <c r="J13" s="66"/>
      <c r="N13" s="66"/>
      <c r="O13" s="67"/>
      <c r="P13" s="66"/>
      <c r="Q13" s="66"/>
      <c r="R13" s="66"/>
      <c r="S13" s="66"/>
    </row>
    <row r="14" spans="1:21">
      <c r="B14" s="66"/>
      <c r="C14" s="67"/>
      <c r="D14" s="66"/>
      <c r="E14" s="67"/>
      <c r="F14" s="66"/>
      <c r="G14" s="66"/>
      <c r="H14" s="66"/>
      <c r="I14" s="66"/>
      <c r="J14" s="66"/>
      <c r="N14" s="66"/>
      <c r="O14" s="67"/>
      <c r="P14" s="66"/>
      <c r="Q14" s="66"/>
      <c r="R14" s="66"/>
      <c r="S14" s="66"/>
    </row>
    <row r="15" spans="1:21">
      <c r="A15" s="1265"/>
      <c r="B15" s="1265"/>
      <c r="C15" s="1265"/>
      <c r="D15" s="1265"/>
      <c r="E15" s="70"/>
      <c r="F15" s="66"/>
      <c r="G15" s="66"/>
      <c r="H15" s="66"/>
      <c r="I15" s="66"/>
      <c r="J15" s="66"/>
      <c r="N15" s="71"/>
      <c r="O15" s="71"/>
      <c r="P15" s="71"/>
      <c r="Q15" s="71"/>
      <c r="R15" s="72"/>
      <c r="S15" s="72"/>
    </row>
    <row r="16" spans="1:21">
      <c r="A16" s="69"/>
      <c r="B16" s="70"/>
      <c r="C16" s="70"/>
      <c r="D16" s="70"/>
      <c r="E16" s="70"/>
      <c r="F16" s="12"/>
      <c r="G16" s="12"/>
      <c r="H16" s="73"/>
      <c r="I16" s="70"/>
      <c r="J16" s="70"/>
      <c r="N16" s="70"/>
      <c r="O16" s="70"/>
      <c r="P16" s="12"/>
      <c r="Q16" s="12"/>
      <c r="R16" s="12"/>
      <c r="S16" s="12"/>
    </row>
    <row r="17" spans="1:19">
      <c r="A17" s="69"/>
      <c r="B17" s="70"/>
      <c r="C17" s="74"/>
      <c r="D17" s="70"/>
      <c r="E17" s="74"/>
      <c r="F17" s="74"/>
      <c r="G17" s="74"/>
      <c r="H17" s="70"/>
      <c r="I17" s="74"/>
      <c r="J17" s="70"/>
      <c r="N17" s="70"/>
      <c r="O17" s="74"/>
      <c r="P17" s="70"/>
      <c r="Q17" s="74"/>
      <c r="R17" s="74"/>
      <c r="S17" s="74"/>
    </row>
    <row r="18" spans="1:19">
      <c r="A18" s="69"/>
      <c r="B18" s="70"/>
      <c r="C18" s="74"/>
      <c r="D18" s="70"/>
      <c r="E18" s="74"/>
      <c r="F18" s="74"/>
      <c r="G18" s="74"/>
      <c r="H18" s="70"/>
      <c r="I18" s="74"/>
      <c r="J18" s="70"/>
      <c r="K18" s="74"/>
      <c r="L18" s="70"/>
      <c r="M18" s="74"/>
      <c r="N18" s="70"/>
      <c r="O18" s="74"/>
      <c r="P18" s="70"/>
      <c r="Q18" s="74"/>
      <c r="R18" s="74"/>
      <c r="S18" s="74"/>
    </row>
    <row r="19" spans="1:19">
      <c r="A19" s="58"/>
      <c r="B19" s="75"/>
      <c r="C19" s="65"/>
      <c r="D19" s="75"/>
      <c r="E19" s="65"/>
      <c r="F19" s="65"/>
      <c r="G19" s="65"/>
      <c r="H19" s="75"/>
      <c r="I19" s="65"/>
      <c r="J19" s="75"/>
      <c r="K19" s="65"/>
      <c r="L19" s="75"/>
      <c r="M19" s="65"/>
      <c r="N19" s="75"/>
      <c r="O19" s="65"/>
      <c r="P19" s="75"/>
      <c r="Q19" s="65"/>
      <c r="R19" s="65"/>
      <c r="S19" s="65"/>
    </row>
    <row r="20" spans="1:19">
      <c r="A20" s="58"/>
      <c r="B20" s="75"/>
      <c r="C20" s="65"/>
      <c r="D20" s="75"/>
      <c r="E20" s="65"/>
      <c r="F20" s="65"/>
      <c r="G20" s="65"/>
      <c r="H20" s="75"/>
      <c r="I20" s="65"/>
      <c r="J20" s="75"/>
      <c r="K20" s="65"/>
      <c r="L20" s="75"/>
      <c r="M20" s="65"/>
      <c r="N20" s="75"/>
      <c r="O20" s="65"/>
      <c r="P20" s="75"/>
      <c r="Q20" s="65"/>
      <c r="R20" s="65"/>
      <c r="S20" s="65"/>
    </row>
    <row r="21" spans="1:19">
      <c r="A21" s="58"/>
      <c r="B21" s="75"/>
      <c r="C21" s="65"/>
      <c r="D21" s="75"/>
      <c r="E21" s="65"/>
      <c r="F21" s="65"/>
      <c r="G21" s="65"/>
      <c r="H21" s="75"/>
      <c r="I21" s="65"/>
      <c r="J21" s="75"/>
      <c r="K21" s="65"/>
      <c r="L21" s="75"/>
      <c r="M21" s="65"/>
      <c r="N21" s="75"/>
      <c r="O21" s="65"/>
      <c r="P21" s="75"/>
      <c r="Q21" s="65"/>
      <c r="R21" s="65"/>
      <c r="S21" s="65"/>
    </row>
    <row r="23" spans="1:19">
      <c r="J23" s="76"/>
      <c r="K23" s="76"/>
      <c r="L23" s="76"/>
      <c r="M23" s="76"/>
      <c r="N23" s="76"/>
      <c r="O23" s="76"/>
      <c r="P23" s="76"/>
      <c r="Q23" s="76"/>
      <c r="R23" s="60"/>
      <c r="S23" s="60"/>
    </row>
    <row r="24" spans="1:19">
      <c r="J24" s="29"/>
      <c r="K24" s="29"/>
      <c r="L24" s="29"/>
      <c r="M24" s="76"/>
      <c r="N24" s="76"/>
      <c r="O24" s="76"/>
      <c r="P24" s="76"/>
      <c r="Q24" s="76"/>
      <c r="R24" s="60"/>
      <c r="S24" s="60"/>
    </row>
    <row r="25" spans="1:19">
      <c r="J25" s="76"/>
      <c r="K25" s="76"/>
      <c r="L25" s="76"/>
      <c r="M25" s="76"/>
      <c r="N25" s="76"/>
      <c r="O25" s="76"/>
      <c r="P25" s="76"/>
      <c r="Q25" s="76"/>
      <c r="R25" s="16"/>
    </row>
  </sheetData>
  <mergeCells count="15">
    <mergeCell ref="A15:D15"/>
    <mergeCell ref="A11:I11"/>
    <mergeCell ref="A13:B13"/>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0"/>
    <pageSetUpPr fitToPage="1"/>
  </sheetPr>
  <dimension ref="A1:R22"/>
  <sheetViews>
    <sheetView zoomScaleNormal="100" workbookViewId="0">
      <selection sqref="A1:N1"/>
    </sheetView>
  </sheetViews>
  <sheetFormatPr defaultRowHeight="15"/>
  <sheetData>
    <row r="1" spans="1:18">
      <c r="A1" s="1275" t="s">
        <v>6</v>
      </c>
      <c r="B1" s="1275"/>
      <c r="C1" s="1275"/>
      <c r="D1" s="1275"/>
      <c r="E1" s="1275"/>
      <c r="F1" s="1275"/>
      <c r="G1" s="1275"/>
      <c r="H1" s="1275"/>
      <c r="I1" s="1275"/>
      <c r="J1" s="1275"/>
      <c r="K1" s="1275"/>
      <c r="L1" s="1275"/>
      <c r="M1" s="1275"/>
      <c r="N1" s="1275"/>
      <c r="O1" s="60"/>
    </row>
    <row r="2" spans="1:18">
      <c r="A2" s="1222" t="s">
        <v>112</v>
      </c>
      <c r="B2" s="1277" t="s">
        <v>92</v>
      </c>
      <c r="C2" s="1278"/>
      <c r="D2" s="1277" t="s">
        <v>156</v>
      </c>
      <c r="E2" s="1278"/>
      <c r="F2" s="1279" t="s">
        <v>157</v>
      </c>
      <c r="G2" s="1280"/>
      <c r="H2" s="1277" t="s">
        <v>158</v>
      </c>
      <c r="I2" s="1278"/>
      <c r="J2" s="1277" t="s">
        <v>159</v>
      </c>
      <c r="K2" s="1278"/>
      <c r="L2" s="1277" t="s">
        <v>160</v>
      </c>
      <c r="M2" s="1278"/>
      <c r="N2" s="1277" t="s">
        <v>161</v>
      </c>
      <c r="O2" s="1278"/>
    </row>
    <row r="3" spans="1:18" ht="45">
      <c r="A3" s="1276"/>
      <c r="B3" s="77" t="s">
        <v>137</v>
      </c>
      <c r="C3" s="77" t="s">
        <v>138</v>
      </c>
      <c r="D3" s="77" t="s">
        <v>137</v>
      </c>
      <c r="E3" s="77" t="s">
        <v>138</v>
      </c>
      <c r="F3" s="77" t="s">
        <v>137</v>
      </c>
      <c r="G3" s="77" t="s">
        <v>138</v>
      </c>
      <c r="H3" s="77" t="s">
        <v>137</v>
      </c>
      <c r="I3" s="77" t="s">
        <v>138</v>
      </c>
      <c r="J3" s="77" t="s">
        <v>137</v>
      </c>
      <c r="K3" s="77" t="s">
        <v>138</v>
      </c>
      <c r="L3" s="77" t="s">
        <v>137</v>
      </c>
      <c r="M3" s="77" t="s">
        <v>138</v>
      </c>
      <c r="N3" s="77" t="s">
        <v>137</v>
      </c>
      <c r="O3" s="77" t="s">
        <v>138</v>
      </c>
    </row>
    <row r="4" spans="1:18">
      <c r="A4" s="490" t="s">
        <v>520</v>
      </c>
      <c r="B4" s="78">
        <v>340</v>
      </c>
      <c r="C4" s="78">
        <v>83091.976240000004</v>
      </c>
      <c r="D4" s="78">
        <v>3</v>
      </c>
      <c r="E4" s="78">
        <v>9.4619999999999997</v>
      </c>
      <c r="F4" s="78">
        <v>28</v>
      </c>
      <c r="G4" s="78">
        <v>218.70821859999998</v>
      </c>
      <c r="H4" s="78">
        <v>187</v>
      </c>
      <c r="I4" s="78">
        <v>5420.5137005000006</v>
      </c>
      <c r="J4" s="78">
        <v>38</v>
      </c>
      <c r="K4" s="78">
        <v>2473.5783006000001</v>
      </c>
      <c r="L4" s="78">
        <v>29</v>
      </c>
      <c r="M4" s="78">
        <v>8297.8353831000004</v>
      </c>
      <c r="N4" s="78">
        <v>55</v>
      </c>
      <c r="O4" s="78">
        <v>66671.878637200003</v>
      </c>
    </row>
    <row r="5" spans="1:18">
      <c r="A5" s="491" t="s">
        <v>1271</v>
      </c>
      <c r="B5" s="269">
        <f t="shared" ref="B5:O5" si="0">SUM(B6:B9)</f>
        <v>153</v>
      </c>
      <c r="C5" s="269">
        <f t="shared" si="0"/>
        <v>50231.449157800002</v>
      </c>
      <c r="D5" s="269">
        <f t="shared" si="0"/>
        <v>2</v>
      </c>
      <c r="E5" s="269">
        <f t="shared" si="0"/>
        <v>8.35</v>
      </c>
      <c r="F5" s="269">
        <f t="shared" si="0"/>
        <v>14</v>
      </c>
      <c r="G5" s="269">
        <f t="shared" si="0"/>
        <v>102.53359999999999</v>
      </c>
      <c r="H5" s="269">
        <f t="shared" si="0"/>
        <v>89</v>
      </c>
      <c r="I5" s="269">
        <f t="shared" si="0"/>
        <v>2664.6197749999997</v>
      </c>
      <c r="J5" s="269">
        <f t="shared" si="0"/>
        <v>15</v>
      </c>
      <c r="K5" s="269">
        <f t="shared" si="0"/>
        <v>959.41624000000002</v>
      </c>
      <c r="L5" s="269">
        <f t="shared" si="0"/>
        <v>16</v>
      </c>
      <c r="M5" s="269">
        <f t="shared" si="0"/>
        <v>3559.7810132999998</v>
      </c>
      <c r="N5" s="269">
        <f t="shared" si="0"/>
        <v>17</v>
      </c>
      <c r="O5" s="269">
        <f t="shared" si="0"/>
        <v>42936.748529500001</v>
      </c>
      <c r="Q5" s="21"/>
      <c r="R5" s="21"/>
    </row>
    <row r="6" spans="1:18">
      <c r="A6" s="57">
        <v>45383</v>
      </c>
      <c r="B6" s="79">
        <f t="shared" ref="B6:C9" si="1">D6+F6+H6+J6+L6+N6</f>
        <v>35</v>
      </c>
      <c r="C6" s="79">
        <f t="shared" si="1"/>
        <v>25370.5668319</v>
      </c>
      <c r="D6" s="79">
        <v>1</v>
      </c>
      <c r="E6" s="79">
        <v>4.76</v>
      </c>
      <c r="F6" s="79">
        <v>3</v>
      </c>
      <c r="G6" s="79">
        <v>21.8</v>
      </c>
      <c r="H6" s="79">
        <v>20</v>
      </c>
      <c r="I6" s="79">
        <v>513.18407259999992</v>
      </c>
      <c r="J6" s="79">
        <v>5</v>
      </c>
      <c r="K6" s="79">
        <v>275.15276</v>
      </c>
      <c r="L6" s="79">
        <v>2</v>
      </c>
      <c r="M6" s="79">
        <v>480.2</v>
      </c>
      <c r="N6" s="79">
        <v>4</v>
      </c>
      <c r="O6" s="79">
        <v>24075.469999299999</v>
      </c>
    </row>
    <row r="7" spans="1:18">
      <c r="A7" s="57">
        <f>EOMONTH(A6,1)</f>
        <v>45443</v>
      </c>
      <c r="B7" s="79">
        <f t="shared" si="1"/>
        <v>38</v>
      </c>
      <c r="C7" s="79">
        <f t="shared" si="1"/>
        <v>12288.583472800001</v>
      </c>
      <c r="D7" s="79">
        <v>0</v>
      </c>
      <c r="E7" s="79">
        <v>0</v>
      </c>
      <c r="F7" s="79">
        <v>4</v>
      </c>
      <c r="G7" s="79">
        <v>30.365600000000001</v>
      </c>
      <c r="H7" s="79">
        <v>25</v>
      </c>
      <c r="I7" s="79">
        <v>709.34326479999993</v>
      </c>
      <c r="J7" s="79">
        <v>1</v>
      </c>
      <c r="K7" s="79">
        <v>96.284999999999997</v>
      </c>
      <c r="L7" s="79">
        <v>2</v>
      </c>
      <c r="M7" s="79">
        <v>574.63106500000004</v>
      </c>
      <c r="N7" s="79">
        <v>6</v>
      </c>
      <c r="O7" s="79">
        <v>10877.958543000001</v>
      </c>
    </row>
    <row r="8" spans="1:18">
      <c r="A8" s="57">
        <f t="shared" ref="A8:A9" si="2">EOMONTH(A7,1)</f>
        <v>45473</v>
      </c>
      <c r="B8" s="79">
        <f t="shared" si="1"/>
        <v>38</v>
      </c>
      <c r="C8" s="79">
        <f t="shared" si="1"/>
        <v>3571.1979999999999</v>
      </c>
      <c r="D8" s="79">
        <v>1</v>
      </c>
      <c r="E8" s="79">
        <v>3.59</v>
      </c>
      <c r="F8" s="79">
        <v>6</v>
      </c>
      <c r="G8" s="79">
        <v>41.367999999999995</v>
      </c>
      <c r="H8" s="79">
        <v>22</v>
      </c>
      <c r="I8" s="79">
        <v>736.90671999999995</v>
      </c>
      <c r="J8" s="79">
        <v>2</v>
      </c>
      <c r="K8" s="79">
        <v>182.27328</v>
      </c>
      <c r="L8" s="79">
        <v>5</v>
      </c>
      <c r="M8" s="79">
        <v>1329.94</v>
      </c>
      <c r="N8" s="79">
        <v>2</v>
      </c>
      <c r="O8" s="79">
        <v>1277.1199999999999</v>
      </c>
    </row>
    <row r="9" spans="1:18">
      <c r="A9" s="57">
        <f t="shared" si="2"/>
        <v>45504</v>
      </c>
      <c r="B9" s="79">
        <f t="shared" si="1"/>
        <v>42</v>
      </c>
      <c r="C9" s="79">
        <f t="shared" si="1"/>
        <v>9001.1008531000007</v>
      </c>
      <c r="D9" s="79">
        <v>0</v>
      </c>
      <c r="E9" s="79">
        <v>0</v>
      </c>
      <c r="F9" s="79">
        <v>1</v>
      </c>
      <c r="G9" s="79">
        <v>9</v>
      </c>
      <c r="H9" s="79">
        <v>22</v>
      </c>
      <c r="I9" s="79">
        <v>705.18571759999998</v>
      </c>
      <c r="J9" s="79">
        <v>7</v>
      </c>
      <c r="K9" s="79">
        <v>405.70519999999999</v>
      </c>
      <c r="L9" s="79">
        <v>7</v>
      </c>
      <c r="M9" s="79">
        <v>1175.0099482999999</v>
      </c>
      <c r="N9" s="79">
        <v>5</v>
      </c>
      <c r="O9" s="79">
        <v>6706.1999871999997</v>
      </c>
    </row>
    <row r="10" spans="1:18" ht="15.75">
      <c r="A10" s="1274" t="s">
        <v>147</v>
      </c>
      <c r="B10" s="1274"/>
      <c r="C10" s="1274"/>
      <c r="D10" s="1274"/>
      <c r="E10" s="1274"/>
      <c r="F10" s="1274"/>
      <c r="G10" s="1274"/>
      <c r="H10" s="1274"/>
      <c r="I10" s="1274"/>
      <c r="J10" s="80"/>
      <c r="K10" s="80"/>
      <c r="L10" s="80"/>
      <c r="M10" s="80"/>
      <c r="N10" s="80"/>
      <c r="O10" s="80"/>
    </row>
    <row r="11" spans="1:18">
      <c r="A11" s="484" t="str">
        <f>"# indicates as on "&amp;TEXT('1'!$C$2,"mmmm dd, yyyy")</f>
        <v># indicates as on July 31, 2024</v>
      </c>
      <c r="B11" s="81"/>
      <c r="C11" s="81"/>
      <c r="D11" s="81"/>
      <c r="E11" s="81"/>
      <c r="F11" s="81"/>
      <c r="J11" s="81"/>
      <c r="K11" s="81"/>
      <c r="L11" s="81"/>
      <c r="M11" s="81"/>
      <c r="N11" s="81"/>
      <c r="O11" s="81"/>
    </row>
    <row r="12" spans="1:18">
      <c r="A12" s="1265" t="s">
        <v>126</v>
      </c>
      <c r="B12" s="1265"/>
      <c r="C12" s="68"/>
      <c r="D12" s="76"/>
      <c r="E12" s="76"/>
      <c r="F12" s="76"/>
      <c r="G12" s="76"/>
      <c r="H12" s="76"/>
      <c r="I12" s="76"/>
      <c r="J12" s="81"/>
      <c r="K12" s="81"/>
      <c r="L12" s="81"/>
      <c r="M12" s="81"/>
      <c r="N12" s="81"/>
      <c r="O12" s="81"/>
    </row>
    <row r="13" spans="1:18">
      <c r="A13" s="82"/>
      <c r="B13" s="70"/>
      <c r="C13" s="70"/>
      <c r="D13" s="70"/>
      <c r="E13" s="70"/>
      <c r="F13" s="70"/>
      <c r="J13" s="70"/>
      <c r="K13" s="70"/>
      <c r="L13" s="70"/>
      <c r="M13" s="70"/>
      <c r="N13" s="70"/>
      <c r="O13" s="70"/>
    </row>
    <row r="14" spans="1:18">
      <c r="A14" s="82"/>
      <c r="B14" s="70"/>
      <c r="C14" s="70"/>
      <c r="D14" s="70"/>
      <c r="E14" s="70"/>
      <c r="F14" s="70"/>
      <c r="J14" s="70"/>
      <c r="K14" s="70"/>
      <c r="L14" s="70"/>
      <c r="M14" s="70"/>
      <c r="N14" s="70"/>
      <c r="O14" s="70"/>
    </row>
    <row r="15" spans="1:18">
      <c r="A15" s="82"/>
      <c r="B15" s="70"/>
      <c r="C15" s="70"/>
      <c r="D15" s="70"/>
      <c r="E15" s="70"/>
      <c r="F15" s="70"/>
      <c r="J15" s="70"/>
      <c r="K15" s="70"/>
      <c r="L15" s="70"/>
      <c r="M15" s="70"/>
      <c r="N15" s="70"/>
      <c r="O15" s="70"/>
    </row>
    <row r="16" spans="1:18">
      <c r="A16" s="83"/>
      <c r="B16" s="75"/>
      <c r="C16" s="75"/>
      <c r="D16" s="75"/>
      <c r="E16" s="75"/>
      <c r="F16" s="75"/>
      <c r="J16" s="75"/>
      <c r="K16" s="75"/>
      <c r="L16" s="75"/>
      <c r="M16" s="75"/>
      <c r="N16" s="75"/>
      <c r="O16" s="75"/>
    </row>
    <row r="17" spans="1:15">
      <c r="A17" s="83"/>
      <c r="B17" s="75"/>
      <c r="C17" s="75"/>
      <c r="D17" s="75"/>
      <c r="E17" s="75"/>
      <c r="F17" s="75"/>
      <c r="J17" s="75"/>
      <c r="K17" s="75"/>
      <c r="L17" s="75"/>
      <c r="M17" s="75"/>
      <c r="N17" s="75"/>
      <c r="O17" s="75"/>
    </row>
    <row r="18" spans="1:15" ht="15.75">
      <c r="A18" s="84"/>
      <c r="B18" s="80"/>
      <c r="C18" s="80"/>
      <c r="D18" s="80"/>
      <c r="E18" s="80"/>
      <c r="F18" s="80"/>
      <c r="G18" s="80"/>
      <c r="H18" s="80"/>
      <c r="I18" s="80"/>
      <c r="J18" s="80"/>
      <c r="K18" s="80"/>
      <c r="L18" s="80"/>
      <c r="M18" s="80"/>
      <c r="N18" s="80"/>
      <c r="O18" s="80"/>
    </row>
    <row r="20" spans="1:15">
      <c r="J20" s="76"/>
      <c r="K20" s="76"/>
      <c r="L20" s="76"/>
      <c r="M20" s="76"/>
      <c r="N20" s="76"/>
      <c r="O20" s="76"/>
    </row>
    <row r="21" spans="1:15">
      <c r="J21" s="76"/>
      <c r="K21" s="76"/>
      <c r="L21" s="76"/>
      <c r="M21" s="76"/>
      <c r="N21" s="76"/>
      <c r="O21" s="76"/>
    </row>
    <row r="22" spans="1:15">
      <c r="J22" s="16"/>
      <c r="K22" s="16"/>
      <c r="L22" s="16"/>
      <c r="M22" s="16"/>
      <c r="N22" s="16"/>
      <c r="O22" s="16"/>
    </row>
  </sheetData>
  <mergeCells count="11">
    <mergeCell ref="A10:I10"/>
    <mergeCell ref="A12:B12"/>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0"/>
  </sheetPr>
  <dimension ref="A1:K20"/>
  <sheetViews>
    <sheetView zoomScaleNormal="100" workbookViewId="0">
      <selection sqref="A1:I1"/>
    </sheetView>
  </sheetViews>
  <sheetFormatPr defaultRowHeight="15"/>
  <sheetData>
    <row r="1" spans="1:11">
      <c r="A1" s="1275" t="s">
        <v>7</v>
      </c>
      <c r="B1" s="1275"/>
      <c r="C1" s="1275"/>
      <c r="D1" s="1275"/>
      <c r="E1" s="1275"/>
      <c r="F1" s="1275"/>
      <c r="G1" s="1275"/>
      <c r="H1" s="1275"/>
      <c r="I1" s="1275"/>
      <c r="J1" s="60"/>
      <c r="K1" s="60"/>
    </row>
    <row r="2" spans="1:11">
      <c r="A2" s="1222" t="s">
        <v>112</v>
      </c>
      <c r="B2" s="1279" t="s">
        <v>162</v>
      </c>
      <c r="C2" s="1280"/>
      <c r="D2" s="1279" t="s">
        <v>163</v>
      </c>
      <c r="E2" s="1280"/>
      <c r="F2" s="1279" t="s">
        <v>164</v>
      </c>
      <c r="G2" s="1280"/>
      <c r="H2" s="1279" t="s">
        <v>1307</v>
      </c>
      <c r="I2" s="1280"/>
      <c r="J2" s="1279" t="s">
        <v>92</v>
      </c>
      <c r="K2" s="1280"/>
    </row>
    <row r="3" spans="1:11" ht="45">
      <c r="A3" s="1276"/>
      <c r="B3" s="59" t="s">
        <v>137</v>
      </c>
      <c r="C3" s="59" t="s">
        <v>138</v>
      </c>
      <c r="D3" s="59" t="s">
        <v>137</v>
      </c>
      <c r="E3" s="59" t="s">
        <v>138</v>
      </c>
      <c r="F3" s="59" t="s">
        <v>137</v>
      </c>
      <c r="G3" s="59" t="s">
        <v>138</v>
      </c>
      <c r="H3" s="59" t="s">
        <v>137</v>
      </c>
      <c r="I3" s="59" t="s">
        <v>138</v>
      </c>
      <c r="J3" s="85" t="s">
        <v>137</v>
      </c>
      <c r="K3" s="59" t="s">
        <v>138</v>
      </c>
    </row>
    <row r="4" spans="1:11">
      <c r="A4" s="490" t="s">
        <v>520</v>
      </c>
      <c r="B4" s="86">
        <v>0</v>
      </c>
      <c r="C4" s="86">
        <v>0</v>
      </c>
      <c r="D4" s="86">
        <v>3</v>
      </c>
      <c r="E4" s="86">
        <v>266.53775969999998</v>
      </c>
      <c r="F4" s="86">
        <v>0</v>
      </c>
      <c r="G4" s="86">
        <v>0</v>
      </c>
      <c r="H4" s="86">
        <v>58</v>
      </c>
      <c r="I4" s="86">
        <v>68704.953550000006</v>
      </c>
      <c r="J4" s="86">
        <v>61</v>
      </c>
      <c r="K4" s="86">
        <v>68971.49130970001</v>
      </c>
    </row>
    <row r="5" spans="1:11">
      <c r="A5" s="491" t="s">
        <v>1271</v>
      </c>
      <c r="B5" s="270">
        <f t="shared" ref="B5:K5" si="0">SUM(B6:B9)</f>
        <v>0</v>
      </c>
      <c r="C5" s="270">
        <f t="shared" si="0"/>
        <v>0</v>
      </c>
      <c r="D5" s="270">
        <f t="shared" si="0"/>
        <v>1</v>
      </c>
      <c r="E5" s="270">
        <f t="shared" si="0"/>
        <v>24.84</v>
      </c>
      <c r="F5" s="270">
        <f t="shared" si="0"/>
        <v>0</v>
      </c>
      <c r="G5" s="270">
        <f t="shared" si="0"/>
        <v>0</v>
      </c>
      <c r="H5" s="270">
        <f t="shared" si="0"/>
        <v>29</v>
      </c>
      <c r="I5" s="270">
        <f t="shared" si="0"/>
        <v>30960.832273209999</v>
      </c>
      <c r="J5" s="270">
        <f t="shared" si="0"/>
        <v>30</v>
      </c>
      <c r="K5" s="270">
        <f t="shared" si="0"/>
        <v>30985.672273210002</v>
      </c>
    </row>
    <row r="6" spans="1:11">
      <c r="A6" s="57">
        <v>45383</v>
      </c>
      <c r="B6" s="133">
        <v>0</v>
      </c>
      <c r="C6" s="133">
        <v>0</v>
      </c>
      <c r="D6" s="133">
        <v>0</v>
      </c>
      <c r="E6" s="133">
        <v>0</v>
      </c>
      <c r="F6" s="133">
        <v>0</v>
      </c>
      <c r="G6" s="133">
        <v>0</v>
      </c>
      <c r="H6" s="133">
        <v>11</v>
      </c>
      <c r="I6" s="133">
        <v>11471.732781210001</v>
      </c>
      <c r="J6" s="133">
        <f>SUM(B6,D6,F6,H6)</f>
        <v>11</v>
      </c>
      <c r="K6" s="133">
        <f>SUM(C6,E6,G6,I6)</f>
        <v>11471.732781210001</v>
      </c>
    </row>
    <row r="7" spans="1:11">
      <c r="A7" s="57">
        <f>EOMONTH(A6,1)</f>
        <v>45443</v>
      </c>
      <c r="B7" s="133">
        <v>0</v>
      </c>
      <c r="C7" s="133">
        <v>0</v>
      </c>
      <c r="D7" s="133">
        <v>0</v>
      </c>
      <c r="E7" s="133">
        <v>0</v>
      </c>
      <c r="F7" s="133">
        <v>0</v>
      </c>
      <c r="G7" s="133">
        <v>0</v>
      </c>
      <c r="H7" s="133">
        <v>2</v>
      </c>
      <c r="I7" s="133">
        <v>3039.9998919999998</v>
      </c>
      <c r="J7" s="133">
        <f t="shared" ref="J7:K9" si="1">SUM(B7,D7,F7,H7)</f>
        <v>2</v>
      </c>
      <c r="K7" s="133">
        <f t="shared" si="1"/>
        <v>3039.9998919999998</v>
      </c>
    </row>
    <row r="8" spans="1:11">
      <c r="A8" s="57">
        <f t="shared" ref="A8:A9" si="2">EOMONTH(A7,1)</f>
        <v>45473</v>
      </c>
      <c r="B8" s="133">
        <v>0</v>
      </c>
      <c r="C8" s="133">
        <v>0</v>
      </c>
      <c r="D8" s="133">
        <v>1</v>
      </c>
      <c r="E8" s="133">
        <v>24.84</v>
      </c>
      <c r="F8" s="133">
        <v>0</v>
      </c>
      <c r="G8" s="133">
        <v>0</v>
      </c>
      <c r="H8" s="133">
        <v>5</v>
      </c>
      <c r="I8" s="133">
        <v>2749.9996000000001</v>
      </c>
      <c r="J8" s="133">
        <f t="shared" si="1"/>
        <v>6</v>
      </c>
      <c r="K8" s="133">
        <f t="shared" si="1"/>
        <v>2774.8396000000002</v>
      </c>
    </row>
    <row r="9" spans="1:11">
      <c r="A9" s="57">
        <f t="shared" si="2"/>
        <v>45504</v>
      </c>
      <c r="B9" s="4">
        <v>0</v>
      </c>
      <c r="C9" s="4">
        <v>0</v>
      </c>
      <c r="D9" s="4">
        <v>0</v>
      </c>
      <c r="E9" s="4">
        <v>0</v>
      </c>
      <c r="F9" s="133">
        <v>0</v>
      </c>
      <c r="G9" s="133">
        <v>0</v>
      </c>
      <c r="H9" s="4">
        <v>11</v>
      </c>
      <c r="I9" s="132">
        <v>13699.1</v>
      </c>
      <c r="J9" s="133">
        <f t="shared" si="1"/>
        <v>11</v>
      </c>
      <c r="K9" s="133">
        <f t="shared" si="1"/>
        <v>13699.1</v>
      </c>
    </row>
    <row r="10" spans="1:11" ht="15" customHeight="1">
      <c r="A10" s="1281" t="s">
        <v>166</v>
      </c>
      <c r="B10" s="1281"/>
      <c r="C10" s="1281"/>
      <c r="D10" s="1281"/>
      <c r="E10" s="1281"/>
      <c r="F10" s="1281"/>
      <c r="G10" s="1281"/>
      <c r="H10" s="1281"/>
      <c r="I10" s="1281"/>
      <c r="J10" s="1281"/>
      <c r="K10" s="1281"/>
    </row>
    <row r="11" spans="1:11" s="361" customFormat="1" ht="15" customHeight="1">
      <c r="A11" s="484" t="str">
        <f>"# indicates as on "&amp;TEXT('1'!$C$2,"mmmm dd, yyyy")</f>
        <v># indicates as on July 31, 2024</v>
      </c>
      <c r="B11" s="1151"/>
      <c r="C11" s="1151"/>
      <c r="D11" s="1151"/>
      <c r="E11" s="1151"/>
      <c r="F11" s="1151"/>
      <c r="G11" s="1151"/>
      <c r="H11" s="1151"/>
      <c r="I11" s="1151"/>
      <c r="J11" s="1151"/>
      <c r="K11" s="1151"/>
    </row>
    <row r="12" spans="1:11" ht="15" customHeight="1">
      <c r="A12" s="1282" t="s">
        <v>167</v>
      </c>
      <c r="B12" s="1282"/>
      <c r="C12" s="1282"/>
      <c r="D12" s="1282"/>
      <c r="E12" s="87"/>
      <c r="F12" s="87"/>
      <c r="G12" s="87"/>
      <c r="H12" s="87"/>
      <c r="I12" s="87"/>
      <c r="J12" s="76"/>
      <c r="K12" s="76"/>
    </row>
    <row r="13" spans="1:11">
      <c r="A13" s="484"/>
      <c r="B13" s="88"/>
      <c r="C13" s="28"/>
      <c r="D13" s="88"/>
      <c r="E13" s="28"/>
      <c r="F13" s="25"/>
      <c r="G13" s="25"/>
      <c r="H13" s="25"/>
      <c r="I13" s="25"/>
      <c r="J13" s="25"/>
      <c r="K13" s="25"/>
    </row>
    <row r="14" spans="1:11">
      <c r="A14" s="27"/>
      <c r="B14" s="88"/>
      <c r="C14" s="28"/>
      <c r="D14" s="88"/>
      <c r="E14" s="28"/>
      <c r="F14" s="25"/>
      <c r="G14" s="25"/>
      <c r="H14" s="88"/>
      <c r="I14" s="28"/>
      <c r="J14" s="25"/>
      <c r="K14" s="28"/>
    </row>
    <row r="15" spans="1:11">
      <c r="A15" s="27"/>
      <c r="B15" s="12"/>
      <c r="C15" s="12"/>
      <c r="D15" s="12"/>
      <c r="E15" s="12"/>
      <c r="F15" s="12"/>
      <c r="G15" s="12"/>
      <c r="H15" s="88"/>
      <c r="I15" s="28"/>
      <c r="J15" s="25"/>
      <c r="K15" s="28"/>
    </row>
    <row r="16" spans="1:11">
      <c r="A16" s="27"/>
      <c r="B16" s="12"/>
      <c r="C16" s="12"/>
      <c r="D16" s="12"/>
      <c r="E16" s="12"/>
      <c r="F16" s="12"/>
      <c r="G16" s="12"/>
      <c r="H16" s="12"/>
      <c r="I16" s="12"/>
      <c r="J16" s="12"/>
      <c r="K16" s="12"/>
    </row>
    <row r="17" spans="1:11">
      <c r="A17" s="27"/>
      <c r="B17" s="12"/>
      <c r="C17" s="12"/>
      <c r="D17" s="12"/>
      <c r="E17" s="12"/>
      <c r="F17" s="12"/>
      <c r="G17" s="12"/>
      <c r="H17" s="12"/>
      <c r="I17" s="12"/>
      <c r="J17" s="12"/>
      <c r="K17" s="12"/>
    </row>
    <row r="18" spans="1:11">
      <c r="A18" s="83"/>
      <c r="B18" s="89"/>
      <c r="C18" s="89"/>
      <c r="D18" s="89"/>
      <c r="E18" s="89"/>
      <c r="F18" s="89"/>
      <c r="G18" s="89"/>
      <c r="H18" s="89"/>
      <c r="I18" s="89"/>
      <c r="J18" s="89"/>
      <c r="K18" s="89"/>
    </row>
    <row r="19" spans="1:11">
      <c r="A19" s="83"/>
      <c r="B19" s="89"/>
      <c r="C19" s="89"/>
      <c r="D19" s="89"/>
      <c r="E19" s="89"/>
      <c r="F19" s="89"/>
      <c r="G19" s="89"/>
      <c r="H19" s="89"/>
      <c r="I19" s="89"/>
      <c r="J19" s="89"/>
      <c r="K19" s="89"/>
    </row>
    <row r="20" spans="1:11">
      <c r="A20" s="58"/>
      <c r="B20" s="89"/>
      <c r="C20" s="89"/>
      <c r="D20" s="89"/>
      <c r="E20" s="89"/>
      <c r="F20" s="89"/>
      <c r="G20" s="89"/>
      <c r="H20" s="89"/>
      <c r="I20" s="89"/>
      <c r="J20" s="89"/>
      <c r="K20" s="89"/>
    </row>
  </sheetData>
  <mergeCells count="9">
    <mergeCell ref="J2:K2"/>
    <mergeCell ref="A10:K10"/>
    <mergeCell ref="A12:D1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0"/>
  </sheetPr>
  <dimension ref="A1:V25"/>
  <sheetViews>
    <sheetView zoomScaleNormal="100" workbookViewId="0">
      <selection sqref="A1:I1"/>
    </sheetView>
  </sheetViews>
  <sheetFormatPr defaultRowHeight="15"/>
  <cols>
    <col min="1" max="1" width="17.140625" customWidth="1"/>
  </cols>
  <sheetData>
    <row r="1" spans="1:22">
      <c r="A1" s="1275" t="s">
        <v>1384</v>
      </c>
      <c r="B1" s="1275"/>
      <c r="C1" s="1275"/>
      <c r="D1" s="1275"/>
      <c r="E1" s="1275"/>
      <c r="F1" s="1275"/>
      <c r="G1" s="1275"/>
      <c r="H1" s="1275"/>
      <c r="I1" s="1275"/>
      <c r="J1" s="60"/>
      <c r="K1" s="60"/>
    </row>
    <row r="2" spans="1:22">
      <c r="A2" s="1212" t="s">
        <v>168</v>
      </c>
      <c r="B2" s="1279" t="s">
        <v>162</v>
      </c>
      <c r="C2" s="1280"/>
      <c r="D2" s="1279" t="s">
        <v>163</v>
      </c>
      <c r="E2" s="1280"/>
      <c r="F2" s="1279" t="s">
        <v>164</v>
      </c>
      <c r="G2" s="1280"/>
      <c r="H2" s="1279" t="s">
        <v>169</v>
      </c>
      <c r="I2" s="1280"/>
      <c r="J2" s="1279" t="s">
        <v>92</v>
      </c>
      <c r="K2" s="1280"/>
    </row>
    <row r="3" spans="1:22" ht="45">
      <c r="A3" s="1213"/>
      <c r="B3" s="90" t="s">
        <v>137</v>
      </c>
      <c r="C3" s="90" t="s">
        <v>138</v>
      </c>
      <c r="D3" s="90" t="s">
        <v>137</v>
      </c>
      <c r="E3" s="90" t="s">
        <v>138</v>
      </c>
      <c r="F3" s="90" t="s">
        <v>137</v>
      </c>
      <c r="G3" s="90" t="s">
        <v>138</v>
      </c>
      <c r="H3" s="90" t="s">
        <v>137</v>
      </c>
      <c r="I3" s="90" t="s">
        <v>138</v>
      </c>
      <c r="J3" s="90" t="s">
        <v>137</v>
      </c>
      <c r="K3" s="90" t="s">
        <v>138</v>
      </c>
    </row>
    <row r="4" spans="1:22">
      <c r="A4" s="490" t="s">
        <v>520</v>
      </c>
      <c r="B4" s="172">
        <v>354</v>
      </c>
      <c r="C4" s="172">
        <v>10393.319999999998</v>
      </c>
      <c r="D4" s="172">
        <v>73</v>
      </c>
      <c r="E4" s="172">
        <v>1010.7463999999998</v>
      </c>
      <c r="F4" s="172">
        <v>5</v>
      </c>
      <c r="G4" s="172">
        <v>41.44</v>
      </c>
      <c r="H4" s="172">
        <v>257</v>
      </c>
      <c r="I4" s="172">
        <v>33709.596000000005</v>
      </c>
      <c r="J4" s="172">
        <v>689</v>
      </c>
      <c r="K4" s="172">
        <v>45155.102399999996</v>
      </c>
    </row>
    <row r="5" spans="1:22">
      <c r="A5" s="491" t="s">
        <v>1271</v>
      </c>
      <c r="B5" s="271">
        <f t="shared" ref="B5:K5" si="0">SUM(B6:B9)</f>
        <v>165</v>
      </c>
      <c r="C5" s="271">
        <f t="shared" si="0"/>
        <v>3538.9100000000003</v>
      </c>
      <c r="D5" s="271">
        <f t="shared" si="0"/>
        <v>58</v>
      </c>
      <c r="E5" s="271">
        <f t="shared" si="0"/>
        <v>698.09301284199989</v>
      </c>
      <c r="F5" s="271">
        <f t="shared" si="0"/>
        <v>1</v>
      </c>
      <c r="G5" s="271">
        <f t="shared" si="0"/>
        <v>5.0199999999999996</v>
      </c>
      <c r="H5" s="271">
        <f t="shared" si="0"/>
        <v>121</v>
      </c>
      <c r="I5" s="271">
        <f t="shared" si="0"/>
        <v>39772.763616999997</v>
      </c>
      <c r="J5" s="271">
        <f t="shared" si="0"/>
        <v>345</v>
      </c>
      <c r="K5" s="271">
        <f t="shared" si="0"/>
        <v>44014.786629842005</v>
      </c>
      <c r="M5" s="21"/>
      <c r="N5" s="21"/>
      <c r="O5" s="21"/>
      <c r="P5" s="21"/>
      <c r="Q5" s="21"/>
      <c r="R5" s="21"/>
      <c r="S5" s="21"/>
      <c r="T5" s="21"/>
      <c r="U5" s="21"/>
      <c r="V5" s="21"/>
    </row>
    <row r="6" spans="1:22">
      <c r="A6" s="57">
        <v>45383</v>
      </c>
      <c r="B6" s="173">
        <v>51</v>
      </c>
      <c r="C6" s="173">
        <v>1387.3100000000002</v>
      </c>
      <c r="D6" s="173">
        <v>13</v>
      </c>
      <c r="E6" s="173">
        <v>206.12993134999999</v>
      </c>
      <c r="F6" s="173">
        <v>1</v>
      </c>
      <c r="G6" s="173">
        <v>5.0199999999999996</v>
      </c>
      <c r="H6" s="173">
        <v>42</v>
      </c>
      <c r="I6" s="173">
        <v>6103.73</v>
      </c>
      <c r="J6" s="173">
        <f t="shared" ref="J6:K9" si="1">B6+D6+F6+H6</f>
        <v>107</v>
      </c>
      <c r="K6" s="173">
        <f t="shared" si="1"/>
        <v>7702.1899313499998</v>
      </c>
    </row>
    <row r="7" spans="1:22">
      <c r="A7" s="57">
        <f>EOMONTH(A6,1)</f>
        <v>45443</v>
      </c>
      <c r="B7" s="173">
        <v>56</v>
      </c>
      <c r="C7" s="173">
        <v>839.50000000000011</v>
      </c>
      <c r="D7" s="173">
        <v>20</v>
      </c>
      <c r="E7" s="173">
        <v>185.11948339199998</v>
      </c>
      <c r="F7" s="173">
        <v>0</v>
      </c>
      <c r="G7" s="173">
        <v>0</v>
      </c>
      <c r="H7" s="173">
        <v>38</v>
      </c>
      <c r="I7" s="173">
        <v>23968.573617000002</v>
      </c>
      <c r="J7" s="173">
        <f t="shared" si="1"/>
        <v>114</v>
      </c>
      <c r="K7" s="173">
        <f t="shared" si="1"/>
        <v>24993.193100392004</v>
      </c>
    </row>
    <row r="8" spans="1:22">
      <c r="A8" s="57">
        <f t="shared" ref="A8:A9" si="2">EOMONTH(A7,1)</f>
        <v>45473</v>
      </c>
      <c r="B8" s="173">
        <v>26</v>
      </c>
      <c r="C8" s="173">
        <v>822.4</v>
      </c>
      <c r="D8" s="173">
        <v>13</v>
      </c>
      <c r="E8" s="173">
        <v>187.04359809999997</v>
      </c>
      <c r="F8" s="173">
        <v>0</v>
      </c>
      <c r="G8" s="173">
        <v>0</v>
      </c>
      <c r="H8" s="173">
        <v>22</v>
      </c>
      <c r="I8" s="173">
        <v>5985.75</v>
      </c>
      <c r="J8" s="173">
        <f t="shared" si="1"/>
        <v>61</v>
      </c>
      <c r="K8" s="173">
        <f t="shared" si="1"/>
        <v>6995.1935980999997</v>
      </c>
    </row>
    <row r="9" spans="1:22">
      <c r="A9" s="57">
        <f t="shared" si="2"/>
        <v>45504</v>
      </c>
      <c r="B9" s="173">
        <v>32</v>
      </c>
      <c r="C9" s="173">
        <v>489.7</v>
      </c>
      <c r="D9" s="173">
        <v>12</v>
      </c>
      <c r="E9" s="173">
        <v>119.8</v>
      </c>
      <c r="F9" s="173">
        <v>0</v>
      </c>
      <c r="G9" s="173">
        <v>0</v>
      </c>
      <c r="H9" s="173">
        <v>19</v>
      </c>
      <c r="I9" s="173">
        <v>3714.71</v>
      </c>
      <c r="J9" s="173">
        <f t="shared" si="1"/>
        <v>63</v>
      </c>
      <c r="K9" s="173">
        <f t="shared" si="1"/>
        <v>4324.21</v>
      </c>
    </row>
    <row r="10" spans="1:22">
      <c r="A10" s="1019" t="s">
        <v>170</v>
      </c>
      <c r="B10" s="2"/>
      <c r="C10" s="2"/>
      <c r="D10" s="26"/>
      <c r="E10" s="26"/>
      <c r="F10" s="26"/>
      <c r="G10" s="26"/>
      <c r="H10" s="26"/>
      <c r="I10" s="26"/>
      <c r="J10" s="26"/>
      <c r="K10" s="26"/>
    </row>
    <row r="11" spans="1:22" s="361" customFormat="1">
      <c r="A11" s="484" t="str">
        <f>"# indicates as on "&amp;TEXT('1'!$C$2,"mmmm dd, yyyy")</f>
        <v># indicates as on July 31, 2024</v>
      </c>
      <c r="B11" s="240"/>
      <c r="C11" s="240"/>
      <c r="D11" s="26"/>
      <c r="E11" s="26"/>
      <c r="F11" s="26"/>
      <c r="G11" s="26"/>
      <c r="H11" s="26"/>
      <c r="I11" s="26"/>
      <c r="J11" s="26"/>
      <c r="K11" s="26"/>
    </row>
    <row r="12" spans="1:22">
      <c r="A12" s="68" t="s">
        <v>167</v>
      </c>
      <c r="B12" s="68"/>
      <c r="C12" s="29"/>
      <c r="D12" s="26"/>
      <c r="E12" s="26"/>
      <c r="F12" s="26"/>
      <c r="G12" s="26"/>
      <c r="H12" s="26"/>
      <c r="I12" s="26"/>
      <c r="J12" s="26"/>
      <c r="K12" s="26"/>
    </row>
    <row r="13" spans="1:22">
      <c r="B13" s="26"/>
      <c r="C13" s="26"/>
      <c r="D13" s="26"/>
      <c r="E13" s="26"/>
      <c r="F13" s="26"/>
      <c r="G13" s="26"/>
      <c r="H13" s="26"/>
      <c r="I13" s="26"/>
      <c r="J13" s="26"/>
      <c r="K13" s="26"/>
    </row>
    <row r="14" spans="1:22">
      <c r="A14" s="27"/>
      <c r="B14" s="91"/>
      <c r="C14" s="91"/>
      <c r="D14" s="91"/>
      <c r="E14" s="91"/>
      <c r="F14" s="91"/>
      <c r="G14" s="91"/>
      <c r="H14" s="91"/>
      <c r="I14" s="91"/>
      <c r="J14" s="91"/>
      <c r="K14" s="91"/>
    </row>
    <row r="15" spans="1:22">
      <c r="A15" s="27"/>
      <c r="B15" s="91"/>
      <c r="C15" s="91"/>
      <c r="D15" s="91"/>
      <c r="E15" s="91"/>
      <c r="F15" s="91"/>
      <c r="G15" s="91"/>
      <c r="H15" s="91"/>
      <c r="I15" s="92"/>
      <c r="J15" s="91"/>
      <c r="K15" s="91"/>
    </row>
    <row r="16" spans="1:22">
      <c r="A16" s="27"/>
      <c r="B16" s="91"/>
      <c r="C16" s="91"/>
      <c r="D16" s="91"/>
      <c r="E16" s="91"/>
      <c r="F16" s="91"/>
      <c r="G16" s="91"/>
      <c r="H16" s="91"/>
      <c r="I16" s="91"/>
      <c r="J16" s="91"/>
      <c r="K16" s="91"/>
    </row>
    <row r="17" spans="1:11">
      <c r="A17" s="27"/>
      <c r="B17" s="91"/>
      <c r="C17" s="91"/>
      <c r="D17" s="91"/>
      <c r="E17" s="91"/>
      <c r="F17" s="91"/>
      <c r="G17" s="91"/>
      <c r="H17" s="91"/>
      <c r="I17" s="91"/>
      <c r="J17" s="91"/>
      <c r="K17" s="91"/>
    </row>
    <row r="18" spans="1:11">
      <c r="A18" s="83"/>
      <c r="B18" s="93"/>
      <c r="C18" s="93"/>
      <c r="D18" s="93"/>
      <c r="E18" s="93"/>
      <c r="F18" s="93"/>
      <c r="G18" s="93"/>
      <c r="H18" s="93"/>
      <c r="I18" s="94"/>
      <c r="J18" s="93"/>
      <c r="K18" s="94"/>
    </row>
    <row r="19" spans="1:11">
      <c r="A19" s="83"/>
      <c r="B19" s="93"/>
      <c r="C19" s="93"/>
      <c r="D19" s="93"/>
      <c r="E19" s="93"/>
      <c r="F19" s="93"/>
      <c r="G19" s="93"/>
      <c r="H19" s="93"/>
      <c r="I19" s="93"/>
      <c r="J19" s="93"/>
      <c r="K19" s="93"/>
    </row>
    <row r="20" spans="1:11">
      <c r="A20" s="58"/>
      <c r="B20" s="93"/>
      <c r="C20" s="93"/>
      <c r="D20" s="93"/>
      <c r="E20" s="93"/>
      <c r="F20" s="93"/>
      <c r="G20" s="93"/>
      <c r="H20" s="93"/>
      <c r="I20" s="93"/>
      <c r="J20" s="93"/>
      <c r="K20" s="93"/>
    </row>
    <row r="21" spans="1:11">
      <c r="A21" s="58"/>
      <c r="B21" s="93"/>
      <c r="C21" s="93"/>
      <c r="D21" s="93"/>
      <c r="E21" s="93"/>
      <c r="F21" s="93"/>
      <c r="G21" s="93"/>
      <c r="H21" s="93"/>
      <c r="I21" s="93"/>
      <c r="J21" s="93"/>
      <c r="K21" s="93"/>
    </row>
    <row r="23" spans="1:11">
      <c r="D23" s="95"/>
      <c r="E23" s="76"/>
      <c r="F23" s="76"/>
      <c r="G23" s="76"/>
      <c r="H23" s="76"/>
      <c r="I23" s="76"/>
      <c r="J23" s="76"/>
      <c r="K23" s="76"/>
    </row>
    <row r="24" spans="1:11">
      <c r="D24" s="29"/>
      <c r="E24" s="76"/>
      <c r="F24" s="76"/>
      <c r="G24" s="76"/>
      <c r="H24" s="76"/>
      <c r="I24" s="76"/>
      <c r="J24" s="76"/>
      <c r="K24" s="76"/>
    </row>
    <row r="25" spans="1:11">
      <c r="D25" s="96"/>
      <c r="E25" s="96"/>
      <c r="F25" s="96"/>
      <c r="G25" s="96"/>
      <c r="H25" s="96"/>
      <c r="I25" s="96"/>
      <c r="J25" s="96"/>
      <c r="K25" s="96"/>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pageSetUpPr fitToPage="1"/>
  </sheetPr>
  <dimension ref="A1:U15"/>
  <sheetViews>
    <sheetView zoomScaleNormal="100" workbookViewId="0">
      <selection sqref="A1:I1"/>
    </sheetView>
  </sheetViews>
  <sheetFormatPr defaultColWidth="9.140625" defaultRowHeight="15"/>
  <cols>
    <col min="1" max="2" width="14.5703125" style="97" bestFit="1" customWidth="1"/>
    <col min="3" max="3" width="15.85546875" style="97" bestFit="1" customWidth="1"/>
    <col min="4" max="4" width="14.5703125" style="97" bestFit="1" customWidth="1"/>
    <col min="5" max="5" width="15.85546875" style="97" bestFit="1" customWidth="1"/>
    <col min="6" max="6" width="14.5703125" style="97" bestFit="1" customWidth="1"/>
    <col min="7" max="7" width="15.85546875" style="97" bestFit="1" customWidth="1"/>
    <col min="8" max="8" width="9.5703125" style="97" customWidth="1"/>
    <col min="9" max="9" width="15.85546875" style="97" bestFit="1" customWidth="1"/>
    <col min="10" max="10" width="8.5703125" style="97" customWidth="1"/>
    <col min="11" max="16384" width="9.140625" style="97"/>
  </cols>
  <sheetData>
    <row r="1" spans="1:21" ht="15.75" customHeight="1">
      <c r="A1" s="1284" t="s">
        <v>1164</v>
      </c>
      <c r="B1" s="1284"/>
      <c r="C1" s="1284"/>
      <c r="D1" s="1284"/>
      <c r="E1" s="1284"/>
      <c r="F1" s="1284"/>
      <c r="G1" s="1284"/>
      <c r="H1" s="1284"/>
      <c r="I1" s="1284"/>
    </row>
    <row r="2" spans="1:21" s="98" customFormat="1" ht="18" customHeight="1">
      <c r="A2" s="1285" t="s">
        <v>168</v>
      </c>
      <c r="B2" s="1287" t="s">
        <v>163</v>
      </c>
      <c r="C2" s="1288"/>
      <c r="D2" s="1287" t="s">
        <v>162</v>
      </c>
      <c r="E2" s="1288"/>
      <c r="F2" s="1287" t="s">
        <v>165</v>
      </c>
      <c r="G2" s="1288"/>
      <c r="H2" s="1287" t="s">
        <v>92</v>
      </c>
      <c r="I2" s="1288"/>
    </row>
    <row r="3" spans="1:21" s="98" customFormat="1" ht="27" customHeight="1">
      <c r="A3" s="1286"/>
      <c r="B3" s="99" t="s">
        <v>137</v>
      </c>
      <c r="C3" s="99" t="s">
        <v>140</v>
      </c>
      <c r="D3" s="99" t="s">
        <v>137</v>
      </c>
      <c r="E3" s="99" t="s">
        <v>140</v>
      </c>
      <c r="F3" s="99" t="s">
        <v>137</v>
      </c>
      <c r="G3" s="99" t="s">
        <v>140</v>
      </c>
      <c r="H3" s="99" t="s">
        <v>137</v>
      </c>
      <c r="I3" s="99" t="s">
        <v>140</v>
      </c>
    </row>
    <row r="4" spans="1:21" s="102" customFormat="1" ht="18" customHeight="1">
      <c r="A4" s="490" t="s">
        <v>520</v>
      </c>
      <c r="B4" s="374">
        <v>288</v>
      </c>
      <c r="C4" s="374">
        <v>255227.82389999996</v>
      </c>
      <c r="D4" s="374">
        <v>945</v>
      </c>
      <c r="E4" s="374">
        <v>297407.27326509001</v>
      </c>
      <c r="F4" s="374">
        <v>114</v>
      </c>
      <c r="G4" s="374">
        <v>285120.4498</v>
      </c>
      <c r="H4" s="374">
        <v>1347</v>
      </c>
      <c r="I4" s="375">
        <v>837755.54696509009</v>
      </c>
    </row>
    <row r="5" spans="1:21" s="102" customFormat="1" ht="18" customHeight="1">
      <c r="A5" s="491" t="s">
        <v>1271</v>
      </c>
      <c r="B5" s="272">
        <f t="shared" ref="B5:I5" si="0">SUM(B6:B9)</f>
        <v>93</v>
      </c>
      <c r="C5" s="272">
        <f t="shared" si="0"/>
        <v>80767.333899999998</v>
      </c>
      <c r="D5" s="272">
        <f t="shared" si="0"/>
        <v>355</v>
      </c>
      <c r="E5" s="272">
        <f t="shared" si="0"/>
        <v>96382.75</v>
      </c>
      <c r="F5" s="272">
        <f t="shared" si="0"/>
        <v>42</v>
      </c>
      <c r="G5" s="272">
        <f t="shared" si="0"/>
        <v>72924.670599999998</v>
      </c>
      <c r="H5" s="272">
        <f t="shared" si="0"/>
        <v>490</v>
      </c>
      <c r="I5" s="272">
        <f t="shared" si="0"/>
        <v>250074.75450000001</v>
      </c>
      <c r="J5" s="103"/>
      <c r="K5" s="103"/>
      <c r="L5" s="103"/>
      <c r="M5" s="103"/>
      <c r="N5" s="103"/>
      <c r="O5" s="103"/>
      <c r="P5" s="103"/>
      <c r="Q5" s="103"/>
      <c r="R5" s="103"/>
      <c r="S5" s="103"/>
      <c r="T5" s="103"/>
      <c r="U5" s="103"/>
    </row>
    <row r="6" spans="1:21" s="98" customFormat="1" ht="18" customHeight="1">
      <c r="A6" s="57">
        <v>45383</v>
      </c>
      <c r="B6" s="376">
        <v>11</v>
      </c>
      <c r="C6" s="106">
        <v>9221.5999999999985</v>
      </c>
      <c r="D6" s="376">
        <v>83</v>
      </c>
      <c r="E6" s="106">
        <v>14558.000000000002</v>
      </c>
      <c r="F6" s="376">
        <v>7</v>
      </c>
      <c r="G6" s="106">
        <v>6728</v>
      </c>
      <c r="H6" s="108">
        <f t="shared" ref="H6:H8" si="1">SUM(B6,D6,F6)</f>
        <v>101</v>
      </c>
      <c r="I6" s="107">
        <f t="shared" ref="I6:I8" si="2">SUM(C6,E6,G6)</f>
        <v>30507.599999999999</v>
      </c>
    </row>
    <row r="7" spans="1:21" s="98" customFormat="1" ht="18" customHeight="1">
      <c r="A7" s="57">
        <f>EOMONTH(A6,1)</f>
        <v>45443</v>
      </c>
      <c r="B7" s="105">
        <v>25</v>
      </c>
      <c r="C7" s="106">
        <v>20114</v>
      </c>
      <c r="D7" s="105">
        <v>89</v>
      </c>
      <c r="E7" s="106">
        <v>30261</v>
      </c>
      <c r="F7" s="376">
        <v>9</v>
      </c>
      <c r="G7" s="106">
        <v>10852</v>
      </c>
      <c r="H7" s="108">
        <v>123</v>
      </c>
      <c r="I7" s="107">
        <v>61227</v>
      </c>
    </row>
    <row r="8" spans="1:21" s="98" customFormat="1" ht="18" customHeight="1">
      <c r="A8" s="57">
        <f t="shared" ref="A8:A9" si="3">EOMONTH(A7,1)</f>
        <v>45473</v>
      </c>
      <c r="B8" s="105">
        <v>27</v>
      </c>
      <c r="C8" s="106">
        <v>18962.733899999999</v>
      </c>
      <c r="D8" s="105">
        <v>95</v>
      </c>
      <c r="E8" s="106">
        <v>22087.75</v>
      </c>
      <c r="F8" s="376">
        <v>9</v>
      </c>
      <c r="G8" s="106">
        <v>23246.670600000001</v>
      </c>
      <c r="H8" s="108">
        <f t="shared" si="1"/>
        <v>131</v>
      </c>
      <c r="I8" s="107">
        <f t="shared" si="2"/>
        <v>64297.154500000004</v>
      </c>
    </row>
    <row r="9" spans="1:21" s="98" customFormat="1" ht="18" customHeight="1">
      <c r="A9" s="57">
        <f t="shared" si="3"/>
        <v>45504</v>
      </c>
      <c r="B9" s="108">
        <v>30</v>
      </c>
      <c r="C9" s="107">
        <v>32469</v>
      </c>
      <c r="D9" s="108">
        <v>88</v>
      </c>
      <c r="E9" s="107">
        <v>29476</v>
      </c>
      <c r="F9" s="108">
        <v>17</v>
      </c>
      <c r="G9" s="107">
        <v>32098</v>
      </c>
      <c r="H9" s="108">
        <f>SUM(B9,D9,F9)</f>
        <v>135</v>
      </c>
      <c r="I9" s="107">
        <f>SUM(C9,E9,G9)</f>
        <v>94043</v>
      </c>
    </row>
    <row r="10" spans="1:21" s="360" customFormat="1" ht="18" customHeight="1">
      <c r="A10" s="484" t="str">
        <f>"# indicates as on "&amp;TEXT('1'!$C$2,"mmmm dd, yyyy")</f>
        <v># indicates as on July 31, 2024</v>
      </c>
      <c r="B10" s="1150"/>
      <c r="C10" s="394"/>
      <c r="D10" s="1150"/>
      <c r="E10" s="394"/>
      <c r="F10" s="1150"/>
      <c r="G10" s="394"/>
      <c r="H10" s="1150"/>
      <c r="I10" s="394"/>
    </row>
    <row r="11" spans="1:21" s="98" customFormat="1" ht="13.5" customHeight="1">
      <c r="A11" s="1283" t="s">
        <v>171</v>
      </c>
      <c r="B11" s="1283"/>
    </row>
    <row r="12" spans="1:21">
      <c r="C12" s="110"/>
      <c r="H12" s="111"/>
      <c r="I12" s="112"/>
    </row>
    <row r="13" spans="1:21">
      <c r="I13" s="110"/>
    </row>
    <row r="14" spans="1:21" ht="0.75" customHeight="1"/>
    <row r="15" spans="1:21">
      <c r="B15" s="111"/>
      <c r="C15" s="111"/>
      <c r="D15" s="111"/>
      <c r="E15" s="111"/>
      <c r="F15" s="111"/>
      <c r="G15" s="111"/>
      <c r="H15" s="111"/>
      <c r="I15" s="111"/>
    </row>
  </sheetData>
  <mergeCells count="7">
    <mergeCell ref="A11:B11"/>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pageSetUpPr fitToPage="1"/>
  </sheetPr>
  <dimension ref="A1:U16"/>
  <sheetViews>
    <sheetView zoomScaleNormal="100" workbookViewId="0">
      <selection activeCell="F14" sqref="F14"/>
    </sheetView>
  </sheetViews>
  <sheetFormatPr defaultColWidth="9.140625" defaultRowHeight="15"/>
  <cols>
    <col min="1" max="1" width="14.5703125" style="97" bestFit="1" customWidth="1"/>
    <col min="2" max="2" width="14.85546875" style="97" bestFit="1" customWidth="1"/>
    <col min="3" max="3" width="12.42578125" style="97" customWidth="1"/>
    <col min="4" max="4" width="9.42578125" style="97" customWidth="1"/>
    <col min="5" max="5" width="10.42578125" style="97" customWidth="1"/>
    <col min="6" max="6" width="8.85546875" style="97" bestFit="1" customWidth="1"/>
    <col min="7" max="7" width="8.5703125" style="97" customWidth="1"/>
    <col min="8" max="8" width="9.85546875" style="97" bestFit="1" customWidth="1"/>
    <col min="9" max="9" width="10.140625" style="97" customWidth="1"/>
    <col min="10" max="10" width="9.140625" style="97" customWidth="1"/>
    <col min="11" max="11" width="12.5703125" style="97" customWidth="1"/>
    <col min="12" max="16" width="9.140625" style="97"/>
    <col min="17" max="17" width="6" style="97" bestFit="1" customWidth="1"/>
    <col min="18" max="18" width="9.5703125" style="97" bestFit="1" customWidth="1"/>
    <col min="19" max="16384" width="9.140625" style="97"/>
  </cols>
  <sheetData>
    <row r="1" spans="1:21" ht="15" customHeight="1">
      <c r="A1" s="206" t="s">
        <v>8</v>
      </c>
      <c r="B1" s="206"/>
      <c r="C1" s="206"/>
      <c r="D1" s="206"/>
      <c r="E1" s="206"/>
      <c r="F1" s="206"/>
      <c r="G1" s="206"/>
      <c r="H1" s="206"/>
      <c r="I1" s="206"/>
    </row>
    <row r="2" spans="1:21" s="360" customFormat="1" ht="18" customHeight="1">
      <c r="A2" s="1293" t="s">
        <v>112</v>
      </c>
      <c r="B2" s="1289" t="s">
        <v>1391</v>
      </c>
      <c r="C2" s="1295"/>
      <c r="D2" s="1289" t="s">
        <v>1392</v>
      </c>
      <c r="E2" s="1295"/>
      <c r="F2" s="1289" t="s">
        <v>1393</v>
      </c>
      <c r="G2" s="1290"/>
      <c r="H2" s="1291" t="s">
        <v>92</v>
      </c>
      <c r="I2" s="1292"/>
    </row>
    <row r="3" spans="1:21" s="360" customFormat="1" ht="54.75" customHeight="1">
      <c r="A3" s="1294"/>
      <c r="B3" s="384" t="s">
        <v>232</v>
      </c>
      <c r="C3" s="384" t="s">
        <v>233</v>
      </c>
      <c r="D3" s="384" t="s">
        <v>232</v>
      </c>
      <c r="E3" s="384" t="s">
        <v>233</v>
      </c>
      <c r="F3" s="384" t="s">
        <v>232</v>
      </c>
      <c r="G3" s="384" t="s">
        <v>233</v>
      </c>
      <c r="H3" s="385" t="s">
        <v>232</v>
      </c>
      <c r="I3" s="384" t="s">
        <v>233</v>
      </c>
    </row>
    <row r="4" spans="1:21" s="102" customFormat="1" ht="18" customHeight="1">
      <c r="A4" s="490" t="s">
        <v>520</v>
      </c>
      <c r="B4" s="214">
        <v>129879</v>
      </c>
      <c r="C4" s="214">
        <v>204122.93797243602</v>
      </c>
      <c r="D4" s="214">
        <v>83338</v>
      </c>
      <c r="E4" s="214">
        <v>1113679.3234570823</v>
      </c>
      <c r="F4" s="215">
        <v>0</v>
      </c>
      <c r="G4" s="215">
        <v>0</v>
      </c>
      <c r="H4" s="214">
        <v>213217</v>
      </c>
      <c r="I4" s="214">
        <v>1317802.2614295182</v>
      </c>
      <c r="K4" s="360"/>
      <c r="L4" s="360"/>
      <c r="M4" s="360"/>
      <c r="N4" s="360"/>
      <c r="O4" s="360"/>
      <c r="P4" s="360"/>
      <c r="Q4" s="360"/>
      <c r="R4" s="360"/>
      <c r="S4" s="360"/>
      <c r="T4" s="360"/>
      <c r="U4" s="360"/>
    </row>
    <row r="5" spans="1:21" s="102" customFormat="1" ht="18" customHeight="1">
      <c r="A5" s="491" t="s">
        <v>1271</v>
      </c>
      <c r="B5" s="273">
        <f t="shared" ref="B5:I5" si="0">SUM(B6:B9)</f>
        <v>46686</v>
      </c>
      <c r="C5" s="273">
        <f t="shared" si="0"/>
        <v>130624.89098804502</v>
      </c>
      <c r="D5" s="273">
        <f t="shared" si="0"/>
        <v>48725</v>
      </c>
      <c r="E5" s="273">
        <f t="shared" si="0"/>
        <v>338280.19625524699</v>
      </c>
      <c r="F5" s="273">
        <f t="shared" si="0"/>
        <v>0</v>
      </c>
      <c r="G5" s="273">
        <f t="shared" si="0"/>
        <v>0</v>
      </c>
      <c r="H5" s="273">
        <f t="shared" si="0"/>
        <v>95411</v>
      </c>
      <c r="I5" s="273">
        <f t="shared" si="0"/>
        <v>468905.08724329202</v>
      </c>
      <c r="J5" s="163"/>
      <c r="K5" s="163"/>
      <c r="L5" s="163"/>
      <c r="M5" s="163"/>
      <c r="N5" s="163"/>
      <c r="O5" s="163"/>
      <c r="P5" s="163"/>
      <c r="Q5" s="360"/>
      <c r="R5" s="360"/>
      <c r="S5" s="360"/>
      <c r="T5" s="360"/>
      <c r="U5" s="360"/>
    </row>
    <row r="6" spans="1:21" s="360" customFormat="1" ht="18" customHeight="1">
      <c r="A6" s="179">
        <v>45383</v>
      </c>
      <c r="B6" s="357">
        <v>12695</v>
      </c>
      <c r="C6" s="357">
        <v>81929.179417775013</v>
      </c>
      <c r="D6" s="357">
        <v>10338</v>
      </c>
      <c r="E6" s="357">
        <v>12366.450063635002</v>
      </c>
      <c r="F6" s="352">
        <v>0</v>
      </c>
      <c r="G6" s="352">
        <v>0</v>
      </c>
      <c r="H6" s="349">
        <f>SUM(B6+D6+F6)</f>
        <v>23033</v>
      </c>
      <c r="I6" s="349">
        <f>SUM(C6+E6+G6)</f>
        <v>94295.629481410011</v>
      </c>
      <c r="J6" s="164"/>
      <c r="K6" s="164"/>
    </row>
    <row r="7" spans="1:21" s="360" customFormat="1" ht="18" customHeight="1">
      <c r="A7" s="179">
        <v>45413</v>
      </c>
      <c r="B7" s="357">
        <v>11147</v>
      </c>
      <c r="C7" s="357">
        <v>16078.74</v>
      </c>
      <c r="D7" s="357">
        <v>12473</v>
      </c>
      <c r="E7" s="357">
        <v>107641</v>
      </c>
      <c r="F7" s="352">
        <v>0</v>
      </c>
      <c r="G7" s="352">
        <v>0</v>
      </c>
      <c r="H7" s="349">
        <f>SUM(B7+D7+F7)</f>
        <v>23620</v>
      </c>
      <c r="I7" s="349">
        <f>SUM(C7+E7+G7)</f>
        <v>123719.74</v>
      </c>
    </row>
    <row r="8" spans="1:21" s="360" customFormat="1" ht="18" customHeight="1">
      <c r="A8" s="179">
        <v>45444</v>
      </c>
      <c r="B8" s="357">
        <v>10097</v>
      </c>
      <c r="C8" s="357">
        <v>16453.703353865003</v>
      </c>
      <c r="D8" s="357">
        <v>12153</v>
      </c>
      <c r="E8" s="357">
        <v>97991.475562829015</v>
      </c>
      <c r="F8" s="352">
        <v>0</v>
      </c>
      <c r="G8" s="352">
        <v>0</v>
      </c>
      <c r="H8" s="349">
        <v>22250</v>
      </c>
      <c r="I8" s="349">
        <v>114445.17891669401</v>
      </c>
    </row>
    <row r="9" spans="1:21" s="360" customFormat="1" ht="18" customHeight="1">
      <c r="A9" s="179">
        <v>45474</v>
      </c>
      <c r="B9" s="357">
        <v>12747</v>
      </c>
      <c r="C9" s="357">
        <v>16163.268216404998</v>
      </c>
      <c r="D9" s="357">
        <v>13761</v>
      </c>
      <c r="E9" s="357">
        <v>120281.27062878299</v>
      </c>
      <c r="F9" s="352">
        <v>0</v>
      </c>
      <c r="G9" s="352">
        <v>0</v>
      </c>
      <c r="H9" s="349">
        <f>SUM(B9,D9)</f>
        <v>26508</v>
      </c>
      <c r="I9" s="349">
        <f>SUM(C9,E9)</f>
        <v>136444.53884518798</v>
      </c>
    </row>
    <row r="10" spans="1:21" s="360" customFormat="1">
      <c r="A10" s="386"/>
      <c r="B10" s="387"/>
      <c r="C10" s="387"/>
      <c r="D10" s="387"/>
      <c r="E10" s="387"/>
      <c r="F10" s="134"/>
      <c r="G10" s="134"/>
      <c r="H10" s="135"/>
      <c r="I10" s="135"/>
    </row>
    <row r="11" spans="1:21" s="360" customFormat="1">
      <c r="A11" s="136" t="s">
        <v>235</v>
      </c>
      <c r="B11" s="362"/>
      <c r="C11" s="362"/>
      <c r="D11" s="362"/>
      <c r="E11" s="362"/>
      <c r="F11" s="363"/>
      <c r="G11" s="363"/>
      <c r="H11" s="362"/>
      <c r="I11" s="137"/>
    </row>
    <row r="12" spans="1:21" s="360" customFormat="1">
      <c r="A12" s="484" t="str">
        <f>"# indicates as on "&amp;TEXT('1'!$C$2,"mmmm dd, yyyy")</f>
        <v># indicates as on July 31, 2024</v>
      </c>
      <c r="B12" s="362"/>
      <c r="C12" s="362"/>
      <c r="D12" s="362"/>
      <c r="E12" s="362"/>
      <c r="F12" s="363"/>
      <c r="G12" s="363"/>
      <c r="H12" s="362"/>
      <c r="I12" s="137"/>
    </row>
    <row r="13" spans="1:21" s="360" customFormat="1">
      <c r="A13" s="1283" t="s">
        <v>1382</v>
      </c>
      <c r="B13" s="1283"/>
    </row>
    <row r="14" spans="1:21" s="360" customFormat="1">
      <c r="B14" s="111"/>
      <c r="C14" s="111"/>
    </row>
    <row r="15" spans="1:21">
      <c r="B15" s="110"/>
      <c r="C15" s="110"/>
      <c r="D15" s="111"/>
      <c r="E15" s="111"/>
      <c r="F15" s="111"/>
      <c r="G15" s="111"/>
      <c r="H15" s="111"/>
      <c r="I15" s="111"/>
    </row>
    <row r="16" spans="1:21">
      <c r="D16" s="110"/>
      <c r="E16" s="138"/>
      <c r="F16" s="110"/>
      <c r="G16" s="110"/>
      <c r="H16" s="110"/>
      <c r="I16" s="110"/>
    </row>
  </sheetData>
  <mergeCells count="6">
    <mergeCell ref="A13:B13"/>
    <mergeCell ref="F2:G2"/>
    <mergeCell ref="H2:I2"/>
    <mergeCell ref="A2:A3"/>
    <mergeCell ref="B2:C2"/>
    <mergeCell ref="D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
  <sheetViews>
    <sheetView workbookViewId="0"/>
  </sheetViews>
  <sheetFormatPr defaultRowHeight="15"/>
  <cols>
    <col min="1" max="1" width="13.140625" customWidth="1"/>
    <col min="2" max="2" width="8.7109375" customWidth="1"/>
    <col min="3" max="5" width="8.7109375" style="361" customWidth="1"/>
    <col min="6" max="6" width="8.7109375" customWidth="1"/>
    <col min="7" max="10" width="8.7109375" style="361" customWidth="1"/>
    <col min="11" max="12" width="8.7109375" customWidth="1"/>
    <col min="13" max="16" width="8.7109375" style="361" customWidth="1"/>
    <col min="17" max="17" width="8.7109375" customWidth="1"/>
  </cols>
  <sheetData>
    <row r="1" spans="1:17">
      <c r="A1" s="206" t="s">
        <v>8</v>
      </c>
    </row>
    <row r="2" spans="1:17" ht="45" customHeight="1">
      <c r="A2" s="1297" t="s">
        <v>112</v>
      </c>
      <c r="B2" s="1296" t="s">
        <v>1394</v>
      </c>
      <c r="C2" s="1296"/>
      <c r="D2" s="1296"/>
      <c r="E2" s="1296"/>
      <c r="F2" s="1298" t="s">
        <v>1395</v>
      </c>
      <c r="G2" s="1298"/>
      <c r="H2" s="1298"/>
      <c r="I2" s="1298"/>
      <c r="J2" s="1259" t="s">
        <v>1383</v>
      </c>
      <c r="K2" s="1259"/>
      <c r="L2" s="1259" t="s">
        <v>1396</v>
      </c>
      <c r="M2" s="1259"/>
      <c r="N2" s="1259"/>
      <c r="O2" s="1259"/>
      <c r="P2" s="1259" t="s">
        <v>1397</v>
      </c>
      <c r="Q2" s="1259"/>
    </row>
    <row r="3" spans="1:17">
      <c r="A3" s="1297"/>
      <c r="B3" s="1296" t="s">
        <v>1399</v>
      </c>
      <c r="C3" s="1296"/>
      <c r="D3" s="1296" t="s">
        <v>1400</v>
      </c>
      <c r="E3" s="1296"/>
      <c r="F3" s="1296" t="s">
        <v>1399</v>
      </c>
      <c r="G3" s="1296"/>
      <c r="H3" s="1296" t="s">
        <v>1400</v>
      </c>
      <c r="I3" s="1296"/>
      <c r="J3" s="1259"/>
      <c r="K3" s="1259"/>
      <c r="L3" s="1296" t="s">
        <v>1399</v>
      </c>
      <c r="M3" s="1296"/>
      <c r="N3" s="1296" t="s">
        <v>1400</v>
      </c>
      <c r="O3" s="1296"/>
      <c r="P3" s="1259"/>
      <c r="Q3" s="1259"/>
    </row>
    <row r="4" spans="1:17" s="361" customFormat="1" ht="45">
      <c r="A4" s="1297"/>
      <c r="B4" s="356" t="s">
        <v>1401</v>
      </c>
      <c r="C4" s="356" t="s">
        <v>1403</v>
      </c>
      <c r="D4" s="356" t="s">
        <v>1401</v>
      </c>
      <c r="E4" s="356" t="s">
        <v>1403</v>
      </c>
      <c r="F4" s="356" t="s">
        <v>1401</v>
      </c>
      <c r="G4" s="356" t="s">
        <v>1403</v>
      </c>
      <c r="H4" s="356" t="s">
        <v>1401</v>
      </c>
      <c r="I4" s="356" t="s">
        <v>1403</v>
      </c>
      <c r="J4" s="356" t="s">
        <v>1401</v>
      </c>
      <c r="K4" s="356" t="s">
        <v>1403</v>
      </c>
      <c r="L4" s="356" t="s">
        <v>1401</v>
      </c>
      <c r="M4" s="356" t="s">
        <v>1403</v>
      </c>
      <c r="N4" s="356" t="s">
        <v>1401</v>
      </c>
      <c r="O4" s="356" t="s">
        <v>1403</v>
      </c>
      <c r="P4" s="356" t="s">
        <v>1401</v>
      </c>
      <c r="Q4" s="356" t="s">
        <v>1403</v>
      </c>
    </row>
    <row r="5" spans="1:17">
      <c r="A5" s="1011" t="s">
        <v>520</v>
      </c>
      <c r="B5" s="357">
        <v>339906</v>
      </c>
      <c r="C5" s="357">
        <v>140568.51</v>
      </c>
      <c r="D5" s="357">
        <v>22123</v>
      </c>
      <c r="E5" s="357">
        <v>66811.259999999995</v>
      </c>
      <c r="F5" s="357">
        <v>751149</v>
      </c>
      <c r="G5" s="357">
        <v>1078970.79</v>
      </c>
      <c r="H5" s="357">
        <v>10683</v>
      </c>
      <c r="I5" s="357">
        <v>39274.17</v>
      </c>
      <c r="J5" s="357">
        <v>0</v>
      </c>
      <c r="K5" s="357">
        <v>0</v>
      </c>
      <c r="L5" s="357">
        <v>132578</v>
      </c>
      <c r="M5" s="357">
        <v>18900.330000000002</v>
      </c>
      <c r="N5" s="357">
        <v>34998</v>
      </c>
      <c r="O5" s="357">
        <v>28868.97</v>
      </c>
      <c r="P5" s="357">
        <v>1291437</v>
      </c>
      <c r="Q5" s="357">
        <v>1373394.02</v>
      </c>
    </row>
    <row r="6" spans="1:17">
      <c r="A6" s="1011" t="s">
        <v>1271</v>
      </c>
      <c r="B6" s="1012">
        <f t="shared" ref="B6:Q6" si="0">SUM(B7:B10)</f>
        <v>105807</v>
      </c>
      <c r="C6" s="1012">
        <f t="shared" si="0"/>
        <v>38701.545304822997</v>
      </c>
      <c r="D6" s="1012">
        <f t="shared" si="0"/>
        <v>7992</v>
      </c>
      <c r="E6" s="1012">
        <f t="shared" si="0"/>
        <v>23637.758920081997</v>
      </c>
      <c r="F6" s="1012">
        <f t="shared" si="0"/>
        <v>243625</v>
      </c>
      <c r="G6" s="1012">
        <f t="shared" si="0"/>
        <v>393355.68237135897</v>
      </c>
      <c r="H6" s="1012">
        <f t="shared" si="0"/>
        <v>2188</v>
      </c>
      <c r="I6" s="1012">
        <f t="shared" si="0"/>
        <v>16584.408257423998</v>
      </c>
      <c r="J6" s="1012">
        <f t="shared" si="0"/>
        <v>0</v>
      </c>
      <c r="K6" s="1012">
        <f t="shared" si="0"/>
        <v>0</v>
      </c>
      <c r="L6" s="1012">
        <f t="shared" si="0"/>
        <v>8453</v>
      </c>
      <c r="M6" s="1012">
        <f t="shared" si="0"/>
        <v>3600.8906555474005</v>
      </c>
      <c r="N6" s="1012">
        <f t="shared" si="0"/>
        <v>11007</v>
      </c>
      <c r="O6" s="1012">
        <f t="shared" si="0"/>
        <v>12092.383297999999</v>
      </c>
      <c r="P6" s="1012">
        <f t="shared" si="0"/>
        <v>379072</v>
      </c>
      <c r="Q6" s="1012">
        <f t="shared" si="0"/>
        <v>487972.68590723537</v>
      </c>
    </row>
    <row r="7" spans="1:17">
      <c r="A7" s="179">
        <v>45383</v>
      </c>
      <c r="B7" s="357">
        <v>25903</v>
      </c>
      <c r="C7" s="357">
        <v>7415.3069999999998</v>
      </c>
      <c r="D7" s="357">
        <v>1977</v>
      </c>
      <c r="E7" s="357">
        <v>5249.3419999999996</v>
      </c>
      <c r="F7" s="357">
        <v>64127</v>
      </c>
      <c r="G7" s="357">
        <v>78200.87</v>
      </c>
      <c r="H7" s="357">
        <v>610</v>
      </c>
      <c r="I7" s="357">
        <v>4241.9880000000003</v>
      </c>
      <c r="J7" s="357">
        <v>0</v>
      </c>
      <c r="K7" s="357">
        <v>0</v>
      </c>
      <c r="L7" s="357">
        <v>2555</v>
      </c>
      <c r="M7" s="357">
        <v>1011.408</v>
      </c>
      <c r="N7" s="357">
        <v>2836</v>
      </c>
      <c r="O7" s="357">
        <v>2708.5230000000001</v>
      </c>
      <c r="P7" s="357">
        <v>98008</v>
      </c>
      <c r="Q7" s="357">
        <v>98827.44</v>
      </c>
    </row>
    <row r="8" spans="1:17">
      <c r="A8" s="179">
        <v>45413</v>
      </c>
      <c r="B8" s="357">
        <v>27094</v>
      </c>
      <c r="C8" s="357">
        <v>10486.48</v>
      </c>
      <c r="D8" s="357">
        <v>2124</v>
      </c>
      <c r="E8" s="357">
        <v>5852.2659999999996</v>
      </c>
      <c r="F8" s="357">
        <v>61350</v>
      </c>
      <c r="G8" s="357">
        <v>101645.8</v>
      </c>
      <c r="H8" s="357">
        <v>582</v>
      </c>
      <c r="I8" s="357">
        <v>6548.7650000000003</v>
      </c>
      <c r="J8" s="357">
        <v>0</v>
      </c>
      <c r="K8" s="357">
        <v>0</v>
      </c>
      <c r="L8" s="357">
        <v>2280</v>
      </c>
      <c r="M8" s="357">
        <v>915.93489999999997</v>
      </c>
      <c r="N8" s="357">
        <v>2479</v>
      </c>
      <c r="O8" s="357">
        <v>4802.7709999999997</v>
      </c>
      <c r="P8" s="357">
        <v>95909</v>
      </c>
      <c r="Q8" s="357">
        <v>130252</v>
      </c>
    </row>
    <row r="9" spans="1:17">
      <c r="A9" s="179">
        <v>45444</v>
      </c>
      <c r="B9" s="357">
        <v>24202</v>
      </c>
      <c r="C9" s="357">
        <v>11080.92</v>
      </c>
      <c r="D9" s="357">
        <v>1708</v>
      </c>
      <c r="E9" s="357">
        <v>5762.8289999999997</v>
      </c>
      <c r="F9" s="357">
        <v>54517</v>
      </c>
      <c r="G9" s="357">
        <v>95480.17</v>
      </c>
      <c r="H9" s="357">
        <v>474</v>
      </c>
      <c r="I9" s="357">
        <v>3057.8670000000002</v>
      </c>
      <c r="J9" s="357">
        <v>0</v>
      </c>
      <c r="K9" s="357">
        <v>0</v>
      </c>
      <c r="L9" s="357">
        <v>1669</v>
      </c>
      <c r="M9" s="357">
        <v>733.38300000000004</v>
      </c>
      <c r="N9" s="357">
        <v>2562</v>
      </c>
      <c r="O9" s="357">
        <v>2355.4989999999998</v>
      </c>
      <c r="P9" s="357">
        <v>85132</v>
      </c>
      <c r="Q9" s="357">
        <v>118470.7</v>
      </c>
    </row>
    <row r="10" spans="1:17">
      <c r="A10" s="179">
        <v>45474</v>
      </c>
      <c r="B10" s="357">
        <v>28608</v>
      </c>
      <c r="C10" s="357">
        <v>9718.8383048229989</v>
      </c>
      <c r="D10" s="357">
        <v>2183</v>
      </c>
      <c r="E10" s="357">
        <v>6773.3219200819995</v>
      </c>
      <c r="F10" s="357">
        <v>63631</v>
      </c>
      <c r="G10" s="357">
        <v>118028.842371359</v>
      </c>
      <c r="H10" s="357">
        <v>522</v>
      </c>
      <c r="I10" s="357">
        <v>2735.7882574239989</v>
      </c>
      <c r="J10" s="357">
        <v>0</v>
      </c>
      <c r="K10" s="357">
        <v>0</v>
      </c>
      <c r="L10" s="357">
        <v>1949</v>
      </c>
      <c r="M10" s="357">
        <v>940.16475554740009</v>
      </c>
      <c r="N10" s="357">
        <v>3130</v>
      </c>
      <c r="O10" s="357">
        <v>2225.5902979999992</v>
      </c>
      <c r="P10" s="357">
        <v>100023</v>
      </c>
      <c r="Q10" s="357">
        <v>140422.54590723538</v>
      </c>
    </row>
    <row r="11" spans="1:17">
      <c r="A11" s="484" t="s">
        <v>1402</v>
      </c>
    </row>
    <row r="12" spans="1:17" s="360" customFormat="1">
      <c r="A12" s="1283" t="s">
        <v>1398</v>
      </c>
      <c r="B12" s="1283"/>
      <c r="C12" s="1010"/>
      <c r="D12" s="1010"/>
      <c r="E12" s="1010"/>
    </row>
    <row r="13" spans="1:17" s="360" customFormat="1">
      <c r="B13" s="111"/>
      <c r="C13" s="111"/>
      <c r="D13" s="111"/>
      <c r="E13" s="111"/>
      <c r="F13" s="111"/>
      <c r="G13" s="111"/>
      <c r="H13" s="111"/>
      <c r="I13" s="111"/>
      <c r="J13" s="111"/>
    </row>
  </sheetData>
  <mergeCells count="13">
    <mergeCell ref="A12:B12"/>
    <mergeCell ref="B2:E2"/>
    <mergeCell ref="P2:Q3"/>
    <mergeCell ref="A2:A4"/>
    <mergeCell ref="F2:I2"/>
    <mergeCell ref="L2:O2"/>
    <mergeCell ref="D3:E3"/>
    <mergeCell ref="B3:C3"/>
    <mergeCell ref="F3:G3"/>
    <mergeCell ref="H3:I3"/>
    <mergeCell ref="L3:M3"/>
    <mergeCell ref="N3:O3"/>
    <mergeCell ref="J2:K3"/>
  </mergeCells>
  <pageMargins left="0.7" right="0.7" top="0.75" bottom="0.75" header="0.3" footer="0.3"/>
  <pageSetup paperSize="9" scale="8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Z24"/>
  <sheetViews>
    <sheetView zoomScaleNormal="100" workbookViewId="0">
      <selection sqref="A1:M1"/>
    </sheetView>
  </sheetViews>
  <sheetFormatPr defaultColWidth="9.140625" defaultRowHeight="15"/>
  <cols>
    <col min="1" max="1" width="10.5703125" style="97" bestFit="1" customWidth="1"/>
    <col min="2" max="13" width="14.5703125" style="97" bestFit="1" customWidth="1"/>
    <col min="14" max="14" width="5.42578125" style="97" bestFit="1" customWidth="1"/>
    <col min="15" max="16384" width="9.140625" style="97"/>
  </cols>
  <sheetData>
    <row r="1" spans="1:26" ht="16.5" customHeight="1">
      <c r="A1" s="1299" t="s">
        <v>172</v>
      </c>
      <c r="B1" s="1299"/>
      <c r="C1" s="1299"/>
      <c r="D1" s="1299"/>
      <c r="E1" s="1299"/>
      <c r="F1" s="1299"/>
      <c r="G1" s="1299"/>
      <c r="H1" s="1299"/>
      <c r="I1" s="1299"/>
      <c r="J1" s="1299"/>
      <c r="K1" s="1299"/>
      <c r="L1" s="1299"/>
      <c r="M1" s="1299"/>
    </row>
    <row r="2" spans="1:26" s="98" customFormat="1" ht="18" customHeight="1">
      <c r="A2" s="1300" t="s">
        <v>173</v>
      </c>
      <c r="B2" s="1287" t="s">
        <v>174</v>
      </c>
      <c r="C2" s="1302"/>
      <c r="D2" s="1302"/>
      <c r="E2" s="1302"/>
      <c r="F2" s="1302"/>
      <c r="G2" s="1302"/>
      <c r="H2" s="1302"/>
      <c r="I2" s="1288"/>
      <c r="J2" s="1303" t="s">
        <v>175</v>
      </c>
      <c r="K2" s="1304"/>
      <c r="L2" s="1303" t="s">
        <v>92</v>
      </c>
      <c r="M2" s="1304"/>
    </row>
    <row r="3" spans="1:26" s="98" customFormat="1" ht="18" customHeight="1">
      <c r="A3" s="1301"/>
      <c r="B3" s="1287" t="s">
        <v>176</v>
      </c>
      <c r="C3" s="1288"/>
      <c r="D3" s="1287" t="s">
        <v>177</v>
      </c>
      <c r="E3" s="1288"/>
      <c r="F3" s="1287" t="s">
        <v>178</v>
      </c>
      <c r="G3" s="1288"/>
      <c r="H3" s="1287" t="s">
        <v>179</v>
      </c>
      <c r="I3" s="1288"/>
      <c r="J3" s="1305"/>
      <c r="K3" s="1306"/>
      <c r="L3" s="1305"/>
      <c r="M3" s="1306"/>
    </row>
    <row r="4" spans="1:26" s="98" customFormat="1" ht="27" customHeight="1">
      <c r="A4" s="100" t="s">
        <v>180</v>
      </c>
      <c r="B4" s="99" t="s">
        <v>137</v>
      </c>
      <c r="C4" s="99" t="s">
        <v>138</v>
      </c>
      <c r="D4" s="99" t="s">
        <v>137</v>
      </c>
      <c r="E4" s="99" t="s">
        <v>138</v>
      </c>
      <c r="F4" s="99" t="s">
        <v>137</v>
      </c>
      <c r="G4" s="99" t="s">
        <v>138</v>
      </c>
      <c r="H4" s="99" t="s">
        <v>137</v>
      </c>
      <c r="I4" s="99" t="s">
        <v>138</v>
      </c>
      <c r="J4" s="99" t="s">
        <v>137</v>
      </c>
      <c r="K4" s="99" t="s">
        <v>138</v>
      </c>
      <c r="L4" s="99" t="s">
        <v>137</v>
      </c>
      <c r="M4" s="99" t="s">
        <v>138</v>
      </c>
    </row>
    <row r="5" spans="1:26" s="102" customFormat="1" ht="18" customHeight="1">
      <c r="A5" s="100" t="s">
        <v>67</v>
      </c>
      <c r="B5" s="101">
        <v>266</v>
      </c>
      <c r="C5" s="113">
        <v>2019875.8160000001</v>
      </c>
      <c r="D5" s="101">
        <v>409</v>
      </c>
      <c r="E5" s="113">
        <v>372534.52</v>
      </c>
      <c r="F5" s="101">
        <v>372</v>
      </c>
      <c r="G5" s="101">
        <v>61654.900000000009</v>
      </c>
      <c r="H5" s="101">
        <v>200</v>
      </c>
      <c r="I5" s="101">
        <v>18194.870000000003</v>
      </c>
      <c r="J5" s="101">
        <v>72</v>
      </c>
      <c r="K5" s="101">
        <v>17535.12</v>
      </c>
      <c r="L5" s="114">
        <v>1319</v>
      </c>
      <c r="M5" s="113">
        <v>2489794.716</v>
      </c>
    </row>
    <row r="6" spans="1:26" s="118" customFormat="1" ht="18" customHeight="1">
      <c r="A6" s="115" t="s">
        <v>68</v>
      </c>
      <c r="B6" s="116">
        <f>SUM(B7:B10)</f>
        <v>127</v>
      </c>
      <c r="C6" s="116">
        <f t="shared" ref="C6:M6" si="0">SUM(C7:C10)</f>
        <v>1269289.92</v>
      </c>
      <c r="D6" s="116">
        <f t="shared" si="0"/>
        <v>165</v>
      </c>
      <c r="E6" s="116">
        <f t="shared" si="0"/>
        <v>153963.38</v>
      </c>
      <c r="F6" s="116">
        <f t="shared" si="0"/>
        <v>129</v>
      </c>
      <c r="G6" s="116">
        <f t="shared" si="0"/>
        <v>20557.36</v>
      </c>
      <c r="H6" s="116">
        <f t="shared" si="0"/>
        <v>62</v>
      </c>
      <c r="I6" s="116">
        <f t="shared" si="0"/>
        <v>20601.649999999998</v>
      </c>
      <c r="J6" s="116">
        <f t="shared" si="0"/>
        <v>19</v>
      </c>
      <c r="K6" s="116">
        <f t="shared" si="0"/>
        <v>5873</v>
      </c>
      <c r="L6" s="116">
        <f t="shared" si="0"/>
        <v>502</v>
      </c>
      <c r="M6" s="116">
        <f t="shared" si="0"/>
        <v>1470285.31</v>
      </c>
      <c r="N6" s="117"/>
      <c r="O6" s="117"/>
      <c r="P6" s="117"/>
      <c r="Q6" s="117"/>
      <c r="R6" s="117"/>
      <c r="S6" s="117"/>
      <c r="T6" s="117"/>
      <c r="U6" s="117"/>
      <c r="V6" s="117"/>
      <c r="W6" s="117"/>
      <c r="X6" s="117"/>
      <c r="Y6" s="117"/>
      <c r="Z6" s="117"/>
    </row>
    <row r="7" spans="1:26" s="98" customFormat="1" ht="18" customHeight="1">
      <c r="A7" s="104" t="s">
        <v>121</v>
      </c>
      <c r="B7" s="106">
        <v>16</v>
      </c>
      <c r="C7" s="107">
        <v>96343.84</v>
      </c>
      <c r="D7" s="106">
        <v>21</v>
      </c>
      <c r="E7" s="106">
        <v>8364.25</v>
      </c>
      <c r="F7" s="106">
        <v>25</v>
      </c>
      <c r="G7" s="106">
        <v>920.49</v>
      </c>
      <c r="H7" s="106">
        <v>10</v>
      </c>
      <c r="I7" s="106">
        <v>1702.58</v>
      </c>
      <c r="J7" s="106">
        <v>3</v>
      </c>
      <c r="K7" s="106">
        <v>554</v>
      </c>
      <c r="L7" s="106">
        <v>75</v>
      </c>
      <c r="M7" s="107">
        <v>107885.16</v>
      </c>
      <c r="N7" s="109"/>
      <c r="O7" s="109"/>
    </row>
    <row r="8" spans="1:26" s="98" customFormat="1" ht="18" customHeight="1">
      <c r="A8" s="104" t="s">
        <v>122</v>
      </c>
      <c r="B8" s="106">
        <v>29</v>
      </c>
      <c r="C8" s="107">
        <v>188112.1</v>
      </c>
      <c r="D8" s="106">
        <v>44</v>
      </c>
      <c r="E8" s="106">
        <v>27924.79</v>
      </c>
      <c r="F8" s="106">
        <v>20</v>
      </c>
      <c r="G8" s="106">
        <v>2802.42</v>
      </c>
      <c r="H8" s="106">
        <v>24</v>
      </c>
      <c r="I8" s="106">
        <v>1864.4499999999998</v>
      </c>
      <c r="J8" s="106">
        <v>10</v>
      </c>
      <c r="K8" s="106">
        <v>4900</v>
      </c>
      <c r="L8" s="106">
        <v>127</v>
      </c>
      <c r="M8" s="107">
        <v>225603.76</v>
      </c>
      <c r="N8" s="109"/>
      <c r="O8" s="109"/>
    </row>
    <row r="9" spans="1:26" s="98" customFormat="1" ht="18" customHeight="1">
      <c r="A9" s="104" t="s">
        <v>181</v>
      </c>
      <c r="B9" s="107">
        <v>40</v>
      </c>
      <c r="C9" s="107">
        <v>292428.78000000003</v>
      </c>
      <c r="D9" s="107">
        <v>64</v>
      </c>
      <c r="E9" s="107">
        <v>71403.790000000008</v>
      </c>
      <c r="F9" s="107">
        <v>50</v>
      </c>
      <c r="G9" s="107">
        <v>9645.9500000000007</v>
      </c>
      <c r="H9" s="107">
        <v>19</v>
      </c>
      <c r="I9" s="107">
        <v>16207.8</v>
      </c>
      <c r="J9" s="107">
        <v>2</v>
      </c>
      <c r="K9" s="107">
        <v>275</v>
      </c>
      <c r="L9" s="107">
        <v>175</v>
      </c>
      <c r="M9" s="107">
        <v>389961.32</v>
      </c>
      <c r="N9" s="109"/>
      <c r="O9" s="109"/>
    </row>
    <row r="10" spans="1:26" s="98" customFormat="1" ht="18" customHeight="1">
      <c r="A10" s="104" t="s">
        <v>182</v>
      </c>
      <c r="B10" s="107">
        <v>42</v>
      </c>
      <c r="C10" s="107">
        <v>692405.2</v>
      </c>
      <c r="D10" s="107">
        <v>36</v>
      </c>
      <c r="E10" s="107">
        <v>46270.55</v>
      </c>
      <c r="F10" s="107">
        <v>34</v>
      </c>
      <c r="G10" s="107">
        <v>7188.5</v>
      </c>
      <c r="H10" s="107">
        <v>9</v>
      </c>
      <c r="I10" s="107">
        <v>826.81999999999994</v>
      </c>
      <c r="J10" s="107">
        <v>4</v>
      </c>
      <c r="K10" s="107">
        <v>144</v>
      </c>
      <c r="L10" s="107">
        <v>125</v>
      </c>
      <c r="M10" s="107">
        <v>746835.07</v>
      </c>
      <c r="N10" s="109"/>
      <c r="O10" s="109"/>
    </row>
    <row r="11" spans="1:26" s="98" customFormat="1" ht="15" customHeight="1">
      <c r="A11" s="1283" t="s">
        <v>125</v>
      </c>
      <c r="B11" s="1283"/>
      <c r="C11" s="1283"/>
      <c r="D11" s="1283"/>
      <c r="E11" s="1283"/>
      <c r="F11" s="1283"/>
      <c r="G11" s="1283"/>
      <c r="H11" s="1283"/>
      <c r="I11" s="1283"/>
      <c r="J11" s="1283"/>
      <c r="K11" s="1283"/>
    </row>
    <row r="12" spans="1:26" s="98" customFormat="1" ht="15" customHeight="1">
      <c r="A12" s="119" t="s">
        <v>183</v>
      </c>
      <c r="B12" s="119"/>
      <c r="C12" s="119"/>
      <c r="D12" s="119"/>
      <c r="E12" s="119"/>
      <c r="F12" s="119"/>
      <c r="G12" s="119"/>
      <c r="H12" s="119"/>
      <c r="I12" s="119"/>
      <c r="J12" s="119"/>
      <c r="K12" s="119"/>
    </row>
    <row r="13" spans="1:26" s="360" customFormat="1" ht="15" customHeight="1">
      <c r="A13" s="507" t="s">
        <v>1272</v>
      </c>
      <c r="B13" s="1021"/>
      <c r="C13" s="1021"/>
      <c r="D13" s="1021"/>
      <c r="E13" s="1021"/>
      <c r="F13" s="1021"/>
      <c r="G13" s="1021"/>
      <c r="H13" s="1021"/>
      <c r="I13" s="1021"/>
      <c r="J13" s="1021"/>
      <c r="K13" s="1021"/>
    </row>
    <row r="14" spans="1:26" s="98" customFormat="1" ht="15" customHeight="1">
      <c r="A14" s="492" t="s">
        <v>184</v>
      </c>
      <c r="B14" s="492"/>
      <c r="C14" s="492"/>
      <c r="D14" s="492"/>
      <c r="E14" s="492"/>
      <c r="F14" s="492"/>
    </row>
    <row r="15" spans="1:26" ht="15" customHeight="1">
      <c r="B15" s="492"/>
      <c r="C15" s="492"/>
      <c r="D15" s="492"/>
      <c r="E15" s="492"/>
      <c r="F15" s="492"/>
      <c r="G15" s="110"/>
      <c r="H15" s="110"/>
      <c r="I15" s="110"/>
      <c r="J15" s="110"/>
      <c r="K15" s="110"/>
      <c r="L15" s="110"/>
      <c r="M15" s="110"/>
    </row>
    <row r="16" spans="1:26" ht="15" customHeight="1">
      <c r="L16" s="110"/>
      <c r="M16" s="110"/>
    </row>
    <row r="17" spans="3:13" ht="15" customHeight="1"/>
    <row r="24" spans="3:13">
      <c r="C24" s="120"/>
      <c r="D24" s="120"/>
      <c r="E24" s="120"/>
      <c r="F24" s="120"/>
      <c r="G24" s="120"/>
      <c r="H24" s="120"/>
      <c r="I24" s="120"/>
      <c r="J24" s="120"/>
      <c r="K24" s="120"/>
      <c r="L24" s="120"/>
      <c r="M24" s="120"/>
    </row>
  </sheetData>
  <mergeCells count="10">
    <mergeCell ref="A11:K1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U15"/>
  <sheetViews>
    <sheetView zoomScaleNormal="100" workbookViewId="0">
      <selection sqref="A1:K1"/>
    </sheetView>
  </sheetViews>
  <sheetFormatPr defaultColWidth="9.140625" defaultRowHeight="15"/>
  <cols>
    <col min="1" max="11" width="14.5703125" style="97" bestFit="1" customWidth="1"/>
    <col min="12" max="12" width="5.42578125" style="97" bestFit="1" customWidth="1"/>
    <col min="13" max="16384" width="9.140625" style="97"/>
  </cols>
  <sheetData>
    <row r="1" spans="1:21" ht="19.5" customHeight="1">
      <c r="A1" s="1299" t="s">
        <v>185</v>
      </c>
      <c r="B1" s="1299"/>
      <c r="C1" s="1299"/>
      <c r="D1" s="1299"/>
      <c r="E1" s="1299"/>
      <c r="F1" s="1299"/>
      <c r="G1" s="1299"/>
      <c r="H1" s="1299"/>
      <c r="I1" s="1299"/>
      <c r="J1" s="1299"/>
      <c r="K1" s="1299"/>
    </row>
    <row r="2" spans="1:21" s="98" customFormat="1" ht="18" customHeight="1">
      <c r="A2" s="121" t="s">
        <v>173</v>
      </c>
      <c r="B2" s="1307" t="s">
        <v>186</v>
      </c>
      <c r="C2" s="1308"/>
      <c r="D2" s="1307" t="s">
        <v>187</v>
      </c>
      <c r="E2" s="1308"/>
      <c r="F2" s="1307" t="s">
        <v>188</v>
      </c>
      <c r="G2" s="1308"/>
      <c r="H2" s="1287" t="s">
        <v>189</v>
      </c>
      <c r="I2" s="1288"/>
      <c r="J2" s="1307" t="s">
        <v>190</v>
      </c>
      <c r="K2" s="1308"/>
    </row>
    <row r="3" spans="1:21" s="98" customFormat="1" ht="27" customHeight="1">
      <c r="A3" s="100" t="s">
        <v>180</v>
      </c>
      <c r="B3" s="99" t="s">
        <v>137</v>
      </c>
      <c r="C3" s="99" t="s">
        <v>138</v>
      </c>
      <c r="D3" s="99" t="s">
        <v>137</v>
      </c>
      <c r="E3" s="99" t="s">
        <v>138</v>
      </c>
      <c r="F3" s="99" t="s">
        <v>137</v>
      </c>
      <c r="G3" s="99" t="s">
        <v>138</v>
      </c>
      <c r="H3" s="99" t="s">
        <v>137</v>
      </c>
      <c r="I3" s="99" t="s">
        <v>138</v>
      </c>
      <c r="J3" s="99" t="s">
        <v>137</v>
      </c>
      <c r="K3" s="99" t="s">
        <v>138</v>
      </c>
    </row>
    <row r="4" spans="1:21" s="102" customFormat="1" ht="18" customHeight="1">
      <c r="A4" s="100" t="s">
        <v>67</v>
      </c>
      <c r="B4" s="101">
        <v>460</v>
      </c>
      <c r="C4" s="113">
        <v>269687.23</v>
      </c>
      <c r="D4" s="122">
        <v>251</v>
      </c>
      <c r="E4" s="114">
        <v>107880.65</v>
      </c>
      <c r="F4" s="101">
        <v>7153</v>
      </c>
      <c r="G4" s="123">
        <v>18110492.603</v>
      </c>
      <c r="H4" s="101">
        <v>135</v>
      </c>
      <c r="I4" s="114">
        <v>34838.31</v>
      </c>
      <c r="J4" s="101">
        <v>1041</v>
      </c>
      <c r="K4" s="113">
        <v>454662.93260000006</v>
      </c>
    </row>
    <row r="5" spans="1:21" s="102" customFormat="1" ht="18" customHeight="1">
      <c r="A5" s="115" t="s">
        <v>68</v>
      </c>
      <c r="B5" s="116">
        <f>SUM(B6:B9)</f>
        <v>266</v>
      </c>
      <c r="C5" s="116">
        <f t="shared" ref="C5:J5" si="0">SUM(C6:C9)</f>
        <v>120177.50999999998</v>
      </c>
      <c r="D5" s="116">
        <f t="shared" si="0"/>
        <v>70</v>
      </c>
      <c r="E5" s="116">
        <f t="shared" si="0"/>
        <v>24472.11</v>
      </c>
      <c r="F5" s="116">
        <f t="shared" si="0"/>
        <v>2671</v>
      </c>
      <c r="G5" s="116">
        <f t="shared" si="0"/>
        <v>8792511.5950000007</v>
      </c>
      <c r="H5" s="116">
        <f t="shared" si="0"/>
        <v>58</v>
      </c>
      <c r="I5" s="116">
        <f t="shared" si="0"/>
        <v>18517.46</v>
      </c>
      <c r="J5" s="116">
        <f t="shared" si="0"/>
        <v>465</v>
      </c>
      <c r="K5" s="116">
        <v>846860.17500000005</v>
      </c>
      <c r="L5" s="103"/>
      <c r="M5" s="103"/>
      <c r="N5" s="103"/>
      <c r="O5" s="103"/>
      <c r="P5" s="103"/>
      <c r="Q5" s="103"/>
      <c r="R5" s="103"/>
      <c r="S5" s="103"/>
      <c r="T5" s="103"/>
      <c r="U5" s="103"/>
    </row>
    <row r="6" spans="1:21" s="98" customFormat="1" ht="18" customHeight="1">
      <c r="A6" s="104" t="s">
        <v>121</v>
      </c>
      <c r="B6" s="124">
        <v>17</v>
      </c>
      <c r="C6" s="124">
        <v>6525.88</v>
      </c>
      <c r="D6" s="125">
        <v>16</v>
      </c>
      <c r="E6" s="124">
        <v>4839.68</v>
      </c>
      <c r="F6" s="124">
        <v>563</v>
      </c>
      <c r="G6" s="126">
        <v>1938191.2200000002</v>
      </c>
      <c r="H6" s="124">
        <v>36</v>
      </c>
      <c r="I6" s="124">
        <v>13100</v>
      </c>
      <c r="J6" s="124">
        <v>77</v>
      </c>
      <c r="K6" s="107">
        <v>48942.77</v>
      </c>
    </row>
    <row r="7" spans="1:21" s="98" customFormat="1" ht="18" customHeight="1">
      <c r="A7" s="104" t="s">
        <v>122</v>
      </c>
      <c r="B7" s="124">
        <v>101</v>
      </c>
      <c r="C7" s="124">
        <v>67452.919999999984</v>
      </c>
      <c r="D7" s="125">
        <v>21</v>
      </c>
      <c r="E7" s="124">
        <v>8500.23</v>
      </c>
      <c r="F7" s="124">
        <v>584</v>
      </c>
      <c r="G7" s="126">
        <v>2215716.111</v>
      </c>
      <c r="H7" s="124">
        <v>12</v>
      </c>
      <c r="I7" s="124">
        <v>2298</v>
      </c>
      <c r="J7" s="124">
        <v>96</v>
      </c>
      <c r="K7" s="107">
        <v>41223.199999999997</v>
      </c>
    </row>
    <row r="8" spans="1:21" s="98" customFormat="1" ht="18" customHeight="1">
      <c r="A8" s="104" t="s">
        <v>181</v>
      </c>
      <c r="B8" s="127">
        <v>113</v>
      </c>
      <c r="C8" s="127">
        <v>30889.09</v>
      </c>
      <c r="D8" s="128">
        <v>12</v>
      </c>
      <c r="E8" s="127">
        <v>3333</v>
      </c>
      <c r="F8" s="127">
        <v>878</v>
      </c>
      <c r="G8" s="129">
        <v>2381727.5290000001</v>
      </c>
      <c r="H8" s="127">
        <v>3</v>
      </c>
      <c r="I8" s="127">
        <v>850</v>
      </c>
      <c r="J8" s="127">
        <v>150</v>
      </c>
      <c r="K8" s="107">
        <v>65287.715000000004</v>
      </c>
    </row>
    <row r="9" spans="1:21" s="98" customFormat="1" ht="18" customHeight="1">
      <c r="A9" s="104" t="s">
        <v>182</v>
      </c>
      <c r="B9" s="127">
        <v>35</v>
      </c>
      <c r="C9" s="127">
        <v>15309.619999999999</v>
      </c>
      <c r="D9" s="128">
        <v>21</v>
      </c>
      <c r="E9" s="127">
        <v>7799.2</v>
      </c>
      <c r="F9" s="127">
        <v>646</v>
      </c>
      <c r="G9" s="129">
        <v>2256876.7349999999</v>
      </c>
      <c r="H9" s="127">
        <v>7</v>
      </c>
      <c r="I9" s="127">
        <v>2269.46</v>
      </c>
      <c r="J9" s="127">
        <v>142</v>
      </c>
      <c r="K9" s="107" t="s">
        <v>1059</v>
      </c>
    </row>
    <row r="10" spans="1:21" s="98" customFormat="1" ht="18" customHeight="1">
      <c r="A10" s="1283" t="s">
        <v>191</v>
      </c>
      <c r="B10" s="1283"/>
      <c r="C10" s="1283"/>
      <c r="D10" s="1283"/>
      <c r="E10" s="1283"/>
      <c r="F10" s="1283"/>
      <c r="G10" s="1283"/>
      <c r="H10" s="1283"/>
      <c r="I10" s="1283"/>
      <c r="J10" s="1283"/>
      <c r="K10" s="1283"/>
    </row>
    <row r="11" spans="1:21" s="98" customFormat="1" ht="18" customHeight="1">
      <c r="A11" s="119" t="s">
        <v>183</v>
      </c>
      <c r="B11" s="119"/>
      <c r="C11" s="119"/>
      <c r="D11" s="119"/>
      <c r="E11" s="119"/>
      <c r="F11" s="119"/>
      <c r="G11" s="119"/>
      <c r="H11" s="119"/>
      <c r="I11" s="119"/>
      <c r="J11" s="119"/>
      <c r="K11" s="119"/>
    </row>
    <row r="12" spans="1:21" s="98" customFormat="1" ht="27.75" customHeight="1">
      <c r="A12" s="1309" t="s">
        <v>1060</v>
      </c>
      <c r="B12" s="1309"/>
      <c r="C12" s="1309"/>
      <c r="D12" s="1309"/>
      <c r="E12" s="1309"/>
      <c r="F12" s="1309"/>
      <c r="G12" s="1309"/>
      <c r="H12" s="1309"/>
      <c r="I12" s="1309"/>
      <c r="J12" s="1309"/>
      <c r="K12" s="1309"/>
    </row>
    <row r="13" spans="1:21" s="360" customFormat="1" ht="27.75" customHeight="1">
      <c r="A13" s="507" t="s">
        <v>1272</v>
      </c>
      <c r="B13" s="1022"/>
      <c r="C13" s="1022"/>
      <c r="D13" s="1022"/>
      <c r="E13" s="1022"/>
      <c r="F13" s="1022"/>
      <c r="G13" s="1022"/>
      <c r="H13" s="1022"/>
      <c r="I13" s="1022"/>
      <c r="J13" s="1022"/>
      <c r="K13" s="1022"/>
    </row>
    <row r="14" spans="1:21" s="98" customFormat="1" ht="19.5" customHeight="1">
      <c r="A14" s="1283" t="s">
        <v>184</v>
      </c>
      <c r="B14" s="1283"/>
      <c r="C14" s="1283"/>
      <c r="D14" s="1283"/>
      <c r="E14" s="1283"/>
      <c r="F14" s="1283"/>
      <c r="G14" s="1283"/>
      <c r="H14" s="1283"/>
      <c r="I14" s="1283"/>
      <c r="J14" s="1283"/>
      <c r="K14" s="1283"/>
    </row>
    <row r="15" spans="1:21">
      <c r="B15" s="110"/>
      <c r="C15" s="110"/>
      <c r="D15" s="110"/>
      <c r="E15" s="110"/>
      <c r="F15" s="110"/>
      <c r="G15" s="110"/>
      <c r="H15" s="110"/>
      <c r="I15" s="110"/>
      <c r="J15" s="110"/>
      <c r="K15" s="110"/>
    </row>
  </sheetData>
  <mergeCells count="9">
    <mergeCell ref="A10:K10"/>
    <mergeCell ref="A14:K14"/>
    <mergeCell ref="A1:K1"/>
    <mergeCell ref="B2:C2"/>
    <mergeCell ref="D2:E2"/>
    <mergeCell ref="F2:G2"/>
    <mergeCell ref="H2:I2"/>
    <mergeCell ref="J2:K2"/>
    <mergeCell ref="A12:K1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E11"/>
  <sheetViews>
    <sheetView workbookViewId="0">
      <selection sqref="A1:D1"/>
    </sheetView>
  </sheetViews>
  <sheetFormatPr defaultColWidth="9.140625" defaultRowHeight="15"/>
  <cols>
    <col min="1" max="1" width="17.5703125" style="97" customWidth="1"/>
    <col min="2" max="3" width="14.5703125" style="97" bestFit="1" customWidth="1"/>
    <col min="4" max="4" width="14.5703125" style="97" customWidth="1"/>
    <col min="5" max="5" width="13.5703125" style="97" customWidth="1"/>
    <col min="6" max="6" width="6.85546875" style="97" customWidth="1"/>
    <col min="7" max="16384" width="9.140625" style="97"/>
  </cols>
  <sheetData>
    <row r="1" spans="1:5" ht="31.5" customHeight="1">
      <c r="A1" s="1310" t="s">
        <v>236</v>
      </c>
      <c r="B1" s="1310"/>
      <c r="C1" s="1310"/>
      <c r="D1" s="1310"/>
      <c r="E1" s="517"/>
    </row>
    <row r="2" spans="1:5" s="360" customFormat="1" ht="18" customHeight="1">
      <c r="A2" s="100" t="s">
        <v>237</v>
      </c>
      <c r="B2" s="490" t="s">
        <v>520</v>
      </c>
      <c r="C2" s="491" t="s">
        <v>1165</v>
      </c>
      <c r="D2" s="782" t="s">
        <v>1301</v>
      </c>
    </row>
    <row r="3" spans="1:5" s="360" customFormat="1" ht="18" customHeight="1">
      <c r="A3" s="783" t="s">
        <v>69</v>
      </c>
      <c r="B3" s="784">
        <v>1629038.3499999999</v>
      </c>
      <c r="C3" s="989">
        <v>784509.36</v>
      </c>
      <c r="D3" s="989">
        <v>235148.12</v>
      </c>
      <c r="E3" s="139"/>
    </row>
    <row r="4" spans="1:5" s="360" customFormat="1" ht="18" customHeight="1">
      <c r="A4" s="783" t="s">
        <v>71</v>
      </c>
      <c r="B4" s="784">
        <v>29.338079719999996</v>
      </c>
      <c r="C4" s="989">
        <v>2.0832373</v>
      </c>
      <c r="D4" s="989">
        <v>0.51822155000000003</v>
      </c>
    </row>
    <row r="5" spans="1:5" s="360" customFormat="1" ht="18" customHeight="1">
      <c r="A5" s="783" t="s">
        <v>70</v>
      </c>
      <c r="B5" s="784">
        <v>20103439.399999999</v>
      </c>
      <c r="C5" s="784">
        <v>10554940.15</v>
      </c>
      <c r="D5" s="784">
        <v>3061576.73</v>
      </c>
    </row>
    <row r="6" spans="1:5" s="360" customFormat="1">
      <c r="A6" s="521"/>
      <c r="B6" s="362"/>
      <c r="C6" s="362"/>
      <c r="D6" s="362"/>
    </row>
    <row r="7" spans="1:5" s="360" customFormat="1">
      <c r="A7" s="140" t="s">
        <v>238</v>
      </c>
      <c r="B7" s="516"/>
      <c r="C7" s="516"/>
      <c r="D7" s="516"/>
    </row>
    <row r="8" spans="1:5" s="360" customFormat="1">
      <c r="A8" s="484" t="str">
        <f>"$ indicates as on "&amp;TEXT('1'!$C$2,"mmmm dd, yyyy")</f>
        <v>$ indicates as on July 31, 2024</v>
      </c>
      <c r="B8" s="1021"/>
      <c r="C8" s="1021"/>
      <c r="D8" s="1021"/>
    </row>
    <row r="9" spans="1:5" s="360" customFormat="1">
      <c r="A9" s="516" t="s">
        <v>167</v>
      </c>
      <c r="B9" s="516"/>
      <c r="C9" s="516"/>
      <c r="D9" s="516"/>
    </row>
    <row r="10" spans="1:5" s="360" customFormat="1">
      <c r="B10" s="97"/>
      <c r="C10" s="97"/>
      <c r="D10" s="97"/>
    </row>
    <row r="11" spans="1:5" ht="28.35" customHeight="1"/>
  </sheetData>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R22"/>
  <sheetViews>
    <sheetView topLeftCell="F1" workbookViewId="0">
      <selection activeCell="Q9" sqref="Q9"/>
    </sheetView>
  </sheetViews>
  <sheetFormatPr defaultColWidth="9.140625" defaultRowHeight="15"/>
  <cols>
    <col min="1" max="12" width="14.5703125" style="97" bestFit="1" customWidth="1"/>
    <col min="13" max="13" width="14" style="97" bestFit="1" customWidth="1"/>
    <col min="14" max="16" width="14.5703125" style="97" bestFit="1" customWidth="1"/>
    <col min="17" max="17" width="13" style="97" customWidth="1"/>
    <col min="18" max="16384" width="9.140625" style="97"/>
  </cols>
  <sheetData>
    <row r="1" spans="1:18" ht="18.75" customHeight="1">
      <c r="A1" s="251" t="s">
        <v>239</v>
      </c>
      <c r="B1" s="251"/>
      <c r="C1" s="251"/>
      <c r="D1" s="251"/>
      <c r="E1" s="251"/>
      <c r="F1" s="251"/>
      <c r="G1" s="251"/>
      <c r="H1" s="251"/>
      <c r="I1" s="251"/>
      <c r="J1" s="251"/>
      <c r="K1" s="251"/>
      <c r="L1" s="251"/>
      <c r="M1" s="251"/>
      <c r="N1" s="251"/>
      <c r="O1" s="251"/>
      <c r="P1" s="251"/>
    </row>
    <row r="2" spans="1:18" s="360" customFormat="1" ht="18" customHeight="1">
      <c r="A2" s="1311" t="s">
        <v>112</v>
      </c>
      <c r="B2" s="1316" t="s">
        <v>240</v>
      </c>
      <c r="C2" s="1316" t="s">
        <v>241</v>
      </c>
      <c r="D2" s="1316" t="s">
        <v>242</v>
      </c>
      <c r="E2" s="1311" t="s">
        <v>243</v>
      </c>
      <c r="F2" s="1311" t="s">
        <v>244</v>
      </c>
      <c r="G2" s="1311" t="s">
        <v>245</v>
      </c>
      <c r="H2" s="1311" t="s">
        <v>246</v>
      </c>
      <c r="I2" s="1311" t="s">
        <v>247</v>
      </c>
      <c r="J2" s="1311" t="s">
        <v>248</v>
      </c>
      <c r="K2" s="1311" t="s">
        <v>249</v>
      </c>
      <c r="L2" s="1311" t="s">
        <v>250</v>
      </c>
      <c r="M2" s="1311" t="s">
        <v>251</v>
      </c>
      <c r="N2" s="1313" t="s">
        <v>252</v>
      </c>
      <c r="O2" s="1314"/>
      <c r="P2" s="1315"/>
    </row>
    <row r="3" spans="1:18" s="360" customFormat="1" ht="21.75" customHeight="1">
      <c r="A3" s="1312"/>
      <c r="B3" s="1317"/>
      <c r="C3" s="1317"/>
      <c r="D3" s="1317"/>
      <c r="E3" s="1312"/>
      <c r="F3" s="1312"/>
      <c r="G3" s="1312"/>
      <c r="H3" s="1312"/>
      <c r="I3" s="1312"/>
      <c r="J3" s="1312"/>
      <c r="K3" s="1312"/>
      <c r="L3" s="1312"/>
      <c r="M3" s="1312"/>
      <c r="N3" s="785" t="s">
        <v>253</v>
      </c>
      <c r="O3" s="785" t="s">
        <v>254</v>
      </c>
      <c r="P3" s="785" t="s">
        <v>255</v>
      </c>
    </row>
    <row r="4" spans="1:18" s="102" customFormat="1" ht="18" customHeight="1">
      <c r="A4" s="490" t="s">
        <v>520</v>
      </c>
      <c r="B4" s="101">
        <v>5252</v>
      </c>
      <c r="C4" s="101">
        <v>25</v>
      </c>
      <c r="D4" s="101">
        <v>4295</v>
      </c>
      <c r="E4" s="122">
        <v>246</v>
      </c>
      <c r="F4" s="101">
        <v>8263.4500000000007</v>
      </c>
      <c r="G4" s="113">
        <v>2120712.34</v>
      </c>
      <c r="H4" s="113">
        <v>1629038.3499999999</v>
      </c>
      <c r="I4" s="101">
        <v>6622.1071138211373</v>
      </c>
      <c r="J4" s="101">
        <v>19713.77995873394</v>
      </c>
      <c r="K4" s="113">
        <v>2120712.34</v>
      </c>
      <c r="L4" s="113">
        <v>1629038.25</v>
      </c>
      <c r="M4" s="123">
        <v>38697099.770000003</v>
      </c>
      <c r="N4" s="101">
        <v>74245.17</v>
      </c>
      <c r="O4" s="101">
        <v>58793.08</v>
      </c>
      <c r="P4" s="101">
        <v>73651.350000000006</v>
      </c>
    </row>
    <row r="5" spans="1:18" s="102" customFormat="1" ht="18" customHeight="1">
      <c r="A5" s="491" t="s">
        <v>1165</v>
      </c>
      <c r="B5" s="786">
        <f>INDEX(B6:B17,COUNT(B6:B17))</f>
        <v>5307</v>
      </c>
      <c r="C5" s="786">
        <f>INDEX(C6:C17,COUNT(C6:C17))</f>
        <v>26</v>
      </c>
      <c r="D5" s="786">
        <v>4265</v>
      </c>
      <c r="E5" s="786">
        <f>SUM(E6:E17)</f>
        <v>83</v>
      </c>
      <c r="F5" s="786">
        <f>SUM(F6:F17)</f>
        <v>3928.1900000000005</v>
      </c>
      <c r="G5" s="786">
        <f>SUM(G6:G17)</f>
        <v>808654.08000000007</v>
      </c>
      <c r="H5" s="786">
        <f>SUM(H6:H17)</f>
        <v>784509.36</v>
      </c>
      <c r="I5" s="252">
        <f>H5/E5</f>
        <v>9451.92</v>
      </c>
      <c r="J5" s="786">
        <f>H5/F5*100</f>
        <v>19971.268192220843</v>
      </c>
      <c r="K5" s="786">
        <f>SUM(K6:K17)</f>
        <v>808654.08000000007</v>
      </c>
      <c r="L5" s="786">
        <f>SUM(L6:L17)</f>
        <v>784509.32</v>
      </c>
      <c r="M5" s="786">
        <f>INDEX(M6:M17,COUNT(M6:M17))</f>
        <v>46238008.350000001</v>
      </c>
      <c r="N5" s="786">
        <f>MAX(N6:N17)</f>
        <v>81908.429999999993</v>
      </c>
      <c r="O5" s="786">
        <f>MIN(O6:O17)</f>
        <v>70234.429999999993</v>
      </c>
      <c r="P5" s="786">
        <f>INDEX(P6:P17,COUNT(P6:P17))</f>
        <v>81741.34</v>
      </c>
    </row>
    <row r="6" spans="1:18" s="360" customFormat="1" ht="18" customHeight="1">
      <c r="A6" s="179">
        <v>45383</v>
      </c>
      <c r="B6" s="358">
        <v>5264</v>
      </c>
      <c r="C6" s="358">
        <v>26</v>
      </c>
      <c r="D6" s="358">
        <v>4153</v>
      </c>
      <c r="E6" s="346">
        <v>20</v>
      </c>
      <c r="F6" s="358">
        <v>766.49</v>
      </c>
      <c r="G6" s="358">
        <v>188397.56</v>
      </c>
      <c r="H6" s="358">
        <v>152767.43</v>
      </c>
      <c r="I6" s="358">
        <v>7638.3714999999993</v>
      </c>
      <c r="J6" s="358">
        <v>19930.779266526635</v>
      </c>
      <c r="K6" s="358">
        <v>188397.56</v>
      </c>
      <c r="L6" s="358">
        <v>152767.43</v>
      </c>
      <c r="M6" s="347">
        <v>40655851.939999998</v>
      </c>
      <c r="N6" s="358">
        <v>75111.39</v>
      </c>
      <c r="O6" s="358">
        <v>74346.399999999994</v>
      </c>
      <c r="P6" s="358">
        <v>74482.78</v>
      </c>
      <c r="Q6" s="109"/>
    </row>
    <row r="7" spans="1:18" s="360" customFormat="1" ht="18" customHeight="1">
      <c r="A7" s="179">
        <v>45413</v>
      </c>
      <c r="B7" s="358">
        <v>5274</v>
      </c>
      <c r="C7" s="358">
        <v>26</v>
      </c>
      <c r="D7" s="358">
        <v>4170</v>
      </c>
      <c r="E7" s="346">
        <v>22</v>
      </c>
      <c r="F7" s="358">
        <v>871.14</v>
      </c>
      <c r="G7" s="358">
        <v>176258.29000000004</v>
      </c>
      <c r="H7" s="358">
        <v>169592.24000000002</v>
      </c>
      <c r="I7" s="358">
        <v>7708.738181818183</v>
      </c>
      <c r="J7" s="358">
        <v>19467.851321257207</v>
      </c>
      <c r="K7" s="358">
        <v>176258.29000000004</v>
      </c>
      <c r="L7" s="358">
        <v>169592.23</v>
      </c>
      <c r="M7" s="347">
        <v>41212881.140000001</v>
      </c>
      <c r="N7" s="358">
        <v>76009.679999999993</v>
      </c>
      <c r="O7" s="358">
        <v>71866.009999999995</v>
      </c>
      <c r="P7" s="358">
        <v>73961.31</v>
      </c>
      <c r="Q7" s="109"/>
    </row>
    <row r="8" spans="1:18" s="360" customFormat="1" ht="18" customHeight="1">
      <c r="A8" s="179">
        <v>45444</v>
      </c>
      <c r="B8" s="358">
        <v>5293</v>
      </c>
      <c r="C8" s="358">
        <v>26</v>
      </c>
      <c r="D8" s="358">
        <v>4200</v>
      </c>
      <c r="E8" s="346">
        <v>19</v>
      </c>
      <c r="F8" s="358">
        <v>1080.27</v>
      </c>
      <c r="G8" s="358">
        <v>201460.99999999997</v>
      </c>
      <c r="H8" s="358">
        <v>227001.57</v>
      </c>
      <c r="I8" s="358">
        <f>H8/E8</f>
        <v>11947.451052631579</v>
      </c>
      <c r="J8" s="358">
        <f>100*H8/F8</f>
        <v>21013.410536254825</v>
      </c>
      <c r="K8" s="358">
        <v>201460.99999999997</v>
      </c>
      <c r="L8" s="358">
        <v>227001.56</v>
      </c>
      <c r="M8" s="347">
        <v>43924743.630000003</v>
      </c>
      <c r="N8" s="358">
        <v>79671.58</v>
      </c>
      <c r="O8" s="358">
        <v>70234.429999999993</v>
      </c>
      <c r="P8" s="358">
        <v>79032.73</v>
      </c>
      <c r="R8" s="488"/>
    </row>
    <row r="9" spans="1:18" s="360" customFormat="1" ht="18" customHeight="1">
      <c r="A9" s="179">
        <v>45474</v>
      </c>
      <c r="B9" s="358">
        <v>5307</v>
      </c>
      <c r="C9" s="358">
        <v>26</v>
      </c>
      <c r="D9" s="358">
        <v>4208</v>
      </c>
      <c r="E9" s="358">
        <v>22</v>
      </c>
      <c r="F9" s="358">
        <v>1210.2900000000004</v>
      </c>
      <c r="G9" s="358">
        <v>242537.23000000004</v>
      </c>
      <c r="H9" s="358">
        <v>235148.12</v>
      </c>
      <c r="I9" s="358">
        <v>10688.550909090909</v>
      </c>
      <c r="J9" s="358">
        <v>19429.07237108461</v>
      </c>
      <c r="K9" s="358">
        <v>242537.23000000004</v>
      </c>
      <c r="L9" s="358">
        <v>235148.1</v>
      </c>
      <c r="M9" s="358">
        <v>46238008.350000001</v>
      </c>
      <c r="N9" s="358">
        <v>81908.429999999993</v>
      </c>
      <c r="O9" s="358">
        <v>78971.789999999994</v>
      </c>
      <c r="P9" s="358">
        <v>81741.34</v>
      </c>
      <c r="Q9" s="1173"/>
    </row>
    <row r="10" spans="1:18" s="360" customFormat="1" ht="18" customHeight="1">
      <c r="A10" s="179">
        <v>45505</v>
      </c>
      <c r="B10" s="358"/>
      <c r="C10" s="358"/>
      <c r="D10" s="358"/>
      <c r="E10" s="346"/>
      <c r="F10" s="358"/>
      <c r="G10" s="358"/>
      <c r="H10" s="358"/>
      <c r="I10" s="358"/>
      <c r="J10" s="358"/>
      <c r="K10" s="358"/>
      <c r="L10" s="358"/>
      <c r="M10" s="347"/>
      <c r="N10" s="358"/>
      <c r="O10" s="358"/>
      <c r="P10" s="358"/>
    </row>
    <row r="11" spans="1:18" s="360" customFormat="1" ht="19.5" customHeight="1">
      <c r="A11" s="179">
        <v>45536</v>
      </c>
      <c r="B11" s="358"/>
      <c r="C11" s="358"/>
      <c r="D11" s="358"/>
      <c r="E11" s="346"/>
      <c r="F11" s="358"/>
      <c r="G11" s="358"/>
      <c r="H11" s="358"/>
      <c r="I11" s="358"/>
      <c r="J11" s="358"/>
      <c r="K11" s="358"/>
      <c r="L11" s="358"/>
      <c r="M11" s="347"/>
      <c r="N11" s="358"/>
      <c r="O11" s="358"/>
      <c r="P11" s="358"/>
    </row>
    <row r="12" spans="1:18" s="360" customFormat="1" ht="19.5" customHeight="1">
      <c r="A12" s="179">
        <v>45566</v>
      </c>
      <c r="B12" s="358"/>
      <c r="C12" s="358"/>
      <c r="D12" s="358"/>
      <c r="E12" s="346"/>
      <c r="F12" s="358"/>
      <c r="G12" s="358"/>
      <c r="H12" s="358"/>
      <c r="I12" s="358"/>
      <c r="J12" s="358"/>
      <c r="K12" s="358"/>
      <c r="L12" s="358"/>
      <c r="M12" s="347"/>
      <c r="N12" s="358"/>
      <c r="O12" s="358"/>
      <c r="P12" s="358"/>
    </row>
    <row r="13" spans="1:18" s="360" customFormat="1" ht="19.5" customHeight="1">
      <c r="A13" s="179">
        <v>45597</v>
      </c>
      <c r="B13" s="358"/>
      <c r="C13" s="358"/>
      <c r="D13" s="358"/>
      <c r="E13" s="346"/>
      <c r="F13" s="358"/>
      <c r="G13" s="358"/>
      <c r="H13" s="358"/>
      <c r="I13" s="358"/>
      <c r="J13" s="358"/>
      <c r="K13" s="358"/>
      <c r="L13" s="358"/>
      <c r="M13" s="347"/>
      <c r="N13" s="358"/>
      <c r="O13" s="358"/>
      <c r="P13" s="358"/>
    </row>
    <row r="14" spans="1:18" s="360" customFormat="1" ht="18" customHeight="1">
      <c r="A14" s="179">
        <v>45627</v>
      </c>
      <c r="B14" s="358"/>
      <c r="C14" s="358"/>
      <c r="D14" s="358"/>
      <c r="E14" s="346"/>
      <c r="F14" s="358"/>
      <c r="G14" s="358"/>
      <c r="H14" s="358"/>
      <c r="I14" s="358"/>
      <c r="J14" s="358"/>
      <c r="K14" s="358"/>
      <c r="L14" s="358"/>
      <c r="M14" s="347"/>
      <c r="N14" s="358"/>
      <c r="O14" s="358"/>
      <c r="P14" s="358"/>
    </row>
    <row r="15" spans="1:18" s="360" customFormat="1">
      <c r="A15" s="179">
        <v>45658</v>
      </c>
      <c r="B15" s="358"/>
      <c r="C15" s="358"/>
      <c r="D15" s="358"/>
      <c r="E15" s="346"/>
      <c r="F15" s="358"/>
      <c r="G15" s="358"/>
      <c r="H15" s="358"/>
      <c r="I15" s="358"/>
      <c r="J15" s="358"/>
      <c r="K15" s="358"/>
      <c r="L15" s="358"/>
      <c r="M15" s="347"/>
      <c r="N15" s="358"/>
      <c r="O15" s="358"/>
      <c r="P15" s="358"/>
    </row>
    <row r="16" spans="1:18" s="360" customFormat="1">
      <c r="A16" s="179">
        <v>45689</v>
      </c>
      <c r="B16" s="358"/>
      <c r="C16" s="358"/>
      <c r="D16" s="358"/>
      <c r="E16" s="346"/>
      <c r="F16" s="358"/>
      <c r="G16" s="358"/>
      <c r="H16" s="358"/>
      <c r="I16" s="358"/>
      <c r="J16" s="358"/>
      <c r="K16" s="358"/>
      <c r="L16" s="358"/>
      <c r="M16" s="347"/>
      <c r="N16" s="358"/>
      <c r="O16" s="358"/>
      <c r="P16" s="358"/>
    </row>
    <row r="17" spans="1:16" s="360" customFormat="1">
      <c r="A17" s="179">
        <v>45717</v>
      </c>
      <c r="B17" s="358"/>
      <c r="C17" s="358"/>
      <c r="D17" s="358"/>
      <c r="E17" s="346"/>
      <c r="F17" s="358"/>
      <c r="G17" s="358"/>
      <c r="H17" s="358"/>
      <c r="I17" s="358"/>
      <c r="J17" s="358"/>
      <c r="K17" s="358"/>
      <c r="L17" s="358"/>
      <c r="M17" s="347"/>
      <c r="N17" s="358"/>
      <c r="O17" s="358"/>
      <c r="P17" s="358"/>
    </row>
    <row r="18" spans="1:16" s="360" customFormat="1">
      <c r="A18" s="136"/>
      <c r="B18" s="362"/>
      <c r="C18" s="362"/>
      <c r="D18" s="362"/>
      <c r="E18" s="362"/>
      <c r="F18" s="362"/>
      <c r="G18" s="362"/>
      <c r="H18" s="362"/>
      <c r="I18" s="362"/>
      <c r="J18" s="362"/>
      <c r="K18" s="362"/>
      <c r="L18" s="362"/>
      <c r="M18" s="362"/>
      <c r="N18" s="362"/>
      <c r="O18" s="362"/>
      <c r="P18" s="362"/>
    </row>
    <row r="19" spans="1:16" s="360" customFormat="1">
      <c r="A19" s="141" t="s">
        <v>256</v>
      </c>
      <c r="B19" s="516"/>
      <c r="C19" s="516"/>
      <c r="D19" s="516"/>
      <c r="E19" s="516"/>
      <c r="F19" s="516"/>
      <c r="G19" s="362"/>
      <c r="H19" s="1027"/>
      <c r="O19" s="109"/>
    </row>
    <row r="20" spans="1:16" s="360" customFormat="1">
      <c r="A20" s="140" t="s">
        <v>257</v>
      </c>
      <c r="B20" s="516"/>
      <c r="C20" s="516"/>
      <c r="D20" s="516"/>
      <c r="E20" s="516"/>
      <c r="F20" s="516"/>
      <c r="G20" s="516"/>
      <c r="H20" s="516"/>
      <c r="O20" s="109"/>
    </row>
    <row r="21" spans="1:16" s="360" customFormat="1">
      <c r="A21" s="1283" t="s">
        <v>258</v>
      </c>
      <c r="B21" s="1283"/>
      <c r="C21" s="1283"/>
      <c r="D21" s="1283"/>
      <c r="E21" s="1283"/>
      <c r="F21" s="1283"/>
      <c r="G21" s="1283"/>
      <c r="H21" s="1283"/>
    </row>
    <row r="22" spans="1:16" s="360" customFormat="1">
      <c r="A22" s="484" t="str">
        <f>"$ indicates as on "&amp;TEXT('1'!$C$2,"mmmm dd, yyyy")</f>
        <v>$ indicates as on July 31, 2024</v>
      </c>
      <c r="B22" s="97"/>
      <c r="C22" s="97"/>
      <c r="D22" s="97"/>
      <c r="E22" s="97"/>
      <c r="F22" s="97"/>
      <c r="G22" s="97"/>
      <c r="H22" s="97"/>
    </row>
  </sheetData>
  <mergeCells count="15">
    <mergeCell ref="M2:M3"/>
    <mergeCell ref="N2:P2"/>
    <mergeCell ref="A21:H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Q29"/>
  <sheetViews>
    <sheetView topLeftCell="E1" workbookViewId="0">
      <selection activeCell="I10" sqref="I10"/>
    </sheetView>
  </sheetViews>
  <sheetFormatPr defaultColWidth="9.140625" defaultRowHeight="15"/>
  <cols>
    <col min="1" max="16" width="14.5703125" style="97" bestFit="1" customWidth="1"/>
    <col min="17" max="17" width="7.85546875" style="97" customWidth="1"/>
    <col min="18" max="16384" width="9.140625" style="97"/>
  </cols>
  <sheetData>
    <row r="1" spans="1:17">
      <c r="A1" s="251" t="s">
        <v>259</v>
      </c>
      <c r="B1" s="251"/>
      <c r="C1" s="251"/>
      <c r="D1" s="251"/>
      <c r="E1" s="251"/>
      <c r="F1" s="251"/>
      <c r="G1" s="251"/>
      <c r="H1" s="251"/>
      <c r="I1" s="251"/>
      <c r="J1" s="251"/>
      <c r="K1" s="251"/>
      <c r="L1" s="251"/>
      <c r="M1" s="251"/>
      <c r="N1" s="251"/>
      <c r="O1" s="251"/>
      <c r="P1" s="251"/>
    </row>
    <row r="2" spans="1:17" s="360" customFormat="1">
      <c r="A2" s="1311" t="s">
        <v>112</v>
      </c>
      <c r="B2" s="1316" t="s">
        <v>240</v>
      </c>
      <c r="C2" s="1316" t="s">
        <v>241</v>
      </c>
      <c r="D2" s="1316" t="s">
        <v>260</v>
      </c>
      <c r="E2" s="1311" t="s">
        <v>243</v>
      </c>
      <c r="F2" s="1311" t="s">
        <v>244</v>
      </c>
      <c r="G2" s="1311" t="s">
        <v>245</v>
      </c>
      <c r="H2" s="1311" t="s">
        <v>261</v>
      </c>
      <c r="I2" s="1311" t="s">
        <v>247</v>
      </c>
      <c r="J2" s="1311" t="s">
        <v>248</v>
      </c>
      <c r="K2" s="1311" t="s">
        <v>249</v>
      </c>
      <c r="L2" s="1311" t="s">
        <v>262</v>
      </c>
      <c r="M2" s="1311" t="s">
        <v>251</v>
      </c>
      <c r="N2" s="1313" t="s">
        <v>263</v>
      </c>
      <c r="O2" s="1314"/>
      <c r="P2" s="1315"/>
    </row>
    <row r="3" spans="1:17" s="360" customFormat="1" ht="30.75" customHeight="1">
      <c r="A3" s="1312"/>
      <c r="B3" s="1317"/>
      <c r="C3" s="1317"/>
      <c r="D3" s="1317"/>
      <c r="E3" s="1312"/>
      <c r="F3" s="1312"/>
      <c r="G3" s="1312"/>
      <c r="H3" s="1312"/>
      <c r="I3" s="1312"/>
      <c r="J3" s="1312"/>
      <c r="K3" s="1312"/>
      <c r="L3" s="1312"/>
      <c r="M3" s="1312"/>
      <c r="N3" s="785" t="s">
        <v>253</v>
      </c>
      <c r="O3" s="785" t="s">
        <v>254</v>
      </c>
      <c r="P3" s="785" t="s">
        <v>255</v>
      </c>
    </row>
    <row r="4" spans="1:17" s="102" customFormat="1">
      <c r="A4" s="490" t="s">
        <v>520</v>
      </c>
      <c r="B4" s="101">
        <v>2439</v>
      </c>
      <c r="C4" s="101">
        <v>3</v>
      </c>
      <c r="D4" s="101">
        <v>2985</v>
      </c>
      <c r="E4" s="122">
        <v>246</v>
      </c>
      <c r="F4" s="101">
        <v>68124.680000000008</v>
      </c>
      <c r="G4" s="113">
        <v>10179860.869999999</v>
      </c>
      <c r="H4" s="787">
        <v>20103439.399999999</v>
      </c>
      <c r="I4" s="101">
        <v>81721.298373983736</v>
      </c>
      <c r="J4" s="101">
        <v>29509.774431234018</v>
      </c>
      <c r="K4" s="113">
        <v>10179860.869999999</v>
      </c>
      <c r="L4" s="113">
        <v>20103439.399999999</v>
      </c>
      <c r="M4" s="123">
        <v>38421667.5427958</v>
      </c>
      <c r="N4" s="101">
        <v>22526.6</v>
      </c>
      <c r="O4" s="101">
        <v>17312.75</v>
      </c>
      <c r="P4" s="101">
        <v>22326.9</v>
      </c>
    </row>
    <row r="5" spans="1:17" s="102" customFormat="1">
      <c r="A5" s="491" t="s">
        <v>1165</v>
      </c>
      <c r="B5" s="786">
        <f>INDEX(B6:B17,COUNT(B6:B17))</f>
        <v>2529</v>
      </c>
      <c r="C5" s="786">
        <f>INDEX(C6:C17,COUNT(C6:C17))</f>
        <v>3</v>
      </c>
      <c r="D5" s="358">
        <v>3294</v>
      </c>
      <c r="E5" s="786">
        <f>SUM(E6:E17)</f>
        <v>83</v>
      </c>
      <c r="F5" s="786">
        <f>SUM(F6:F17)</f>
        <v>33050.75</v>
      </c>
      <c r="G5" s="786">
        <f>SUM(G6:G17)</f>
        <v>4258187.4400000004</v>
      </c>
      <c r="H5" s="786">
        <f>SUM(H6:H17)</f>
        <v>10554940.140000001</v>
      </c>
      <c r="I5" s="252">
        <f>H5/E5</f>
        <v>127167.95349397592</v>
      </c>
      <c r="J5" s="786">
        <f>H5/F5*100</f>
        <v>31935.55407971075</v>
      </c>
      <c r="K5" s="786">
        <f>SUM(K6:K17)</f>
        <v>4258187.4400000004</v>
      </c>
      <c r="L5" s="786">
        <f>SUM(L6:L17)</f>
        <v>10554940.140000001</v>
      </c>
      <c r="M5" s="786">
        <f>INDEX(M6:M17,COUNT(M6:M17))</f>
        <v>45865877.613030799</v>
      </c>
      <c r="N5" s="786">
        <f>MAX(N6:N17)</f>
        <v>24999</v>
      </c>
      <c r="O5" s="786">
        <f>MIN(O6:O17)</f>
        <v>21281.45</v>
      </c>
      <c r="P5" s="786">
        <f>INDEX(P6:P17,COUNT(P6:P17))</f>
        <v>24951</v>
      </c>
    </row>
    <row r="6" spans="1:17" s="360" customFormat="1">
      <c r="A6" s="179">
        <v>45383</v>
      </c>
      <c r="B6" s="358">
        <v>2464</v>
      </c>
      <c r="C6" s="358">
        <v>3</v>
      </c>
      <c r="D6" s="358">
        <v>2625</v>
      </c>
      <c r="E6" s="346">
        <v>20</v>
      </c>
      <c r="F6" s="358">
        <v>6810.19</v>
      </c>
      <c r="G6" s="358">
        <v>990584.38</v>
      </c>
      <c r="H6" s="358">
        <v>2120195.52</v>
      </c>
      <c r="I6" s="358">
        <v>106009.78</v>
      </c>
      <c r="J6" s="358">
        <v>31132.69</v>
      </c>
      <c r="K6" s="358">
        <v>990584.38</v>
      </c>
      <c r="L6" s="358">
        <v>2120195.52</v>
      </c>
      <c r="M6" s="347">
        <v>40304405.9649911</v>
      </c>
      <c r="N6" s="358">
        <v>22526.6</v>
      </c>
      <c r="O6" s="358">
        <v>21710.2</v>
      </c>
      <c r="P6" s="358">
        <v>22604.85</v>
      </c>
    </row>
    <row r="7" spans="1:17" s="360" customFormat="1">
      <c r="A7" s="179">
        <v>45413</v>
      </c>
      <c r="B7" s="358">
        <v>2482</v>
      </c>
      <c r="C7" s="358">
        <v>3</v>
      </c>
      <c r="D7" s="358">
        <v>2995</v>
      </c>
      <c r="E7" s="346">
        <v>22</v>
      </c>
      <c r="F7" s="358">
        <v>7680.33</v>
      </c>
      <c r="G7" s="358">
        <v>924888.14</v>
      </c>
      <c r="H7" s="358">
        <v>2467941.4300000002</v>
      </c>
      <c r="I7" s="358">
        <v>112179.16</v>
      </c>
      <c r="J7" s="358">
        <v>32133.27</v>
      </c>
      <c r="K7" s="358">
        <v>924888.14</v>
      </c>
      <c r="L7" s="358">
        <v>2467941.4300000002</v>
      </c>
      <c r="M7" s="347">
        <v>40880529.739361502</v>
      </c>
      <c r="N7" s="358">
        <v>23110.799999999999</v>
      </c>
      <c r="O7" s="358">
        <v>21821.05</v>
      </c>
      <c r="P7" s="358">
        <v>22530.7</v>
      </c>
    </row>
    <row r="8" spans="1:17" s="360" customFormat="1">
      <c r="A8" s="179">
        <v>45444</v>
      </c>
      <c r="B8" s="358">
        <v>2499</v>
      </c>
      <c r="C8" s="358">
        <v>3</v>
      </c>
      <c r="D8" s="358">
        <v>2998</v>
      </c>
      <c r="E8" s="346">
        <v>19</v>
      </c>
      <c r="F8" s="358">
        <v>8709.81</v>
      </c>
      <c r="G8" s="358">
        <v>1157608.3700000001</v>
      </c>
      <c r="H8" s="358">
        <v>2905226.46</v>
      </c>
      <c r="I8" s="358">
        <v>152906.66</v>
      </c>
      <c r="J8" s="358">
        <v>33355.800000000003</v>
      </c>
      <c r="K8" s="358">
        <v>1157608.3700000001</v>
      </c>
      <c r="L8" s="358">
        <v>2905226.46</v>
      </c>
      <c r="M8" s="347">
        <v>43573919.231727503</v>
      </c>
      <c r="N8" s="358">
        <v>24174</v>
      </c>
      <c r="O8" s="358">
        <v>21281.45</v>
      </c>
      <c r="P8" s="358">
        <v>24010.6</v>
      </c>
    </row>
    <row r="9" spans="1:17" s="360" customFormat="1">
      <c r="A9" s="179">
        <v>45474</v>
      </c>
      <c r="B9" s="358">
        <v>2529</v>
      </c>
      <c r="C9" s="358">
        <v>3</v>
      </c>
      <c r="D9" s="358">
        <v>3093</v>
      </c>
      <c r="E9" s="358">
        <v>22</v>
      </c>
      <c r="F9" s="358">
        <v>9850.42</v>
      </c>
      <c r="G9" s="358">
        <v>1185106.55</v>
      </c>
      <c r="H9" s="358">
        <v>3061576.73</v>
      </c>
      <c r="I9" s="358">
        <v>139162.57999999999</v>
      </c>
      <c r="J9" s="358">
        <v>31080.67</v>
      </c>
      <c r="K9" s="358">
        <v>1185106.55</v>
      </c>
      <c r="L9" s="358">
        <v>3061576.73</v>
      </c>
      <c r="M9" s="358">
        <v>45865877.613030799</v>
      </c>
      <c r="N9" s="358">
        <v>24999</v>
      </c>
      <c r="O9" s="358">
        <v>23992</v>
      </c>
      <c r="P9" s="358">
        <v>24951</v>
      </c>
      <c r="Q9" s="1173"/>
    </row>
    <row r="10" spans="1:17" s="360" customFormat="1">
      <c r="A10" s="179">
        <v>45505</v>
      </c>
      <c r="B10" s="358"/>
      <c r="C10" s="358"/>
      <c r="D10" s="358"/>
      <c r="E10" s="346"/>
      <c r="F10" s="358"/>
      <c r="G10" s="358"/>
      <c r="H10" s="358"/>
      <c r="I10" s="358"/>
      <c r="J10" s="358"/>
      <c r="K10" s="358"/>
      <c r="L10" s="358"/>
      <c r="M10" s="347"/>
      <c r="N10" s="358"/>
      <c r="O10" s="358"/>
      <c r="P10" s="358"/>
    </row>
    <row r="11" spans="1:17" s="360" customFormat="1">
      <c r="A11" s="179">
        <v>45536</v>
      </c>
      <c r="B11" s="358"/>
      <c r="C11" s="358"/>
      <c r="D11" s="358"/>
      <c r="E11" s="346"/>
      <c r="F11" s="358"/>
      <c r="G11" s="358"/>
      <c r="H11" s="358"/>
      <c r="I11" s="358"/>
      <c r="J11" s="358"/>
      <c r="K11" s="358"/>
      <c r="L11" s="358"/>
      <c r="M11" s="347"/>
      <c r="N11" s="358"/>
      <c r="O11" s="358"/>
      <c r="P11" s="358"/>
    </row>
    <row r="12" spans="1:17" s="360" customFormat="1">
      <c r="A12" s="179">
        <v>45566</v>
      </c>
      <c r="B12" s="358"/>
      <c r="C12" s="358"/>
      <c r="D12" s="358"/>
      <c r="E12" s="346"/>
      <c r="F12" s="358"/>
      <c r="G12" s="358"/>
      <c r="H12" s="358"/>
      <c r="I12" s="358"/>
      <c r="J12" s="358"/>
      <c r="K12" s="358"/>
      <c r="L12" s="358"/>
      <c r="M12" s="347"/>
      <c r="N12" s="358"/>
      <c r="O12" s="358"/>
      <c r="P12" s="358"/>
    </row>
    <row r="13" spans="1:17" s="360" customFormat="1">
      <c r="A13" s="179">
        <v>45597</v>
      </c>
      <c r="B13" s="358"/>
      <c r="C13" s="358"/>
      <c r="D13" s="358"/>
      <c r="E13" s="346"/>
      <c r="F13" s="358"/>
      <c r="G13" s="358"/>
      <c r="H13" s="358"/>
      <c r="I13" s="358"/>
      <c r="J13" s="358"/>
      <c r="K13" s="358"/>
      <c r="L13" s="358"/>
      <c r="M13" s="347"/>
      <c r="N13" s="358"/>
      <c r="O13" s="358"/>
      <c r="P13" s="358"/>
    </row>
    <row r="14" spans="1:17" s="360" customFormat="1">
      <c r="A14" s="179">
        <v>45627</v>
      </c>
      <c r="B14" s="358"/>
      <c r="C14" s="358"/>
      <c r="D14" s="358"/>
      <c r="E14" s="346"/>
      <c r="F14" s="358"/>
      <c r="G14" s="358"/>
      <c r="H14" s="358"/>
      <c r="I14" s="358"/>
      <c r="J14" s="358"/>
      <c r="K14" s="358"/>
      <c r="L14" s="358"/>
      <c r="M14" s="347"/>
      <c r="N14" s="358"/>
      <c r="O14" s="358"/>
      <c r="P14" s="358"/>
    </row>
    <row r="15" spans="1:17" s="360" customFormat="1">
      <c r="A15" s="179">
        <v>45658</v>
      </c>
      <c r="B15" s="358"/>
      <c r="C15" s="358"/>
      <c r="D15" s="358"/>
      <c r="E15" s="346"/>
      <c r="F15" s="358"/>
      <c r="G15" s="358"/>
      <c r="H15" s="358"/>
      <c r="I15" s="358"/>
      <c r="J15" s="358"/>
      <c r="K15" s="358"/>
      <c r="L15" s="358"/>
      <c r="M15" s="347"/>
      <c r="N15" s="358"/>
      <c r="O15" s="358"/>
      <c r="P15" s="358"/>
    </row>
    <row r="16" spans="1:17" s="360" customFormat="1">
      <c r="A16" s="179">
        <v>45689</v>
      </c>
      <c r="B16" s="358"/>
      <c r="C16" s="358"/>
      <c r="D16" s="358"/>
      <c r="E16" s="346"/>
      <c r="F16" s="358"/>
      <c r="G16" s="358"/>
      <c r="H16" s="358"/>
      <c r="I16" s="358"/>
      <c r="J16" s="358"/>
      <c r="K16" s="358"/>
      <c r="L16" s="358"/>
      <c r="M16" s="347"/>
      <c r="N16" s="358"/>
      <c r="O16" s="358"/>
      <c r="P16" s="358"/>
    </row>
    <row r="17" spans="1:16" s="360" customFormat="1">
      <c r="A17" s="179">
        <v>45717</v>
      </c>
      <c r="B17" s="350"/>
      <c r="C17" s="358"/>
      <c r="D17" s="350"/>
      <c r="E17" s="346"/>
      <c r="F17" s="358"/>
      <c r="G17" s="358"/>
      <c r="H17" s="358"/>
      <c r="I17" s="358"/>
      <c r="J17" s="358"/>
      <c r="K17" s="358"/>
      <c r="L17" s="358"/>
      <c r="M17" s="347"/>
      <c r="N17" s="358"/>
      <c r="O17" s="358"/>
      <c r="P17" s="358"/>
    </row>
    <row r="18" spans="1:16" s="360" customFormat="1">
      <c r="A18" s="136"/>
      <c r="B18" s="362"/>
      <c r="C18" s="362"/>
      <c r="D18" s="362"/>
      <c r="E18" s="388"/>
      <c r="F18" s="362"/>
      <c r="G18" s="362"/>
      <c r="H18" s="362"/>
      <c r="I18" s="362"/>
      <c r="J18" s="362"/>
      <c r="K18" s="362"/>
      <c r="L18" s="362"/>
      <c r="M18" s="389"/>
      <c r="N18" s="362"/>
      <c r="O18" s="362"/>
      <c r="P18" s="362"/>
    </row>
    <row r="19" spans="1:16" s="360" customFormat="1" ht="13.5" customHeight="1">
      <c r="A19" s="1318" t="s">
        <v>264</v>
      </c>
      <c r="B19" s="1318"/>
      <c r="C19" s="1318"/>
      <c r="D19" s="1318"/>
      <c r="E19" s="1318"/>
      <c r="F19" s="1318"/>
      <c r="G19" s="1318"/>
      <c r="H19" s="1318"/>
      <c r="J19" s="109"/>
      <c r="M19" s="142"/>
    </row>
    <row r="20" spans="1:16" s="360" customFormat="1" ht="13.5" customHeight="1">
      <c r="A20" s="140" t="s">
        <v>257</v>
      </c>
      <c r="B20" s="519"/>
      <c r="C20" s="519"/>
      <c r="D20" s="519"/>
      <c r="E20" s="519"/>
      <c r="F20" s="519"/>
      <c r="G20" s="519"/>
      <c r="H20" s="519"/>
      <c r="J20" s="109"/>
    </row>
    <row r="21" spans="1:16" s="360" customFormat="1" ht="33.75" customHeight="1">
      <c r="A21" s="1319" t="s">
        <v>265</v>
      </c>
      <c r="B21" s="1320"/>
      <c r="C21" s="1320"/>
      <c r="D21" s="1320"/>
      <c r="E21" s="1320"/>
      <c r="F21" s="1320"/>
      <c r="G21" s="1320"/>
      <c r="H21" s="1320"/>
      <c r="I21" s="1320"/>
      <c r="J21" s="1320"/>
    </row>
    <row r="22" spans="1:16" s="360" customFormat="1" ht="15" customHeight="1">
      <c r="A22" s="1318" t="s">
        <v>266</v>
      </c>
      <c r="B22" s="1318"/>
      <c r="C22" s="1318"/>
      <c r="D22" s="1318"/>
      <c r="E22" s="1318"/>
      <c r="F22" s="1318"/>
      <c r="G22" s="1318"/>
      <c r="H22" s="1318"/>
    </row>
    <row r="23" spans="1:16" s="360" customFormat="1">
      <c r="A23" s="484" t="s">
        <v>1299</v>
      </c>
      <c r="B23" s="97"/>
      <c r="C23" s="97"/>
      <c r="D23" s="97"/>
      <c r="E23" s="97"/>
      <c r="F23" s="97"/>
      <c r="G23" s="97"/>
      <c r="H23" s="97"/>
    </row>
    <row r="24" spans="1:16">
      <c r="J24" s="183"/>
    </row>
    <row r="25" spans="1:16">
      <c r="G25" s="143"/>
      <c r="J25" s="183"/>
    </row>
    <row r="26" spans="1:16">
      <c r="H26" s="143"/>
      <c r="J26" s="183"/>
    </row>
    <row r="27" spans="1:16">
      <c r="H27" s="143"/>
      <c r="J27" s="183"/>
    </row>
    <row r="28" spans="1:16">
      <c r="H28" s="143"/>
      <c r="J28" s="183"/>
    </row>
    <row r="29" spans="1:16">
      <c r="H29" s="143"/>
    </row>
  </sheetData>
  <mergeCells count="17">
    <mergeCell ref="M2:M3"/>
    <mergeCell ref="N2:P2"/>
    <mergeCell ref="A19:H19"/>
    <mergeCell ref="A21:J21"/>
    <mergeCell ref="K2:K3"/>
    <mergeCell ref="L2:L3"/>
    <mergeCell ref="A22:H22"/>
    <mergeCell ref="G2:G3"/>
    <mergeCell ref="H2:H3"/>
    <mergeCell ref="I2:I3"/>
    <mergeCell ref="J2:J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Q26"/>
  <sheetViews>
    <sheetView workbookViewId="0"/>
  </sheetViews>
  <sheetFormatPr defaultColWidth="9.140625" defaultRowHeight="15"/>
  <cols>
    <col min="1" max="1" width="13" style="97" customWidth="1"/>
    <col min="2" max="4" width="14.5703125" style="97" bestFit="1" customWidth="1"/>
    <col min="5" max="5" width="10.140625" style="97" customWidth="1"/>
    <col min="6" max="6" width="9.42578125" style="97" customWidth="1"/>
    <col min="7" max="7" width="10.42578125" style="97" customWidth="1"/>
    <col min="8" max="8" width="11.7109375" style="97" bestFit="1" customWidth="1"/>
    <col min="9" max="10" width="15.7109375" style="97" customWidth="1"/>
    <col min="11" max="11" width="14.5703125" style="97" bestFit="1" customWidth="1"/>
    <col min="12" max="12" width="9.85546875" style="97" customWidth="1"/>
    <col min="13" max="13" width="13.7109375" style="97" customWidth="1"/>
    <col min="14" max="16" width="10.7109375" style="97" customWidth="1"/>
    <col min="17" max="17" width="14.5703125" style="97" bestFit="1" customWidth="1"/>
    <col min="18" max="16384" width="9.140625" style="97"/>
  </cols>
  <sheetData>
    <row r="1" spans="1:16">
      <c r="A1" s="206" t="s">
        <v>14</v>
      </c>
      <c r="B1" s="206"/>
      <c r="C1" s="206"/>
    </row>
    <row r="2" spans="1:16" s="360" customFormat="1">
      <c r="A2" s="1311" t="s">
        <v>168</v>
      </c>
      <c r="B2" s="1316" t="s">
        <v>240</v>
      </c>
      <c r="C2" s="1316" t="s">
        <v>267</v>
      </c>
      <c r="D2" s="1311" t="s">
        <v>268</v>
      </c>
      <c r="E2" s="1311" t="s">
        <v>243</v>
      </c>
      <c r="F2" s="1311" t="s">
        <v>244</v>
      </c>
      <c r="G2" s="1311" t="s">
        <v>245</v>
      </c>
      <c r="H2" s="1311" t="s">
        <v>269</v>
      </c>
      <c r="I2" s="1311" t="s">
        <v>270</v>
      </c>
      <c r="J2" s="1311" t="s">
        <v>1061</v>
      </c>
      <c r="K2" s="1311" t="s">
        <v>249</v>
      </c>
      <c r="L2" s="1311" t="s">
        <v>271</v>
      </c>
      <c r="M2" s="1311" t="s">
        <v>272</v>
      </c>
      <c r="N2" s="1313" t="s">
        <v>273</v>
      </c>
      <c r="O2" s="1314"/>
      <c r="P2" s="1315"/>
    </row>
    <row r="3" spans="1:16" s="360" customFormat="1" ht="32.25" customHeight="1">
      <c r="A3" s="1312"/>
      <c r="B3" s="1317"/>
      <c r="C3" s="1317"/>
      <c r="D3" s="1312"/>
      <c r="E3" s="1312"/>
      <c r="F3" s="1312"/>
      <c r="G3" s="1312"/>
      <c r="H3" s="1312"/>
      <c r="I3" s="1312"/>
      <c r="J3" s="1312"/>
      <c r="K3" s="1312"/>
      <c r="L3" s="1312"/>
      <c r="M3" s="1312"/>
      <c r="N3" s="785" t="s">
        <v>253</v>
      </c>
      <c r="O3" s="785" t="s">
        <v>254</v>
      </c>
      <c r="P3" s="785" t="s">
        <v>255</v>
      </c>
    </row>
    <row r="4" spans="1:16" s="102" customFormat="1">
      <c r="A4" s="490" t="s">
        <v>520</v>
      </c>
      <c r="B4" s="116">
        <v>266</v>
      </c>
      <c r="C4" s="116">
        <v>1705</v>
      </c>
      <c r="D4" s="116">
        <v>10</v>
      </c>
      <c r="E4" s="116">
        <v>246</v>
      </c>
      <c r="F4" s="116">
        <v>3.5100000000000001E-3</v>
      </c>
      <c r="G4" s="116">
        <v>20.224450000000001</v>
      </c>
      <c r="H4" s="116">
        <v>29.338079719999996</v>
      </c>
      <c r="I4" s="116">
        <v>0.11926048666666665</v>
      </c>
      <c r="J4" s="116">
        <v>835842.72706552688</v>
      </c>
      <c r="K4" s="116" t="s">
        <v>221</v>
      </c>
      <c r="L4" s="116" t="s">
        <v>221</v>
      </c>
      <c r="M4" s="788">
        <v>38356305.409999996</v>
      </c>
      <c r="N4" s="116">
        <v>42685.19</v>
      </c>
      <c r="O4" s="116">
        <v>33552.300000000003</v>
      </c>
      <c r="P4" s="116">
        <v>42417.24</v>
      </c>
    </row>
    <row r="5" spans="1:16" s="360" customFormat="1">
      <c r="A5" s="491" t="s">
        <v>1165</v>
      </c>
      <c r="B5" s="786">
        <f>INDEX(B6:B17,COUNT(B6:B17))</f>
        <v>266</v>
      </c>
      <c r="C5" s="786">
        <v>1771</v>
      </c>
      <c r="D5" s="789">
        <v>6</v>
      </c>
      <c r="E5" s="786">
        <f>SUM(E6:E17)</f>
        <v>83</v>
      </c>
      <c r="F5" s="786">
        <f>SUM(F6:F17)</f>
        <v>1.4800000000000002E-3</v>
      </c>
      <c r="G5" s="786">
        <f>SUM(G6:G17)</f>
        <v>7.6315800000000005</v>
      </c>
      <c r="H5" s="786">
        <f>SUM(H6:H17)</f>
        <v>2.0832373</v>
      </c>
      <c r="I5" s="252">
        <f>H5/E5</f>
        <v>2.5099244578313251E-2</v>
      </c>
      <c r="J5" s="786">
        <f>H5/F5*100</f>
        <v>140759.27702702698</v>
      </c>
      <c r="K5" s="116" t="s">
        <v>221</v>
      </c>
      <c r="L5" s="116" t="s">
        <v>221</v>
      </c>
      <c r="M5" s="786">
        <f>INDEX(M6:M17,COUNT(M6:M17))</f>
        <v>47610230.490000002</v>
      </c>
      <c r="N5" s="786">
        <f>MAX(N6:N17)</f>
        <v>47309.14</v>
      </c>
      <c r="O5" s="786">
        <f>MIN(O6:O17)</f>
        <v>41588.01</v>
      </c>
      <c r="P5" s="786">
        <f>INDEX(P6:P17,COUNT(P6:P17))</f>
        <v>47309.14</v>
      </c>
    </row>
    <row r="6" spans="1:16" s="360" customFormat="1">
      <c r="A6" s="179">
        <v>45383</v>
      </c>
      <c r="B6" s="358">
        <v>266</v>
      </c>
      <c r="C6" s="358">
        <v>1704</v>
      </c>
      <c r="D6" s="358">
        <v>1</v>
      </c>
      <c r="E6" s="358">
        <v>20</v>
      </c>
      <c r="F6" s="358">
        <v>2.3000000000000001E-4</v>
      </c>
      <c r="G6" s="358">
        <v>0.76</v>
      </c>
      <c r="H6" s="358">
        <v>0.56713574999999994</v>
      </c>
      <c r="I6" s="358">
        <v>2.8356787499999998E-2</v>
      </c>
      <c r="J6" s="358">
        <v>246580.76086956519</v>
      </c>
      <c r="K6" s="358" t="s">
        <v>221</v>
      </c>
      <c r="L6" s="358" t="s">
        <v>221</v>
      </c>
      <c r="M6" s="347">
        <v>40187325.409999996</v>
      </c>
      <c r="N6" s="358">
        <v>43265.36</v>
      </c>
      <c r="O6" s="358">
        <v>41843.949999999997</v>
      </c>
      <c r="P6" s="358">
        <v>42994.7</v>
      </c>
    </row>
    <row r="7" spans="1:16" s="360" customFormat="1">
      <c r="A7" s="179">
        <v>45413</v>
      </c>
      <c r="B7" s="358">
        <v>266</v>
      </c>
      <c r="C7" s="358">
        <v>1771</v>
      </c>
      <c r="D7" s="358">
        <v>2</v>
      </c>
      <c r="E7" s="358">
        <v>22</v>
      </c>
      <c r="F7" s="358">
        <v>3.6000000000000002E-4</v>
      </c>
      <c r="G7" s="358">
        <v>0.96831999999999996</v>
      </c>
      <c r="H7" s="358">
        <v>0.73166049999999994</v>
      </c>
      <c r="I7" s="358">
        <v>3.3257295454545449E-2</v>
      </c>
      <c r="J7" s="358">
        <v>203239.02777777775</v>
      </c>
      <c r="K7" s="358" t="s">
        <v>221</v>
      </c>
      <c r="L7" s="358" t="s">
        <v>221</v>
      </c>
      <c r="M7" s="347">
        <v>41477459.560000002</v>
      </c>
      <c r="N7" s="358">
        <v>43643.65</v>
      </c>
      <c r="O7" s="358">
        <v>41779.14</v>
      </c>
      <c r="P7" s="358">
        <v>42784.29</v>
      </c>
    </row>
    <row r="8" spans="1:16" s="360" customFormat="1">
      <c r="A8" s="179">
        <v>45444</v>
      </c>
      <c r="B8" s="358">
        <v>266</v>
      </c>
      <c r="C8" s="358">
        <v>1840</v>
      </c>
      <c r="D8" s="358">
        <v>5</v>
      </c>
      <c r="E8" s="358">
        <v>19</v>
      </c>
      <c r="F8" s="358">
        <v>6.2E-4</v>
      </c>
      <c r="G8" s="358">
        <v>0.83760000000000001</v>
      </c>
      <c r="H8" s="358">
        <v>0.2662195</v>
      </c>
      <c r="I8" s="358">
        <v>1.4011552631578947E-2</v>
      </c>
      <c r="J8" s="358">
        <v>42938.629032258068</v>
      </c>
      <c r="K8" s="358" t="s">
        <v>221</v>
      </c>
      <c r="L8" s="358" t="s">
        <v>221</v>
      </c>
      <c r="M8" s="347">
        <v>45649187.890000001</v>
      </c>
      <c r="N8" s="358">
        <v>45764.87</v>
      </c>
      <c r="O8" s="358">
        <v>41588.01</v>
      </c>
      <c r="P8" s="358">
        <v>45686.35</v>
      </c>
    </row>
    <row r="9" spans="1:16" s="360" customFormat="1">
      <c r="A9" s="179">
        <v>45474</v>
      </c>
      <c r="B9" s="358">
        <v>266</v>
      </c>
      <c r="C9" s="358">
        <v>1837</v>
      </c>
      <c r="D9" s="358">
        <v>5</v>
      </c>
      <c r="E9" s="358">
        <v>22</v>
      </c>
      <c r="F9" s="358">
        <v>2.7E-4</v>
      </c>
      <c r="G9" s="358">
        <v>5.0656600000000003</v>
      </c>
      <c r="H9" s="358">
        <v>0.51822155000000003</v>
      </c>
      <c r="I9" s="358">
        <v>2.3555525000000001E-2</v>
      </c>
      <c r="J9" s="358">
        <v>191933.90740740742</v>
      </c>
      <c r="K9" s="358" t="s">
        <v>221</v>
      </c>
      <c r="L9" s="358" t="s">
        <v>221</v>
      </c>
      <c r="M9" s="347">
        <v>47610230.490000002</v>
      </c>
      <c r="N9" s="358">
        <v>47309.14</v>
      </c>
      <c r="O9" s="358">
        <v>45686.35</v>
      </c>
      <c r="P9" s="358">
        <v>47309.14</v>
      </c>
    </row>
    <row r="10" spans="1:16" s="360" customFormat="1">
      <c r="A10" s="179">
        <v>45505</v>
      </c>
      <c r="B10" s="358"/>
      <c r="C10" s="358"/>
      <c r="D10" s="358"/>
      <c r="E10" s="358"/>
      <c r="F10" s="358"/>
      <c r="G10" s="358"/>
      <c r="H10" s="358"/>
      <c r="I10" s="358"/>
      <c r="J10" s="358"/>
      <c r="K10" s="358"/>
      <c r="L10" s="358"/>
      <c r="M10" s="358"/>
      <c r="N10" s="358"/>
      <c r="O10" s="358"/>
      <c r="P10" s="358"/>
    </row>
    <row r="11" spans="1:16" s="360" customFormat="1">
      <c r="A11" s="179">
        <v>45536</v>
      </c>
      <c r="B11" s="358"/>
      <c r="C11" s="358"/>
      <c r="D11" s="358"/>
      <c r="E11" s="358"/>
      <c r="F11" s="358"/>
      <c r="G11" s="358"/>
      <c r="H11" s="358"/>
      <c r="I11" s="358"/>
      <c r="J11" s="358"/>
      <c r="K11" s="358"/>
      <c r="L11" s="358"/>
      <c r="M11" s="347"/>
      <c r="N11" s="358"/>
      <c r="O11" s="358"/>
      <c r="P11" s="358"/>
    </row>
    <row r="12" spans="1:16" s="360" customFormat="1">
      <c r="A12" s="179">
        <v>45566</v>
      </c>
      <c r="B12" s="358"/>
      <c r="C12" s="358"/>
      <c r="D12" s="358"/>
      <c r="E12" s="358"/>
      <c r="F12" s="358"/>
      <c r="G12" s="358"/>
      <c r="H12" s="358"/>
      <c r="I12" s="358"/>
      <c r="J12" s="358"/>
      <c r="K12" s="358"/>
      <c r="L12" s="358"/>
      <c r="M12" s="347"/>
      <c r="N12" s="358"/>
      <c r="O12" s="358"/>
      <c r="P12" s="358"/>
    </row>
    <row r="13" spans="1:16" s="360" customFormat="1">
      <c r="A13" s="179">
        <v>45597</v>
      </c>
      <c r="B13" s="358"/>
      <c r="C13" s="358"/>
      <c r="D13" s="358"/>
      <c r="E13" s="358"/>
      <c r="F13" s="358"/>
      <c r="G13" s="358"/>
      <c r="H13" s="358"/>
      <c r="I13" s="358"/>
      <c r="J13" s="358"/>
      <c r="K13" s="358"/>
      <c r="L13" s="358"/>
      <c r="M13" s="347"/>
      <c r="N13" s="358"/>
      <c r="O13" s="358"/>
      <c r="P13" s="358"/>
    </row>
    <row r="14" spans="1:16" s="360" customFormat="1">
      <c r="A14" s="179">
        <v>45627</v>
      </c>
      <c r="B14" s="358"/>
      <c r="C14" s="358"/>
      <c r="D14" s="358"/>
      <c r="E14" s="358"/>
      <c r="F14" s="358"/>
      <c r="G14" s="358"/>
      <c r="H14" s="358"/>
      <c r="I14" s="358"/>
      <c r="J14" s="358"/>
      <c r="K14" s="358"/>
      <c r="L14" s="358"/>
      <c r="M14" s="347"/>
      <c r="N14" s="358"/>
      <c r="O14" s="358"/>
      <c r="P14" s="358"/>
    </row>
    <row r="15" spans="1:16" s="360" customFormat="1">
      <c r="A15" s="179">
        <v>45658</v>
      </c>
      <c r="B15" s="358"/>
      <c r="C15" s="358"/>
      <c r="D15" s="358"/>
      <c r="E15" s="358"/>
      <c r="F15" s="358"/>
      <c r="G15" s="358"/>
      <c r="H15" s="358"/>
      <c r="I15" s="358"/>
      <c r="J15" s="358"/>
      <c r="K15" s="358"/>
      <c r="L15" s="358"/>
      <c r="M15" s="347"/>
      <c r="N15" s="358"/>
      <c r="O15" s="358"/>
      <c r="P15" s="358"/>
    </row>
    <row r="16" spans="1:16" s="360" customFormat="1">
      <c r="A16" s="179">
        <v>45689</v>
      </c>
      <c r="B16" s="358"/>
      <c r="C16" s="358"/>
      <c r="D16" s="358"/>
      <c r="E16" s="358"/>
      <c r="F16" s="358"/>
      <c r="G16" s="358"/>
      <c r="H16" s="358"/>
      <c r="I16" s="358"/>
      <c r="J16" s="358"/>
      <c r="K16" s="358"/>
      <c r="L16" s="358"/>
      <c r="M16" s="347"/>
      <c r="N16" s="358"/>
      <c r="O16" s="358"/>
      <c r="P16" s="358"/>
    </row>
    <row r="17" spans="1:17" s="360" customFormat="1">
      <c r="A17" s="179">
        <v>45717</v>
      </c>
      <c r="B17" s="358"/>
      <c r="C17" s="358"/>
      <c r="D17" s="358"/>
      <c r="E17" s="358"/>
      <c r="F17" s="358"/>
      <c r="G17" s="358"/>
      <c r="H17" s="358"/>
      <c r="I17" s="358"/>
      <c r="J17" s="358"/>
      <c r="K17" s="358"/>
      <c r="L17" s="358"/>
      <c r="M17" s="347"/>
      <c r="N17" s="358"/>
      <c r="O17" s="358"/>
      <c r="P17" s="358"/>
    </row>
    <row r="18" spans="1:17" s="360" customFormat="1">
      <c r="A18" s="136"/>
      <c r="B18" s="362"/>
      <c r="C18" s="362"/>
      <c r="D18" s="362"/>
      <c r="E18" s="362"/>
      <c r="F18" s="362"/>
      <c r="G18" s="362"/>
      <c r="H18" s="362"/>
      <c r="I18" s="362"/>
      <c r="J18" s="362"/>
      <c r="K18" s="362"/>
      <c r="L18" s="362"/>
      <c r="M18" s="389"/>
      <c r="N18" s="362"/>
      <c r="O18" s="362"/>
      <c r="P18" s="362"/>
    </row>
    <row r="19" spans="1:17" s="360" customFormat="1">
      <c r="A19" s="360" t="s">
        <v>274</v>
      </c>
      <c r="B19" s="362"/>
      <c r="C19" s="362"/>
      <c r="D19" s="362"/>
      <c r="E19" s="362"/>
      <c r="F19" s="362"/>
      <c r="G19" s="362"/>
      <c r="H19" s="362"/>
      <c r="I19" s="362"/>
      <c r="J19" s="362"/>
      <c r="K19" s="362"/>
      <c r="L19" s="362"/>
      <c r="M19" s="362"/>
      <c r="N19" s="362"/>
      <c r="O19" s="362"/>
      <c r="P19" s="362"/>
      <c r="Q19" s="362"/>
    </row>
    <row r="20" spans="1:17" s="360" customFormat="1">
      <c r="A20" s="136" t="s">
        <v>275</v>
      </c>
      <c r="B20" s="362"/>
      <c r="C20" s="362"/>
      <c r="D20" s="362"/>
      <c r="E20" s="362"/>
      <c r="F20" s="362"/>
      <c r="G20" s="362"/>
      <c r="H20" s="362"/>
      <c r="I20" s="362"/>
      <c r="J20" s="362"/>
      <c r="K20" s="362"/>
      <c r="L20" s="362"/>
      <c r="M20" s="362"/>
      <c r="N20" s="362"/>
      <c r="O20" s="362"/>
      <c r="P20" s="362"/>
      <c r="Q20" s="362"/>
    </row>
    <row r="21" spans="1:17" s="360" customFormat="1">
      <c r="A21" s="1283" t="s">
        <v>276</v>
      </c>
      <c r="B21" s="1283"/>
      <c r="C21" s="1283"/>
      <c r="D21" s="1283"/>
      <c r="E21" s="1283"/>
      <c r="F21" s="1283"/>
      <c r="G21" s="1283"/>
      <c r="H21" s="1283"/>
      <c r="I21" s="1283"/>
      <c r="J21" s="1283"/>
      <c r="K21" s="1283"/>
      <c r="L21" s="1283"/>
      <c r="M21" s="1283"/>
      <c r="N21" s="1283"/>
      <c r="O21" s="1283"/>
      <c r="P21" s="1283"/>
      <c r="Q21" s="1283"/>
    </row>
    <row r="22" spans="1:17" s="360" customFormat="1">
      <c r="A22" s="484" t="s">
        <v>1299</v>
      </c>
      <c r="B22" s="97"/>
      <c r="C22" s="97"/>
      <c r="D22" s="97"/>
      <c r="E22" s="97"/>
      <c r="F22" s="97"/>
      <c r="G22" s="144"/>
      <c r="H22" s="97"/>
      <c r="I22" s="110"/>
      <c r="J22" s="183"/>
      <c r="K22" s="97"/>
      <c r="L22" s="97"/>
      <c r="M22" s="97"/>
      <c r="N22" s="97"/>
      <c r="O22" s="97"/>
      <c r="P22" s="97"/>
      <c r="Q22" s="97"/>
    </row>
    <row r="23" spans="1:17">
      <c r="I23" s="110"/>
      <c r="J23" s="183"/>
    </row>
    <row r="24" spans="1:17">
      <c r="I24" s="110"/>
      <c r="J24" s="183"/>
    </row>
    <row r="25" spans="1:17">
      <c r="I25" s="110"/>
      <c r="J25" s="183"/>
    </row>
    <row r="26" spans="1:17">
      <c r="I26" s="110"/>
      <c r="J26" s="183"/>
    </row>
  </sheetData>
  <mergeCells count="15">
    <mergeCell ref="M2:M3"/>
    <mergeCell ref="N2:P2"/>
    <mergeCell ref="A21:Q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64"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H31"/>
  <sheetViews>
    <sheetView workbookViewId="0"/>
  </sheetViews>
  <sheetFormatPr defaultColWidth="9.140625" defaultRowHeight="15"/>
  <cols>
    <col min="1" max="1" width="6.42578125" style="97" bestFit="1" customWidth="1"/>
    <col min="2" max="2" width="36.42578125" style="97" bestFit="1" customWidth="1"/>
    <col min="3" max="8" width="13.5703125" style="97" bestFit="1" customWidth="1"/>
    <col min="9" max="16384" width="9.140625" style="97"/>
  </cols>
  <sheetData>
    <row r="1" spans="1:8" ht="20.25" customHeight="1">
      <c r="A1" s="790" t="s">
        <v>277</v>
      </c>
      <c r="B1" s="791"/>
      <c r="C1" s="791"/>
      <c r="D1" s="791"/>
      <c r="E1" s="791"/>
      <c r="F1" s="791"/>
      <c r="G1" s="791"/>
      <c r="H1" s="791"/>
    </row>
    <row r="2" spans="1:8" s="360" customFormat="1" ht="19.5" customHeight="1">
      <c r="A2" s="1307" t="s">
        <v>278</v>
      </c>
      <c r="B2" s="1323"/>
      <c r="C2" s="1323"/>
      <c r="D2" s="1323"/>
      <c r="E2" s="1323"/>
      <c r="F2" s="1323"/>
      <c r="G2" s="1323"/>
      <c r="H2" s="1308"/>
    </row>
    <row r="3" spans="1:8" s="360" customFormat="1" ht="15" customHeight="1">
      <c r="A3" s="1324" t="s">
        <v>279</v>
      </c>
      <c r="B3" s="1324" t="s">
        <v>280</v>
      </c>
      <c r="C3" s="1326" t="s">
        <v>69</v>
      </c>
      <c r="D3" s="1327"/>
      <c r="E3" s="1326" t="s">
        <v>70</v>
      </c>
      <c r="F3" s="1327"/>
      <c r="G3" s="1328" t="s">
        <v>281</v>
      </c>
      <c r="H3" s="1329"/>
    </row>
    <row r="4" spans="1:8" s="360" customFormat="1" ht="15" customHeight="1">
      <c r="A4" s="1325"/>
      <c r="B4" s="1325"/>
      <c r="C4" s="792" t="s">
        <v>1165</v>
      </c>
      <c r="D4" s="792" t="s">
        <v>1298</v>
      </c>
      <c r="E4" s="792" t="s">
        <v>1165</v>
      </c>
      <c r="F4" s="792" t="s">
        <v>1298</v>
      </c>
      <c r="G4" s="792" t="s">
        <v>1165</v>
      </c>
      <c r="H4" s="792" t="s">
        <v>1298</v>
      </c>
    </row>
    <row r="5" spans="1:8" s="360" customFormat="1" ht="15" customHeight="1">
      <c r="A5" s="793">
        <v>1</v>
      </c>
      <c r="B5" s="794" t="s">
        <v>282</v>
      </c>
      <c r="C5" s="795">
        <v>25.58827026624353</v>
      </c>
      <c r="D5" s="795">
        <v>26.062038835771666</v>
      </c>
      <c r="E5" s="795">
        <v>16.510000000000002</v>
      </c>
      <c r="F5" s="796">
        <v>16.95</v>
      </c>
      <c r="G5" s="796">
        <v>0</v>
      </c>
      <c r="H5" s="795">
        <v>0</v>
      </c>
    </row>
    <row r="6" spans="1:8" s="360" customFormat="1" ht="15" customHeight="1">
      <c r="A6" s="793">
        <v>2</v>
      </c>
      <c r="B6" s="794" t="s">
        <v>283</v>
      </c>
      <c r="C6" s="795">
        <v>0.44146043226811976</v>
      </c>
      <c r="D6" s="795">
        <v>0.61198690331062822</v>
      </c>
      <c r="E6" s="795">
        <v>2.56</v>
      </c>
      <c r="F6" s="796">
        <v>3.17</v>
      </c>
      <c r="G6" s="796">
        <v>0</v>
      </c>
      <c r="H6" s="795">
        <v>0</v>
      </c>
    </row>
    <row r="7" spans="1:8" s="360" customFormat="1" ht="15" customHeight="1">
      <c r="A7" s="793">
        <v>3</v>
      </c>
      <c r="B7" s="794" t="s">
        <v>284</v>
      </c>
      <c r="C7" s="795">
        <v>0.28246983814034909</v>
      </c>
      <c r="D7" s="795">
        <v>0.23485625471775665</v>
      </c>
      <c r="E7" s="795">
        <v>0.1</v>
      </c>
      <c r="F7" s="796">
        <v>0.11</v>
      </c>
      <c r="G7" s="796">
        <v>0</v>
      </c>
      <c r="H7" s="795">
        <v>0</v>
      </c>
    </row>
    <row r="8" spans="1:8" s="360" customFormat="1" ht="15" customHeight="1">
      <c r="A8" s="793">
        <v>4</v>
      </c>
      <c r="B8" s="794" t="s">
        <v>285</v>
      </c>
      <c r="C8" s="795">
        <v>4.0490916139028178E-3</v>
      </c>
      <c r="D8" s="795">
        <v>5.6969958986180288E-3</v>
      </c>
      <c r="E8" s="795">
        <v>0</v>
      </c>
      <c r="F8" s="796">
        <v>0</v>
      </c>
      <c r="G8" s="796">
        <v>0</v>
      </c>
      <c r="H8" s="795">
        <v>0</v>
      </c>
    </row>
    <row r="9" spans="1:8" s="360" customFormat="1" ht="15" customHeight="1">
      <c r="A9" s="793">
        <v>5</v>
      </c>
      <c r="B9" s="794" t="s">
        <v>286</v>
      </c>
      <c r="C9" s="795">
        <v>0.30266643796418907</v>
      </c>
      <c r="D9" s="795">
        <v>0.33330777646950138</v>
      </c>
      <c r="E9" s="795">
        <v>1.1100000000000001</v>
      </c>
      <c r="F9" s="796">
        <v>1.2</v>
      </c>
      <c r="G9" s="796">
        <v>0</v>
      </c>
      <c r="H9" s="795">
        <v>0</v>
      </c>
    </row>
    <row r="10" spans="1:8" s="360" customFormat="1" ht="15" customHeight="1">
      <c r="A10" s="793">
        <v>6</v>
      </c>
      <c r="B10" s="794" t="s">
        <v>287</v>
      </c>
      <c r="C10" s="795">
        <v>3.569914512779563E-2</v>
      </c>
      <c r="D10" s="795">
        <v>2.0602841797165886E-2</v>
      </c>
      <c r="E10" s="795">
        <v>0.28999999999999998</v>
      </c>
      <c r="F10" s="796">
        <v>0.28000000000000003</v>
      </c>
      <c r="G10" s="796">
        <v>0</v>
      </c>
      <c r="H10" s="795">
        <v>0</v>
      </c>
    </row>
    <row r="11" spans="1:8" s="360" customFormat="1" ht="15" customHeight="1">
      <c r="A11" s="793">
        <v>7</v>
      </c>
      <c r="B11" s="794" t="s">
        <v>288</v>
      </c>
      <c r="C11" s="795">
        <v>1.1945768230171164E-2</v>
      </c>
      <c r="D11" s="795">
        <v>1.2294046417405915E-2</v>
      </c>
      <c r="E11" s="795">
        <v>0.05</v>
      </c>
      <c r="F11" s="796">
        <v>0.05</v>
      </c>
      <c r="G11" s="796">
        <v>0</v>
      </c>
      <c r="H11" s="795">
        <v>0</v>
      </c>
    </row>
    <row r="12" spans="1:8" s="360" customFormat="1" ht="15" customHeight="1">
      <c r="A12" s="793">
        <v>8</v>
      </c>
      <c r="B12" s="794" t="s">
        <v>289</v>
      </c>
      <c r="C12" s="795">
        <v>0.94053179657284591</v>
      </c>
      <c r="D12" s="795">
        <v>0.92907137841254306</v>
      </c>
      <c r="E12" s="795">
        <v>2.2400000000000002</v>
      </c>
      <c r="F12" s="796">
        <v>2.2000000000000002</v>
      </c>
      <c r="G12" s="796">
        <v>47.2</v>
      </c>
      <c r="H12" s="795">
        <v>37.700000000000003</v>
      </c>
    </row>
    <row r="13" spans="1:8" s="360" customFormat="1" ht="15" customHeight="1">
      <c r="A13" s="793">
        <v>9</v>
      </c>
      <c r="B13" s="794" t="s">
        <v>290</v>
      </c>
      <c r="C13" s="795">
        <v>2.3607483732615224E-2</v>
      </c>
      <c r="D13" s="795">
        <v>2.4401052039537265E-2</v>
      </c>
      <c r="E13" s="795">
        <v>0</v>
      </c>
      <c r="F13" s="796">
        <v>0</v>
      </c>
      <c r="G13" s="796">
        <v>0</v>
      </c>
      <c r="H13" s="795">
        <v>0</v>
      </c>
    </row>
    <row r="14" spans="1:8" s="360" customFormat="1" ht="15" customHeight="1">
      <c r="A14" s="793">
        <v>10</v>
      </c>
      <c r="B14" s="794" t="s">
        <v>291</v>
      </c>
      <c r="C14" s="795">
        <v>0.11772091061685243</v>
      </c>
      <c r="D14" s="795">
        <v>0.1153467990557704</v>
      </c>
      <c r="E14" s="795">
        <v>2.77</v>
      </c>
      <c r="F14" s="796">
        <v>2.72</v>
      </c>
      <c r="G14" s="796">
        <v>0</v>
      </c>
      <c r="H14" s="795">
        <v>0</v>
      </c>
    </row>
    <row r="15" spans="1:8" s="360" customFormat="1" ht="15" customHeight="1">
      <c r="A15" s="793">
        <v>11</v>
      </c>
      <c r="B15" s="794" t="s">
        <v>292</v>
      </c>
      <c r="C15" s="795">
        <v>0.30734199263860212</v>
      </c>
      <c r="D15" s="795">
        <v>0.30110063521338742</v>
      </c>
      <c r="E15" s="795">
        <v>0.2</v>
      </c>
      <c r="F15" s="796">
        <v>0.19</v>
      </c>
      <c r="G15" s="796">
        <v>0</v>
      </c>
      <c r="H15" s="795">
        <v>0</v>
      </c>
    </row>
    <row r="16" spans="1:8" s="360" customFormat="1" ht="15" customHeight="1">
      <c r="A16" s="793">
        <v>12</v>
      </c>
      <c r="B16" s="794" t="s">
        <v>293</v>
      </c>
      <c r="C16" s="795">
        <v>0.42078590132876276</v>
      </c>
      <c r="D16" s="795">
        <v>0.31172268434190364</v>
      </c>
      <c r="E16" s="795">
        <v>0.17</v>
      </c>
      <c r="F16" s="796">
        <v>0.15</v>
      </c>
      <c r="G16" s="796">
        <v>0</v>
      </c>
      <c r="H16" s="795">
        <v>0</v>
      </c>
    </row>
    <row r="17" spans="1:8" s="360" customFormat="1" ht="15" customHeight="1">
      <c r="A17" s="793">
        <v>13</v>
      </c>
      <c r="B17" s="794" t="s">
        <v>294</v>
      </c>
      <c r="C17" s="795">
        <v>7.5877042686332163E-2</v>
      </c>
      <c r="D17" s="795">
        <v>7.7217154363906013E-2</v>
      </c>
      <c r="E17" s="795">
        <v>0.16</v>
      </c>
      <c r="F17" s="796">
        <v>0.16</v>
      </c>
      <c r="G17" s="796">
        <v>0</v>
      </c>
      <c r="H17" s="795">
        <v>0</v>
      </c>
    </row>
    <row r="18" spans="1:8" s="360" customFormat="1" ht="15" customHeight="1">
      <c r="A18" s="793">
        <v>14</v>
      </c>
      <c r="B18" s="794" t="s">
        <v>295</v>
      </c>
      <c r="C18" s="795">
        <v>2.8239149706680524</v>
      </c>
      <c r="D18" s="795">
        <v>2.6353086860884716</v>
      </c>
      <c r="E18" s="795">
        <v>1.58</v>
      </c>
      <c r="F18" s="796">
        <v>1.45</v>
      </c>
      <c r="G18" s="796">
        <v>0</v>
      </c>
      <c r="H18" s="795">
        <v>0</v>
      </c>
    </row>
    <row r="19" spans="1:8" s="360" customFormat="1" ht="15" customHeight="1">
      <c r="A19" s="793">
        <v>15</v>
      </c>
      <c r="B19" s="794" t="s">
        <v>296</v>
      </c>
      <c r="C19" s="795">
        <v>6.5561940601823132E-2</v>
      </c>
      <c r="D19" s="795">
        <v>6.3294151761232278E-2</v>
      </c>
      <c r="E19" s="795">
        <v>0.03</v>
      </c>
      <c r="F19" s="796">
        <v>0.03</v>
      </c>
      <c r="G19" s="796">
        <v>0</v>
      </c>
      <c r="H19" s="795">
        <v>0</v>
      </c>
    </row>
    <row r="20" spans="1:8" s="360" customFormat="1" ht="15" customHeight="1">
      <c r="A20" s="793">
        <v>16</v>
      </c>
      <c r="B20" s="794" t="s">
        <v>297</v>
      </c>
      <c r="C20" s="795">
        <v>9.1520066792110302E-3</v>
      </c>
      <c r="D20" s="795">
        <v>8.2272368776950752E-3</v>
      </c>
      <c r="E20" s="795">
        <v>0</v>
      </c>
      <c r="F20" s="796">
        <v>0</v>
      </c>
      <c r="G20" s="796">
        <v>0</v>
      </c>
      <c r="H20" s="795">
        <v>0</v>
      </c>
    </row>
    <row r="21" spans="1:8" s="360" customFormat="1" ht="15" customHeight="1">
      <c r="A21" s="793">
        <v>17</v>
      </c>
      <c r="B21" s="794" t="s">
        <v>298</v>
      </c>
      <c r="C21" s="795">
        <v>30.136913377328938</v>
      </c>
      <c r="D21" s="795">
        <v>29.042781529155125</v>
      </c>
      <c r="E21" s="795">
        <v>63.6</v>
      </c>
      <c r="F21" s="796">
        <v>62.47</v>
      </c>
      <c r="G21" s="796">
        <v>0</v>
      </c>
      <c r="H21" s="795">
        <v>0</v>
      </c>
    </row>
    <row r="22" spans="1:8" s="360" customFormat="1" ht="15" customHeight="1">
      <c r="A22" s="793">
        <v>18</v>
      </c>
      <c r="B22" s="794" t="s">
        <v>299</v>
      </c>
      <c r="C22" s="795">
        <v>1.1270515602710833E-2</v>
      </c>
      <c r="D22" s="795">
        <v>9.2295571019574054E-3</v>
      </c>
      <c r="E22" s="795">
        <v>0</v>
      </c>
      <c r="F22" s="796">
        <v>0</v>
      </c>
      <c r="G22" s="796">
        <v>0</v>
      </c>
      <c r="H22" s="795">
        <v>0</v>
      </c>
    </row>
    <row r="23" spans="1:8" s="360" customFormat="1" ht="15" customHeight="1">
      <c r="A23" s="793">
        <v>19</v>
      </c>
      <c r="B23" s="794" t="s">
        <v>300</v>
      </c>
      <c r="C23" s="795">
        <v>0.19931681866687889</v>
      </c>
      <c r="D23" s="795">
        <v>0.2078107792788329</v>
      </c>
      <c r="E23" s="795">
        <v>0.38</v>
      </c>
      <c r="F23" s="796">
        <v>0.42</v>
      </c>
      <c r="G23" s="796">
        <v>0</v>
      </c>
      <c r="H23" s="795">
        <v>0</v>
      </c>
    </row>
    <row r="24" spans="1:8" s="360" customFormat="1" ht="15" customHeight="1">
      <c r="A24" s="793">
        <v>20</v>
      </c>
      <c r="B24" s="794" t="s">
        <v>301</v>
      </c>
      <c r="C24" s="795">
        <v>1.4468323405480925</v>
      </c>
      <c r="D24" s="795">
        <v>1.4438002066762359</v>
      </c>
      <c r="E24" s="795">
        <v>0.54</v>
      </c>
      <c r="F24" s="796">
        <v>0.6</v>
      </c>
      <c r="G24" s="796">
        <v>0</v>
      </c>
      <c r="H24" s="795">
        <v>0</v>
      </c>
    </row>
    <row r="25" spans="1:8" s="360" customFormat="1" ht="15" customHeight="1">
      <c r="A25" s="793">
        <v>21</v>
      </c>
      <c r="B25" s="794" t="s">
        <v>302</v>
      </c>
      <c r="C25" s="795">
        <v>36.75461192274021</v>
      </c>
      <c r="D25" s="795">
        <v>37.549904495250658</v>
      </c>
      <c r="E25" s="795">
        <v>7.71</v>
      </c>
      <c r="F25" s="796">
        <v>7.76</v>
      </c>
      <c r="G25" s="796">
        <v>52.8</v>
      </c>
      <c r="H25" s="795">
        <v>62.3</v>
      </c>
    </row>
    <row r="26" spans="1:8" s="360" customFormat="1" ht="13.5" customHeight="1">
      <c r="A26" s="794"/>
      <c r="B26" s="794" t="s">
        <v>92</v>
      </c>
      <c r="C26" s="797">
        <f>SUM(C5:C25)</f>
        <v>100</v>
      </c>
      <c r="D26" s="797">
        <f>SUM(D5:D25)</f>
        <v>100</v>
      </c>
      <c r="E26" s="797">
        <f t="shared" ref="E26:H26" si="0">SUM(E5:E25)</f>
        <v>100</v>
      </c>
      <c r="F26" s="797">
        <f t="shared" si="0"/>
        <v>99.91</v>
      </c>
      <c r="G26" s="797">
        <f t="shared" si="0"/>
        <v>100</v>
      </c>
      <c r="H26" s="797">
        <f t="shared" si="0"/>
        <v>100</v>
      </c>
    </row>
    <row r="27" spans="1:8" s="360" customFormat="1" ht="13.5" customHeight="1">
      <c r="A27" s="136"/>
      <c r="B27" s="136"/>
      <c r="C27" s="145"/>
      <c r="D27" s="145"/>
      <c r="E27" s="145"/>
      <c r="F27" s="146"/>
      <c r="G27" s="146"/>
      <c r="H27" s="145"/>
    </row>
    <row r="28" spans="1:8" s="360" customFormat="1" ht="14.25" customHeight="1">
      <c r="A28" s="1321" t="s">
        <v>77</v>
      </c>
      <c r="B28" s="1321"/>
      <c r="C28" s="1321"/>
      <c r="D28" s="1321"/>
      <c r="E28" s="1321"/>
      <c r="F28" s="1321"/>
      <c r="G28" s="1321"/>
      <c r="H28" s="1321"/>
    </row>
    <row r="29" spans="1:8" s="360" customFormat="1" ht="35.25" customHeight="1">
      <c r="A29" s="1322" t="s">
        <v>303</v>
      </c>
      <c r="B29" s="1322"/>
      <c r="C29" s="1322"/>
      <c r="D29" s="1322"/>
      <c r="E29" s="1322"/>
      <c r="F29" s="1322"/>
      <c r="G29" s="1322"/>
      <c r="H29" s="1322"/>
    </row>
    <row r="30" spans="1:8" s="360" customFormat="1" ht="13.5" customHeight="1">
      <c r="A30" s="1321" t="s">
        <v>167</v>
      </c>
      <c r="B30" s="1321"/>
      <c r="C30" s="1321"/>
      <c r="D30" s="1321"/>
      <c r="E30" s="1321"/>
      <c r="F30" s="1321"/>
      <c r="G30" s="1321"/>
      <c r="H30" s="1321"/>
    </row>
    <row r="31" spans="1:8">
      <c r="A31" s="484" t="s">
        <v>1299</v>
      </c>
    </row>
  </sheetData>
  <mergeCells count="9">
    <mergeCell ref="A28:H28"/>
    <mergeCell ref="A29:H29"/>
    <mergeCell ref="A30:H30"/>
    <mergeCell ref="A2:H2"/>
    <mergeCell ref="A3:A4"/>
    <mergeCell ref="B3:B4"/>
    <mergeCell ref="C3:D3"/>
    <mergeCell ref="E3:F3"/>
    <mergeCell ref="G3:H3"/>
  </mergeCells>
  <printOptions horizontalCentered="1"/>
  <pageMargins left="0.78431372549019618" right="0.78431372549019618" top="0.98039215686274517" bottom="0.98039215686274517" header="0.50980392156862753" footer="0.50980392156862753"/>
  <pageSetup paperSize="9" scale="92"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G21"/>
  <sheetViews>
    <sheetView workbookViewId="0"/>
  </sheetViews>
  <sheetFormatPr defaultColWidth="9.140625" defaultRowHeight="15"/>
  <cols>
    <col min="1" max="6" width="14.5703125" style="97" bestFit="1" customWidth="1"/>
    <col min="7" max="7" width="5.42578125" style="97" bestFit="1" customWidth="1"/>
    <col min="8" max="16384" width="9.140625" style="97"/>
  </cols>
  <sheetData>
    <row r="1" spans="1:7">
      <c r="A1" s="251" t="s">
        <v>16</v>
      </c>
      <c r="B1" s="251"/>
      <c r="C1" s="251"/>
      <c r="D1" s="251"/>
      <c r="E1" s="251"/>
      <c r="F1" s="251"/>
    </row>
    <row r="2" spans="1:7" s="360" customFormat="1" ht="18" customHeight="1">
      <c r="A2" s="1324" t="s">
        <v>112</v>
      </c>
      <c r="B2" s="1307" t="s">
        <v>304</v>
      </c>
      <c r="C2" s="1323"/>
      <c r="D2" s="1323"/>
      <c r="E2" s="1323"/>
      <c r="F2" s="1308"/>
    </row>
    <row r="3" spans="1:7" s="360" customFormat="1" ht="18" customHeight="1">
      <c r="A3" s="1325"/>
      <c r="B3" s="782" t="s">
        <v>305</v>
      </c>
      <c r="C3" s="782" t="s">
        <v>306</v>
      </c>
      <c r="D3" s="782" t="s">
        <v>76</v>
      </c>
      <c r="E3" s="782" t="s">
        <v>307</v>
      </c>
      <c r="F3" s="782" t="s">
        <v>302</v>
      </c>
    </row>
    <row r="4" spans="1:7" s="102" customFormat="1" ht="18" customHeight="1">
      <c r="A4" s="490" t="s">
        <v>520</v>
      </c>
      <c r="B4" s="798">
        <v>34.431982336452869</v>
      </c>
      <c r="C4" s="798">
        <v>13.0199984621889</v>
      </c>
      <c r="D4" s="798">
        <v>3.2849058607471351</v>
      </c>
      <c r="E4" s="798">
        <v>0.13515121235006566</v>
      </c>
      <c r="F4" s="798">
        <v>49.127962128261025</v>
      </c>
    </row>
    <row r="5" spans="1:7" s="102" customFormat="1" ht="18" customHeight="1">
      <c r="A5" s="491" t="s">
        <v>1165</v>
      </c>
      <c r="B5" s="799">
        <v>37.815798768175348</v>
      </c>
      <c r="C5" s="799">
        <v>6.2775897753595684</v>
      </c>
      <c r="D5" s="799">
        <v>3.3773525714270622</v>
      </c>
      <c r="E5" s="799">
        <v>5.7372399672745419E-2</v>
      </c>
      <c r="F5" s="799">
        <v>52.471886485365275</v>
      </c>
      <c r="G5" s="147"/>
    </row>
    <row r="6" spans="1:7" s="360" customFormat="1" ht="18" customHeight="1">
      <c r="A6" s="179">
        <v>45383</v>
      </c>
      <c r="B6" s="342">
        <v>38.581507405826095</v>
      </c>
      <c r="C6" s="342">
        <v>6.1647818120874911</v>
      </c>
      <c r="D6" s="342">
        <v>2.7451590559904235</v>
      </c>
      <c r="E6" s="342">
        <v>5.6915565716708369E-3</v>
      </c>
      <c r="F6" s="342">
        <v>52.502860169524311</v>
      </c>
    </row>
    <row r="7" spans="1:7" s="360" customFormat="1" ht="18" customHeight="1">
      <c r="A7" s="179">
        <v>45413</v>
      </c>
      <c r="B7" s="342">
        <v>38.793481223311346</v>
      </c>
      <c r="C7" s="342">
        <v>6.4085656478851396</v>
      </c>
      <c r="D7" s="342">
        <v>3.7494118401991301</v>
      </c>
      <c r="E7" s="342">
        <v>0.16447709273690175</v>
      </c>
      <c r="F7" s="342">
        <v>50.884064195867481</v>
      </c>
    </row>
    <row r="8" spans="1:7" s="360" customFormat="1" ht="18" customHeight="1">
      <c r="A8" s="179">
        <v>45444</v>
      </c>
      <c r="B8" s="342">
        <v>37.024266733175502</v>
      </c>
      <c r="C8" s="342">
        <v>7.8948549022786887</v>
      </c>
      <c r="D8" s="342">
        <v>2.9717587175929077</v>
      </c>
      <c r="E8" s="342">
        <v>3.771359293089252E-2</v>
      </c>
      <c r="F8" s="342">
        <v>52.07140605402202</v>
      </c>
    </row>
    <row r="9" spans="1:7" s="360" customFormat="1" ht="18" customHeight="1">
      <c r="A9" s="179">
        <v>45474</v>
      </c>
      <c r="B9" s="342">
        <v>37.377336019145311</v>
      </c>
      <c r="C9" s="342">
        <v>4.6951793483689039</v>
      </c>
      <c r="D9" s="342">
        <v>3.9112741536855991</v>
      </c>
      <c r="E9" s="342">
        <v>3.2679896316554324E-2</v>
      </c>
      <c r="F9" s="342">
        <v>53.983530582483638</v>
      </c>
    </row>
    <row r="10" spans="1:7" s="360" customFormat="1" ht="18" customHeight="1">
      <c r="A10" s="179">
        <v>45505</v>
      </c>
      <c r="B10" s="342"/>
      <c r="C10" s="342"/>
      <c r="D10" s="342"/>
      <c r="E10" s="342"/>
      <c r="F10" s="342"/>
    </row>
    <row r="11" spans="1:7" s="360" customFormat="1" ht="13.5" customHeight="1">
      <c r="A11" s="179">
        <v>45536</v>
      </c>
      <c r="B11" s="342"/>
      <c r="C11" s="342"/>
      <c r="D11" s="342"/>
      <c r="E11" s="342"/>
      <c r="F11" s="342"/>
    </row>
    <row r="12" spans="1:7" s="360" customFormat="1">
      <c r="A12" s="179">
        <v>45566</v>
      </c>
      <c r="B12" s="342"/>
      <c r="C12" s="342"/>
      <c r="D12" s="342"/>
      <c r="E12" s="342"/>
      <c r="F12" s="342"/>
    </row>
    <row r="13" spans="1:7" s="360" customFormat="1" ht="13.5" customHeight="1">
      <c r="A13" s="179">
        <v>45597</v>
      </c>
      <c r="B13" s="342"/>
      <c r="C13" s="342"/>
      <c r="D13" s="342"/>
      <c r="E13" s="342"/>
      <c r="F13" s="342"/>
    </row>
    <row r="14" spans="1:7" s="360" customFormat="1">
      <c r="A14" s="179">
        <v>45627</v>
      </c>
      <c r="B14" s="342"/>
      <c r="C14" s="342"/>
      <c r="D14" s="342"/>
      <c r="E14" s="342"/>
      <c r="F14" s="342"/>
    </row>
    <row r="15" spans="1:7" s="360" customFormat="1">
      <c r="A15" s="179">
        <v>45658</v>
      </c>
      <c r="B15" s="342"/>
      <c r="C15" s="342"/>
      <c r="D15" s="342"/>
      <c r="E15" s="342"/>
      <c r="F15" s="342"/>
    </row>
    <row r="16" spans="1:7" s="360" customFormat="1">
      <c r="A16" s="179">
        <v>45689</v>
      </c>
      <c r="B16" s="342"/>
      <c r="C16" s="342"/>
      <c r="D16" s="342"/>
      <c r="E16" s="342"/>
      <c r="F16" s="342"/>
    </row>
    <row r="17" spans="1:6" s="360" customFormat="1">
      <c r="A17" s="179">
        <v>45717</v>
      </c>
      <c r="B17" s="342"/>
      <c r="C17" s="342"/>
      <c r="D17" s="342"/>
      <c r="E17" s="342"/>
      <c r="F17" s="342"/>
    </row>
    <row r="18" spans="1:6" s="360" customFormat="1" ht="15" customHeight="1">
      <c r="A18" s="136"/>
      <c r="B18" s="390"/>
      <c r="C18" s="390"/>
      <c r="D18" s="390"/>
      <c r="E18" s="390"/>
      <c r="F18" s="390"/>
    </row>
    <row r="19" spans="1:6" s="360" customFormat="1">
      <c r="A19" s="1283" t="s">
        <v>308</v>
      </c>
      <c r="B19" s="1283"/>
      <c r="C19" s="1283"/>
      <c r="D19" s="1283"/>
      <c r="E19" s="1283"/>
    </row>
    <row r="20" spans="1:6" s="360" customFormat="1">
      <c r="A20" s="484" t="s">
        <v>1299</v>
      </c>
    </row>
    <row r="21" spans="1:6" s="360" customFormat="1">
      <c r="A21" s="97"/>
      <c r="B21" s="97"/>
      <c r="C21" s="97"/>
      <c r="D21" s="97"/>
      <c r="E21" s="97"/>
    </row>
  </sheetData>
  <mergeCells count="3">
    <mergeCell ref="A2:A3"/>
    <mergeCell ref="B2:F2"/>
    <mergeCell ref="A19:E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F21"/>
  <sheetViews>
    <sheetView workbookViewId="0"/>
  </sheetViews>
  <sheetFormatPr defaultColWidth="9.140625" defaultRowHeight="15"/>
  <cols>
    <col min="1" max="6" width="14.5703125" style="97" bestFit="1" customWidth="1"/>
    <col min="7" max="7" width="4.5703125" style="97" bestFit="1" customWidth="1"/>
    <col min="8" max="16384" width="9.140625" style="97"/>
  </cols>
  <sheetData>
    <row r="1" spans="1:6" ht="18" customHeight="1">
      <c r="A1" s="251" t="s">
        <v>17</v>
      </c>
      <c r="B1" s="251"/>
      <c r="C1" s="251"/>
      <c r="D1" s="251"/>
      <c r="E1" s="251"/>
      <c r="F1" s="251"/>
    </row>
    <row r="2" spans="1:6" s="360" customFormat="1" ht="18" customHeight="1">
      <c r="A2" s="800" t="s">
        <v>309</v>
      </c>
      <c r="B2" s="1287" t="s">
        <v>304</v>
      </c>
      <c r="C2" s="1330"/>
      <c r="D2" s="1330"/>
      <c r="E2" s="1330"/>
      <c r="F2" s="1331"/>
    </row>
    <row r="3" spans="1:6" s="360" customFormat="1" ht="18" customHeight="1">
      <c r="A3" s="520"/>
      <c r="B3" s="782" t="s">
        <v>305</v>
      </c>
      <c r="C3" s="782" t="s">
        <v>306</v>
      </c>
      <c r="D3" s="782" t="s">
        <v>76</v>
      </c>
      <c r="E3" s="782" t="s">
        <v>307</v>
      </c>
      <c r="F3" s="782" t="s">
        <v>302</v>
      </c>
    </row>
    <row r="4" spans="1:6" s="102" customFormat="1" ht="18" customHeight="1">
      <c r="A4" s="490" t="s">
        <v>520</v>
      </c>
      <c r="B4" s="798">
        <v>28.24</v>
      </c>
      <c r="C4" s="798">
        <v>14.43</v>
      </c>
      <c r="D4" s="798">
        <v>7.78</v>
      </c>
      <c r="E4" s="798">
        <v>0.24</v>
      </c>
      <c r="F4" s="798">
        <v>49.31</v>
      </c>
    </row>
    <row r="5" spans="1:6" s="102" customFormat="1" ht="18" customHeight="1">
      <c r="A5" s="491" t="s">
        <v>1165</v>
      </c>
      <c r="B5" s="801">
        <v>29.46</v>
      </c>
      <c r="C5" s="801">
        <v>13.5</v>
      </c>
      <c r="D5" s="801">
        <v>8.48</v>
      </c>
      <c r="E5" s="801">
        <v>0.18</v>
      </c>
      <c r="F5" s="801">
        <v>48.38</v>
      </c>
    </row>
    <row r="6" spans="1:6" s="360" customFormat="1" ht="18" customHeight="1">
      <c r="A6" s="179">
        <v>45383</v>
      </c>
      <c r="B6" s="342">
        <v>29.27</v>
      </c>
      <c r="C6" s="342">
        <v>13.71</v>
      </c>
      <c r="D6" s="342">
        <v>8.48</v>
      </c>
      <c r="E6" s="342">
        <v>0.16</v>
      </c>
      <c r="F6" s="342">
        <v>48.39</v>
      </c>
    </row>
    <row r="7" spans="1:6" s="360" customFormat="1" ht="18" customHeight="1">
      <c r="A7" s="179">
        <v>45413</v>
      </c>
      <c r="B7" s="342">
        <v>29.15</v>
      </c>
      <c r="C7" s="342">
        <v>16.100000000000001</v>
      </c>
      <c r="D7" s="342">
        <v>8.5500000000000007</v>
      </c>
      <c r="E7" s="342">
        <v>0.19</v>
      </c>
      <c r="F7" s="342">
        <v>46.01</v>
      </c>
    </row>
    <row r="8" spans="1:6" s="360" customFormat="1" ht="18" customHeight="1">
      <c r="A8" s="179">
        <v>45444</v>
      </c>
      <c r="B8" s="342">
        <v>30.07</v>
      </c>
      <c r="C8" s="342">
        <v>13.22</v>
      </c>
      <c r="D8" s="342">
        <v>8.7100000000000009</v>
      </c>
      <c r="E8" s="342">
        <v>0.18</v>
      </c>
      <c r="F8" s="342">
        <v>47.82</v>
      </c>
    </row>
    <row r="9" spans="1:6" s="360" customFormat="1" ht="18" customHeight="1">
      <c r="A9" s="179">
        <v>45474</v>
      </c>
      <c r="B9" s="342">
        <v>29.26</v>
      </c>
      <c r="C9" s="342">
        <v>11.53</v>
      </c>
      <c r="D9" s="342">
        <v>8.19</v>
      </c>
      <c r="E9" s="342">
        <v>0.2</v>
      </c>
      <c r="F9" s="342">
        <v>50.82</v>
      </c>
    </row>
    <row r="10" spans="1:6" s="360" customFormat="1" ht="18" customHeight="1">
      <c r="A10" s="179">
        <v>45505</v>
      </c>
      <c r="B10" s="342"/>
      <c r="C10" s="342"/>
      <c r="D10" s="342"/>
      <c r="E10" s="342"/>
      <c r="F10" s="342"/>
    </row>
    <row r="11" spans="1:6" s="360" customFormat="1" ht="18" customHeight="1">
      <c r="A11" s="179">
        <v>45536</v>
      </c>
      <c r="B11" s="342"/>
      <c r="C11" s="342"/>
      <c r="D11" s="342"/>
      <c r="E11" s="342"/>
      <c r="F11" s="342"/>
    </row>
    <row r="12" spans="1:6" s="360" customFormat="1">
      <c r="A12" s="179">
        <v>45566</v>
      </c>
      <c r="B12" s="342"/>
      <c r="C12" s="342"/>
      <c r="D12" s="342"/>
      <c r="E12" s="342"/>
      <c r="F12" s="342"/>
    </row>
    <row r="13" spans="1:6" s="360" customFormat="1" ht="13.5" customHeight="1">
      <c r="A13" s="179">
        <v>45597</v>
      </c>
      <c r="B13" s="342"/>
      <c r="C13" s="342"/>
      <c r="D13" s="342"/>
      <c r="E13" s="342"/>
      <c r="F13" s="342"/>
    </row>
    <row r="14" spans="1:6" s="360" customFormat="1">
      <c r="A14" s="179">
        <v>45627</v>
      </c>
      <c r="B14" s="342"/>
      <c r="C14" s="342"/>
      <c r="D14" s="342"/>
      <c r="E14" s="342"/>
      <c r="F14" s="342"/>
    </row>
    <row r="15" spans="1:6" s="360" customFormat="1">
      <c r="A15" s="179">
        <v>45658</v>
      </c>
      <c r="B15" s="342"/>
      <c r="C15" s="342"/>
      <c r="D15" s="342"/>
      <c r="E15" s="342"/>
      <c r="F15" s="342"/>
    </row>
    <row r="16" spans="1:6" s="360" customFormat="1">
      <c r="A16" s="179">
        <v>45689</v>
      </c>
      <c r="B16" s="342"/>
      <c r="C16" s="342"/>
      <c r="D16" s="342"/>
      <c r="E16" s="342"/>
      <c r="F16" s="342"/>
    </row>
    <row r="17" spans="1:6" s="360" customFormat="1">
      <c r="A17" s="179">
        <v>45717</v>
      </c>
      <c r="B17" s="342"/>
      <c r="C17" s="342"/>
      <c r="D17" s="342"/>
      <c r="E17" s="342"/>
      <c r="F17" s="342"/>
    </row>
    <row r="18" spans="1:6" s="360" customFormat="1">
      <c r="A18" s="136"/>
      <c r="B18" s="390"/>
      <c r="C18" s="390"/>
      <c r="D18" s="390"/>
      <c r="E18" s="390"/>
      <c r="F18" s="390"/>
    </row>
    <row r="19" spans="1:6" s="360" customFormat="1">
      <c r="A19" s="1283" t="s">
        <v>310</v>
      </c>
      <c r="B19" s="1283"/>
      <c r="C19" s="1283"/>
      <c r="D19" s="1283"/>
      <c r="E19" s="1283"/>
      <c r="F19" s="1283"/>
    </row>
    <row r="20" spans="1:6" s="360" customFormat="1">
      <c r="A20" s="484" t="s">
        <v>1299</v>
      </c>
    </row>
    <row r="21" spans="1:6" s="360" customFormat="1">
      <c r="A21" s="97"/>
      <c r="B21" s="97"/>
      <c r="C21" s="97"/>
      <c r="D21" s="97"/>
      <c r="E21" s="97"/>
      <c r="F21" s="97"/>
    </row>
  </sheetData>
  <mergeCells count="2">
    <mergeCell ref="B2:F2"/>
    <mergeCell ref="A19:F19"/>
  </mergeCells>
  <printOptions horizontalCentered="1"/>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F12"/>
  <sheetViews>
    <sheetView workbookViewId="0"/>
  </sheetViews>
  <sheetFormatPr defaultColWidth="9.140625" defaultRowHeight="15"/>
  <cols>
    <col min="1" max="6" width="14.5703125" style="97" bestFit="1" customWidth="1"/>
    <col min="7" max="7" width="4.5703125" style="97" bestFit="1" customWidth="1"/>
    <col min="8" max="16384" width="9.140625" style="97"/>
  </cols>
  <sheetData>
    <row r="1" spans="1:6" ht="21" customHeight="1">
      <c r="A1" s="790" t="s">
        <v>18</v>
      </c>
      <c r="B1" s="790"/>
      <c r="C1" s="790"/>
      <c r="D1" s="790"/>
      <c r="E1" s="790"/>
    </row>
    <row r="2" spans="1:6" s="360" customFormat="1" ht="18.75" customHeight="1">
      <c r="A2" s="1332" t="s">
        <v>112</v>
      </c>
      <c r="B2" s="1287" t="s">
        <v>304</v>
      </c>
      <c r="C2" s="1302"/>
      <c r="D2" s="1302"/>
      <c r="E2" s="1302"/>
      <c r="F2" s="1288"/>
    </row>
    <row r="3" spans="1:6" s="360" customFormat="1" ht="18" customHeight="1">
      <c r="A3" s="1333"/>
      <c r="B3" s="782" t="s">
        <v>305</v>
      </c>
      <c r="C3" s="782" t="s">
        <v>306</v>
      </c>
      <c r="D3" s="782" t="s">
        <v>76</v>
      </c>
      <c r="E3" s="782" t="s">
        <v>307</v>
      </c>
      <c r="F3" s="782" t="s">
        <v>302</v>
      </c>
    </row>
    <row r="4" spans="1:6" s="102" customFormat="1" ht="18" customHeight="1">
      <c r="A4" s="490" t="s">
        <v>520</v>
      </c>
      <c r="B4" s="802">
        <v>0</v>
      </c>
      <c r="C4" s="802">
        <v>0</v>
      </c>
      <c r="D4" s="802">
        <v>0</v>
      </c>
      <c r="E4" s="802">
        <v>0</v>
      </c>
      <c r="F4" s="802">
        <v>100</v>
      </c>
    </row>
    <row r="5" spans="1:6" s="102" customFormat="1" ht="18" customHeight="1">
      <c r="A5" s="491" t="s">
        <v>1165</v>
      </c>
      <c r="B5" s="803">
        <v>0.41786769864788265</v>
      </c>
      <c r="C5" s="803">
        <v>0</v>
      </c>
      <c r="D5" s="803">
        <v>0</v>
      </c>
      <c r="E5" s="803">
        <v>0</v>
      </c>
      <c r="F5" s="803">
        <v>99.653214352635104</v>
      </c>
    </row>
    <row r="6" spans="1:6" s="360" customFormat="1" ht="18" customHeight="1">
      <c r="A6" s="179">
        <v>45383</v>
      </c>
      <c r="B6" s="335">
        <v>0</v>
      </c>
      <c r="C6" s="335">
        <v>0</v>
      </c>
      <c r="D6" s="335">
        <v>0</v>
      </c>
      <c r="E6" s="335">
        <v>0</v>
      </c>
      <c r="F6" s="335">
        <v>100</v>
      </c>
    </row>
    <row r="7" spans="1:6" s="360" customFormat="1" ht="18" customHeight="1">
      <c r="A7" s="179">
        <v>45413</v>
      </c>
      <c r="B7" s="335">
        <v>0.74177162768797822</v>
      </c>
      <c r="C7" s="335">
        <v>0</v>
      </c>
      <c r="D7" s="335">
        <v>0</v>
      </c>
      <c r="E7" s="335">
        <v>0</v>
      </c>
      <c r="F7" s="335">
        <v>99.258228372312018</v>
      </c>
    </row>
    <row r="8" spans="1:6" s="360" customFormat="1" ht="18" customHeight="1">
      <c r="A8" s="179">
        <v>45444</v>
      </c>
      <c r="B8" s="335">
        <v>0</v>
      </c>
      <c r="C8" s="335">
        <v>0</v>
      </c>
      <c r="D8" s="335">
        <v>0</v>
      </c>
      <c r="E8" s="335">
        <v>0</v>
      </c>
      <c r="F8" s="335">
        <v>100</v>
      </c>
    </row>
    <row r="9" spans="1:6" s="360" customFormat="1" ht="18" customHeight="1">
      <c r="A9" s="179">
        <v>45474</v>
      </c>
      <c r="B9" s="335">
        <v>0</v>
      </c>
      <c r="C9" s="335">
        <v>0</v>
      </c>
      <c r="D9" s="335">
        <v>0</v>
      </c>
      <c r="E9" s="335">
        <v>0</v>
      </c>
      <c r="F9" s="335">
        <v>100</v>
      </c>
    </row>
    <row r="10" spans="1:6" s="360" customFormat="1">
      <c r="A10" s="484" t="s">
        <v>1299</v>
      </c>
      <c r="B10" s="391"/>
      <c r="C10" s="391"/>
      <c r="D10" s="391"/>
      <c r="E10" s="391"/>
      <c r="F10" s="391"/>
    </row>
    <row r="11" spans="1:6" s="360" customFormat="1">
      <c r="A11" s="1334" t="s">
        <v>311</v>
      </c>
      <c r="B11" s="1334"/>
      <c r="C11" s="1334"/>
      <c r="D11" s="1334"/>
      <c r="E11" s="1334"/>
      <c r="F11" s="1334"/>
    </row>
    <row r="12" spans="1:6" s="360" customFormat="1">
      <c r="B12" s="97"/>
      <c r="C12" s="97"/>
      <c r="D12" s="97"/>
      <c r="E12" s="97"/>
      <c r="F12" s="97"/>
    </row>
  </sheetData>
  <mergeCells count="3">
    <mergeCell ref="A2:A3"/>
    <mergeCell ref="B2:F2"/>
    <mergeCell ref="A11:F11"/>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K40"/>
  <sheetViews>
    <sheetView topLeftCell="A4" workbookViewId="0">
      <selection activeCell="D7" sqref="D7"/>
    </sheetView>
  </sheetViews>
  <sheetFormatPr defaultColWidth="9.140625" defaultRowHeight="15"/>
  <cols>
    <col min="1" max="1" width="6.42578125" style="148" bestFit="1" customWidth="1"/>
    <col min="2" max="2" width="20.5703125" style="148" bestFit="1" customWidth="1"/>
    <col min="3" max="3" width="10" style="148" bestFit="1" customWidth="1"/>
    <col min="4" max="4" width="13.85546875" style="148" bestFit="1" customWidth="1"/>
    <col min="5" max="5" width="9.5703125" style="148" customWidth="1"/>
    <col min="6" max="7" width="6" style="148" bestFit="1" customWidth="1"/>
    <col min="8" max="8" width="9.5703125" style="148" bestFit="1" customWidth="1"/>
    <col min="9" max="9" width="10.5703125" style="148" bestFit="1" customWidth="1"/>
    <col min="10" max="11" width="10" style="148" bestFit="1" customWidth="1"/>
    <col min="12" max="16384" width="9.140625" style="148"/>
  </cols>
  <sheetData>
    <row r="1" spans="1:11" ht="15.75" customHeight="1">
      <c r="A1" s="314" t="s">
        <v>1300</v>
      </c>
      <c r="B1" s="314"/>
      <c r="C1" s="314"/>
      <c r="D1" s="314"/>
      <c r="E1" s="314"/>
      <c r="F1" s="314"/>
      <c r="G1" s="314"/>
      <c r="H1" s="314"/>
      <c r="I1" s="314"/>
      <c r="J1" s="314"/>
    </row>
    <row r="2" spans="1:11" s="311" customFormat="1" ht="60">
      <c r="A2" s="804" t="s">
        <v>101</v>
      </c>
      <c r="B2" s="804" t="s">
        <v>312</v>
      </c>
      <c r="C2" s="805" t="s">
        <v>313</v>
      </c>
      <c r="D2" s="805" t="s">
        <v>314</v>
      </c>
      <c r="E2" s="806" t="s">
        <v>315</v>
      </c>
      <c r="F2" s="806" t="s">
        <v>316</v>
      </c>
      <c r="G2" s="806" t="s">
        <v>317</v>
      </c>
      <c r="H2" s="807" t="s">
        <v>318</v>
      </c>
      <c r="I2" s="805" t="s">
        <v>319</v>
      </c>
      <c r="J2" s="805" t="s">
        <v>320</v>
      </c>
    </row>
    <row r="3" spans="1:11" s="311" customFormat="1" ht="15" customHeight="1">
      <c r="A3" s="321">
        <v>1</v>
      </c>
      <c r="B3" s="808" t="s">
        <v>321</v>
      </c>
      <c r="C3" s="322">
        <v>123.8</v>
      </c>
      <c r="D3" s="322">
        <v>189648.149229</v>
      </c>
      <c r="E3" s="323">
        <v>2.0306335837503897</v>
      </c>
      <c r="F3" s="323">
        <v>1.0900000000000001</v>
      </c>
      <c r="G3" s="324">
        <v>0.32809100000000002</v>
      </c>
      <c r="H3" s="324">
        <v>1.55</v>
      </c>
      <c r="I3" s="325">
        <v>-4.3185890000000002</v>
      </c>
      <c r="J3" s="325">
        <v>1.19</v>
      </c>
      <c r="K3" s="149"/>
    </row>
    <row r="4" spans="1:11" s="311" customFormat="1" ht="15" customHeight="1">
      <c r="A4" s="321">
        <v>2</v>
      </c>
      <c r="B4" s="808" t="s">
        <v>322</v>
      </c>
      <c r="C4" s="322">
        <v>892.46</v>
      </c>
      <c r="D4" s="322">
        <v>334925.070289</v>
      </c>
      <c r="E4" s="323">
        <v>3.5861678510111412</v>
      </c>
      <c r="F4" s="323">
        <v>1.48</v>
      </c>
      <c r="G4" s="324">
        <v>0.45300299999999999</v>
      </c>
      <c r="H4" s="324">
        <v>1.78</v>
      </c>
      <c r="I4" s="325">
        <v>2.8155739999999998</v>
      </c>
      <c r="J4" s="325">
        <v>1.46</v>
      </c>
    </row>
    <row r="5" spans="1:11" s="311" customFormat="1" ht="15" customHeight="1">
      <c r="A5" s="321">
        <v>3</v>
      </c>
      <c r="B5" s="808" t="s">
        <v>323</v>
      </c>
      <c r="C5" s="322">
        <v>88.78</v>
      </c>
      <c r="D5" s="322">
        <v>144282.048545</v>
      </c>
      <c r="E5" s="323">
        <v>1.5448817955718781</v>
      </c>
      <c r="F5" s="323">
        <v>0.66</v>
      </c>
      <c r="G5" s="324">
        <v>0.148538</v>
      </c>
      <c r="H5" s="324">
        <v>1.39</v>
      </c>
      <c r="I5" s="325">
        <v>1.5193319999999999</v>
      </c>
      <c r="J5" s="325">
        <v>1.19</v>
      </c>
    </row>
    <row r="6" spans="1:11" s="311" customFormat="1" ht="15" customHeight="1">
      <c r="A6" s="321">
        <v>4</v>
      </c>
      <c r="B6" s="808" t="s">
        <v>324</v>
      </c>
      <c r="C6" s="322">
        <v>761.41</v>
      </c>
      <c r="D6" s="322">
        <v>1217170.135635</v>
      </c>
      <c r="E6" s="323">
        <v>13.03269536036421</v>
      </c>
      <c r="F6" s="323">
        <v>1.0900000000000001</v>
      </c>
      <c r="G6" s="324">
        <v>0.43541800000000003</v>
      </c>
      <c r="H6" s="324">
        <v>1.34</v>
      </c>
      <c r="I6" s="325">
        <v>-3.949986</v>
      </c>
      <c r="J6" s="325">
        <v>1.53</v>
      </c>
    </row>
    <row r="7" spans="1:11" s="311" customFormat="1" ht="15" customHeight="1">
      <c r="A7" s="321">
        <v>5</v>
      </c>
      <c r="B7" s="808" t="s">
        <v>325</v>
      </c>
      <c r="C7" s="322">
        <v>2076.0100000000002</v>
      </c>
      <c r="D7" s="322">
        <v>674707.296034</v>
      </c>
      <c r="E7" s="323">
        <v>7.2243430800565411</v>
      </c>
      <c r="F7" s="323">
        <v>0.74</v>
      </c>
      <c r="G7" s="324">
        <v>0.20024600000000001</v>
      </c>
      <c r="H7" s="324">
        <v>1.33</v>
      </c>
      <c r="I7" s="325">
        <v>19.215672999999999</v>
      </c>
      <c r="J7" s="325">
        <v>1.31</v>
      </c>
    </row>
    <row r="8" spans="1:11" s="311" customFormat="1" ht="15" customHeight="1">
      <c r="A8" s="321">
        <v>6</v>
      </c>
      <c r="B8" s="808" t="s">
        <v>1062</v>
      </c>
      <c r="C8" s="322">
        <v>244.55</v>
      </c>
      <c r="D8" s="322">
        <v>88482.027992000003</v>
      </c>
      <c r="E8" s="323">
        <v>0.94741012938618407</v>
      </c>
      <c r="F8" s="323">
        <v>1.34</v>
      </c>
      <c r="G8" s="324">
        <v>0.46759200000000001</v>
      </c>
      <c r="H8" s="324">
        <v>1.58</v>
      </c>
      <c r="I8" s="325">
        <v>-0.39723000000000003</v>
      </c>
      <c r="J8" s="325">
        <v>0.94</v>
      </c>
    </row>
    <row r="9" spans="1:11" s="311" customFormat="1" ht="15" customHeight="1">
      <c r="A9" s="321">
        <v>7</v>
      </c>
      <c r="B9" s="808" t="s">
        <v>326</v>
      </c>
      <c r="C9" s="322">
        <v>994.06</v>
      </c>
      <c r="D9" s="322">
        <v>265770.67004499998</v>
      </c>
      <c r="E9" s="323">
        <v>2.8457058524602528</v>
      </c>
      <c r="F9" s="323">
        <v>0.92</v>
      </c>
      <c r="G9" s="324">
        <v>0.27512300000000001</v>
      </c>
      <c r="H9" s="324">
        <v>1.42</v>
      </c>
      <c r="I9" s="325">
        <v>0.20244000000000001</v>
      </c>
      <c r="J9" s="325">
        <v>1.33</v>
      </c>
    </row>
    <row r="10" spans="1:11" s="311" customFormat="1" ht="15" customHeight="1">
      <c r="A10" s="321">
        <v>8</v>
      </c>
      <c r="B10" s="808" t="s">
        <v>327</v>
      </c>
      <c r="C10" s="322">
        <v>6765.81</v>
      </c>
      <c r="D10" s="322">
        <v>1018321.066638</v>
      </c>
      <c r="E10" s="323">
        <v>10.903544091320024</v>
      </c>
      <c r="F10" s="323">
        <v>1.17</v>
      </c>
      <c r="G10" s="324">
        <v>0.51992099999999997</v>
      </c>
      <c r="H10" s="324">
        <v>1.31</v>
      </c>
      <c r="I10" s="325">
        <v>-3.8826890000000001</v>
      </c>
      <c r="J10" s="325">
        <v>1.48</v>
      </c>
    </row>
    <row r="11" spans="1:11" s="311" customFormat="1" ht="15" customHeight="1">
      <c r="A11" s="321">
        <v>9</v>
      </c>
      <c r="B11" s="808" t="s">
        <v>328</v>
      </c>
      <c r="C11" s="322">
        <v>1248.3399999999999</v>
      </c>
      <c r="D11" s="322">
        <v>136233.06180299999</v>
      </c>
      <c r="E11" s="323">
        <v>1.4586982875338914</v>
      </c>
      <c r="F11" s="323">
        <v>1.49</v>
      </c>
      <c r="G11" s="324">
        <v>0.45011800000000002</v>
      </c>
      <c r="H11" s="324">
        <v>1.8</v>
      </c>
      <c r="I11" s="325">
        <v>-4.9712639999999997</v>
      </c>
      <c r="J11" s="325">
        <v>1.34</v>
      </c>
    </row>
    <row r="12" spans="1:11" s="311" customFormat="1" ht="15" customHeight="1">
      <c r="A12" s="321">
        <v>10</v>
      </c>
      <c r="B12" s="808" t="s">
        <v>329</v>
      </c>
      <c r="C12" s="322">
        <v>274.97000000000003</v>
      </c>
      <c r="D12" s="322">
        <v>445512.06082999997</v>
      </c>
      <c r="E12" s="323">
        <v>4.7702640725212344</v>
      </c>
      <c r="F12" s="323">
        <v>1.41</v>
      </c>
      <c r="G12" s="324">
        <v>0.46248699999999998</v>
      </c>
      <c r="H12" s="324">
        <v>1.68</v>
      </c>
      <c r="I12" s="325">
        <v>7.4139290000000004</v>
      </c>
      <c r="J12" s="325">
        <v>1.45</v>
      </c>
    </row>
    <row r="13" spans="1:11" s="311" customFormat="1" ht="15" customHeight="1">
      <c r="A13" s="321">
        <v>11</v>
      </c>
      <c r="B13" s="808" t="s">
        <v>330</v>
      </c>
      <c r="C13" s="322">
        <v>621.76</v>
      </c>
      <c r="D13" s="322">
        <v>256678.31312499999</v>
      </c>
      <c r="E13" s="323">
        <v>2.7483505901375871</v>
      </c>
      <c r="F13" s="323">
        <v>1.1100000000000001</v>
      </c>
      <c r="G13" s="324">
        <v>0.24982699999999999</v>
      </c>
      <c r="H13" s="324">
        <v>1.8</v>
      </c>
      <c r="I13" s="325">
        <v>1.359737</v>
      </c>
      <c r="J13" s="325">
        <v>1.34</v>
      </c>
    </row>
    <row r="14" spans="1:11" s="311" customFormat="1" ht="15" customHeight="1">
      <c r="A14" s="321">
        <v>12</v>
      </c>
      <c r="B14" s="808" t="s">
        <v>331</v>
      </c>
      <c r="C14" s="322">
        <v>664.93</v>
      </c>
      <c r="D14" s="322">
        <v>203700.49640999999</v>
      </c>
      <c r="E14" s="323">
        <v>2.1810973147821251</v>
      </c>
      <c r="F14" s="323">
        <v>0.93</v>
      </c>
      <c r="G14" s="324">
        <v>0.209369</v>
      </c>
      <c r="H14" s="324">
        <v>1.64</v>
      </c>
      <c r="I14" s="325">
        <v>16.791232999999998</v>
      </c>
      <c r="J14" s="325">
        <v>1.63</v>
      </c>
    </row>
    <row r="15" spans="1:11" s="311" customFormat="1" ht="15" customHeight="1">
      <c r="A15" s="321">
        <v>13</v>
      </c>
      <c r="B15" s="808" t="s">
        <v>332</v>
      </c>
      <c r="C15" s="322">
        <v>234.96</v>
      </c>
      <c r="D15" s="322">
        <v>241608.20757100001</v>
      </c>
      <c r="E15" s="323">
        <v>2.5869893399855282</v>
      </c>
      <c r="F15" s="323">
        <v>0.2</v>
      </c>
      <c r="G15" s="324">
        <v>2.2641000000000001E-2</v>
      </c>
      <c r="H15" s="324">
        <v>1.0900000000000001</v>
      </c>
      <c r="I15" s="325">
        <v>9.3265189999999993</v>
      </c>
      <c r="J15" s="325">
        <v>1.17</v>
      </c>
    </row>
    <row r="16" spans="1:11" s="311" customFormat="1" ht="15" customHeight="1">
      <c r="A16" s="321">
        <v>14</v>
      </c>
      <c r="B16" s="808" t="s">
        <v>333</v>
      </c>
      <c r="C16" s="322">
        <v>96.42</v>
      </c>
      <c r="D16" s="322">
        <v>87620.225974999994</v>
      </c>
      <c r="E16" s="323">
        <v>0.93818249323271496</v>
      </c>
      <c r="F16" s="323">
        <v>0.28999999999999998</v>
      </c>
      <c r="G16" s="324">
        <v>3.6913000000000001E-2</v>
      </c>
      <c r="H16" s="324">
        <v>1.2</v>
      </c>
      <c r="I16" s="325">
        <v>-3.7766150000000001</v>
      </c>
      <c r="J16" s="325">
        <v>0.94</v>
      </c>
    </row>
    <row r="17" spans="1:10" s="311" customFormat="1" ht="15" customHeight="1">
      <c r="A17" s="321">
        <v>15</v>
      </c>
      <c r="B17" s="808" t="s">
        <v>334</v>
      </c>
      <c r="C17" s="322">
        <v>95.92</v>
      </c>
      <c r="D17" s="322">
        <v>138957.191784</v>
      </c>
      <c r="E17" s="323">
        <v>1.4878665649381722</v>
      </c>
      <c r="F17" s="323">
        <v>0.52</v>
      </c>
      <c r="G17" s="324">
        <v>0.140182</v>
      </c>
      <c r="H17" s="324">
        <v>1.1299999999999999</v>
      </c>
      <c r="I17" s="325">
        <v>5.6559140000000001</v>
      </c>
      <c r="J17" s="325">
        <v>1.28</v>
      </c>
    </row>
    <row r="18" spans="1:10" s="311" customFormat="1" ht="15" customHeight="1">
      <c r="A18" s="321">
        <v>16</v>
      </c>
      <c r="B18" s="808" t="s">
        <v>335</v>
      </c>
      <c r="C18" s="322">
        <v>1249.5899999999999</v>
      </c>
      <c r="D18" s="322">
        <v>457361.523698</v>
      </c>
      <c r="E18" s="323">
        <v>4.8971406982462193</v>
      </c>
      <c r="F18" s="323">
        <v>0.67</v>
      </c>
      <c r="G18" s="324">
        <v>0.20824300000000001</v>
      </c>
      <c r="H18" s="324">
        <v>1.19</v>
      </c>
      <c r="I18" s="325">
        <v>16.509767</v>
      </c>
      <c r="J18" s="325">
        <v>1.34</v>
      </c>
    </row>
    <row r="19" spans="1:10" s="311" customFormat="1" ht="15" customHeight="1">
      <c r="A19" s="321">
        <v>17</v>
      </c>
      <c r="B19" s="808" t="s">
        <v>336</v>
      </c>
      <c r="C19" s="322">
        <v>239.93</v>
      </c>
      <c r="D19" s="322">
        <v>185471.83244699999</v>
      </c>
      <c r="E19" s="323">
        <v>1.9859161997506685</v>
      </c>
      <c r="F19" s="323">
        <v>0.45</v>
      </c>
      <c r="G19" s="324">
        <v>9.8622000000000001E-2</v>
      </c>
      <c r="H19" s="324">
        <v>1.17</v>
      </c>
      <c r="I19" s="325">
        <v>12.838281</v>
      </c>
      <c r="J19" s="325">
        <v>1.07</v>
      </c>
    </row>
    <row r="20" spans="1:10" s="311" customFormat="1" ht="15" customHeight="1">
      <c r="A20" s="321">
        <v>18</v>
      </c>
      <c r="B20" s="808" t="s">
        <v>337</v>
      </c>
      <c r="C20" s="322">
        <v>1407.72</v>
      </c>
      <c r="D20" s="322">
        <v>853906.60860000004</v>
      </c>
      <c r="E20" s="323">
        <v>9.143097066113679</v>
      </c>
      <c r="F20" s="323">
        <v>1.04</v>
      </c>
      <c r="G20" s="324">
        <v>0.46689799999999998</v>
      </c>
      <c r="H20" s="324">
        <v>1.24</v>
      </c>
      <c r="I20" s="325">
        <v>1.250208</v>
      </c>
      <c r="J20" s="325">
        <v>1.32</v>
      </c>
    </row>
    <row r="21" spans="1:10" s="311" customFormat="1" ht="15" customHeight="1">
      <c r="A21" s="321">
        <v>19</v>
      </c>
      <c r="B21" s="808" t="s">
        <v>338</v>
      </c>
      <c r="C21" s="322">
        <v>778.73</v>
      </c>
      <c r="D21" s="322">
        <v>94487.018104999996</v>
      </c>
      <c r="E21" s="323">
        <v>1.0117078019082748</v>
      </c>
      <c r="F21" s="323">
        <v>1.34</v>
      </c>
      <c r="G21" s="324">
        <v>0.451681</v>
      </c>
      <c r="H21" s="324">
        <v>1.61</v>
      </c>
      <c r="I21" s="325">
        <v>-2.4354420000000001</v>
      </c>
      <c r="J21" s="325">
        <v>1.1499999999999999</v>
      </c>
    </row>
    <row r="22" spans="1:10" s="311" customFormat="1" ht="15" customHeight="1">
      <c r="A22" s="321">
        <v>20</v>
      </c>
      <c r="B22" s="808" t="s">
        <v>339</v>
      </c>
      <c r="C22" s="322">
        <v>618.20000000000005</v>
      </c>
      <c r="D22" s="322">
        <v>327728.61559599999</v>
      </c>
      <c r="E22" s="323">
        <v>3.5091127221161145</v>
      </c>
      <c r="F22" s="323">
        <v>1.1499999999999999</v>
      </c>
      <c r="G22" s="324">
        <v>0.37498399999999998</v>
      </c>
      <c r="H22" s="324">
        <v>1.51</v>
      </c>
      <c r="I22" s="325">
        <v>-7.861262</v>
      </c>
      <c r="J22" s="325">
        <v>1.07</v>
      </c>
    </row>
    <row r="23" spans="1:10" s="311" customFormat="1" ht="15" customHeight="1">
      <c r="A23" s="321">
        <v>21</v>
      </c>
      <c r="B23" s="808" t="s">
        <v>340</v>
      </c>
      <c r="C23" s="322">
        <v>542.73</v>
      </c>
      <c r="D23" s="322">
        <v>173772.38762299999</v>
      </c>
      <c r="E23" s="323">
        <v>1.8606458732674813</v>
      </c>
      <c r="F23" s="323">
        <v>0.61</v>
      </c>
      <c r="G23" s="324">
        <v>0.12975900000000001</v>
      </c>
      <c r="H23" s="324">
        <v>1.38</v>
      </c>
      <c r="I23" s="325">
        <v>12.493148</v>
      </c>
      <c r="J23" s="325">
        <v>1.1399999999999999</v>
      </c>
    </row>
    <row r="24" spans="1:10" s="311" customFormat="1" ht="15" customHeight="1">
      <c r="A24" s="321">
        <v>22</v>
      </c>
      <c r="B24" s="808" t="s">
        <v>341</v>
      </c>
      <c r="C24" s="322">
        <v>2846.15</v>
      </c>
      <c r="D24" s="322">
        <v>398096.85284000001</v>
      </c>
      <c r="E24" s="323">
        <v>4.2625717268989094</v>
      </c>
      <c r="F24" s="323">
        <v>0.85</v>
      </c>
      <c r="G24" s="324">
        <v>0.26341100000000001</v>
      </c>
      <c r="H24" s="324">
        <v>1.34</v>
      </c>
      <c r="I24" s="325">
        <v>3.28986</v>
      </c>
      <c r="J24" s="325">
        <v>1.17</v>
      </c>
    </row>
    <row r="25" spans="1:10" s="311" customFormat="1" ht="15" customHeight="1">
      <c r="A25" s="321">
        <v>23</v>
      </c>
      <c r="B25" s="808" t="s">
        <v>342</v>
      </c>
      <c r="C25" s="322">
        <v>157.19999999999999</v>
      </c>
      <c r="D25" s="322">
        <v>173881.805322</v>
      </c>
      <c r="E25" s="323">
        <v>1.8618174494476305</v>
      </c>
      <c r="F25" s="323">
        <v>0.71</v>
      </c>
      <c r="G25" s="324">
        <v>0.20211999999999999</v>
      </c>
      <c r="H25" s="324">
        <v>1.28</v>
      </c>
      <c r="I25" s="325">
        <v>9.3965219999999992</v>
      </c>
      <c r="J25" s="325">
        <v>1.1200000000000001</v>
      </c>
    </row>
    <row r="26" spans="1:10" s="311" customFormat="1" ht="15" customHeight="1">
      <c r="A26" s="321">
        <v>24</v>
      </c>
      <c r="B26" s="808" t="s">
        <v>343</v>
      </c>
      <c r="C26" s="322">
        <v>288.7</v>
      </c>
      <c r="D26" s="322">
        <v>137216.87065600001</v>
      </c>
      <c r="E26" s="323">
        <v>1.4692322964604982</v>
      </c>
      <c r="F26" s="323">
        <v>1.1000000000000001</v>
      </c>
      <c r="G26" s="324">
        <v>0.39210899999999999</v>
      </c>
      <c r="H26" s="324">
        <v>1.42</v>
      </c>
      <c r="I26" s="325">
        <v>1.8994450000000001</v>
      </c>
      <c r="J26" s="325">
        <v>1.02</v>
      </c>
    </row>
    <row r="27" spans="1:10" s="311" customFormat="1" ht="15" customHeight="1">
      <c r="A27" s="321">
        <v>25</v>
      </c>
      <c r="B27" s="808" t="s">
        <v>344</v>
      </c>
      <c r="C27" s="322">
        <v>361.81</v>
      </c>
      <c r="D27" s="322">
        <v>444193.38737800001</v>
      </c>
      <c r="E27" s="323">
        <v>4.7561445432322991</v>
      </c>
      <c r="F27" s="323">
        <v>0.59</v>
      </c>
      <c r="G27" s="324">
        <v>0.145617</v>
      </c>
      <c r="H27" s="324">
        <v>1.25</v>
      </c>
      <c r="I27" s="325">
        <v>12.284408000000001</v>
      </c>
      <c r="J27" s="325">
        <v>1.25</v>
      </c>
    </row>
    <row r="28" spans="1:10" s="311" customFormat="1" ht="15" customHeight="1">
      <c r="A28" s="321">
        <v>26</v>
      </c>
      <c r="B28" s="808" t="s">
        <v>345</v>
      </c>
      <c r="C28" s="322">
        <v>9696.67</v>
      </c>
      <c r="D28" s="322">
        <v>197680.59657600001</v>
      </c>
      <c r="E28" s="323">
        <v>2.1166399983072193</v>
      </c>
      <c r="F28" s="323">
        <v>1.66</v>
      </c>
      <c r="G28" s="324">
        <v>0.43490400000000001</v>
      </c>
      <c r="H28" s="324">
        <v>2.0299999999999998</v>
      </c>
      <c r="I28" s="325">
        <v>9.9643180000000005</v>
      </c>
      <c r="J28" s="325">
        <v>1.5</v>
      </c>
    </row>
    <row r="29" spans="1:10" s="311" customFormat="1" ht="15" customHeight="1">
      <c r="A29" s="321">
        <v>27</v>
      </c>
      <c r="B29" s="808" t="s">
        <v>346</v>
      </c>
      <c r="C29" s="322">
        <v>488.96</v>
      </c>
      <c r="D29" s="322">
        <v>98660.420807000002</v>
      </c>
      <c r="E29" s="323">
        <v>1.0563939837647753</v>
      </c>
      <c r="F29" s="323">
        <v>0.86</v>
      </c>
      <c r="G29" s="324">
        <v>0.20704900000000001</v>
      </c>
      <c r="H29" s="324">
        <v>1.53</v>
      </c>
      <c r="I29" s="325">
        <v>8.6491389999999999</v>
      </c>
      <c r="J29" s="325">
        <v>1.1299999999999999</v>
      </c>
    </row>
    <row r="30" spans="1:10" s="311" customFormat="1" ht="15" customHeight="1">
      <c r="A30" s="321">
        <v>28</v>
      </c>
      <c r="B30" s="808" t="s">
        <v>347</v>
      </c>
      <c r="C30" s="322">
        <v>9300.6</v>
      </c>
      <c r="D30" s="322">
        <v>158867.33716600001</v>
      </c>
      <c r="E30" s="323">
        <v>1.7010519297013287</v>
      </c>
      <c r="F30" s="323">
        <v>1.23</v>
      </c>
      <c r="G30" s="324">
        <v>0.27697699999999997</v>
      </c>
      <c r="H30" s="324">
        <v>1.89</v>
      </c>
      <c r="I30" s="325">
        <v>5.3808939999999996</v>
      </c>
      <c r="J30" s="325">
        <v>1.1200000000000001</v>
      </c>
    </row>
    <row r="31" spans="1:10" s="311" customFormat="1" ht="15" customHeight="1">
      <c r="A31" s="321">
        <v>29</v>
      </c>
      <c r="B31" s="808" t="s">
        <v>1292</v>
      </c>
      <c r="C31" s="322">
        <v>432.03</v>
      </c>
      <c r="D31" s="322">
        <v>115282.51416599999</v>
      </c>
      <c r="E31" s="323">
        <v>1.2343729471463929</v>
      </c>
      <c r="F31" s="323">
        <v>2.0499999999999998</v>
      </c>
      <c r="G31" s="324">
        <v>0.39524300000000001</v>
      </c>
      <c r="H31" s="324">
        <v>2.64</v>
      </c>
      <c r="I31" s="325">
        <v>6.2440769999999999</v>
      </c>
      <c r="J31" s="325">
        <v>1.06</v>
      </c>
    </row>
    <row r="32" spans="1:10" s="311" customFormat="1" ht="15" customHeight="1">
      <c r="A32" s="321">
        <v>30</v>
      </c>
      <c r="B32" s="808" t="s">
        <v>348</v>
      </c>
      <c r="C32" s="322">
        <v>159.66999999999999</v>
      </c>
      <c r="D32" s="322">
        <v>79134.658911000006</v>
      </c>
      <c r="E32" s="323">
        <v>0.8473243565866353</v>
      </c>
      <c r="F32" s="323">
        <v>0.97</v>
      </c>
      <c r="G32" s="324">
        <v>0.35581499999999999</v>
      </c>
      <c r="H32" s="324">
        <v>1.31</v>
      </c>
      <c r="I32" s="325">
        <v>4.1252040000000001</v>
      </c>
      <c r="J32" s="325">
        <v>1.07</v>
      </c>
    </row>
    <row r="33" spans="1:10" s="311" customFormat="1" ht="15" customHeight="1">
      <c r="A33" s="809"/>
      <c r="B33" s="810"/>
      <c r="C33" s="811"/>
      <c r="D33" s="811"/>
      <c r="E33" s="812"/>
      <c r="F33" s="813"/>
      <c r="G33" s="814"/>
      <c r="H33" s="814"/>
      <c r="I33" s="815"/>
      <c r="J33" s="815"/>
    </row>
    <row r="34" spans="1:10" s="311" customFormat="1">
      <c r="A34" s="1335" t="s">
        <v>1293</v>
      </c>
      <c r="B34" s="1335"/>
      <c r="C34" s="1335"/>
      <c r="D34" s="1335"/>
      <c r="E34" s="1335"/>
      <c r="F34" s="1335"/>
      <c r="G34" s="1335"/>
      <c r="H34" s="1335"/>
      <c r="I34" s="1335"/>
      <c r="J34" s="1335"/>
    </row>
    <row r="35" spans="1:10" s="311" customFormat="1">
      <c r="A35" s="1335" t="s">
        <v>349</v>
      </c>
      <c r="B35" s="1335"/>
      <c r="C35" s="1335"/>
      <c r="D35" s="1335"/>
      <c r="E35" s="1335"/>
      <c r="F35" s="1335"/>
      <c r="G35" s="1335"/>
      <c r="H35" s="1335"/>
      <c r="I35" s="1335"/>
      <c r="J35" s="1335"/>
    </row>
    <row r="36" spans="1:10" s="311" customFormat="1">
      <c r="A36" s="1335" t="s">
        <v>350</v>
      </c>
      <c r="B36" s="1335"/>
      <c r="C36" s="1335"/>
      <c r="D36" s="1335"/>
      <c r="E36" s="1335"/>
      <c r="F36" s="1335"/>
      <c r="G36" s="1335"/>
      <c r="H36" s="1335"/>
      <c r="I36" s="1335"/>
      <c r="J36" s="1335"/>
    </row>
    <row r="37" spans="1:10" s="311" customFormat="1" ht="33" customHeight="1">
      <c r="A37" s="1335" t="s">
        <v>351</v>
      </c>
      <c r="B37" s="1335"/>
      <c r="C37" s="1335"/>
      <c r="D37" s="1335"/>
      <c r="E37" s="1335"/>
      <c r="F37" s="1335"/>
      <c r="G37" s="1335"/>
      <c r="H37" s="1335"/>
      <c r="I37" s="1335"/>
      <c r="J37" s="1335"/>
    </row>
    <row r="38" spans="1:10" s="311" customFormat="1">
      <c r="A38" s="1335" t="s">
        <v>352</v>
      </c>
      <c r="B38" s="1335"/>
      <c r="C38" s="1335"/>
      <c r="D38" s="1335"/>
      <c r="E38" s="1335"/>
      <c r="F38" s="1335"/>
      <c r="G38" s="1335"/>
      <c r="H38" s="1335"/>
      <c r="I38" s="1335"/>
      <c r="J38" s="1335"/>
    </row>
    <row r="39" spans="1:10" s="311" customFormat="1">
      <c r="A39" s="313" t="s">
        <v>308</v>
      </c>
      <c r="H39" s="312"/>
    </row>
    <row r="40" spans="1:10" s="311" customFormat="1"/>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K60"/>
  <sheetViews>
    <sheetView topLeftCell="A6" workbookViewId="0">
      <selection activeCell="I22" sqref="I22"/>
    </sheetView>
  </sheetViews>
  <sheetFormatPr defaultColWidth="9.140625" defaultRowHeight="12"/>
  <cols>
    <col min="1" max="1" width="6.42578125" style="150" bestFit="1" customWidth="1"/>
    <col min="2" max="2" width="20.5703125" style="150" bestFit="1" customWidth="1"/>
    <col min="3" max="3" width="14.5703125" style="150" bestFit="1" customWidth="1"/>
    <col min="4" max="4" width="13.85546875" style="150" bestFit="1" customWidth="1"/>
    <col min="5" max="5" width="9.85546875" style="150" customWidth="1"/>
    <col min="6" max="6" width="7.85546875" style="150" customWidth="1"/>
    <col min="7" max="7" width="9" style="150" customWidth="1"/>
    <col min="8" max="8" width="9.5703125" style="150" bestFit="1" customWidth="1"/>
    <col min="9" max="9" width="10.5703125" style="150" bestFit="1" customWidth="1"/>
    <col min="10" max="10" width="11.5703125" style="150" customWidth="1"/>
    <col min="11" max="11" width="30.42578125" style="150" bestFit="1" customWidth="1"/>
    <col min="12" max="12" width="4.5703125" style="150" bestFit="1" customWidth="1"/>
    <col min="13" max="16384" width="9.140625" style="150"/>
  </cols>
  <sheetData>
    <row r="1" spans="1:11">
      <c r="A1" s="326" t="s">
        <v>1308</v>
      </c>
      <c r="B1" s="326"/>
      <c r="C1" s="326"/>
      <c r="D1" s="326"/>
      <c r="E1" s="326"/>
      <c r="F1" s="326"/>
      <c r="G1" s="326"/>
      <c r="H1" s="326"/>
      <c r="I1" s="326"/>
      <c r="J1" s="326"/>
      <c r="K1" s="326"/>
    </row>
    <row r="2" spans="1:11" s="151" customFormat="1" ht="48">
      <c r="A2" s="816" t="s">
        <v>353</v>
      </c>
      <c r="B2" s="816" t="s">
        <v>312</v>
      </c>
      <c r="C2" s="817" t="s">
        <v>313</v>
      </c>
      <c r="D2" s="817" t="s">
        <v>314</v>
      </c>
      <c r="E2" s="816" t="s">
        <v>315</v>
      </c>
      <c r="F2" s="816" t="s">
        <v>316</v>
      </c>
      <c r="G2" s="816" t="s">
        <v>317</v>
      </c>
      <c r="H2" s="817" t="s">
        <v>318</v>
      </c>
      <c r="I2" s="817" t="s">
        <v>319</v>
      </c>
      <c r="J2" s="817" t="s">
        <v>320</v>
      </c>
    </row>
    <row r="3" spans="1:11" s="151" customFormat="1" ht="15">
      <c r="A3" s="321">
        <v>1</v>
      </c>
      <c r="B3" s="808" t="s">
        <v>354</v>
      </c>
      <c r="C3" s="322">
        <v>114</v>
      </c>
      <c r="D3" s="322">
        <v>83101.75</v>
      </c>
      <c r="E3" s="323">
        <v>0.75</v>
      </c>
      <c r="F3" s="323">
        <v>2.08</v>
      </c>
      <c r="G3" s="324">
        <v>0.4</v>
      </c>
      <c r="H3" s="324">
        <v>1.22</v>
      </c>
      <c r="I3" s="325">
        <v>-0.24</v>
      </c>
      <c r="J3" s="325">
        <v>0.02</v>
      </c>
      <c r="K3" s="361"/>
    </row>
    <row r="4" spans="1:11" s="151" customFormat="1" ht="25.5">
      <c r="A4" s="321">
        <v>2</v>
      </c>
      <c r="B4" s="808" t="s">
        <v>355</v>
      </c>
      <c r="C4" s="322">
        <v>432.03</v>
      </c>
      <c r="D4" s="322">
        <v>115300.87</v>
      </c>
      <c r="E4" s="323">
        <v>1.05</v>
      </c>
      <c r="F4" s="323">
        <v>2.09</v>
      </c>
      <c r="G4" s="324">
        <v>0.43</v>
      </c>
      <c r="H4" s="324">
        <v>1.3</v>
      </c>
      <c r="I4" s="325">
        <v>6.21</v>
      </c>
      <c r="J4" s="325">
        <v>0.03</v>
      </c>
      <c r="K4" s="361"/>
    </row>
    <row r="5" spans="1:11" s="151" customFormat="1" ht="25.5">
      <c r="A5" s="321">
        <v>3</v>
      </c>
      <c r="B5" s="808" t="s">
        <v>356</v>
      </c>
      <c r="C5" s="322">
        <v>71.89</v>
      </c>
      <c r="D5" s="322">
        <v>66582.5</v>
      </c>
      <c r="E5" s="323">
        <v>0.6</v>
      </c>
      <c r="F5" s="323">
        <v>0.57999999999999996</v>
      </c>
      <c r="G5" s="324">
        <v>0.11</v>
      </c>
      <c r="H5" s="324">
        <v>1.23</v>
      </c>
      <c r="I5" s="325">
        <v>6.95</v>
      </c>
      <c r="J5" s="325">
        <v>0.01</v>
      </c>
      <c r="K5" s="361"/>
    </row>
    <row r="6" spans="1:11" s="151" customFormat="1" ht="15">
      <c r="A6" s="321">
        <v>4</v>
      </c>
      <c r="B6" s="808" t="s">
        <v>357</v>
      </c>
      <c r="C6" s="322">
        <v>95.92</v>
      </c>
      <c r="D6" s="322">
        <v>139054.09</v>
      </c>
      <c r="E6" s="323">
        <v>1.26</v>
      </c>
      <c r="F6" s="323">
        <v>0.55000000000000004</v>
      </c>
      <c r="G6" s="324">
        <v>0.15</v>
      </c>
      <c r="H6" s="324">
        <v>1.19</v>
      </c>
      <c r="I6" s="325">
        <v>5.74</v>
      </c>
      <c r="J6" s="325">
        <v>0.02</v>
      </c>
      <c r="K6" s="361"/>
    </row>
    <row r="7" spans="1:11" s="151" customFormat="1" ht="15">
      <c r="A7" s="321">
        <v>5</v>
      </c>
      <c r="B7" s="808" t="s">
        <v>358</v>
      </c>
      <c r="C7" s="322">
        <v>618.01</v>
      </c>
      <c r="D7" s="322">
        <v>331503.69</v>
      </c>
      <c r="E7" s="323">
        <v>3.01</v>
      </c>
      <c r="F7" s="323">
        <v>1.1299999999999999</v>
      </c>
      <c r="G7" s="324">
        <v>0.36</v>
      </c>
      <c r="H7" s="324">
        <v>1.36</v>
      </c>
      <c r="I7" s="325">
        <v>-7.84</v>
      </c>
      <c r="J7" s="325">
        <v>0.02</v>
      </c>
      <c r="K7" s="361"/>
    </row>
    <row r="8" spans="1:11" s="151" customFormat="1" ht="15">
      <c r="A8" s="321">
        <v>6</v>
      </c>
      <c r="B8" s="808" t="s">
        <v>359</v>
      </c>
      <c r="C8" s="322">
        <v>279.18</v>
      </c>
      <c r="D8" s="322">
        <v>107921.96</v>
      </c>
      <c r="E8" s="323">
        <v>0.98</v>
      </c>
      <c r="F8" s="323">
        <v>0.51</v>
      </c>
      <c r="G8" s="324">
        <v>0.08</v>
      </c>
      <c r="H8" s="324">
        <v>1.17</v>
      </c>
      <c r="I8" s="325">
        <v>1.71</v>
      </c>
      <c r="J8" s="325">
        <v>0.03</v>
      </c>
      <c r="K8" s="361"/>
    </row>
    <row r="9" spans="1:11" s="151" customFormat="1" ht="15">
      <c r="A9" s="321">
        <v>7</v>
      </c>
      <c r="B9" s="808" t="s">
        <v>360</v>
      </c>
      <c r="C9" s="322">
        <v>123.8</v>
      </c>
      <c r="D9" s="322">
        <v>189606.47</v>
      </c>
      <c r="E9" s="323">
        <v>1.72</v>
      </c>
      <c r="F9" s="323">
        <v>1.0900000000000001</v>
      </c>
      <c r="G9" s="324">
        <v>0.32</v>
      </c>
      <c r="H9" s="324">
        <v>1.31</v>
      </c>
      <c r="I9" s="325">
        <v>-4.34</v>
      </c>
      <c r="J9" s="325">
        <v>0.02</v>
      </c>
      <c r="K9" s="361"/>
    </row>
    <row r="10" spans="1:11" s="151" customFormat="1" ht="15">
      <c r="A10" s="321">
        <v>8</v>
      </c>
      <c r="B10" s="808" t="s">
        <v>361</v>
      </c>
      <c r="C10" s="322">
        <v>159.66999999999999</v>
      </c>
      <c r="D10" s="322">
        <v>89662.32</v>
      </c>
      <c r="E10" s="323">
        <v>0.81</v>
      </c>
      <c r="F10" s="323">
        <v>0.97</v>
      </c>
      <c r="G10" s="324">
        <v>0.35</v>
      </c>
      <c r="H10" s="324">
        <v>1.05</v>
      </c>
      <c r="I10" s="325">
        <v>4</v>
      </c>
      <c r="J10" s="325">
        <v>0.03</v>
      </c>
      <c r="K10" s="361"/>
    </row>
    <row r="11" spans="1:11" s="151" customFormat="1" ht="25.5">
      <c r="A11" s="321">
        <v>9</v>
      </c>
      <c r="B11" s="808" t="s">
        <v>362</v>
      </c>
      <c r="C11" s="322">
        <v>4338.51</v>
      </c>
      <c r="D11" s="322">
        <v>68341.22</v>
      </c>
      <c r="E11" s="323">
        <v>0.62</v>
      </c>
      <c r="F11" s="323">
        <v>1.46</v>
      </c>
      <c r="G11" s="324">
        <v>0.28999999999999998</v>
      </c>
      <c r="H11" s="324">
        <v>1.84</v>
      </c>
      <c r="I11" s="325">
        <v>15.17</v>
      </c>
      <c r="J11" s="325">
        <v>0.03</v>
      </c>
      <c r="K11" s="361"/>
    </row>
    <row r="12" spans="1:11" s="151" customFormat="1" ht="15">
      <c r="A12" s="321">
        <v>10</v>
      </c>
      <c r="B12" s="808" t="s">
        <v>363</v>
      </c>
      <c r="C12" s="322">
        <v>2845.44</v>
      </c>
      <c r="D12" s="322">
        <v>398946.43</v>
      </c>
      <c r="E12" s="323">
        <v>3.62</v>
      </c>
      <c r="F12" s="323">
        <v>0.88</v>
      </c>
      <c r="G12" s="324">
        <v>0.27</v>
      </c>
      <c r="H12" s="324">
        <v>1.4</v>
      </c>
      <c r="I12" s="325">
        <v>3.29</v>
      </c>
      <c r="J12" s="325">
        <v>0.02</v>
      </c>
      <c r="K12" s="361"/>
    </row>
    <row r="13" spans="1:11" s="151" customFormat="1" ht="15">
      <c r="A13" s="321">
        <v>11</v>
      </c>
      <c r="B13" s="808" t="s">
        <v>364</v>
      </c>
      <c r="C13" s="322">
        <v>24.09</v>
      </c>
      <c r="D13" s="322">
        <v>68271.240000000005</v>
      </c>
      <c r="E13" s="323">
        <v>0.62</v>
      </c>
      <c r="F13" s="323">
        <v>0.28000000000000003</v>
      </c>
      <c r="G13" s="324">
        <v>0.04</v>
      </c>
      <c r="H13" s="324">
        <v>0.97</v>
      </c>
      <c r="I13" s="325">
        <v>5.64</v>
      </c>
      <c r="J13" s="325">
        <v>0.02</v>
      </c>
      <c r="K13" s="361"/>
    </row>
    <row r="14" spans="1:11" s="151" customFormat="1" ht="15">
      <c r="A14" s="321">
        <v>12</v>
      </c>
      <c r="B14" s="808" t="s">
        <v>365</v>
      </c>
      <c r="C14" s="322">
        <v>161.5</v>
      </c>
      <c r="D14" s="322">
        <v>81058.25</v>
      </c>
      <c r="E14" s="323">
        <v>0.73</v>
      </c>
      <c r="F14" s="323">
        <v>0.28999999999999998</v>
      </c>
      <c r="G14" s="324">
        <v>0.02</v>
      </c>
      <c r="H14" s="324">
        <v>1.39</v>
      </c>
      <c r="I14" s="325">
        <v>4.29</v>
      </c>
      <c r="J14" s="325">
        <v>0.02</v>
      </c>
      <c r="K14" s="361"/>
    </row>
    <row r="15" spans="1:11" s="151" customFormat="1" ht="15">
      <c r="A15" s="321">
        <v>13</v>
      </c>
      <c r="B15" s="808" t="s">
        <v>366</v>
      </c>
      <c r="C15" s="322">
        <v>6162.73</v>
      </c>
      <c r="D15" s="322">
        <v>119072.54</v>
      </c>
      <c r="E15" s="323">
        <v>1.08</v>
      </c>
      <c r="F15" s="323">
        <v>1.55</v>
      </c>
      <c r="G15" s="324">
        <v>0.32</v>
      </c>
      <c r="H15" s="324">
        <v>1.38</v>
      </c>
      <c r="I15" s="325">
        <v>10.37</v>
      </c>
      <c r="J15" s="325">
        <v>0.03</v>
      </c>
      <c r="K15" s="361"/>
    </row>
    <row r="16" spans="1:11" s="151" customFormat="1" ht="15">
      <c r="A16" s="321">
        <v>14</v>
      </c>
      <c r="B16" s="808" t="s">
        <v>367</v>
      </c>
      <c r="C16" s="322">
        <v>53.09</v>
      </c>
      <c r="D16" s="322">
        <v>62733.84</v>
      </c>
      <c r="E16" s="323">
        <v>0.56999999999999995</v>
      </c>
      <c r="F16" s="323">
        <v>0.59</v>
      </c>
      <c r="G16" s="324">
        <v>0.11</v>
      </c>
      <c r="H16" s="324">
        <v>1.71</v>
      </c>
      <c r="I16" s="325">
        <v>7.11</v>
      </c>
      <c r="J16" s="325">
        <v>0.03</v>
      </c>
      <c r="K16" s="361"/>
    </row>
    <row r="17" spans="1:11" s="151" customFormat="1" ht="25.5">
      <c r="A17" s="321">
        <v>15</v>
      </c>
      <c r="B17" s="808" t="s">
        <v>368</v>
      </c>
      <c r="C17" s="322">
        <v>83.41</v>
      </c>
      <c r="D17" s="322">
        <v>82211.42</v>
      </c>
      <c r="E17" s="323">
        <v>0.75</v>
      </c>
      <c r="F17" s="323">
        <v>0.43</v>
      </c>
      <c r="G17" s="324">
        <v>0.08</v>
      </c>
      <c r="H17" s="324">
        <v>0.95</v>
      </c>
      <c r="I17" s="325">
        <v>5.44</v>
      </c>
      <c r="J17" s="325">
        <v>0.02</v>
      </c>
      <c r="K17" s="361"/>
    </row>
    <row r="18" spans="1:11" s="151" customFormat="1" ht="15">
      <c r="A18" s="321">
        <v>16</v>
      </c>
      <c r="B18" s="808" t="s">
        <v>369</v>
      </c>
      <c r="C18" s="322">
        <v>27.4</v>
      </c>
      <c r="D18" s="322">
        <v>67991.600000000006</v>
      </c>
      <c r="E18" s="323">
        <v>0.62</v>
      </c>
      <c r="F18" s="323">
        <v>0.8</v>
      </c>
      <c r="G18" s="324">
        <v>0.19</v>
      </c>
      <c r="H18" s="324">
        <v>0.9</v>
      </c>
      <c r="I18" s="325">
        <v>6.2</v>
      </c>
      <c r="J18" s="325">
        <v>0.02</v>
      </c>
      <c r="K18" s="361"/>
    </row>
    <row r="19" spans="1:11" s="151" customFormat="1" ht="15">
      <c r="A19" s="321">
        <v>17</v>
      </c>
      <c r="B19" s="808" t="s">
        <v>370</v>
      </c>
      <c r="C19" s="322">
        <v>131.69999999999999</v>
      </c>
      <c r="D19" s="322">
        <v>102392.2</v>
      </c>
      <c r="E19" s="323">
        <v>0.93</v>
      </c>
      <c r="F19" s="323">
        <v>0.96</v>
      </c>
      <c r="G19" s="324">
        <v>0.32</v>
      </c>
      <c r="H19" s="324">
        <v>1.1399999999999999</v>
      </c>
      <c r="I19" s="325">
        <v>3.98</v>
      </c>
      <c r="J19" s="325">
        <v>0.02</v>
      </c>
      <c r="K19" s="361"/>
    </row>
    <row r="20" spans="1:11" s="151" customFormat="1" ht="15">
      <c r="A20" s="321">
        <v>18</v>
      </c>
      <c r="B20" s="808" t="s">
        <v>371</v>
      </c>
      <c r="C20" s="322">
        <v>542.73</v>
      </c>
      <c r="D20" s="322">
        <v>173841.19</v>
      </c>
      <c r="E20" s="323">
        <v>1.58</v>
      </c>
      <c r="F20" s="323">
        <v>0.64</v>
      </c>
      <c r="G20" s="324">
        <v>0.14000000000000001</v>
      </c>
      <c r="H20" s="324">
        <v>1.2</v>
      </c>
      <c r="I20" s="325">
        <v>12.54</v>
      </c>
      <c r="J20" s="325">
        <v>0.02</v>
      </c>
      <c r="K20" s="361"/>
    </row>
    <row r="21" spans="1:11" s="151" customFormat="1" ht="15">
      <c r="A21" s="321">
        <v>19</v>
      </c>
      <c r="B21" s="808" t="s">
        <v>372</v>
      </c>
      <c r="C21" s="322">
        <v>760.81</v>
      </c>
      <c r="D21" s="322">
        <v>1216989.54</v>
      </c>
      <c r="E21" s="323">
        <v>11.03</v>
      </c>
      <c r="F21" s="323">
        <v>1.05</v>
      </c>
      <c r="G21" s="324">
        <v>0.41</v>
      </c>
      <c r="H21" s="324">
        <v>1.44</v>
      </c>
      <c r="I21" s="325">
        <v>-4.04</v>
      </c>
      <c r="J21" s="325">
        <v>0.02</v>
      </c>
      <c r="K21" s="361"/>
    </row>
    <row r="22" spans="1:11" s="151" customFormat="1" ht="25.5">
      <c r="A22" s="321">
        <v>20</v>
      </c>
      <c r="B22" s="808" t="s">
        <v>373</v>
      </c>
      <c r="C22" s="322">
        <v>2150.94</v>
      </c>
      <c r="D22" s="322">
        <v>75411.03</v>
      </c>
      <c r="E22" s="323">
        <v>0.68</v>
      </c>
      <c r="F22" s="323">
        <v>0.62</v>
      </c>
      <c r="G22" s="324">
        <v>0.13</v>
      </c>
      <c r="H22" s="324">
        <v>1.43</v>
      </c>
      <c r="I22" s="325">
        <v>20.239999999999998</v>
      </c>
      <c r="J22" s="325">
        <v>0.02</v>
      </c>
      <c r="K22" s="361"/>
    </row>
    <row r="23" spans="1:11" s="151" customFormat="1" ht="15">
      <c r="A23" s="321">
        <v>21</v>
      </c>
      <c r="B23" s="808" t="s">
        <v>374</v>
      </c>
      <c r="C23" s="322">
        <v>39.99</v>
      </c>
      <c r="D23" s="322">
        <v>71325.27</v>
      </c>
      <c r="E23" s="323">
        <v>0.65</v>
      </c>
      <c r="F23" s="323">
        <v>0.6</v>
      </c>
      <c r="G23" s="324">
        <v>0.09</v>
      </c>
      <c r="H23" s="324">
        <v>0.95</v>
      </c>
      <c r="I23" s="325">
        <v>-1.63</v>
      </c>
      <c r="J23" s="325">
        <v>0.02</v>
      </c>
      <c r="K23" s="361"/>
    </row>
    <row r="24" spans="1:11" s="151" customFormat="1" ht="15">
      <c r="A24" s="321">
        <v>22</v>
      </c>
      <c r="B24" s="808" t="s">
        <v>375</v>
      </c>
      <c r="C24" s="322">
        <v>224.72</v>
      </c>
      <c r="D24" s="322">
        <v>97807.85</v>
      </c>
      <c r="E24" s="323">
        <v>0.89</v>
      </c>
      <c r="F24" s="323">
        <v>1.1000000000000001</v>
      </c>
      <c r="G24" s="324">
        <v>0.22</v>
      </c>
      <c r="H24" s="324">
        <v>1.51</v>
      </c>
      <c r="I24" s="325">
        <v>-3.45</v>
      </c>
      <c r="J24" s="325">
        <v>0.02</v>
      </c>
      <c r="K24" s="361"/>
    </row>
    <row r="25" spans="1:11" s="151" customFormat="1" ht="15">
      <c r="A25" s="321">
        <v>23</v>
      </c>
      <c r="B25" s="808" t="s">
        <v>376</v>
      </c>
      <c r="C25" s="322">
        <v>234.96</v>
      </c>
      <c r="D25" s="322">
        <v>241572.52</v>
      </c>
      <c r="E25" s="323">
        <v>2.19</v>
      </c>
      <c r="F25" s="323">
        <v>0.21</v>
      </c>
      <c r="G25" s="324">
        <v>0.02</v>
      </c>
      <c r="H25" s="324">
        <v>1.03</v>
      </c>
      <c r="I25" s="325">
        <v>9.41</v>
      </c>
      <c r="J25" s="325">
        <v>0.02</v>
      </c>
      <c r="K25" s="361"/>
    </row>
    <row r="26" spans="1:11" s="151" customFormat="1" ht="15">
      <c r="A26" s="321">
        <v>24</v>
      </c>
      <c r="B26" s="808" t="s">
        <v>377</v>
      </c>
      <c r="C26" s="322">
        <v>1407.22</v>
      </c>
      <c r="D26" s="322">
        <v>854817.83</v>
      </c>
      <c r="E26" s="323">
        <v>7.75</v>
      </c>
      <c r="F26" s="323">
        <v>1.01</v>
      </c>
      <c r="G26" s="324">
        <v>0.44</v>
      </c>
      <c r="H26" s="324">
        <v>1</v>
      </c>
      <c r="I26" s="325">
        <v>1.28</v>
      </c>
      <c r="J26" s="325">
        <v>0.03</v>
      </c>
      <c r="K26" s="361"/>
    </row>
    <row r="27" spans="1:11" s="151" customFormat="1" ht="15">
      <c r="A27" s="321">
        <v>25</v>
      </c>
      <c r="B27" s="808" t="s">
        <v>378</v>
      </c>
      <c r="C27" s="322">
        <v>1248.47</v>
      </c>
      <c r="D27" s="322">
        <v>457638.7</v>
      </c>
      <c r="E27" s="323">
        <v>4.1500000000000004</v>
      </c>
      <c r="F27" s="323">
        <v>0.67</v>
      </c>
      <c r="G27" s="324">
        <v>0.21</v>
      </c>
      <c r="H27" s="324">
        <v>1.53</v>
      </c>
      <c r="I27" s="325">
        <v>16.579999999999998</v>
      </c>
      <c r="J27" s="325">
        <v>0.02</v>
      </c>
      <c r="K27" s="361"/>
    </row>
    <row r="28" spans="1:11" s="151" customFormat="1" ht="15">
      <c r="A28" s="321">
        <v>26</v>
      </c>
      <c r="B28" s="808" t="s">
        <v>379</v>
      </c>
      <c r="C28" s="322">
        <v>778.72</v>
      </c>
      <c r="D28" s="322">
        <v>94507.74</v>
      </c>
      <c r="E28" s="323">
        <v>0.86</v>
      </c>
      <c r="F28" s="323">
        <v>1.34</v>
      </c>
      <c r="G28" s="324">
        <v>0.45</v>
      </c>
      <c r="H28" s="324">
        <v>0.99</v>
      </c>
      <c r="I28" s="325">
        <v>-2.5099999999999998</v>
      </c>
      <c r="J28" s="325">
        <v>0.02</v>
      </c>
      <c r="K28" s="361"/>
    </row>
    <row r="29" spans="1:11" s="151" customFormat="1" ht="15">
      <c r="A29" s="321">
        <v>27</v>
      </c>
      <c r="B29" s="808" t="s">
        <v>380</v>
      </c>
      <c r="C29" s="322">
        <v>2075.9499999999998</v>
      </c>
      <c r="D29" s="322">
        <v>674839.72</v>
      </c>
      <c r="E29" s="323">
        <v>6.12</v>
      </c>
      <c r="F29" s="323">
        <v>0.72</v>
      </c>
      <c r="G29" s="324">
        <v>0.19</v>
      </c>
      <c r="H29" s="324">
        <v>1.1499999999999999</v>
      </c>
      <c r="I29" s="325">
        <v>19.239999999999998</v>
      </c>
      <c r="J29" s="325">
        <v>0.02</v>
      </c>
      <c r="K29" s="361"/>
    </row>
    <row r="30" spans="1:11" s="151" customFormat="1" ht="15">
      <c r="A30" s="321">
        <v>28</v>
      </c>
      <c r="B30" s="808" t="s">
        <v>381</v>
      </c>
      <c r="C30" s="322">
        <v>244.55</v>
      </c>
      <c r="D30" s="322">
        <v>88529.71</v>
      </c>
      <c r="E30" s="323">
        <v>0.8</v>
      </c>
      <c r="F30" s="323">
        <v>1.38</v>
      </c>
      <c r="G30" s="324">
        <v>0.49</v>
      </c>
      <c r="H30" s="324">
        <v>1.52</v>
      </c>
      <c r="I30" s="325">
        <v>-0.35</v>
      </c>
      <c r="J30" s="325">
        <v>0.03</v>
      </c>
      <c r="K30" s="361"/>
    </row>
    <row r="31" spans="1:11" s="151" customFormat="1" ht="25.5">
      <c r="A31" s="321">
        <v>29</v>
      </c>
      <c r="B31" s="808" t="s">
        <v>382</v>
      </c>
      <c r="C31" s="322">
        <v>993.98</v>
      </c>
      <c r="D31" s="322">
        <v>265957.27</v>
      </c>
      <c r="E31" s="323">
        <v>2.41</v>
      </c>
      <c r="F31" s="323">
        <v>0.89</v>
      </c>
      <c r="G31" s="324">
        <v>0.26</v>
      </c>
      <c r="H31" s="324">
        <v>1.44</v>
      </c>
      <c r="I31" s="325">
        <v>0.3</v>
      </c>
      <c r="J31" s="325">
        <v>0.01</v>
      </c>
      <c r="K31" s="361"/>
    </row>
    <row r="32" spans="1:11" s="151" customFormat="1" ht="15">
      <c r="A32" s="321">
        <v>30</v>
      </c>
      <c r="B32" s="808" t="s">
        <v>383</v>
      </c>
      <c r="C32" s="322">
        <v>29.62</v>
      </c>
      <c r="D32" s="322">
        <v>51947.839999999997</v>
      </c>
      <c r="E32" s="323">
        <v>0.47</v>
      </c>
      <c r="F32" s="323">
        <v>0.67</v>
      </c>
      <c r="G32" s="324">
        <v>0.12</v>
      </c>
      <c r="H32" s="324">
        <v>1.45</v>
      </c>
      <c r="I32" s="325">
        <v>5.07</v>
      </c>
      <c r="J32" s="325">
        <v>0.03</v>
      </c>
      <c r="K32" s="361"/>
    </row>
    <row r="33" spans="1:11" s="151" customFormat="1" ht="15">
      <c r="A33" s="321">
        <v>31</v>
      </c>
      <c r="B33" s="808" t="s">
        <v>384</v>
      </c>
      <c r="C33" s="322">
        <v>274.97000000000003</v>
      </c>
      <c r="D33" s="322">
        <v>445828.87</v>
      </c>
      <c r="E33" s="323">
        <v>4.04</v>
      </c>
      <c r="F33" s="323">
        <v>1.41</v>
      </c>
      <c r="G33" s="324">
        <v>0.46</v>
      </c>
      <c r="H33" s="324">
        <v>1.39</v>
      </c>
      <c r="I33" s="325">
        <v>7.51</v>
      </c>
      <c r="J33" s="325">
        <v>0.02</v>
      </c>
      <c r="K33" s="361"/>
    </row>
    <row r="34" spans="1:11" s="151" customFormat="1" ht="25.5">
      <c r="A34" s="321">
        <v>32</v>
      </c>
      <c r="B34" s="808" t="s">
        <v>385</v>
      </c>
      <c r="C34" s="322">
        <v>621.76</v>
      </c>
      <c r="D34" s="322">
        <v>282042.78000000003</v>
      </c>
      <c r="E34" s="323">
        <v>2.56</v>
      </c>
      <c r="F34" s="323">
        <v>1.1299999999999999</v>
      </c>
      <c r="G34" s="324">
        <v>0.25</v>
      </c>
      <c r="H34" s="324">
        <v>1.94</v>
      </c>
      <c r="I34" s="325">
        <v>1.44</v>
      </c>
      <c r="J34" s="325">
        <v>0.02</v>
      </c>
      <c r="K34" s="361"/>
    </row>
    <row r="35" spans="1:11" s="151" customFormat="1" ht="15">
      <c r="A35" s="321">
        <v>33</v>
      </c>
      <c r="B35" s="808" t="s">
        <v>386</v>
      </c>
      <c r="C35" s="322">
        <v>157.19999999999999</v>
      </c>
      <c r="D35" s="322">
        <v>173192.93</v>
      </c>
      <c r="E35" s="323">
        <v>1.57</v>
      </c>
      <c r="F35" s="323">
        <v>0.7</v>
      </c>
      <c r="G35" s="324">
        <v>0.2</v>
      </c>
      <c r="H35" s="324">
        <v>1.58</v>
      </c>
      <c r="I35" s="325">
        <v>8.99</v>
      </c>
      <c r="J35" s="325">
        <v>0.03</v>
      </c>
      <c r="K35" s="361"/>
    </row>
    <row r="36" spans="1:11" s="151" customFormat="1" ht="15">
      <c r="A36" s="321">
        <v>34</v>
      </c>
      <c r="B36" s="808" t="s">
        <v>387</v>
      </c>
      <c r="C36" s="322">
        <v>9696.67</v>
      </c>
      <c r="D36" s="322">
        <v>197656.84</v>
      </c>
      <c r="E36" s="323">
        <v>1.79</v>
      </c>
      <c r="F36" s="323">
        <v>1.66</v>
      </c>
      <c r="G36" s="324">
        <v>0.45</v>
      </c>
      <c r="H36" s="324">
        <v>1.69</v>
      </c>
      <c r="I36" s="325">
        <v>9.9499999999999993</v>
      </c>
      <c r="J36" s="325">
        <v>0.03</v>
      </c>
      <c r="K36" s="361"/>
    </row>
    <row r="37" spans="1:11" s="151" customFormat="1" ht="15">
      <c r="A37" s="321">
        <v>35</v>
      </c>
      <c r="B37" s="808" t="s">
        <v>388</v>
      </c>
      <c r="C37" s="322">
        <v>96.42</v>
      </c>
      <c r="D37" s="322">
        <v>87627.38</v>
      </c>
      <c r="E37" s="323">
        <v>0.79</v>
      </c>
      <c r="F37" s="323">
        <v>0.3</v>
      </c>
      <c r="G37" s="324">
        <v>0.04</v>
      </c>
      <c r="H37" s="324">
        <v>0.87</v>
      </c>
      <c r="I37" s="325">
        <v>-3.73</v>
      </c>
      <c r="J37" s="325">
        <v>0.03</v>
      </c>
      <c r="K37" s="361"/>
    </row>
    <row r="38" spans="1:11" s="151" customFormat="1" ht="25.5">
      <c r="A38" s="321">
        <v>36</v>
      </c>
      <c r="B38" s="808" t="s">
        <v>389</v>
      </c>
      <c r="C38" s="322">
        <v>6290.14</v>
      </c>
      <c r="D38" s="322">
        <v>130334.21</v>
      </c>
      <c r="E38" s="323">
        <v>1.18</v>
      </c>
      <c r="F38" s="323">
        <v>1.72</v>
      </c>
      <c r="G38" s="324">
        <v>0.41</v>
      </c>
      <c r="H38" s="324">
        <v>2.14</v>
      </c>
      <c r="I38" s="325">
        <v>21.88</v>
      </c>
      <c r="J38" s="325">
        <v>0.03</v>
      </c>
      <c r="K38" s="361"/>
    </row>
    <row r="39" spans="1:11" s="151" customFormat="1" ht="25.5">
      <c r="A39" s="321">
        <v>37</v>
      </c>
      <c r="B39" s="808" t="s">
        <v>390</v>
      </c>
      <c r="C39" s="322">
        <v>9300.6</v>
      </c>
      <c r="D39" s="322">
        <v>158685.04</v>
      </c>
      <c r="E39" s="323">
        <v>1.44</v>
      </c>
      <c r="F39" s="323">
        <v>1.27</v>
      </c>
      <c r="G39" s="324">
        <v>0.28999999999999998</v>
      </c>
      <c r="H39" s="324">
        <v>1.1100000000000001</v>
      </c>
      <c r="I39" s="325">
        <v>5.21</v>
      </c>
      <c r="J39" s="325">
        <v>0.03</v>
      </c>
      <c r="K39" s="361"/>
    </row>
    <row r="40" spans="1:11" s="151" customFormat="1" ht="15">
      <c r="A40" s="321">
        <v>38</v>
      </c>
      <c r="B40" s="808" t="s">
        <v>391</v>
      </c>
      <c r="C40" s="322">
        <v>6765.81</v>
      </c>
      <c r="D40" s="322">
        <v>1018542.54</v>
      </c>
      <c r="E40" s="323">
        <v>9.23</v>
      </c>
      <c r="F40" s="323">
        <v>1.1599999999999999</v>
      </c>
      <c r="G40" s="324">
        <v>0.51</v>
      </c>
      <c r="H40" s="324">
        <v>1.1499999999999999</v>
      </c>
      <c r="I40" s="325">
        <v>-3.83</v>
      </c>
      <c r="J40" s="325">
        <v>0.02</v>
      </c>
      <c r="K40" s="361"/>
    </row>
    <row r="41" spans="1:11" s="151" customFormat="1" ht="25.5">
      <c r="A41" s="321">
        <v>39</v>
      </c>
      <c r="B41" s="808" t="s">
        <v>392</v>
      </c>
      <c r="C41" s="322">
        <v>1001.52</v>
      </c>
      <c r="D41" s="322">
        <v>79034.16</v>
      </c>
      <c r="E41" s="323">
        <v>0.72</v>
      </c>
      <c r="F41" s="323">
        <v>0.83</v>
      </c>
      <c r="G41" s="324">
        <v>0.22</v>
      </c>
      <c r="H41" s="324">
        <v>1.6</v>
      </c>
      <c r="I41" s="325">
        <v>17.54</v>
      </c>
      <c r="J41" s="325">
        <v>0.03</v>
      </c>
      <c r="K41" s="361"/>
    </row>
    <row r="42" spans="1:11" s="151" customFormat="1" ht="15">
      <c r="A42" s="321">
        <v>40</v>
      </c>
      <c r="B42" s="818" t="s">
        <v>1150</v>
      </c>
      <c r="C42" s="322">
        <v>375.91</v>
      </c>
      <c r="D42" s="322">
        <v>81559.399999999994</v>
      </c>
      <c r="E42" s="323">
        <v>0.74</v>
      </c>
      <c r="F42" s="323">
        <v>1.52</v>
      </c>
      <c r="G42" s="324">
        <v>0.34</v>
      </c>
      <c r="H42" s="324">
        <v>2.58</v>
      </c>
      <c r="I42" s="325">
        <v>0.7</v>
      </c>
      <c r="J42" s="325">
        <v>0.03</v>
      </c>
      <c r="K42" s="361"/>
    </row>
    <row r="43" spans="1:11" s="151" customFormat="1" ht="15">
      <c r="A43" s="321">
        <v>41</v>
      </c>
      <c r="B43" s="808" t="s">
        <v>393</v>
      </c>
      <c r="C43" s="322">
        <v>892.46</v>
      </c>
      <c r="D43" s="322">
        <v>334790.75</v>
      </c>
      <c r="E43" s="323">
        <v>3.04</v>
      </c>
      <c r="F43" s="323">
        <v>1.47</v>
      </c>
      <c r="G43" s="324">
        <v>0.46</v>
      </c>
      <c r="H43" s="324">
        <v>1.26</v>
      </c>
      <c r="I43" s="325">
        <v>2.76</v>
      </c>
      <c r="J43" s="325">
        <v>0.02</v>
      </c>
      <c r="K43" s="361"/>
    </row>
    <row r="44" spans="1:11" s="151" customFormat="1" ht="25.5">
      <c r="A44" s="321">
        <v>42</v>
      </c>
      <c r="B44" s="808" t="s">
        <v>394</v>
      </c>
      <c r="C44" s="322">
        <v>239.93</v>
      </c>
      <c r="D44" s="322">
        <v>185638.35</v>
      </c>
      <c r="E44" s="323">
        <v>1.68</v>
      </c>
      <c r="F44" s="323">
        <v>0.51</v>
      </c>
      <c r="G44" s="324">
        <v>0.12</v>
      </c>
      <c r="H44" s="324">
        <v>1.1499999999999999</v>
      </c>
      <c r="I44" s="325">
        <v>13.05</v>
      </c>
      <c r="J44" s="325">
        <v>0.02</v>
      </c>
      <c r="K44" s="361"/>
    </row>
    <row r="45" spans="1:11" s="151" customFormat="1" ht="25.5">
      <c r="A45" s="321">
        <v>43</v>
      </c>
      <c r="B45" s="808" t="s">
        <v>395</v>
      </c>
      <c r="C45" s="322">
        <v>361.81</v>
      </c>
      <c r="D45" s="322">
        <v>444264.24</v>
      </c>
      <c r="E45" s="323">
        <v>4.03</v>
      </c>
      <c r="F45" s="323">
        <v>0.56000000000000005</v>
      </c>
      <c r="G45" s="324">
        <v>0.13</v>
      </c>
      <c r="H45" s="324">
        <v>1.7</v>
      </c>
      <c r="I45" s="325">
        <v>12.33</v>
      </c>
      <c r="J45" s="325">
        <v>0.02</v>
      </c>
      <c r="K45" s="361"/>
    </row>
    <row r="46" spans="1:11" s="151" customFormat="1" ht="25.5">
      <c r="A46" s="321">
        <v>44</v>
      </c>
      <c r="B46" s="808" t="s">
        <v>396</v>
      </c>
      <c r="C46" s="322">
        <v>98.95</v>
      </c>
      <c r="D46" s="322">
        <v>77645.37</v>
      </c>
      <c r="E46" s="323">
        <v>0.7</v>
      </c>
      <c r="F46" s="323">
        <v>0.51</v>
      </c>
      <c r="G46" s="324">
        <v>0.09</v>
      </c>
      <c r="H46" s="324">
        <v>1.59</v>
      </c>
      <c r="I46" s="325">
        <v>9.68</v>
      </c>
      <c r="J46" s="325">
        <v>0.02</v>
      </c>
      <c r="K46" s="361"/>
    </row>
    <row r="47" spans="1:11" s="151" customFormat="1" ht="15">
      <c r="A47" s="321">
        <v>45</v>
      </c>
      <c r="B47" s="808" t="s">
        <v>397</v>
      </c>
      <c r="C47" s="322">
        <v>664.8</v>
      </c>
      <c r="D47" s="322">
        <v>203768.05</v>
      </c>
      <c r="E47" s="323">
        <v>1.85</v>
      </c>
      <c r="F47" s="323">
        <v>0.98</v>
      </c>
      <c r="G47" s="324">
        <v>0.23</v>
      </c>
      <c r="H47" s="324">
        <v>1.93</v>
      </c>
      <c r="I47" s="325">
        <v>16.86</v>
      </c>
      <c r="J47" s="325">
        <v>0.02</v>
      </c>
      <c r="K47" s="361"/>
    </row>
    <row r="48" spans="1:11" s="151" customFormat="1" ht="15">
      <c r="A48" s="321">
        <v>46</v>
      </c>
      <c r="B48" s="808" t="s">
        <v>398</v>
      </c>
      <c r="C48" s="322">
        <v>1248.3499999999999</v>
      </c>
      <c r="D48" s="322">
        <v>136217.5</v>
      </c>
      <c r="E48" s="323">
        <v>1.23</v>
      </c>
      <c r="F48" s="323">
        <v>1.54</v>
      </c>
      <c r="G48" s="324">
        <v>0.48</v>
      </c>
      <c r="H48" s="324">
        <v>1.57</v>
      </c>
      <c r="I48" s="325">
        <v>-4.99</v>
      </c>
      <c r="J48" s="325">
        <v>0.02</v>
      </c>
      <c r="K48" s="361"/>
    </row>
    <row r="49" spans="1:11" s="151" customFormat="1" ht="15">
      <c r="A49" s="321">
        <v>47</v>
      </c>
      <c r="B49" s="808" t="s">
        <v>399</v>
      </c>
      <c r="C49" s="322">
        <v>488.94</v>
      </c>
      <c r="D49" s="322">
        <v>98801.32</v>
      </c>
      <c r="E49" s="323">
        <v>0.9</v>
      </c>
      <c r="F49" s="323">
        <v>0.84</v>
      </c>
      <c r="G49" s="324">
        <v>0.19</v>
      </c>
      <c r="H49" s="324">
        <v>1.37</v>
      </c>
      <c r="I49" s="325">
        <v>8.67</v>
      </c>
      <c r="J49" s="325">
        <v>0.03</v>
      </c>
      <c r="K49" s="361"/>
    </row>
    <row r="50" spans="1:11" s="151" customFormat="1" ht="15">
      <c r="A50" s="321">
        <v>48</v>
      </c>
      <c r="B50" s="808" t="s">
        <v>400</v>
      </c>
      <c r="C50" s="322">
        <v>88.78</v>
      </c>
      <c r="D50" s="322">
        <v>144327.97</v>
      </c>
      <c r="E50" s="323">
        <v>1.31</v>
      </c>
      <c r="F50" s="323">
        <v>0.69</v>
      </c>
      <c r="G50" s="324">
        <v>0.16</v>
      </c>
      <c r="H50" s="324">
        <v>1.98</v>
      </c>
      <c r="I50" s="325">
        <v>1.61</v>
      </c>
      <c r="J50" s="325">
        <v>0.02</v>
      </c>
      <c r="K50" s="361"/>
    </row>
    <row r="51" spans="1:11" s="151" customFormat="1" ht="15">
      <c r="A51" s="321">
        <v>49</v>
      </c>
      <c r="B51" s="808" t="s">
        <v>401</v>
      </c>
      <c r="C51" s="322">
        <v>288.7</v>
      </c>
      <c r="D51" s="322">
        <v>137272.10999999999</v>
      </c>
      <c r="E51" s="323">
        <v>1.24</v>
      </c>
      <c r="F51" s="323">
        <v>1.1100000000000001</v>
      </c>
      <c r="G51" s="324">
        <v>0.4</v>
      </c>
      <c r="H51" s="324">
        <v>1.33</v>
      </c>
      <c r="I51" s="325">
        <v>1.88</v>
      </c>
      <c r="J51" s="325">
        <v>0.03</v>
      </c>
      <c r="K51" s="361"/>
    </row>
    <row r="52" spans="1:11" s="151" customFormat="1" ht="15">
      <c r="A52" s="321">
        <v>50</v>
      </c>
      <c r="B52" s="808" t="s">
        <v>402</v>
      </c>
      <c r="C52" s="322">
        <v>1045.99</v>
      </c>
      <c r="D52" s="322">
        <v>73710.83</v>
      </c>
      <c r="E52" s="323">
        <v>0.67</v>
      </c>
      <c r="F52" s="323">
        <v>1.04</v>
      </c>
      <c r="G52" s="324">
        <v>0.25</v>
      </c>
      <c r="H52" s="324">
        <v>2.64</v>
      </c>
      <c r="I52" s="325">
        <v>1.39</v>
      </c>
      <c r="J52" s="325">
        <v>0.02</v>
      </c>
      <c r="K52" s="361"/>
    </row>
    <row r="53" spans="1:11" s="151" customFormat="1" ht="12.75">
      <c r="A53" s="315"/>
      <c r="B53" s="316"/>
      <c r="C53" s="317"/>
      <c r="D53" s="317"/>
      <c r="E53" s="318"/>
      <c r="F53" s="318"/>
      <c r="G53" s="319"/>
      <c r="H53" s="319"/>
      <c r="I53" s="320"/>
      <c r="J53" s="320"/>
    </row>
    <row r="54" spans="1:11" s="151" customFormat="1">
      <c r="A54" s="1337" t="s">
        <v>403</v>
      </c>
      <c r="B54" s="1337"/>
      <c r="C54" s="1337"/>
      <c r="D54" s="1337"/>
      <c r="E54" s="1337"/>
      <c r="F54" s="1337"/>
      <c r="G54" s="1337"/>
      <c r="H54" s="1337"/>
      <c r="I54" s="1337"/>
      <c r="J54" s="1337"/>
    </row>
    <row r="55" spans="1:11" s="151" customFormat="1">
      <c r="A55" s="1337" t="s">
        <v>349</v>
      </c>
      <c r="B55" s="1337"/>
      <c r="C55" s="1337"/>
      <c r="D55" s="1337"/>
      <c r="E55" s="1337"/>
      <c r="F55" s="1337"/>
      <c r="G55" s="1337"/>
      <c r="H55" s="1337"/>
      <c r="I55" s="1337"/>
      <c r="J55" s="1337"/>
    </row>
    <row r="56" spans="1:11" s="151" customFormat="1">
      <c r="A56" s="1337" t="s">
        <v>404</v>
      </c>
      <c r="B56" s="1337"/>
      <c r="C56" s="1337"/>
      <c r="D56" s="1337"/>
      <c r="E56" s="1337"/>
      <c r="F56" s="1337"/>
      <c r="G56" s="1337"/>
      <c r="H56" s="1337"/>
      <c r="I56" s="1337"/>
      <c r="J56" s="1337"/>
    </row>
    <row r="57" spans="1:11" s="151" customFormat="1">
      <c r="A57" s="1337" t="s">
        <v>351</v>
      </c>
      <c r="B57" s="1337"/>
      <c r="C57" s="1337"/>
      <c r="D57" s="1337"/>
      <c r="E57" s="1337"/>
      <c r="F57" s="1337"/>
      <c r="G57" s="1337"/>
      <c r="H57" s="1337"/>
      <c r="I57" s="1337"/>
      <c r="J57" s="1337"/>
    </row>
    <row r="58" spans="1:11" s="151" customFormat="1">
      <c r="A58" s="1337" t="s">
        <v>405</v>
      </c>
      <c r="B58" s="1337"/>
      <c r="C58" s="1337"/>
      <c r="D58" s="1337"/>
      <c r="E58" s="1337"/>
      <c r="F58" s="1337"/>
      <c r="G58" s="1337"/>
      <c r="H58" s="1337"/>
      <c r="I58" s="1337"/>
      <c r="J58" s="1337"/>
    </row>
    <row r="59" spans="1:11" s="151" customFormat="1">
      <c r="A59" s="392" t="s">
        <v>1168</v>
      </c>
      <c r="B59" s="522"/>
      <c r="C59" s="522"/>
      <c r="D59" s="522"/>
      <c r="E59" s="522"/>
      <c r="F59" s="522"/>
      <c r="G59" s="522"/>
      <c r="H59" s="522"/>
      <c r="I59" s="522"/>
      <c r="J59" s="522"/>
    </row>
    <row r="60" spans="1:11" s="151" customFormat="1">
      <c r="A60" s="1336" t="s">
        <v>310</v>
      </c>
      <c r="B60" s="1336"/>
      <c r="C60" s="1336"/>
      <c r="D60" s="1336"/>
      <c r="E60" s="1336"/>
      <c r="F60" s="1336"/>
      <c r="G60" s="1336"/>
      <c r="H60" s="1336"/>
      <c r="I60" s="1336"/>
      <c r="J60" s="1336"/>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workbookViewId="0"/>
  </sheetViews>
  <sheetFormatPr defaultColWidth="9.140625" defaultRowHeight="15"/>
  <cols>
    <col min="1" max="1" width="6.42578125" style="97" bestFit="1" customWidth="1"/>
    <col min="2" max="2" width="40.42578125" style="97" bestFit="1" customWidth="1"/>
    <col min="3" max="3" width="13.42578125" style="97" bestFit="1" customWidth="1"/>
    <col min="4" max="4" width="17.42578125" style="97" customWidth="1"/>
    <col min="5" max="5" width="10.42578125" style="97" bestFit="1" customWidth="1"/>
    <col min="6" max="6" width="7.5703125" style="97" bestFit="1" customWidth="1"/>
    <col min="7" max="7" width="6.140625" style="97" bestFit="1" customWidth="1"/>
    <col min="8" max="8" width="10.42578125" style="97" bestFit="1" customWidth="1"/>
    <col min="9" max="9" width="12.5703125" style="97" bestFit="1" customWidth="1"/>
    <col min="10" max="10" width="12.140625" style="97" bestFit="1" customWidth="1"/>
    <col min="11" max="16384" width="9.140625" style="97"/>
  </cols>
  <sheetData>
    <row r="1" spans="1:10">
      <c r="A1" s="790" t="s">
        <v>1302</v>
      </c>
      <c r="B1" s="790"/>
      <c r="C1" s="790"/>
      <c r="D1" s="790"/>
      <c r="E1" s="790"/>
      <c r="F1" s="790"/>
      <c r="G1" s="790"/>
    </row>
    <row r="2" spans="1:10" s="360" customFormat="1" ht="60">
      <c r="A2" s="819" t="s">
        <v>406</v>
      </c>
      <c r="B2" s="819" t="s">
        <v>312</v>
      </c>
      <c r="C2" s="819" t="s">
        <v>407</v>
      </c>
      <c r="D2" s="819" t="s">
        <v>408</v>
      </c>
      <c r="E2" s="819" t="s">
        <v>409</v>
      </c>
      <c r="F2" s="819" t="s">
        <v>316</v>
      </c>
      <c r="G2" s="819" t="s">
        <v>410</v>
      </c>
      <c r="H2" s="820" t="s">
        <v>411</v>
      </c>
      <c r="I2" s="820" t="s">
        <v>412</v>
      </c>
      <c r="J2" s="819" t="s">
        <v>413</v>
      </c>
    </row>
    <row r="3" spans="1:10" s="360" customFormat="1">
      <c r="A3" s="821">
        <v>1</v>
      </c>
      <c r="B3" s="822" t="s">
        <v>414</v>
      </c>
      <c r="C3" s="1144">
        <v>761.41207029999998</v>
      </c>
      <c r="D3" s="1144">
        <v>1263275.7829861499</v>
      </c>
      <c r="E3" s="1143">
        <v>11.837483540000001</v>
      </c>
      <c r="F3" s="1145">
        <v>1.07</v>
      </c>
      <c r="G3" s="1145">
        <v>0.42</v>
      </c>
      <c r="H3" s="823" t="s">
        <v>234</v>
      </c>
      <c r="I3" s="823" t="s">
        <v>234</v>
      </c>
      <c r="J3" s="822" t="s">
        <v>234</v>
      </c>
    </row>
    <row r="4" spans="1:10" s="360" customFormat="1">
      <c r="A4" s="821">
        <v>2</v>
      </c>
      <c r="B4" s="822" t="s">
        <v>415</v>
      </c>
      <c r="C4" s="1144">
        <v>6765.8156250000002</v>
      </c>
      <c r="D4" s="1144">
        <v>1032443.4223960051</v>
      </c>
      <c r="E4" s="1143">
        <v>9.6744766200000001</v>
      </c>
      <c r="F4" s="1145">
        <v>1.1499999999999999</v>
      </c>
      <c r="G4" s="1145">
        <v>0.51</v>
      </c>
      <c r="H4" s="823" t="s">
        <v>234</v>
      </c>
      <c r="I4" s="823" t="s">
        <v>234</v>
      </c>
      <c r="J4" s="822" t="s">
        <v>234</v>
      </c>
    </row>
    <row r="5" spans="1:10" s="360" customFormat="1">
      <c r="A5" s="821">
        <v>3</v>
      </c>
      <c r="B5" s="822" t="s">
        <v>416</v>
      </c>
      <c r="C5" s="1144">
        <v>1407.7168586</v>
      </c>
      <c r="D5" s="1144">
        <v>840302.98582013999</v>
      </c>
      <c r="E5" s="1143">
        <v>7.87403107</v>
      </c>
      <c r="F5" s="1145">
        <v>1.01</v>
      </c>
      <c r="G5" s="1145">
        <v>0.45</v>
      </c>
      <c r="H5" s="823" t="s">
        <v>234</v>
      </c>
      <c r="I5" s="823" t="s">
        <v>234</v>
      </c>
      <c r="J5" s="822" t="s">
        <v>234</v>
      </c>
    </row>
    <row r="6" spans="1:10" s="360" customFormat="1">
      <c r="A6" s="821">
        <v>4</v>
      </c>
      <c r="B6" s="822" t="s">
        <v>417</v>
      </c>
      <c r="C6" s="1144">
        <v>2076.0142375</v>
      </c>
      <c r="D6" s="1144">
        <v>656708.65555904002</v>
      </c>
      <c r="E6" s="1143">
        <v>6.1536665299999997</v>
      </c>
      <c r="F6" s="1145">
        <v>0.74</v>
      </c>
      <c r="G6" s="1145">
        <v>0.19</v>
      </c>
      <c r="H6" s="823" t="s">
        <v>234</v>
      </c>
      <c r="I6" s="823" t="s">
        <v>234</v>
      </c>
      <c r="J6" s="822" t="s">
        <v>234</v>
      </c>
    </row>
    <row r="7" spans="1:10" s="360" customFormat="1">
      <c r="A7" s="821">
        <v>5</v>
      </c>
      <c r="B7" s="822" t="s">
        <v>420</v>
      </c>
      <c r="C7" s="1144">
        <v>1249.5878622</v>
      </c>
      <c r="D7" s="1144">
        <v>611173.42340202001</v>
      </c>
      <c r="E7" s="1143">
        <v>5.7269801600000001</v>
      </c>
      <c r="F7" s="1145">
        <v>0.65</v>
      </c>
      <c r="G7" s="1145">
        <v>0.2</v>
      </c>
      <c r="H7" s="823" t="s">
        <v>234</v>
      </c>
      <c r="I7" s="823" t="s">
        <v>234</v>
      </c>
      <c r="J7" s="822" t="s">
        <v>234</v>
      </c>
    </row>
    <row r="8" spans="1:10" s="360" customFormat="1">
      <c r="A8" s="821">
        <v>6</v>
      </c>
      <c r="B8" s="822" t="s">
        <v>419</v>
      </c>
      <c r="C8" s="1144">
        <v>274.96962079999997</v>
      </c>
      <c r="D8" s="1144">
        <v>502831.45648520999</v>
      </c>
      <c r="E8" s="1143">
        <v>4.7117653700000002</v>
      </c>
      <c r="F8" s="1145">
        <v>1.4</v>
      </c>
      <c r="G8" s="1145">
        <v>0.45</v>
      </c>
      <c r="H8" s="823" t="s">
        <v>234</v>
      </c>
      <c r="I8" s="823" t="s">
        <v>234</v>
      </c>
      <c r="J8" s="822" t="s">
        <v>234</v>
      </c>
    </row>
    <row r="9" spans="1:10" s="360" customFormat="1">
      <c r="A9" s="821">
        <v>7</v>
      </c>
      <c r="B9" s="822" t="s">
        <v>418</v>
      </c>
      <c r="C9" s="1144">
        <v>361.80875179999998</v>
      </c>
      <c r="D9" s="1144">
        <v>437487.98255184002</v>
      </c>
      <c r="E9" s="1143">
        <v>4.0994665299999999</v>
      </c>
      <c r="F9" s="1145">
        <v>0.57999999999999996</v>
      </c>
      <c r="G9" s="1145">
        <v>0.14000000000000001</v>
      </c>
      <c r="H9" s="823" t="s">
        <v>234</v>
      </c>
      <c r="I9" s="823" t="s">
        <v>234</v>
      </c>
      <c r="J9" s="822" t="s">
        <v>234</v>
      </c>
    </row>
    <row r="10" spans="1:10" s="360" customFormat="1">
      <c r="A10" s="821">
        <v>8</v>
      </c>
      <c r="B10" s="822" t="s">
        <v>425</v>
      </c>
      <c r="C10" s="1144">
        <v>2846.145712</v>
      </c>
      <c r="D10" s="1144">
        <v>400557.02599527995</v>
      </c>
      <c r="E10" s="1143">
        <v>3.7534062399999999</v>
      </c>
      <c r="F10" s="1145">
        <v>0.85</v>
      </c>
      <c r="G10" s="1145">
        <v>0.26</v>
      </c>
      <c r="H10" s="823" t="s">
        <v>234</v>
      </c>
      <c r="I10" s="823" t="s">
        <v>234</v>
      </c>
      <c r="J10" s="822" t="s">
        <v>234</v>
      </c>
    </row>
    <row r="11" spans="1:10" s="360" customFormat="1">
      <c r="A11" s="821">
        <v>9</v>
      </c>
      <c r="B11" s="822" t="s">
        <v>421</v>
      </c>
      <c r="C11" s="1144">
        <v>618.2026042</v>
      </c>
      <c r="D11" s="1144">
        <v>330393.58043023496</v>
      </c>
      <c r="E11" s="1143">
        <v>3.0959420099999999</v>
      </c>
      <c r="F11" s="1145">
        <v>1.1299999999999999</v>
      </c>
      <c r="G11" s="1145">
        <v>0.36</v>
      </c>
      <c r="H11" s="823" t="s">
        <v>234</v>
      </c>
      <c r="I11" s="823" t="s">
        <v>234</v>
      </c>
      <c r="J11" s="822" t="s">
        <v>234</v>
      </c>
    </row>
    <row r="12" spans="1:10" s="360" customFormat="1">
      <c r="A12" s="821">
        <v>10</v>
      </c>
      <c r="B12" s="822" t="s">
        <v>423</v>
      </c>
      <c r="C12" s="1144">
        <v>892.46119339999996</v>
      </c>
      <c r="D12" s="1144">
        <v>325736.20869631501</v>
      </c>
      <c r="E12" s="1143">
        <v>3.0523002699999999</v>
      </c>
      <c r="F12" s="1145">
        <v>1.44</v>
      </c>
      <c r="G12" s="1145">
        <v>0.44</v>
      </c>
      <c r="H12" s="823" t="s">
        <v>234</v>
      </c>
      <c r="I12" s="823" t="s">
        <v>234</v>
      </c>
      <c r="J12" s="822" t="s">
        <v>234</v>
      </c>
    </row>
    <row r="13" spans="1:10" s="360" customFormat="1">
      <c r="A13" s="821">
        <v>11</v>
      </c>
      <c r="B13" s="822" t="s">
        <v>428</v>
      </c>
      <c r="C13" s="1144">
        <v>621.76441550000004</v>
      </c>
      <c r="D13" s="1144">
        <v>279656.38243896002</v>
      </c>
      <c r="E13" s="1143">
        <v>2.62051079</v>
      </c>
      <c r="F13" s="1145">
        <v>1.1299999999999999</v>
      </c>
      <c r="G13" s="1145">
        <v>0.25</v>
      </c>
      <c r="H13" s="823" t="s">
        <v>234</v>
      </c>
      <c r="I13" s="823" t="s">
        <v>234</v>
      </c>
      <c r="J13" s="822" t="s">
        <v>234</v>
      </c>
    </row>
    <row r="14" spans="1:10" s="360" customFormat="1">
      <c r="A14" s="821">
        <v>12</v>
      </c>
      <c r="B14" s="822" t="s">
        <v>422</v>
      </c>
      <c r="C14" s="1144">
        <v>994.06000600000004</v>
      </c>
      <c r="D14" s="1144">
        <v>265717.54857252003</v>
      </c>
      <c r="E14" s="1143">
        <v>2.4898974200000001</v>
      </c>
      <c r="F14" s="1145">
        <v>0.89</v>
      </c>
      <c r="G14" s="1145">
        <v>0.26</v>
      </c>
      <c r="H14" s="823" t="s">
        <v>234</v>
      </c>
      <c r="I14" s="823" t="s">
        <v>234</v>
      </c>
      <c r="J14" s="822" t="s">
        <v>234</v>
      </c>
    </row>
    <row r="15" spans="1:10" s="360" customFormat="1">
      <c r="A15" s="821">
        <v>13</v>
      </c>
      <c r="B15" s="822" t="s">
        <v>424</v>
      </c>
      <c r="C15" s="1144">
        <v>234.95912619999999</v>
      </c>
      <c r="D15" s="1144">
        <v>241030.86671044503</v>
      </c>
      <c r="E15" s="1143">
        <v>2.2585716900000001</v>
      </c>
      <c r="F15" s="1145">
        <v>0.22</v>
      </c>
      <c r="G15" s="1145">
        <v>0.03</v>
      </c>
      <c r="H15" s="823" t="s">
        <v>234</v>
      </c>
      <c r="I15" s="823" t="s">
        <v>234</v>
      </c>
      <c r="J15" s="822" t="s">
        <v>234</v>
      </c>
    </row>
    <row r="16" spans="1:10" s="360" customFormat="1">
      <c r="A16" s="821">
        <v>14</v>
      </c>
      <c r="B16" s="822" t="s">
        <v>434</v>
      </c>
      <c r="C16" s="1144">
        <v>664.93170559999999</v>
      </c>
      <c r="D16" s="1144">
        <v>198542.30032169999</v>
      </c>
      <c r="E16" s="1143">
        <v>1.8604340000000001</v>
      </c>
      <c r="F16" s="1145">
        <v>1.63</v>
      </c>
      <c r="G16" s="1145">
        <v>0.44</v>
      </c>
      <c r="H16" s="823" t="s">
        <v>234</v>
      </c>
      <c r="I16" s="823" t="s">
        <v>234</v>
      </c>
      <c r="J16" s="822" t="s">
        <v>234</v>
      </c>
    </row>
    <row r="17" spans="1:10" s="360" customFormat="1">
      <c r="A17" s="821">
        <v>15</v>
      </c>
      <c r="B17" s="822" t="s">
        <v>433</v>
      </c>
      <c r="C17" s="1144">
        <v>9696.6661339999991</v>
      </c>
      <c r="D17" s="1144">
        <v>195391.71998451001</v>
      </c>
      <c r="E17" s="1143">
        <v>1.8309115899999999</v>
      </c>
      <c r="F17" s="1145">
        <v>0.96</v>
      </c>
      <c r="G17" s="1145">
        <v>0.22</v>
      </c>
      <c r="H17" s="823" t="s">
        <v>234</v>
      </c>
      <c r="I17" s="823" t="s">
        <v>234</v>
      </c>
      <c r="J17" s="822" t="s">
        <v>234</v>
      </c>
    </row>
    <row r="18" spans="1:10" s="360" customFormat="1">
      <c r="A18" s="821">
        <v>16</v>
      </c>
      <c r="B18" s="822" t="s">
        <v>431</v>
      </c>
      <c r="C18" s="1144">
        <v>123.79926399999999</v>
      </c>
      <c r="D18" s="1144">
        <v>189125.76524025001</v>
      </c>
      <c r="E18" s="1143">
        <v>1.77219667</v>
      </c>
      <c r="F18" s="1145">
        <v>0.49</v>
      </c>
      <c r="G18" s="1145">
        <v>0.11</v>
      </c>
      <c r="H18" s="823" t="s">
        <v>234</v>
      </c>
      <c r="I18" s="823" t="s">
        <v>234</v>
      </c>
      <c r="J18" s="822" t="s">
        <v>234</v>
      </c>
    </row>
    <row r="19" spans="1:10" s="360" customFormat="1">
      <c r="A19" s="821">
        <v>17</v>
      </c>
      <c r="B19" s="822" t="s">
        <v>426</v>
      </c>
      <c r="C19" s="1144">
        <v>239.93349699999999</v>
      </c>
      <c r="D19" s="1144">
        <v>188584.4305125</v>
      </c>
      <c r="E19" s="1143">
        <v>1.7671241099999999</v>
      </c>
      <c r="F19" s="1145">
        <v>1.07</v>
      </c>
      <c r="G19" s="1145">
        <v>0.31</v>
      </c>
      <c r="H19" s="823" t="s">
        <v>234</v>
      </c>
      <c r="I19" s="823" t="s">
        <v>234</v>
      </c>
      <c r="J19" s="822" t="s">
        <v>234</v>
      </c>
    </row>
    <row r="20" spans="1:10" s="360" customFormat="1">
      <c r="A20" s="821">
        <v>18</v>
      </c>
      <c r="B20" s="822" t="s">
        <v>432</v>
      </c>
      <c r="C20" s="1144">
        <v>157.20128700000001</v>
      </c>
      <c r="D20" s="1144">
        <v>171121.19512025997</v>
      </c>
      <c r="E20" s="1143">
        <v>1.60348545</v>
      </c>
      <c r="F20" s="1145">
        <v>0.63</v>
      </c>
      <c r="G20" s="1145">
        <v>0.14000000000000001</v>
      </c>
      <c r="H20" s="823" t="s">
        <v>234</v>
      </c>
      <c r="I20" s="823" t="s">
        <v>234</v>
      </c>
      <c r="J20" s="822" t="s">
        <v>234</v>
      </c>
    </row>
    <row r="21" spans="1:10" s="360" customFormat="1">
      <c r="A21" s="821">
        <v>19</v>
      </c>
      <c r="B21" s="822" t="s">
        <v>429</v>
      </c>
      <c r="C21" s="1144">
        <v>542.73301919999994</v>
      </c>
      <c r="D21" s="1144">
        <v>167280.78525823998</v>
      </c>
      <c r="E21" s="1143">
        <v>1.5674990100000001</v>
      </c>
      <c r="F21" s="1145">
        <v>0.71</v>
      </c>
      <c r="G21" s="1145">
        <v>0.19</v>
      </c>
      <c r="H21" s="823" t="s">
        <v>234</v>
      </c>
      <c r="I21" s="823" t="s">
        <v>234</v>
      </c>
      <c r="J21" s="822" t="s">
        <v>234</v>
      </c>
    </row>
    <row r="22" spans="1:10" s="360" customFormat="1">
      <c r="A22" s="821">
        <v>20</v>
      </c>
      <c r="B22" s="822" t="s">
        <v>440</v>
      </c>
      <c r="C22" s="1144">
        <v>9300.6038189999999</v>
      </c>
      <c r="D22" s="1144">
        <v>162120.57730427501</v>
      </c>
      <c r="E22" s="1143">
        <v>1.5191454599999998</v>
      </c>
      <c r="F22" s="1145">
        <v>1.23</v>
      </c>
      <c r="G22" s="1145">
        <v>0.15</v>
      </c>
      <c r="H22" s="823" t="s">
        <v>234</v>
      </c>
      <c r="I22" s="823" t="s">
        <v>234</v>
      </c>
      <c r="J22" s="822" t="s">
        <v>234</v>
      </c>
    </row>
    <row r="23" spans="1:10" s="360" customFormat="1">
      <c r="A23" s="821">
        <v>21</v>
      </c>
      <c r="B23" s="822" t="s">
        <v>430</v>
      </c>
      <c r="C23" s="1144">
        <v>88.778616</v>
      </c>
      <c r="D23" s="1144">
        <v>144778.98582695</v>
      </c>
      <c r="E23" s="1143">
        <v>1.3566466500000001</v>
      </c>
      <c r="F23" s="1145">
        <v>0.65</v>
      </c>
      <c r="G23" s="1145">
        <v>0.15</v>
      </c>
      <c r="H23" s="823" t="s">
        <v>234</v>
      </c>
      <c r="I23" s="823" t="s">
        <v>234</v>
      </c>
      <c r="J23" s="822" t="s">
        <v>234</v>
      </c>
    </row>
    <row r="24" spans="1:10" s="360" customFormat="1">
      <c r="A24" s="821">
        <v>22</v>
      </c>
      <c r="B24" s="822" t="s">
        <v>427</v>
      </c>
      <c r="C24" s="1144">
        <v>288.697318</v>
      </c>
      <c r="D24" s="1144">
        <v>141168.37126450997</v>
      </c>
      <c r="E24" s="1143">
        <v>1.32281351</v>
      </c>
      <c r="F24" s="1145">
        <v>0.54</v>
      </c>
      <c r="G24" s="1145">
        <v>0.15</v>
      </c>
      <c r="H24" s="823" t="s">
        <v>234</v>
      </c>
      <c r="I24" s="823" t="s">
        <v>234</v>
      </c>
      <c r="J24" s="822" t="s">
        <v>234</v>
      </c>
    </row>
    <row r="25" spans="1:10" s="360" customFormat="1">
      <c r="A25" s="821">
        <v>23</v>
      </c>
      <c r="B25" s="822" t="s">
        <v>436</v>
      </c>
      <c r="C25" s="1144">
        <v>95.919779000000005</v>
      </c>
      <c r="D25" s="1144">
        <v>138940.29909044999</v>
      </c>
      <c r="E25" s="1143">
        <v>1.3019354299999999</v>
      </c>
      <c r="F25" s="1145">
        <v>1.1100000000000001</v>
      </c>
      <c r="G25" s="1145">
        <v>0.4</v>
      </c>
      <c r="H25" s="823" t="s">
        <v>234</v>
      </c>
      <c r="I25" s="823" t="s">
        <v>234</v>
      </c>
      <c r="J25" s="822" t="s">
        <v>234</v>
      </c>
    </row>
    <row r="26" spans="1:10" s="360" customFormat="1">
      <c r="A26" s="821">
        <v>24</v>
      </c>
      <c r="B26" s="822" t="s">
        <v>435</v>
      </c>
      <c r="C26" s="1144">
        <v>1248.3527171000001</v>
      </c>
      <c r="D26" s="1144">
        <v>131918.39503178</v>
      </c>
      <c r="E26" s="1143">
        <v>1.2361369199999999</v>
      </c>
      <c r="F26" s="1145">
        <v>1.51</v>
      </c>
      <c r="G26" s="1145">
        <v>0.46</v>
      </c>
      <c r="H26" s="823" t="s">
        <v>234</v>
      </c>
      <c r="I26" s="823" t="s">
        <v>234</v>
      </c>
      <c r="J26" s="822" t="s">
        <v>234</v>
      </c>
    </row>
    <row r="27" spans="1:10" s="360" customFormat="1">
      <c r="A27" s="821">
        <v>25</v>
      </c>
      <c r="B27" s="822" t="s">
        <v>446</v>
      </c>
      <c r="C27" s="1144">
        <v>6290.1396029999996</v>
      </c>
      <c r="D27" s="1144">
        <v>127950.89843069001</v>
      </c>
      <c r="E27" s="1143">
        <v>1.1989596199999999</v>
      </c>
      <c r="F27" s="1145">
        <v>1.7</v>
      </c>
      <c r="G27" s="1145">
        <v>0.4</v>
      </c>
      <c r="H27" s="823" t="s">
        <v>234</v>
      </c>
      <c r="I27" s="823" t="s">
        <v>234</v>
      </c>
      <c r="J27" s="822" t="s">
        <v>234</v>
      </c>
    </row>
    <row r="28" spans="1:10" s="360" customFormat="1">
      <c r="A28" s="821">
        <v>26</v>
      </c>
      <c r="B28" s="822" t="s">
        <v>1303</v>
      </c>
      <c r="C28" s="1144">
        <v>35.548746100000002</v>
      </c>
      <c r="D28" s="1144">
        <v>124015.053225325</v>
      </c>
      <c r="E28" s="1143">
        <v>1.1620789200000001</v>
      </c>
      <c r="F28" s="1145">
        <v>0.84</v>
      </c>
      <c r="G28" s="1145">
        <v>0.06</v>
      </c>
      <c r="H28" s="823" t="s">
        <v>234</v>
      </c>
      <c r="I28" s="823" t="s">
        <v>234</v>
      </c>
      <c r="J28" s="822" t="s">
        <v>234</v>
      </c>
    </row>
    <row r="29" spans="1:10" s="360" customFormat="1">
      <c r="A29" s="821">
        <v>27</v>
      </c>
      <c r="B29" s="822" t="s">
        <v>1304</v>
      </c>
      <c r="C29" s="1144">
        <v>244.5453966</v>
      </c>
      <c r="D29" s="1144">
        <v>120653.63152194001</v>
      </c>
      <c r="E29" s="1143">
        <v>1.13058083</v>
      </c>
      <c r="F29" s="1145">
        <v>0.84</v>
      </c>
      <c r="G29" s="1145">
        <v>0.16</v>
      </c>
      <c r="H29" s="823" t="s">
        <v>234</v>
      </c>
      <c r="I29" s="823" t="s">
        <v>234</v>
      </c>
      <c r="J29" s="822" t="s">
        <v>234</v>
      </c>
    </row>
    <row r="30" spans="1:10" s="360" customFormat="1">
      <c r="A30" s="821">
        <v>28</v>
      </c>
      <c r="B30" s="822" t="s">
        <v>442</v>
      </c>
      <c r="C30" s="1144">
        <v>6162.7283269999998</v>
      </c>
      <c r="D30" s="1144">
        <v>120303.08992422</v>
      </c>
      <c r="E30" s="1143">
        <v>1.12729609</v>
      </c>
      <c r="F30" s="1145">
        <v>1.38</v>
      </c>
      <c r="G30" s="1145">
        <v>0.49</v>
      </c>
      <c r="H30" s="823" t="s">
        <v>234</v>
      </c>
      <c r="I30" s="823" t="s">
        <v>234</v>
      </c>
      <c r="J30" s="822" t="s">
        <v>234</v>
      </c>
    </row>
    <row r="31" spans="1:10" s="360" customFormat="1">
      <c r="A31" s="821">
        <v>29</v>
      </c>
      <c r="B31" s="822" t="s">
        <v>1305</v>
      </c>
      <c r="C31" s="1144">
        <v>279.179756</v>
      </c>
      <c r="D31" s="1144">
        <v>118814.92756724999</v>
      </c>
      <c r="E31" s="1143">
        <v>1.1133513100000001</v>
      </c>
      <c r="F31" s="1145">
        <v>1.31</v>
      </c>
      <c r="G31" s="1145">
        <v>0.23</v>
      </c>
      <c r="H31" s="823" t="s">
        <v>234</v>
      </c>
      <c r="I31" s="823" t="s">
        <v>234</v>
      </c>
      <c r="J31" s="822" t="s">
        <v>234</v>
      </c>
    </row>
    <row r="32" spans="1:10" s="360" customFormat="1">
      <c r="A32" s="821">
        <v>30</v>
      </c>
      <c r="B32" s="822" t="s">
        <v>448</v>
      </c>
      <c r="C32" s="1144">
        <v>432.02778899999998</v>
      </c>
      <c r="D32" s="1144">
        <v>116997.30538000001</v>
      </c>
      <c r="E32" s="1143">
        <v>1.09631934</v>
      </c>
      <c r="F32" s="1145">
        <v>2.08</v>
      </c>
      <c r="G32" s="1145">
        <v>0.43</v>
      </c>
      <c r="H32" s="823" t="s">
        <v>234</v>
      </c>
      <c r="I32" s="823" t="s">
        <v>234</v>
      </c>
      <c r="J32" s="822" t="s">
        <v>234</v>
      </c>
    </row>
    <row r="33" spans="1:10" s="360" customFormat="1">
      <c r="A33" s="821">
        <v>31</v>
      </c>
      <c r="B33" s="822" t="s">
        <v>445</v>
      </c>
      <c r="C33" s="1144">
        <v>131.69584520000001</v>
      </c>
      <c r="D33" s="1144">
        <v>110525.49274536001</v>
      </c>
      <c r="E33" s="1143">
        <v>1.0356754399999999</v>
      </c>
      <c r="F33" s="1145">
        <v>0.96</v>
      </c>
      <c r="G33" s="1145">
        <v>0.33</v>
      </c>
      <c r="H33" s="823" t="s">
        <v>234</v>
      </c>
      <c r="I33" s="823" t="s">
        <v>234</v>
      </c>
      <c r="J33" s="822" t="s">
        <v>234</v>
      </c>
    </row>
    <row r="34" spans="1:10" s="360" customFormat="1">
      <c r="A34" s="821">
        <v>32</v>
      </c>
      <c r="B34" s="822" t="s">
        <v>1306</v>
      </c>
      <c r="C34" s="1144">
        <v>6353.2841879999996</v>
      </c>
      <c r="D34" s="1144">
        <v>109440.761806125</v>
      </c>
      <c r="E34" s="1143">
        <v>1.0255110000000001</v>
      </c>
      <c r="F34" s="1145">
        <v>0.12</v>
      </c>
      <c r="G34" s="1145">
        <v>0</v>
      </c>
      <c r="H34" s="823" t="s">
        <v>234</v>
      </c>
      <c r="I34" s="823" t="s">
        <v>234</v>
      </c>
      <c r="J34" s="822" t="s">
        <v>234</v>
      </c>
    </row>
    <row r="35" spans="1:10" s="360" customFormat="1">
      <c r="A35" s="821">
        <v>33</v>
      </c>
      <c r="B35" s="822" t="s">
        <v>447</v>
      </c>
      <c r="C35" s="1144">
        <v>224.72165229999999</v>
      </c>
      <c r="D35" s="1144">
        <v>95792.411669109992</v>
      </c>
      <c r="E35" s="1143">
        <v>0.89761960000000007</v>
      </c>
      <c r="F35" s="1145">
        <v>1.1000000000000001</v>
      </c>
      <c r="G35" s="1145">
        <v>0.22</v>
      </c>
      <c r="H35" s="823" t="s">
        <v>234</v>
      </c>
      <c r="I35" s="823" t="s">
        <v>234</v>
      </c>
      <c r="J35" s="822" t="s">
        <v>234</v>
      </c>
    </row>
    <row r="36" spans="1:10" s="360" customFormat="1">
      <c r="A36" s="821">
        <v>34</v>
      </c>
      <c r="B36" s="822" t="s">
        <v>443</v>
      </c>
      <c r="C36" s="1144">
        <v>488.963483</v>
      </c>
      <c r="D36" s="1144">
        <v>95525.280263699999</v>
      </c>
      <c r="E36" s="1143">
        <v>0.89511645000000006</v>
      </c>
      <c r="F36" s="1145">
        <v>0.85</v>
      </c>
      <c r="G36" s="1145">
        <v>0.2</v>
      </c>
      <c r="H36" s="823" t="s">
        <v>234</v>
      </c>
      <c r="I36" s="823" t="s">
        <v>234</v>
      </c>
      <c r="J36" s="822" t="s">
        <v>234</v>
      </c>
    </row>
    <row r="37" spans="1:10" s="360" customFormat="1">
      <c r="A37" s="821">
        <v>35</v>
      </c>
      <c r="B37" s="822" t="s">
        <v>438</v>
      </c>
      <c r="C37" s="1144">
        <v>778.72500500000001</v>
      </c>
      <c r="D37" s="1144">
        <v>92852.163352589996</v>
      </c>
      <c r="E37" s="1143">
        <v>0.87006810000000001</v>
      </c>
      <c r="F37" s="1145">
        <v>1.33</v>
      </c>
      <c r="G37" s="1145">
        <v>0.44</v>
      </c>
      <c r="H37" s="823" t="s">
        <v>234</v>
      </c>
      <c r="I37" s="823" t="s">
        <v>234</v>
      </c>
      <c r="J37" s="822" t="s">
        <v>234</v>
      </c>
    </row>
    <row r="38" spans="1:10" s="360" customFormat="1">
      <c r="A38" s="821">
        <v>36</v>
      </c>
      <c r="B38" s="822" t="s">
        <v>439</v>
      </c>
      <c r="C38" s="1144">
        <v>114.0001121</v>
      </c>
      <c r="D38" s="1144">
        <v>91106.673803120008</v>
      </c>
      <c r="E38" s="1143">
        <v>0.85371204000000001</v>
      </c>
      <c r="F38" s="1145">
        <v>2.08</v>
      </c>
      <c r="G38" s="1145">
        <v>0.41</v>
      </c>
      <c r="H38" s="823" t="s">
        <v>234</v>
      </c>
      <c r="I38" s="823" t="s">
        <v>234</v>
      </c>
      <c r="J38" s="822" t="s">
        <v>234</v>
      </c>
    </row>
    <row r="39" spans="1:10" s="360" customFormat="1">
      <c r="A39" s="821">
        <v>37</v>
      </c>
      <c r="B39" s="822" t="s">
        <v>441</v>
      </c>
      <c r="C39" s="1144">
        <v>96.415716000000003</v>
      </c>
      <c r="D39" s="1144">
        <v>89570.651752200007</v>
      </c>
      <c r="E39" s="1143">
        <v>0.83931879999999992</v>
      </c>
      <c r="F39" s="1145">
        <v>0.22</v>
      </c>
      <c r="G39" s="1145">
        <v>0</v>
      </c>
      <c r="H39" s="823" t="s">
        <v>234</v>
      </c>
      <c r="I39" s="823" t="s">
        <v>234</v>
      </c>
      <c r="J39" s="822" t="s">
        <v>234</v>
      </c>
    </row>
    <row r="40" spans="1:10" s="360" customFormat="1">
      <c r="A40" s="821">
        <v>38</v>
      </c>
      <c r="B40" s="822" t="s">
        <v>449</v>
      </c>
      <c r="C40" s="1144">
        <v>161.51062099999999</v>
      </c>
      <c r="D40" s="1144">
        <v>85360.334273760003</v>
      </c>
      <c r="E40" s="1143">
        <v>0.79986615999999999</v>
      </c>
      <c r="F40" s="1145">
        <v>0.28000000000000003</v>
      </c>
      <c r="G40" s="1145">
        <v>0.02</v>
      </c>
      <c r="H40" s="823" t="s">
        <v>234</v>
      </c>
      <c r="I40" s="823" t="s">
        <v>234</v>
      </c>
      <c r="J40" s="822" t="s">
        <v>234</v>
      </c>
    </row>
    <row r="41" spans="1:10" s="360" customFormat="1">
      <c r="A41" s="824">
        <v>39</v>
      </c>
      <c r="B41" s="825" t="s">
        <v>437</v>
      </c>
      <c r="C41" s="1146">
        <v>83.4148505</v>
      </c>
      <c r="D41" s="1146">
        <v>85219.309765794998</v>
      </c>
      <c r="E41" s="1143">
        <v>0.7985447</v>
      </c>
      <c r="F41" s="1147">
        <v>0.42</v>
      </c>
      <c r="G41" s="1147">
        <v>7.0000000000000007E-2</v>
      </c>
      <c r="H41" s="826" t="s">
        <v>234</v>
      </c>
      <c r="I41" s="826" t="s">
        <v>234</v>
      </c>
      <c r="J41" s="825" t="s">
        <v>234</v>
      </c>
    </row>
    <row r="42" spans="1:10" s="360" customFormat="1">
      <c r="A42" s="452">
        <v>40</v>
      </c>
      <c r="B42" s="453" t="s">
        <v>444</v>
      </c>
      <c r="C42" s="1148">
        <v>1046.1077310000001</v>
      </c>
      <c r="D42" s="1148">
        <v>71411.02030089499</v>
      </c>
      <c r="E42" s="1143">
        <v>0.66915458000000005</v>
      </c>
      <c r="F42" s="1149">
        <v>1.06</v>
      </c>
      <c r="G42" s="1149">
        <v>0.26</v>
      </c>
      <c r="H42" s="454" t="s">
        <v>234</v>
      </c>
      <c r="I42" s="454" t="s">
        <v>234</v>
      </c>
      <c r="J42" s="453" t="s">
        <v>234</v>
      </c>
    </row>
    <row r="43" spans="1:10" s="360" customFormat="1">
      <c r="A43" s="327"/>
      <c r="B43" s="328"/>
      <c r="C43" s="329"/>
      <c r="D43" s="329"/>
      <c r="E43" s="330"/>
      <c r="F43" s="331"/>
      <c r="G43" s="331"/>
      <c r="H43" s="331"/>
      <c r="I43" s="331"/>
      <c r="J43" s="328"/>
    </row>
    <row r="44" spans="1:10" s="360" customFormat="1">
      <c r="A44" s="1339" t="s">
        <v>77</v>
      </c>
      <c r="B44" s="1339"/>
      <c r="C44" s="1339"/>
      <c r="D44" s="1339"/>
      <c r="E44" s="1339"/>
      <c r="F44" s="1339"/>
      <c r="G44" s="1339"/>
      <c r="H44" s="1339"/>
      <c r="I44" s="1339"/>
      <c r="J44" s="1339"/>
    </row>
    <row r="45" spans="1:10" s="360" customFormat="1">
      <c r="A45" s="1339" t="s">
        <v>450</v>
      </c>
      <c r="B45" s="1339"/>
      <c r="C45" s="1339"/>
      <c r="D45" s="1339"/>
      <c r="E45" s="1339"/>
      <c r="F45" s="1339"/>
      <c r="G45" s="1339"/>
      <c r="H45" s="1339"/>
      <c r="I45" s="1339"/>
      <c r="J45" s="1339"/>
    </row>
    <row r="46" spans="1:10" s="360" customFormat="1">
      <c r="A46" s="1339" t="s">
        <v>451</v>
      </c>
      <c r="B46" s="1339"/>
      <c r="C46" s="1339"/>
      <c r="D46" s="1339"/>
      <c r="E46" s="1339"/>
      <c r="F46" s="1339"/>
      <c r="G46" s="1339"/>
      <c r="H46" s="1339"/>
      <c r="I46" s="1339"/>
      <c r="J46" s="1339"/>
    </row>
    <row r="47" spans="1:10" s="360" customFormat="1">
      <c r="A47" s="1339" t="s">
        <v>452</v>
      </c>
      <c r="B47" s="1339"/>
      <c r="C47" s="1339"/>
      <c r="D47" s="1339"/>
      <c r="E47" s="1339"/>
      <c r="F47" s="1339"/>
      <c r="G47" s="1339"/>
      <c r="H47" s="1339"/>
      <c r="I47" s="1339"/>
      <c r="J47" s="1339"/>
    </row>
    <row r="48" spans="1:10" s="360" customFormat="1">
      <c r="A48" s="1339" t="s">
        <v>453</v>
      </c>
      <c r="B48" s="1339"/>
      <c r="C48" s="1339"/>
      <c r="D48" s="1339"/>
      <c r="E48" s="1339"/>
      <c r="F48" s="1339"/>
      <c r="G48" s="1339"/>
      <c r="H48" s="1339"/>
      <c r="I48" s="1339"/>
      <c r="J48" s="1339"/>
    </row>
    <row r="49" spans="1:10" s="360" customFormat="1" ht="29.25" customHeight="1">
      <c r="A49" s="1340" t="s">
        <v>1063</v>
      </c>
      <c r="B49" s="1340"/>
      <c r="C49" s="1340"/>
      <c r="D49" s="1340"/>
      <c r="E49" s="1340"/>
      <c r="F49" s="1340"/>
      <c r="G49" s="1340"/>
      <c r="H49" s="1340"/>
      <c r="I49" s="1340"/>
      <c r="J49" s="1340"/>
    </row>
    <row r="50" spans="1:10" s="360" customFormat="1">
      <c r="A50" s="1338" t="s">
        <v>311</v>
      </c>
      <c r="B50" s="1338"/>
      <c r="C50" s="1338"/>
      <c r="D50" s="1338"/>
      <c r="E50" s="1338"/>
      <c r="F50" s="1338"/>
      <c r="G50" s="1338"/>
      <c r="H50" s="1338"/>
      <c r="I50" s="1338"/>
      <c r="J50" s="1338"/>
    </row>
    <row r="51" spans="1:10" s="360" customFormat="1"/>
  </sheetData>
  <mergeCells count="7">
    <mergeCell ref="A50:J50"/>
    <mergeCell ref="A44:J44"/>
    <mergeCell ref="A45:J45"/>
    <mergeCell ref="A46:J46"/>
    <mergeCell ref="A47:J47"/>
    <mergeCell ref="A48:J48"/>
    <mergeCell ref="A49:J49"/>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J15"/>
  <sheetViews>
    <sheetView workbookViewId="0"/>
  </sheetViews>
  <sheetFormatPr defaultColWidth="9.140625" defaultRowHeight="15"/>
  <cols>
    <col min="1" max="10" width="10.5703125" style="97" bestFit="1" customWidth="1"/>
    <col min="11" max="11" width="4.5703125" style="97" bestFit="1" customWidth="1"/>
    <col min="12" max="16384" width="9.140625" style="97"/>
  </cols>
  <sheetData>
    <row r="1" spans="1:10" ht="15.75" customHeight="1">
      <c r="A1" s="154" t="s">
        <v>454</v>
      </c>
      <c r="B1" s="154"/>
      <c r="C1" s="154"/>
      <c r="D1" s="154"/>
      <c r="E1" s="154"/>
      <c r="F1" s="154"/>
      <c r="G1" s="154"/>
    </row>
    <row r="2" spans="1:10" s="360" customFormat="1">
      <c r="A2" s="1311" t="s">
        <v>139</v>
      </c>
      <c r="B2" s="1341" t="s">
        <v>69</v>
      </c>
      <c r="C2" s="1342"/>
      <c r="D2" s="1343"/>
      <c r="E2" s="1313" t="s">
        <v>70</v>
      </c>
      <c r="F2" s="1314"/>
      <c r="G2" s="1315"/>
      <c r="H2" s="1341" t="s">
        <v>71</v>
      </c>
      <c r="I2" s="1342"/>
      <c r="J2" s="1343"/>
    </row>
    <row r="3" spans="1:10" s="360" customFormat="1" ht="48.75" customHeight="1">
      <c r="A3" s="1312"/>
      <c r="B3" s="827" t="s">
        <v>455</v>
      </c>
      <c r="C3" s="827" t="s">
        <v>456</v>
      </c>
      <c r="D3" s="827" t="s">
        <v>457</v>
      </c>
      <c r="E3" s="827" t="s">
        <v>455</v>
      </c>
      <c r="F3" s="827" t="s">
        <v>456</v>
      </c>
      <c r="G3" s="827" t="s">
        <v>457</v>
      </c>
      <c r="H3" s="827" t="s">
        <v>455</v>
      </c>
      <c r="I3" s="827" t="s">
        <v>456</v>
      </c>
      <c r="J3" s="827" t="s">
        <v>457</v>
      </c>
    </row>
    <row r="4" spans="1:10" s="102" customFormat="1" ht="15.75" customHeight="1">
      <c r="A4" s="490" t="s">
        <v>520</v>
      </c>
      <c r="B4" s="101">
        <v>2772</v>
      </c>
      <c r="C4" s="101">
        <v>1284</v>
      </c>
      <c r="D4" s="828">
        <v>2.1588785046728973</v>
      </c>
      <c r="E4" s="114">
        <v>1768</v>
      </c>
      <c r="F4" s="114">
        <v>690</v>
      </c>
      <c r="G4" s="829">
        <v>2.5623188405797102</v>
      </c>
      <c r="H4" s="830">
        <v>3</v>
      </c>
      <c r="I4" s="830">
        <v>0</v>
      </c>
      <c r="J4" s="831" t="s">
        <v>1169</v>
      </c>
    </row>
    <row r="5" spans="1:10" s="102" customFormat="1" ht="15.75" customHeight="1">
      <c r="A5" s="491" t="s">
        <v>1165</v>
      </c>
      <c r="B5" s="832">
        <v>3182</v>
      </c>
      <c r="C5" s="832">
        <v>1006</v>
      </c>
      <c r="D5" s="833">
        <v>3.1630218687872764</v>
      </c>
      <c r="E5" s="832">
        <v>1902</v>
      </c>
      <c r="F5" s="832">
        <v>456</v>
      </c>
      <c r="G5" s="833">
        <f>IFERROR(E5/F5,"-")</f>
        <v>4.1710526315789478</v>
      </c>
      <c r="H5" s="116">
        <v>1</v>
      </c>
      <c r="I5" s="116" t="s">
        <v>234</v>
      </c>
      <c r="J5" s="833" t="str">
        <f>IFERROR(H5/I5,"0")</f>
        <v>0</v>
      </c>
    </row>
    <row r="6" spans="1:10" s="360" customFormat="1" ht="15.75" customHeight="1">
      <c r="A6" s="179">
        <v>45383</v>
      </c>
      <c r="B6" s="350">
        <v>2840</v>
      </c>
      <c r="C6" s="358">
        <v>1246</v>
      </c>
      <c r="D6" s="332">
        <v>2.2792937399678972</v>
      </c>
      <c r="E6" s="350">
        <v>2081</v>
      </c>
      <c r="F6" s="350">
        <v>608</v>
      </c>
      <c r="G6" s="333">
        <v>3.42</v>
      </c>
      <c r="H6" s="346">
        <v>1</v>
      </c>
      <c r="I6" s="346" t="s">
        <v>234</v>
      </c>
      <c r="J6" s="334" t="s">
        <v>234</v>
      </c>
    </row>
    <row r="7" spans="1:10" s="360" customFormat="1" ht="15.75" customHeight="1">
      <c r="A7" s="179">
        <v>45413</v>
      </c>
      <c r="B7" s="358">
        <v>1955</v>
      </c>
      <c r="C7" s="358">
        <v>2146</v>
      </c>
      <c r="D7" s="332">
        <v>0.91099720410065232</v>
      </c>
      <c r="E7" s="350">
        <v>1388</v>
      </c>
      <c r="F7" s="350">
        <v>1330</v>
      </c>
      <c r="G7" s="333">
        <v>1.04</v>
      </c>
      <c r="H7" s="346" t="s">
        <v>234</v>
      </c>
      <c r="I7" s="346">
        <v>1</v>
      </c>
      <c r="J7" s="346" t="s">
        <v>234</v>
      </c>
    </row>
    <row r="8" spans="1:10" s="360" customFormat="1" ht="15.75" customHeight="1">
      <c r="A8" s="179">
        <v>45444</v>
      </c>
      <c r="B8" s="358">
        <v>2343</v>
      </c>
      <c r="C8" s="358">
        <v>1785</v>
      </c>
      <c r="D8" s="332">
        <v>1.3126050420168067</v>
      </c>
      <c r="E8" s="350">
        <v>1939</v>
      </c>
      <c r="F8" s="350">
        <v>1082</v>
      </c>
      <c r="G8" s="333">
        <v>1.79</v>
      </c>
      <c r="H8" s="346">
        <v>1</v>
      </c>
      <c r="I8" s="346">
        <v>1</v>
      </c>
      <c r="J8" s="334">
        <v>1</v>
      </c>
    </row>
    <row r="9" spans="1:10" s="360" customFormat="1" ht="15.75" customHeight="1">
      <c r="A9" s="179">
        <v>45474</v>
      </c>
      <c r="B9" s="358">
        <v>2975</v>
      </c>
      <c r="C9" s="358">
        <v>1175</v>
      </c>
      <c r="D9" s="332">
        <v>2.5319148936170213</v>
      </c>
      <c r="E9" s="350">
        <v>2322</v>
      </c>
      <c r="F9" s="350">
        <v>746</v>
      </c>
      <c r="G9" s="333">
        <v>3.11</v>
      </c>
      <c r="H9" s="346">
        <v>2</v>
      </c>
      <c r="I9" s="346">
        <v>1</v>
      </c>
      <c r="J9" s="334">
        <v>2</v>
      </c>
    </row>
    <row r="10" spans="1:10" s="360" customFormat="1">
      <c r="A10" s="136"/>
      <c r="B10" s="362"/>
      <c r="C10" s="362"/>
      <c r="D10" s="393"/>
      <c r="E10" s="394"/>
      <c r="F10" s="394"/>
      <c r="G10" s="395"/>
      <c r="H10" s="388"/>
      <c r="I10" s="388"/>
      <c r="J10" s="396"/>
    </row>
    <row r="11" spans="1:10" s="360" customFormat="1">
      <c r="A11" s="152" t="s">
        <v>458</v>
      </c>
      <c r="B11" s="152"/>
      <c r="C11" s="152"/>
      <c r="D11" s="152"/>
      <c r="E11" s="152"/>
      <c r="F11" s="152"/>
    </row>
    <row r="12" spans="1:10" s="360" customFormat="1">
      <c r="A12" s="484" t="s">
        <v>1299</v>
      </c>
      <c r="B12" s="152"/>
      <c r="C12" s="152"/>
      <c r="D12" s="152"/>
      <c r="E12" s="152"/>
      <c r="F12" s="152"/>
    </row>
    <row r="13" spans="1:10" s="360" customFormat="1">
      <c r="A13" s="1283" t="s">
        <v>167</v>
      </c>
      <c r="B13" s="1283"/>
      <c r="C13" s="1283"/>
      <c r="D13" s="1283"/>
      <c r="E13" s="1283"/>
      <c r="F13" s="1283"/>
    </row>
    <row r="14" spans="1:10" s="360" customFormat="1"/>
    <row r="15" spans="1:10" s="360" customFormat="1">
      <c r="A15" s="97"/>
      <c r="B15" s="97"/>
      <c r="C15" s="97"/>
      <c r="D15" s="97"/>
      <c r="E15" s="97"/>
      <c r="F15" s="97"/>
      <c r="G15" s="97"/>
    </row>
  </sheetData>
  <mergeCells count="5">
    <mergeCell ref="A2:A3"/>
    <mergeCell ref="B2:D2"/>
    <mergeCell ref="E2:G2"/>
    <mergeCell ref="H2:J2"/>
    <mergeCell ref="A13:F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L15"/>
  <sheetViews>
    <sheetView workbookViewId="0"/>
  </sheetViews>
  <sheetFormatPr defaultColWidth="9.140625" defaultRowHeight="15"/>
  <cols>
    <col min="1" max="1" width="9.85546875" style="97" bestFit="1" customWidth="1"/>
    <col min="2" max="10" width="13.5703125" style="97" bestFit="1" customWidth="1"/>
    <col min="11" max="16384" width="9.140625" style="97"/>
  </cols>
  <sheetData>
    <row r="1" spans="1:12" ht="13.5" customHeight="1">
      <c r="A1" s="154" t="s">
        <v>459</v>
      </c>
      <c r="B1" s="154"/>
      <c r="C1" s="154"/>
      <c r="D1" s="154"/>
      <c r="E1" s="154"/>
      <c r="F1" s="154"/>
      <c r="G1" s="154"/>
    </row>
    <row r="2" spans="1:12" s="360" customFormat="1" ht="27.75" customHeight="1">
      <c r="A2" s="1324" t="s">
        <v>460</v>
      </c>
      <c r="B2" s="1341" t="s">
        <v>69</v>
      </c>
      <c r="C2" s="1342"/>
      <c r="D2" s="1343"/>
      <c r="E2" s="1313" t="s">
        <v>70</v>
      </c>
      <c r="F2" s="1314"/>
      <c r="G2" s="1315"/>
      <c r="H2" s="1341" t="s">
        <v>71</v>
      </c>
      <c r="I2" s="1342"/>
      <c r="J2" s="1343"/>
    </row>
    <row r="3" spans="1:12" s="360" customFormat="1" ht="48" customHeight="1">
      <c r="A3" s="1325"/>
      <c r="B3" s="827" t="s">
        <v>461</v>
      </c>
      <c r="C3" s="827" t="s">
        <v>268</v>
      </c>
      <c r="D3" s="827" t="s">
        <v>462</v>
      </c>
      <c r="E3" s="827" t="s">
        <v>461</v>
      </c>
      <c r="F3" s="827" t="s">
        <v>463</v>
      </c>
      <c r="G3" s="827" t="s">
        <v>462</v>
      </c>
      <c r="H3" s="827" t="s">
        <v>461</v>
      </c>
      <c r="I3" s="827" t="s">
        <v>268</v>
      </c>
      <c r="J3" s="827" t="s">
        <v>462</v>
      </c>
    </row>
    <row r="4" spans="1:12" s="102" customFormat="1" ht="18" customHeight="1">
      <c r="A4" s="490" t="s">
        <v>520</v>
      </c>
      <c r="B4" s="101">
        <v>5252</v>
      </c>
      <c r="C4" s="101">
        <v>4295</v>
      </c>
      <c r="D4" s="834">
        <v>81.778370144706784</v>
      </c>
      <c r="E4" s="101">
        <v>2439</v>
      </c>
      <c r="F4" s="101">
        <v>2985</v>
      </c>
      <c r="G4" s="835">
        <v>122.38622386223864</v>
      </c>
      <c r="H4" s="122">
        <v>266</v>
      </c>
      <c r="I4" s="122">
        <v>7</v>
      </c>
      <c r="J4" s="835">
        <v>2.6315789473684208</v>
      </c>
    </row>
    <row r="5" spans="1:12" s="102" customFormat="1" ht="18" customHeight="1">
      <c r="A5" s="491" t="s">
        <v>1165</v>
      </c>
      <c r="B5" s="786">
        <f>INDEX(B6:B9,COUNT(B6:B9))</f>
        <v>5307</v>
      </c>
      <c r="C5" s="1142">
        <v>4265</v>
      </c>
      <c r="D5" s="253">
        <f>C5/B5*100</f>
        <v>80.365554927454312</v>
      </c>
      <c r="E5" s="1142">
        <f>INDEX(E6:E9,COUNT(E6:E9))</f>
        <v>2529</v>
      </c>
      <c r="F5" s="1142">
        <v>3294</v>
      </c>
      <c r="G5" s="253">
        <f>F5/E5*100</f>
        <v>130.2491103202847</v>
      </c>
      <c r="H5" s="1142">
        <f>INDEX(H6:H9,COUNT(H6:H9))</f>
        <v>266</v>
      </c>
      <c r="I5" s="1142">
        <v>7</v>
      </c>
      <c r="J5" s="253">
        <f>I5/H5*100</f>
        <v>2.6315789473684208</v>
      </c>
      <c r="K5" s="153"/>
      <c r="L5" s="153"/>
    </row>
    <row r="6" spans="1:12" s="360" customFormat="1" ht="18" customHeight="1">
      <c r="A6" s="179">
        <v>45383</v>
      </c>
      <c r="B6" s="358">
        <v>5264</v>
      </c>
      <c r="C6" s="358">
        <v>4153</v>
      </c>
      <c r="D6" s="335">
        <f t="shared" ref="D6:D7" si="0">C6/B6*100</f>
        <v>78.894376899696056</v>
      </c>
      <c r="E6" s="350">
        <v>2464</v>
      </c>
      <c r="F6" s="358">
        <v>2625</v>
      </c>
      <c r="G6" s="335">
        <f t="shared" ref="G6:G7" si="1">F6/E6*100</f>
        <v>106.53409090909092</v>
      </c>
      <c r="H6" s="346">
        <v>266</v>
      </c>
      <c r="I6" s="346">
        <v>1</v>
      </c>
      <c r="J6" s="335">
        <v>0.37593984962406013</v>
      </c>
      <c r="K6" s="153"/>
      <c r="L6" s="153"/>
    </row>
    <row r="7" spans="1:12" s="360" customFormat="1" ht="18" customHeight="1">
      <c r="A7" s="179">
        <v>45413</v>
      </c>
      <c r="B7" s="358">
        <v>5274</v>
      </c>
      <c r="C7" s="358">
        <v>4170</v>
      </c>
      <c r="D7" s="335">
        <f t="shared" si="0"/>
        <v>79.067121729237769</v>
      </c>
      <c r="E7" s="350">
        <v>2482</v>
      </c>
      <c r="F7" s="358">
        <v>2995</v>
      </c>
      <c r="G7" s="335">
        <f t="shared" si="1"/>
        <v>120.66881547139403</v>
      </c>
      <c r="H7" s="346">
        <v>266</v>
      </c>
      <c r="I7" s="346">
        <v>2</v>
      </c>
      <c r="J7" s="335">
        <v>0.75187969924812026</v>
      </c>
      <c r="K7" s="153"/>
      <c r="L7" s="153"/>
    </row>
    <row r="8" spans="1:12" s="360" customFormat="1" ht="18" customHeight="1">
      <c r="A8" s="179">
        <v>45444</v>
      </c>
      <c r="B8" s="358">
        <v>5293</v>
      </c>
      <c r="C8" s="358">
        <v>4200</v>
      </c>
      <c r="D8" s="335">
        <f>C8/B8*100</f>
        <v>79.350085017948231</v>
      </c>
      <c r="E8" s="350">
        <v>2499</v>
      </c>
      <c r="F8" s="358">
        <v>2998</v>
      </c>
      <c r="G8" s="335">
        <f>F8/E8*100</f>
        <v>119.96798719487796</v>
      </c>
      <c r="H8" s="346">
        <v>266</v>
      </c>
      <c r="I8" s="346">
        <v>5</v>
      </c>
      <c r="J8" s="335">
        <v>1.8796992481203008</v>
      </c>
      <c r="K8" s="153"/>
      <c r="L8" s="153"/>
    </row>
    <row r="9" spans="1:12" s="360" customFormat="1" ht="18" customHeight="1">
      <c r="A9" s="179">
        <v>45474</v>
      </c>
      <c r="B9" s="358">
        <v>5307</v>
      </c>
      <c r="C9" s="358">
        <v>4208</v>
      </c>
      <c r="D9" s="335">
        <f>C9/B9*100</f>
        <v>79.29150179008856</v>
      </c>
      <c r="E9" s="358">
        <v>2529</v>
      </c>
      <c r="F9" s="358">
        <v>3093</v>
      </c>
      <c r="G9" s="335">
        <f>F9/E9*100</f>
        <v>122.30130486358244</v>
      </c>
      <c r="H9" s="346">
        <v>266</v>
      </c>
      <c r="I9" s="346">
        <v>5</v>
      </c>
      <c r="J9" s="335">
        <v>1.8796992481203008</v>
      </c>
      <c r="K9" s="153"/>
      <c r="L9" s="153"/>
    </row>
    <row r="10" spans="1:12" s="360" customFormat="1" ht="15" customHeight="1">
      <c r="A10" s="136"/>
      <c r="B10" s="362"/>
      <c r="C10" s="362"/>
      <c r="D10" s="391"/>
      <c r="E10" s="394"/>
      <c r="F10" s="362"/>
      <c r="G10" s="391"/>
      <c r="H10" s="388"/>
      <c r="I10" s="388"/>
      <c r="J10" s="391"/>
      <c r="K10" s="153"/>
      <c r="L10" s="153"/>
    </row>
    <row r="11" spans="1:12" s="360" customFormat="1" ht="15" customHeight="1">
      <c r="A11" s="152" t="s">
        <v>265</v>
      </c>
      <c r="B11" s="152"/>
      <c r="C11" s="152"/>
      <c r="D11" s="152"/>
      <c r="E11" s="152"/>
      <c r="F11" s="152"/>
      <c r="G11" s="152"/>
    </row>
    <row r="12" spans="1:12" s="360" customFormat="1" ht="15" customHeight="1">
      <c r="A12" s="484" t="s">
        <v>1299</v>
      </c>
      <c r="B12" s="152"/>
      <c r="C12" s="152"/>
      <c r="D12" s="152"/>
      <c r="E12" s="152"/>
      <c r="F12" s="152"/>
      <c r="G12" s="152"/>
    </row>
    <row r="13" spans="1:12" s="360" customFormat="1" ht="15" customHeight="1">
      <c r="A13" s="1318" t="s">
        <v>167</v>
      </c>
      <c r="B13" s="1318"/>
      <c r="C13" s="1318"/>
      <c r="D13" s="1318"/>
      <c r="E13" s="1318"/>
      <c r="F13" s="1318"/>
      <c r="G13" s="1318"/>
      <c r="H13" s="152"/>
      <c r="I13" s="152"/>
      <c r="J13" s="152"/>
    </row>
    <row r="14" spans="1:12" s="360" customFormat="1" ht="15" customHeight="1"/>
    <row r="15" spans="1:12" s="360" customFormat="1">
      <c r="A15" s="97"/>
      <c r="B15" s="97"/>
      <c r="C15" s="97"/>
      <c r="D15" s="97"/>
      <c r="E15" s="97"/>
      <c r="F15" s="97"/>
      <c r="G15" s="97"/>
    </row>
  </sheetData>
  <mergeCells count="5">
    <mergeCell ref="A2:A3"/>
    <mergeCell ref="B2:D2"/>
    <mergeCell ref="E2:G2"/>
    <mergeCell ref="H2:J2"/>
    <mergeCell ref="A13:G13"/>
  </mergeCells>
  <printOptions horizontalCentered="1"/>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J13"/>
  <sheetViews>
    <sheetView workbookViewId="0"/>
  </sheetViews>
  <sheetFormatPr defaultColWidth="9.140625" defaultRowHeight="15"/>
  <cols>
    <col min="1" max="8" width="14.5703125" style="97" bestFit="1" customWidth="1"/>
    <col min="9" max="9" width="10.85546875" style="97" customWidth="1"/>
    <col min="10" max="16384" width="9.140625" style="97"/>
  </cols>
  <sheetData>
    <row r="1" spans="1:10" ht="15.75" customHeight="1">
      <c r="A1" s="836" t="s">
        <v>464</v>
      </c>
      <c r="B1" s="836"/>
      <c r="C1" s="836"/>
      <c r="D1" s="837"/>
      <c r="E1" s="837"/>
      <c r="F1" s="837"/>
      <c r="G1" s="837"/>
      <c r="H1" s="837"/>
    </row>
    <row r="2" spans="1:10" s="360" customFormat="1" ht="38.25" customHeight="1">
      <c r="A2" s="838" t="s">
        <v>112</v>
      </c>
      <c r="B2" s="827" t="s">
        <v>465</v>
      </c>
      <c r="C2" s="827" t="s">
        <v>466</v>
      </c>
      <c r="D2" s="827" t="s">
        <v>467</v>
      </c>
      <c r="E2" s="827" t="s">
        <v>468</v>
      </c>
      <c r="F2" s="827" t="s">
        <v>469</v>
      </c>
      <c r="G2" s="827" t="s">
        <v>470</v>
      </c>
      <c r="H2" s="827" t="s">
        <v>471</v>
      </c>
    </row>
    <row r="3" spans="1:10" s="102" customFormat="1" ht="18" customHeight="1">
      <c r="A3" s="490" t="s">
        <v>520</v>
      </c>
      <c r="B3" s="184">
        <v>0.62412709274705258</v>
      </c>
      <c r="C3" s="184">
        <v>0.61750610039390652</v>
      </c>
      <c r="D3" s="184">
        <v>0.64135556155944995</v>
      </c>
      <c r="E3" s="839">
        <v>0.61679637815273303</v>
      </c>
      <c r="F3" s="839">
        <v>0.82938324319843104</v>
      </c>
      <c r="G3" s="839">
        <v>0.64060670458171098</v>
      </c>
      <c r="H3" s="839">
        <v>0.54</v>
      </c>
    </row>
    <row r="4" spans="1:10" s="102" customFormat="1" ht="18" customHeight="1">
      <c r="A4" s="491" t="s">
        <v>1165</v>
      </c>
      <c r="B4" s="840">
        <v>1.0268883230750072</v>
      </c>
      <c r="C4" s="840">
        <v>1.0595855251918571</v>
      </c>
      <c r="D4" s="840">
        <v>1.1162488717033368</v>
      </c>
      <c r="E4" s="841">
        <v>1.0292113291718401</v>
      </c>
      <c r="F4" s="841">
        <v>1.5468953383636299</v>
      </c>
      <c r="G4" s="841">
        <v>1.1136787976106699</v>
      </c>
      <c r="H4" s="841">
        <v>1.03</v>
      </c>
      <c r="I4" s="360"/>
      <c r="J4" s="360"/>
    </row>
    <row r="5" spans="1:10" s="360" customFormat="1" ht="18" customHeight="1">
      <c r="A5" s="179">
        <v>45383</v>
      </c>
      <c r="B5" s="336">
        <v>0.66487890792989146</v>
      </c>
      <c r="C5" s="336">
        <v>0.59553522173251039</v>
      </c>
      <c r="D5" s="336">
        <v>0.57968753784555982</v>
      </c>
      <c r="E5" s="336">
        <v>0.61078348183021303</v>
      </c>
      <c r="F5" s="336">
        <v>0.72036026245593698</v>
      </c>
      <c r="G5" s="336">
        <v>0.57071033715729602</v>
      </c>
      <c r="H5" s="336">
        <v>0.7</v>
      </c>
    </row>
    <row r="6" spans="1:10" s="360" customFormat="1" ht="18" customHeight="1">
      <c r="A6" s="179">
        <v>45413</v>
      </c>
      <c r="B6" s="336">
        <v>0.65549976586728997</v>
      </c>
      <c r="C6" s="336">
        <v>0.66922922756258785</v>
      </c>
      <c r="D6" s="336">
        <v>0.71596297989615454</v>
      </c>
      <c r="E6" s="336">
        <v>0.65017635650529604</v>
      </c>
      <c r="F6" s="336">
        <v>1.0234396316338601</v>
      </c>
      <c r="G6" s="336">
        <v>0.70526606614377896</v>
      </c>
      <c r="H6" s="336">
        <v>0.66</v>
      </c>
    </row>
    <row r="7" spans="1:10" s="360" customFormat="1" ht="18" customHeight="1">
      <c r="A7" s="179">
        <v>45444</v>
      </c>
      <c r="B7" s="336">
        <v>1.8513595453380733</v>
      </c>
      <c r="C7" s="336">
        <v>1.9434366224794528</v>
      </c>
      <c r="D7" s="336">
        <v>2.0676516282060695</v>
      </c>
      <c r="E7" s="336">
        <v>1.8279767981011701</v>
      </c>
      <c r="F7" s="336">
        <v>2.7769182139604802</v>
      </c>
      <c r="G7" s="336">
        <v>2.0178003880233999</v>
      </c>
      <c r="H7" s="336">
        <v>1.85</v>
      </c>
    </row>
    <row r="8" spans="1:10" s="360" customFormat="1" ht="18" customHeight="1">
      <c r="A8" s="179">
        <v>45474</v>
      </c>
      <c r="B8" s="336">
        <v>0.52294816494302698</v>
      </c>
      <c r="C8" s="336">
        <v>0.56192091792067966</v>
      </c>
      <c r="D8" s="336">
        <v>0.57765305637818443</v>
      </c>
      <c r="E8" s="336">
        <v>0.53408934553065701</v>
      </c>
      <c r="F8" s="336">
        <v>0.91207241699999997</v>
      </c>
      <c r="G8" s="336">
        <v>0.56506093800000001</v>
      </c>
      <c r="H8" s="336">
        <v>0.53</v>
      </c>
    </row>
    <row r="9" spans="1:10" s="360" customFormat="1">
      <c r="A9" s="136"/>
      <c r="B9" s="397"/>
      <c r="C9" s="397"/>
      <c r="D9" s="397"/>
      <c r="E9" s="397"/>
      <c r="F9" s="397"/>
      <c r="G9" s="397"/>
      <c r="H9" s="397"/>
    </row>
    <row r="10" spans="1:10" s="360" customFormat="1">
      <c r="A10" s="1344" t="s">
        <v>472</v>
      </c>
      <c r="B10" s="1344"/>
      <c r="C10" s="1344"/>
      <c r="D10" s="1344"/>
      <c r="E10" s="1344"/>
      <c r="F10" s="1344"/>
      <c r="G10" s="1344"/>
    </row>
    <row r="11" spans="1:10" s="360" customFormat="1">
      <c r="A11" s="1283" t="s">
        <v>473</v>
      </c>
      <c r="B11" s="1283"/>
      <c r="C11" s="1283"/>
      <c r="D11" s="1283"/>
      <c r="E11" s="1283"/>
      <c r="F11" s="1283"/>
      <c r="G11" s="1283"/>
    </row>
    <row r="12" spans="1:10" s="360" customFormat="1">
      <c r="A12" s="484" t="s">
        <v>1299</v>
      </c>
    </row>
    <row r="13" spans="1:10" s="360" customFormat="1">
      <c r="A13" s="97"/>
      <c r="B13" s="97"/>
      <c r="C13" s="97"/>
      <c r="D13" s="97"/>
      <c r="E13" s="97"/>
      <c r="F13" s="97"/>
      <c r="G13" s="97"/>
    </row>
  </sheetData>
  <mergeCells count="2">
    <mergeCell ref="A10:G10"/>
    <mergeCell ref="A11:G11"/>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P23"/>
  <sheetViews>
    <sheetView workbookViewId="0"/>
  </sheetViews>
  <sheetFormatPr defaultColWidth="9.140625" defaultRowHeight="15"/>
  <cols>
    <col min="1" max="10" width="14.5703125" style="97" bestFit="1" customWidth="1"/>
    <col min="11" max="11" width="14.42578125" style="97" bestFit="1" customWidth="1"/>
    <col min="12" max="12" width="15" style="97" bestFit="1" customWidth="1"/>
    <col min="13" max="16" width="14.5703125" style="97" bestFit="1" customWidth="1"/>
    <col min="17" max="17" width="4.5703125" style="97" bestFit="1" customWidth="1"/>
    <col min="18" max="16384" width="9.140625" style="97"/>
  </cols>
  <sheetData>
    <row r="1" spans="1:16">
      <c r="A1" s="251" t="s">
        <v>474</v>
      </c>
      <c r="B1" s="251"/>
      <c r="C1" s="251"/>
      <c r="D1" s="251"/>
      <c r="E1" s="251"/>
      <c r="F1" s="251"/>
      <c r="G1" s="251"/>
      <c r="H1" s="251"/>
      <c r="I1" s="251"/>
      <c r="J1" s="251"/>
      <c r="K1" s="251"/>
    </row>
    <row r="2" spans="1:16" s="360" customFormat="1">
      <c r="A2" s="838" t="s">
        <v>139</v>
      </c>
      <c r="B2" s="1326" t="s">
        <v>69</v>
      </c>
      <c r="C2" s="1345"/>
      <c r="D2" s="1345"/>
      <c r="E2" s="1345"/>
      <c r="F2" s="1345"/>
      <c r="G2" s="1346" t="s">
        <v>70</v>
      </c>
      <c r="H2" s="1347"/>
      <c r="I2" s="1347"/>
      <c r="J2" s="1347"/>
      <c r="K2" s="1348"/>
      <c r="L2" s="1349" t="s">
        <v>71</v>
      </c>
      <c r="M2" s="1349"/>
      <c r="N2" s="1349"/>
      <c r="O2" s="1349"/>
      <c r="P2" s="1329"/>
    </row>
    <row r="3" spans="1:16" s="360" customFormat="1">
      <c r="A3" s="842" t="s">
        <v>475</v>
      </c>
      <c r="B3" s="792" t="s">
        <v>476</v>
      </c>
      <c r="C3" s="792" t="s">
        <v>477</v>
      </c>
      <c r="D3" s="792" t="s">
        <v>478</v>
      </c>
      <c r="E3" s="792" t="s">
        <v>479</v>
      </c>
      <c r="F3" s="843" t="s">
        <v>480</v>
      </c>
      <c r="G3" s="469" t="s">
        <v>476</v>
      </c>
      <c r="H3" s="470" t="s">
        <v>477</v>
      </c>
      <c r="I3" s="471" t="s">
        <v>478</v>
      </c>
      <c r="J3" s="471" t="s">
        <v>479</v>
      </c>
      <c r="K3" s="844" t="s">
        <v>480</v>
      </c>
      <c r="L3" s="845" t="s">
        <v>476</v>
      </c>
      <c r="M3" s="792" t="s">
        <v>477</v>
      </c>
      <c r="N3" s="792" t="s">
        <v>478</v>
      </c>
      <c r="O3" s="792" t="s">
        <v>479</v>
      </c>
      <c r="P3" s="792" t="s">
        <v>480</v>
      </c>
    </row>
    <row r="4" spans="1:16" s="360" customFormat="1">
      <c r="A4" s="1326" t="s">
        <v>481</v>
      </c>
      <c r="B4" s="1345"/>
      <c r="C4" s="1345"/>
      <c r="D4" s="1345"/>
      <c r="E4" s="1345"/>
      <c r="F4" s="1345"/>
      <c r="G4" s="1350"/>
      <c r="H4" s="1345"/>
      <c r="I4" s="1345"/>
      <c r="J4" s="1345"/>
      <c r="K4" s="1351"/>
      <c r="L4" s="1345"/>
      <c r="M4" s="1345"/>
      <c r="N4" s="1345"/>
      <c r="O4" s="1345"/>
      <c r="P4" s="1327"/>
    </row>
    <row r="5" spans="1:16" s="102" customFormat="1">
      <c r="A5" s="490" t="s">
        <v>520</v>
      </c>
      <c r="B5" s="846">
        <v>6.8860000000000001</v>
      </c>
      <c r="C5" s="846">
        <v>12.107799999999999</v>
      </c>
      <c r="D5" s="846">
        <v>22.874099999999999</v>
      </c>
      <c r="E5" s="846">
        <v>33.898000000000003</v>
      </c>
      <c r="F5" s="847">
        <v>47.015999999999998</v>
      </c>
      <c r="G5" s="848">
        <v>10.41</v>
      </c>
      <c r="H5" s="849">
        <v>15.69</v>
      </c>
      <c r="I5" s="846">
        <v>26.18</v>
      </c>
      <c r="J5" s="846">
        <v>37.520000000000003</v>
      </c>
      <c r="K5" s="850">
        <v>53.16</v>
      </c>
      <c r="L5" s="851">
        <v>100</v>
      </c>
      <c r="M5" s="852">
        <v>100</v>
      </c>
      <c r="N5" s="852">
        <v>100</v>
      </c>
      <c r="O5" s="852">
        <v>100</v>
      </c>
      <c r="P5" s="852">
        <v>100</v>
      </c>
    </row>
    <row r="6" spans="1:16" s="102" customFormat="1">
      <c r="A6" s="491" t="s">
        <v>1165</v>
      </c>
      <c r="B6" s="799">
        <v>8.0129000000000001</v>
      </c>
      <c r="C6" s="799">
        <v>12.889900000000001</v>
      </c>
      <c r="D6" s="799">
        <v>24.552399999999999</v>
      </c>
      <c r="E6" s="799">
        <v>36.382800000000003</v>
      </c>
      <c r="F6" s="853">
        <v>49.723199999999999</v>
      </c>
      <c r="G6" s="854">
        <v>8.09</v>
      </c>
      <c r="H6" s="855">
        <v>13.84</v>
      </c>
      <c r="I6" s="856">
        <v>26.38</v>
      </c>
      <c r="J6" s="799">
        <v>39.4</v>
      </c>
      <c r="K6" s="857">
        <v>55.04</v>
      </c>
      <c r="L6" s="858">
        <v>100</v>
      </c>
      <c r="M6" s="859">
        <v>100</v>
      </c>
      <c r="N6" s="859">
        <v>100</v>
      </c>
      <c r="O6" s="859">
        <v>100</v>
      </c>
      <c r="P6" s="859">
        <v>100</v>
      </c>
    </row>
    <row r="7" spans="1:16" s="360" customFormat="1">
      <c r="A7" s="179">
        <v>45383</v>
      </c>
      <c r="B7" s="341">
        <v>12.237399999999999</v>
      </c>
      <c r="C7" s="341">
        <v>18.0837</v>
      </c>
      <c r="D7" s="341">
        <v>28.117799999999999</v>
      </c>
      <c r="E7" s="341">
        <v>38.904200000000003</v>
      </c>
      <c r="F7" s="860">
        <v>51.089700000000001</v>
      </c>
      <c r="G7" s="861">
        <v>9.17</v>
      </c>
      <c r="H7" s="862">
        <v>15.05</v>
      </c>
      <c r="I7" s="341">
        <v>26.65</v>
      </c>
      <c r="J7" s="863">
        <v>40</v>
      </c>
      <c r="K7" s="864">
        <v>56.68</v>
      </c>
      <c r="L7" s="865">
        <v>100</v>
      </c>
      <c r="M7" s="185">
        <v>100</v>
      </c>
      <c r="N7" s="185">
        <v>100</v>
      </c>
      <c r="O7" s="185">
        <v>100</v>
      </c>
      <c r="P7" s="185">
        <v>100</v>
      </c>
    </row>
    <row r="8" spans="1:16" s="360" customFormat="1">
      <c r="A8" s="179">
        <v>45413</v>
      </c>
      <c r="B8" s="341">
        <v>9.3636999999999997</v>
      </c>
      <c r="C8" s="341">
        <v>14.9964</v>
      </c>
      <c r="D8" s="341">
        <v>27.557200000000002</v>
      </c>
      <c r="E8" s="341">
        <v>40.197099999999999</v>
      </c>
      <c r="F8" s="866">
        <v>53.834899999999998</v>
      </c>
      <c r="G8" s="867">
        <v>7.86</v>
      </c>
      <c r="H8" s="868">
        <v>13.85</v>
      </c>
      <c r="I8" s="341">
        <v>27.5</v>
      </c>
      <c r="J8" s="869">
        <v>40.93</v>
      </c>
      <c r="K8" s="870">
        <v>58.04</v>
      </c>
      <c r="L8" s="871">
        <v>100</v>
      </c>
      <c r="M8" s="185">
        <v>100</v>
      </c>
      <c r="N8" s="185">
        <v>100</v>
      </c>
      <c r="O8" s="185">
        <v>100</v>
      </c>
      <c r="P8" s="185">
        <v>100</v>
      </c>
    </row>
    <row r="9" spans="1:16" s="360" customFormat="1">
      <c r="A9" s="179">
        <v>45444</v>
      </c>
      <c r="B9" s="341">
        <v>9.3575999999999997</v>
      </c>
      <c r="C9" s="341">
        <v>15.349399999999999</v>
      </c>
      <c r="D9" s="341">
        <v>27.638300000000001</v>
      </c>
      <c r="E9" s="341">
        <v>40.628</v>
      </c>
      <c r="F9" s="341">
        <v>55.0916</v>
      </c>
      <c r="G9" s="872">
        <v>9.4</v>
      </c>
      <c r="H9" s="873">
        <v>15.99</v>
      </c>
      <c r="I9" s="341">
        <v>28.93</v>
      </c>
      <c r="J9" s="398">
        <v>42.2</v>
      </c>
      <c r="K9" s="870">
        <v>58.15</v>
      </c>
      <c r="L9" s="871">
        <v>100</v>
      </c>
      <c r="M9" s="185">
        <v>100</v>
      </c>
      <c r="N9" s="185">
        <v>100</v>
      </c>
      <c r="O9" s="185">
        <v>100</v>
      </c>
      <c r="P9" s="185">
        <v>100</v>
      </c>
    </row>
    <row r="10" spans="1:16" s="360" customFormat="1">
      <c r="A10" s="179">
        <v>45474</v>
      </c>
      <c r="B10" s="341">
        <v>10.303900000000001</v>
      </c>
      <c r="C10" s="341">
        <v>15.9009</v>
      </c>
      <c r="D10" s="341">
        <v>26.593399999999999</v>
      </c>
      <c r="E10" s="341">
        <v>37.937899999999999</v>
      </c>
      <c r="F10" s="398">
        <v>51.223300000000002</v>
      </c>
      <c r="G10" s="874">
        <v>9.9499999999999993</v>
      </c>
      <c r="H10" s="341">
        <v>15.72</v>
      </c>
      <c r="I10" s="341">
        <v>27.25</v>
      </c>
      <c r="J10" s="341">
        <v>39.54</v>
      </c>
      <c r="K10" s="875">
        <v>54.63</v>
      </c>
      <c r="L10" s="871">
        <v>100</v>
      </c>
      <c r="M10" s="185">
        <v>100</v>
      </c>
      <c r="N10" s="185">
        <v>100</v>
      </c>
      <c r="O10" s="185">
        <v>100</v>
      </c>
      <c r="P10" s="185">
        <v>100</v>
      </c>
    </row>
    <row r="11" spans="1:16" s="360" customFormat="1">
      <c r="A11" s="1352" t="s">
        <v>482</v>
      </c>
      <c r="B11" s="1352"/>
      <c r="C11" s="1352"/>
      <c r="D11" s="1352"/>
      <c r="E11" s="1352"/>
      <c r="F11" s="1352"/>
      <c r="G11" s="1353"/>
      <c r="H11" s="1352"/>
      <c r="I11" s="1352"/>
      <c r="J11" s="1352"/>
      <c r="K11" s="1354"/>
      <c r="L11" s="1352"/>
      <c r="M11" s="1352"/>
      <c r="N11" s="1352"/>
      <c r="O11" s="1352"/>
      <c r="P11" s="1352"/>
    </row>
    <row r="12" spans="1:16" s="102" customFormat="1">
      <c r="A12" s="876" t="s">
        <v>520</v>
      </c>
      <c r="B12" s="254">
        <v>35.9</v>
      </c>
      <c r="C12" s="254">
        <v>47.49</v>
      </c>
      <c r="D12" s="254">
        <v>68.790000000000006</v>
      </c>
      <c r="E12" s="254">
        <v>81.44</v>
      </c>
      <c r="F12" s="255">
        <v>90.03</v>
      </c>
      <c r="G12" s="877">
        <v>25.48</v>
      </c>
      <c r="H12" s="254">
        <v>38.590000000000003</v>
      </c>
      <c r="I12" s="254">
        <v>59.21</v>
      </c>
      <c r="J12" s="254">
        <v>75.72</v>
      </c>
      <c r="K12" s="878">
        <v>88.71</v>
      </c>
      <c r="L12" s="256">
        <v>100</v>
      </c>
      <c r="M12" s="257">
        <v>100</v>
      </c>
      <c r="N12" s="257">
        <v>100</v>
      </c>
      <c r="O12" s="257" t="s">
        <v>221</v>
      </c>
      <c r="P12" s="258" t="s">
        <v>221</v>
      </c>
    </row>
    <row r="13" spans="1:16" s="102" customFormat="1">
      <c r="A13" s="879" t="s">
        <v>1165</v>
      </c>
      <c r="B13" s="880">
        <v>42.16</v>
      </c>
      <c r="C13" s="880">
        <v>54.35</v>
      </c>
      <c r="D13" s="880">
        <v>72.5</v>
      </c>
      <c r="E13" s="880">
        <v>82.57</v>
      </c>
      <c r="F13" s="881">
        <v>91.02</v>
      </c>
      <c r="G13" s="882">
        <v>26.63</v>
      </c>
      <c r="H13" s="883">
        <v>41.04</v>
      </c>
      <c r="I13" s="910">
        <v>62.13</v>
      </c>
      <c r="J13" s="880">
        <v>77.739999999999995</v>
      </c>
      <c r="K13" s="878">
        <v>89.99</v>
      </c>
      <c r="L13" s="884">
        <v>100</v>
      </c>
      <c r="M13" s="885">
        <v>100</v>
      </c>
      <c r="N13" s="885">
        <v>100</v>
      </c>
      <c r="O13" s="880" t="s">
        <v>221</v>
      </c>
      <c r="P13" s="880" t="s">
        <v>221</v>
      </c>
    </row>
    <row r="14" spans="1:16" s="360" customFormat="1">
      <c r="A14" s="179">
        <v>45383</v>
      </c>
      <c r="B14" s="341">
        <v>41.94</v>
      </c>
      <c r="C14" s="341">
        <v>55.09</v>
      </c>
      <c r="D14" s="341">
        <v>72.36</v>
      </c>
      <c r="E14" s="341">
        <v>82.17</v>
      </c>
      <c r="F14" s="398">
        <v>90.43</v>
      </c>
      <c r="G14" s="886">
        <v>26.45</v>
      </c>
      <c r="H14" s="873">
        <v>40.93</v>
      </c>
      <c r="I14" s="341">
        <v>62.12</v>
      </c>
      <c r="J14" s="398">
        <v>77.930000000000007</v>
      </c>
      <c r="K14" s="870">
        <v>90.04</v>
      </c>
      <c r="L14" s="871">
        <v>100</v>
      </c>
      <c r="M14" s="185">
        <v>100</v>
      </c>
      <c r="N14" s="185">
        <v>100</v>
      </c>
      <c r="O14" s="186" t="s">
        <v>221</v>
      </c>
      <c r="P14" s="186" t="s">
        <v>221</v>
      </c>
    </row>
    <row r="15" spans="1:16" s="360" customFormat="1">
      <c r="A15" s="179">
        <v>45413</v>
      </c>
      <c r="B15" s="341">
        <v>42.1</v>
      </c>
      <c r="C15" s="341">
        <v>55.03</v>
      </c>
      <c r="D15" s="341">
        <v>72.75</v>
      </c>
      <c r="E15" s="341">
        <v>83.54</v>
      </c>
      <c r="F15" s="398">
        <v>91.32</v>
      </c>
      <c r="G15" s="886">
        <v>25.89</v>
      </c>
      <c r="H15" s="873">
        <v>40.270000000000003</v>
      </c>
      <c r="I15" s="341">
        <v>63.09</v>
      </c>
      <c r="J15" s="398">
        <v>78.84</v>
      </c>
      <c r="K15" s="870">
        <v>90.59</v>
      </c>
      <c r="L15" s="871">
        <v>100</v>
      </c>
      <c r="M15" s="185">
        <v>100</v>
      </c>
      <c r="N15" s="185">
        <v>100</v>
      </c>
      <c r="O15" s="186" t="s">
        <v>221</v>
      </c>
      <c r="P15" s="186" t="s">
        <v>221</v>
      </c>
    </row>
    <row r="16" spans="1:16" s="360" customFormat="1">
      <c r="A16" s="179">
        <v>45444</v>
      </c>
      <c r="B16" s="341">
        <v>40.5</v>
      </c>
      <c r="C16" s="341">
        <v>52.95</v>
      </c>
      <c r="D16" s="341">
        <v>72.8</v>
      </c>
      <c r="E16" s="341">
        <v>83.86</v>
      </c>
      <c r="F16" s="341">
        <v>91.79</v>
      </c>
      <c r="G16" s="886">
        <v>27.1</v>
      </c>
      <c r="H16" s="873">
        <v>40.9</v>
      </c>
      <c r="I16" s="341">
        <v>61.81</v>
      </c>
      <c r="J16" s="398">
        <v>77.59</v>
      </c>
      <c r="K16" s="870">
        <v>90.1</v>
      </c>
      <c r="L16" s="871">
        <v>100</v>
      </c>
      <c r="M16" s="185">
        <v>100</v>
      </c>
      <c r="N16" s="185">
        <v>100</v>
      </c>
      <c r="O16" s="186" t="s">
        <v>221</v>
      </c>
      <c r="P16" s="186" t="s">
        <v>221</v>
      </c>
    </row>
    <row r="17" spans="1:16" s="360" customFormat="1">
      <c r="A17" s="179">
        <v>45474</v>
      </c>
      <c r="B17" s="341">
        <v>43.94</v>
      </c>
      <c r="C17" s="341">
        <v>56.73</v>
      </c>
      <c r="D17" s="341">
        <v>74.59</v>
      </c>
      <c r="E17" s="341">
        <v>83.77</v>
      </c>
      <c r="F17" s="398">
        <v>91.69</v>
      </c>
      <c r="G17" s="886">
        <v>27.38</v>
      </c>
      <c r="H17" s="873">
        <v>42.38</v>
      </c>
      <c r="I17" s="341">
        <v>61.95</v>
      </c>
      <c r="J17" s="398">
        <v>77.209999999999994</v>
      </c>
      <c r="K17" s="870">
        <v>89.53</v>
      </c>
      <c r="L17" s="871">
        <v>100</v>
      </c>
      <c r="M17" s="185">
        <v>100</v>
      </c>
      <c r="N17" s="185">
        <v>100</v>
      </c>
      <c r="O17" s="186" t="s">
        <v>221</v>
      </c>
      <c r="P17" s="186" t="s">
        <v>221</v>
      </c>
    </row>
    <row r="18" spans="1:16" s="360" customFormat="1">
      <c r="G18" s="259"/>
      <c r="H18" s="259"/>
      <c r="I18" s="259"/>
      <c r="J18" s="259"/>
      <c r="K18" s="259"/>
    </row>
    <row r="19" spans="1:16" s="360" customFormat="1" ht="15" customHeight="1">
      <c r="A19" s="1355" t="s">
        <v>483</v>
      </c>
      <c r="B19" s="1355"/>
      <c r="C19" s="1355"/>
      <c r="D19" s="1355"/>
      <c r="E19" s="1355"/>
      <c r="F19" s="1355"/>
      <c r="G19" s="1355"/>
      <c r="H19" s="1355"/>
      <c r="I19" s="1355"/>
      <c r="J19" s="1355"/>
      <c r="K19" s="1355"/>
    </row>
    <row r="20" spans="1:16" s="360" customFormat="1" ht="15" customHeight="1">
      <c r="A20" s="484" t="s">
        <v>1299</v>
      </c>
      <c r="B20" s="1023"/>
      <c r="C20" s="1023"/>
      <c r="D20" s="1023"/>
      <c r="E20" s="1023"/>
      <c r="F20" s="1023"/>
      <c r="G20" s="1023"/>
      <c r="H20" s="1023"/>
      <c r="I20" s="1023"/>
      <c r="J20" s="1023"/>
      <c r="K20" s="1023"/>
    </row>
    <row r="21" spans="1:16" s="360" customFormat="1" ht="15" customHeight="1">
      <c r="A21" s="1318" t="s">
        <v>167</v>
      </c>
      <c r="B21" s="1318"/>
      <c r="C21" s="1318"/>
      <c r="D21" s="1318"/>
      <c r="E21" s="1318"/>
      <c r="F21" s="1318"/>
      <c r="G21" s="1318"/>
      <c r="H21" s="1318"/>
      <c r="I21" s="1318"/>
      <c r="J21" s="1318"/>
      <c r="K21" s="1318"/>
    </row>
    <row r="22" spans="1:16" s="360" customFormat="1">
      <c r="G22" s="259"/>
      <c r="H22" s="259"/>
      <c r="I22" s="259"/>
      <c r="J22" s="259"/>
      <c r="K22" s="259"/>
    </row>
    <row r="23" spans="1:16" s="360" customFormat="1">
      <c r="A23" s="97"/>
      <c r="B23" s="97"/>
      <c r="C23" s="97"/>
      <c r="D23" s="97"/>
      <c r="E23" s="97"/>
      <c r="F23" s="97"/>
      <c r="G23" s="97"/>
      <c r="H23" s="97"/>
      <c r="I23" s="97"/>
      <c r="J23" s="97"/>
      <c r="K23" s="97"/>
    </row>
  </sheetData>
  <mergeCells count="7">
    <mergeCell ref="A21:K21"/>
    <mergeCell ref="B2:F2"/>
    <mergeCell ref="G2:K2"/>
    <mergeCell ref="L2:P2"/>
    <mergeCell ref="A4:P4"/>
    <mergeCell ref="A11:P11"/>
    <mergeCell ref="A19:K19"/>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Q12"/>
  <sheetViews>
    <sheetView workbookViewId="0">
      <selection activeCell="H12" sqref="H12"/>
    </sheetView>
  </sheetViews>
  <sheetFormatPr defaultColWidth="9.140625" defaultRowHeight="15"/>
  <cols>
    <col min="1" max="1" width="14.42578125" style="97" customWidth="1"/>
    <col min="2" max="2" width="13.42578125" style="97" bestFit="1" customWidth="1"/>
    <col min="3" max="3" width="9.140625" style="97" bestFit="1" customWidth="1"/>
    <col min="4" max="4" width="9.7109375" style="97" bestFit="1" customWidth="1"/>
    <col min="5" max="5" width="16.28515625" style="97" bestFit="1" customWidth="1"/>
    <col min="6" max="6" width="11.7109375" style="97" bestFit="1" customWidth="1"/>
    <col min="7" max="7" width="11.42578125" style="97" bestFit="1" customWidth="1"/>
    <col min="8" max="8" width="14.140625" style="97" bestFit="1" customWidth="1"/>
    <col min="9" max="9" width="13.140625" style="97" bestFit="1" customWidth="1"/>
    <col min="10" max="10" width="17.28515625" style="97" bestFit="1" customWidth="1"/>
    <col min="11" max="11" width="13.140625" style="97" bestFit="1" customWidth="1"/>
    <col min="12" max="12" width="17.85546875" style="97" customWidth="1"/>
    <col min="13" max="13" width="12.85546875" style="97" bestFit="1" customWidth="1"/>
    <col min="14" max="14" width="14.42578125" style="97" bestFit="1" customWidth="1"/>
    <col min="15" max="15" width="13.5703125" style="97" bestFit="1" customWidth="1"/>
    <col min="16" max="17" width="14.5703125" style="97" bestFit="1" customWidth="1"/>
    <col min="18" max="16384" width="9.140625" style="97"/>
  </cols>
  <sheetData>
    <row r="1" spans="1:17" ht="16.5" customHeight="1">
      <c r="A1" s="251" t="s">
        <v>1385</v>
      </c>
      <c r="B1" s="251"/>
      <c r="C1" s="251"/>
      <c r="D1" s="251"/>
      <c r="E1" s="251"/>
      <c r="F1" s="251"/>
      <c r="G1" s="251"/>
      <c r="H1" s="251"/>
      <c r="I1" s="251"/>
    </row>
    <row r="2" spans="1:17" s="360" customFormat="1" ht="88.5" customHeight="1">
      <c r="A2" s="887" t="s">
        <v>484</v>
      </c>
      <c r="B2" s="887" t="s">
        <v>485</v>
      </c>
      <c r="C2" s="887" t="s">
        <v>486</v>
      </c>
      <c r="D2" s="887" t="s">
        <v>487</v>
      </c>
      <c r="E2" s="887" t="s">
        <v>488</v>
      </c>
      <c r="F2" s="887" t="s">
        <v>269</v>
      </c>
      <c r="G2" s="887" t="s">
        <v>489</v>
      </c>
      <c r="H2" s="887" t="s">
        <v>490</v>
      </c>
      <c r="I2" s="887" t="s">
        <v>491</v>
      </c>
      <c r="J2" s="887" t="s">
        <v>492</v>
      </c>
      <c r="K2" s="887" t="s">
        <v>493</v>
      </c>
      <c r="L2" s="887" t="s">
        <v>494</v>
      </c>
      <c r="M2" s="887" t="s">
        <v>495</v>
      </c>
      <c r="N2" s="887" t="s">
        <v>496</v>
      </c>
      <c r="O2" s="887" t="s">
        <v>497</v>
      </c>
      <c r="P2" s="887" t="s">
        <v>1064</v>
      </c>
      <c r="Q2" s="887" t="s">
        <v>499</v>
      </c>
    </row>
    <row r="3" spans="1:17" s="102" customFormat="1" ht="18" customHeight="1">
      <c r="A3" s="876" t="s">
        <v>520</v>
      </c>
      <c r="B3" s="888">
        <v>9980.6111099999998</v>
      </c>
      <c r="C3" s="889">
        <v>2519145.3052500002</v>
      </c>
      <c r="D3" s="889">
        <v>597537.51045000006</v>
      </c>
      <c r="E3" s="890">
        <v>23.71985090358654</v>
      </c>
      <c r="F3" s="889">
        <v>3458333.6918770159</v>
      </c>
      <c r="G3" s="889">
        <v>699412.76619996899</v>
      </c>
      <c r="H3" s="891">
        <v>20.223981504235979</v>
      </c>
      <c r="I3" s="889">
        <v>597537.43017000007</v>
      </c>
      <c r="J3" s="890">
        <v>99.99998656486018</v>
      </c>
      <c r="K3" s="889">
        <v>699412.76619996899</v>
      </c>
      <c r="L3" s="892">
        <v>100</v>
      </c>
      <c r="M3" s="893">
        <v>1014.2349300000001</v>
      </c>
      <c r="N3" s="894">
        <v>0.16973577595759454</v>
      </c>
      <c r="O3" s="893">
        <v>158274.00048334099</v>
      </c>
      <c r="P3" s="889">
        <v>700419.10301068402</v>
      </c>
      <c r="Q3" s="187">
        <v>385.35</v>
      </c>
    </row>
    <row r="4" spans="1:17" s="102" customFormat="1" ht="18" customHeight="1">
      <c r="A4" s="879" t="s">
        <v>1165</v>
      </c>
      <c r="B4" s="895">
        <f>SUM(B5:B8)</f>
        <v>4333.4491799999996</v>
      </c>
      <c r="C4" s="895">
        <f>SUM(C5:C8)</f>
        <v>1017447.68066</v>
      </c>
      <c r="D4" s="895">
        <f>SUM(D5:D8)</f>
        <v>269601.28256999998</v>
      </c>
      <c r="E4" s="896">
        <f>D4/C4*100</f>
        <v>26.49780305117158</v>
      </c>
      <c r="F4" s="895">
        <f>SUM(F5:F8)</f>
        <v>1637321.966995874</v>
      </c>
      <c r="G4" s="895">
        <f>SUM(G5:G8)</f>
        <v>338138.56581517501</v>
      </c>
      <c r="H4" s="896">
        <f>G4/F4*100</f>
        <v>20.651928736752062</v>
      </c>
      <c r="I4" s="895">
        <f>SUM(I5:I8)</f>
        <v>269601.28256999998</v>
      </c>
      <c r="J4" s="897">
        <f>I4/D4*100</f>
        <v>100</v>
      </c>
      <c r="K4" s="895">
        <f>SUM(K5:K8)</f>
        <v>338138.56581517501</v>
      </c>
      <c r="L4" s="898">
        <f>K4/G4*100</f>
        <v>100</v>
      </c>
      <c r="M4" s="895">
        <f>SUM(M5:M8)</f>
        <v>166.85266999999999</v>
      </c>
      <c r="N4" s="899">
        <f>M4/D4*100</f>
        <v>6.1888678128479577E-2</v>
      </c>
      <c r="O4" s="895">
        <f>SUM(O5:O8)</f>
        <v>73790.365320828001</v>
      </c>
      <c r="P4" s="895">
        <f>SUM(P5:P8)</f>
        <v>338532.51896412403</v>
      </c>
      <c r="Q4" s="895">
        <f>INDEX(Q5:Q8,COUNT(Q5:Q8))</f>
        <v>397.41</v>
      </c>
    </row>
    <row r="5" spans="1:17" s="360" customFormat="1" ht="18" customHeight="1">
      <c r="A5" s="179">
        <v>45383</v>
      </c>
      <c r="B5" s="337">
        <v>899.80000000000007</v>
      </c>
      <c r="C5" s="358">
        <v>244703.9</v>
      </c>
      <c r="D5" s="358">
        <v>61106.7</v>
      </c>
      <c r="E5" s="338">
        <v>24.971690275471701</v>
      </c>
      <c r="F5" s="900">
        <v>322563</v>
      </c>
      <c r="G5" s="358">
        <v>65643</v>
      </c>
      <c r="H5" s="338">
        <v>20.350443169241359</v>
      </c>
      <c r="I5" s="358">
        <v>61106.7</v>
      </c>
      <c r="J5" s="338">
        <v>100</v>
      </c>
      <c r="K5" s="358">
        <v>65643</v>
      </c>
      <c r="L5" s="342">
        <v>100</v>
      </c>
      <c r="M5" s="358">
        <v>36.9</v>
      </c>
      <c r="N5" s="336">
        <v>6.0386176965864631E-2</v>
      </c>
      <c r="O5" s="358">
        <v>10723</v>
      </c>
      <c r="P5" s="358">
        <v>65728</v>
      </c>
      <c r="Q5" s="358">
        <v>388.39</v>
      </c>
    </row>
    <row r="6" spans="1:17" s="360" customFormat="1" ht="18" customHeight="1">
      <c r="A6" s="179">
        <v>45413</v>
      </c>
      <c r="B6" s="337">
        <v>966.54922999999997</v>
      </c>
      <c r="C6" s="358">
        <v>218716.79103000002</v>
      </c>
      <c r="D6" s="358">
        <v>59194.741759999997</v>
      </c>
      <c r="E6" s="338">
        <v>27.064562113057256</v>
      </c>
      <c r="F6" s="900">
        <v>348357.35534477304</v>
      </c>
      <c r="G6" s="358">
        <v>75625.271933649012</v>
      </c>
      <c r="H6" s="338">
        <v>21.709107263947928</v>
      </c>
      <c r="I6" s="358">
        <v>59194.741759999997</v>
      </c>
      <c r="J6" s="338">
        <v>100</v>
      </c>
      <c r="K6" s="358">
        <v>75625.271933649012</v>
      </c>
      <c r="L6" s="342">
        <v>100</v>
      </c>
      <c r="M6" s="358">
        <v>36.9</v>
      </c>
      <c r="N6" s="336">
        <v>6.23366179205712E-2</v>
      </c>
      <c r="O6" s="358">
        <v>17091.92986281</v>
      </c>
      <c r="P6" s="358">
        <v>75803.255626326019</v>
      </c>
      <c r="Q6" s="358">
        <v>390.68</v>
      </c>
    </row>
    <row r="7" spans="1:17" s="360" customFormat="1" ht="18" customHeight="1">
      <c r="A7" s="179">
        <v>45444</v>
      </c>
      <c r="B7" s="337">
        <v>1136.38831</v>
      </c>
      <c r="C7" s="358">
        <v>257986.48963</v>
      </c>
      <c r="D7" s="358">
        <v>67401.840809999994</v>
      </c>
      <c r="E7" s="338">
        <v>26.126112614139842</v>
      </c>
      <c r="F7" s="900">
        <v>455683.61165110097</v>
      </c>
      <c r="G7" s="358">
        <v>96898.293881525999</v>
      </c>
      <c r="H7" s="338">
        <v>21.26437980300183</v>
      </c>
      <c r="I7" s="358">
        <v>67401.840809999994</v>
      </c>
      <c r="J7" s="338">
        <v>100</v>
      </c>
      <c r="K7" s="358">
        <v>96898.293881525999</v>
      </c>
      <c r="L7" s="342">
        <v>100</v>
      </c>
      <c r="M7" s="358">
        <v>36.852669999999996</v>
      </c>
      <c r="N7" s="336">
        <v>5.4676058631520925E-2</v>
      </c>
      <c r="O7" s="358">
        <v>25741.095401997001</v>
      </c>
      <c r="P7" s="358">
        <v>96971.005816823017</v>
      </c>
      <c r="Q7" s="358">
        <v>393.35</v>
      </c>
    </row>
    <row r="8" spans="1:17" s="360" customFormat="1" ht="18" customHeight="1">
      <c r="A8" s="179">
        <v>45474</v>
      </c>
      <c r="B8" s="337">
        <v>1330.71164</v>
      </c>
      <c r="C8" s="337">
        <v>296040.5</v>
      </c>
      <c r="D8" s="337">
        <v>81898</v>
      </c>
      <c r="E8" s="338">
        <v>27.664458072459681</v>
      </c>
      <c r="F8" s="337">
        <v>510718</v>
      </c>
      <c r="G8" s="337">
        <v>99972</v>
      </c>
      <c r="H8" s="338">
        <v>19.574794700793785</v>
      </c>
      <c r="I8" s="337">
        <v>81898</v>
      </c>
      <c r="J8" s="338">
        <v>100</v>
      </c>
      <c r="K8" s="337">
        <v>99972</v>
      </c>
      <c r="L8" s="342">
        <v>100</v>
      </c>
      <c r="M8" s="337">
        <v>56.2</v>
      </c>
      <c r="N8" s="336">
        <v>6.8621944369825882E-2</v>
      </c>
      <c r="O8" s="337">
        <v>20234.340056020996</v>
      </c>
      <c r="P8" s="337">
        <v>100030.25752097502</v>
      </c>
      <c r="Q8" s="337">
        <v>397.41</v>
      </c>
    </row>
    <row r="9" spans="1:17" s="360" customFormat="1">
      <c r="A9" s="484" t="s">
        <v>1299</v>
      </c>
      <c r="B9" s="363"/>
      <c r="C9" s="362"/>
      <c r="D9" s="362"/>
      <c r="E9" s="399"/>
      <c r="F9" s="137"/>
      <c r="G9" s="362"/>
      <c r="H9" s="399"/>
      <c r="I9" s="362"/>
      <c r="J9" s="399"/>
      <c r="K9" s="362"/>
      <c r="L9" s="390"/>
      <c r="M9" s="362"/>
      <c r="N9" s="397"/>
      <c r="O9" s="362"/>
      <c r="P9" s="362"/>
      <c r="Q9" s="362"/>
    </row>
    <row r="10" spans="1:17" s="360" customFormat="1" ht="15" customHeight="1">
      <c r="A10" s="1318" t="s">
        <v>1386</v>
      </c>
      <c r="B10" s="1318"/>
      <c r="C10" s="1318"/>
      <c r="D10" s="1318"/>
    </row>
    <row r="11" spans="1:17" s="360" customFormat="1"/>
    <row r="12" spans="1:17" s="360" customFormat="1">
      <c r="A12" s="97"/>
      <c r="B12" s="97"/>
      <c r="C12" s="97"/>
      <c r="D12" s="97"/>
    </row>
  </sheetData>
  <mergeCells count="1">
    <mergeCell ref="A10:D10"/>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Q13"/>
  <sheetViews>
    <sheetView workbookViewId="0"/>
  </sheetViews>
  <sheetFormatPr defaultColWidth="9.140625" defaultRowHeight="15"/>
  <cols>
    <col min="1" max="1" width="14.42578125" style="97" customWidth="1"/>
    <col min="2" max="2" width="13.42578125" style="97" bestFit="1" customWidth="1"/>
    <col min="3" max="3" width="10.7109375" style="97" customWidth="1"/>
    <col min="4" max="4" width="9.7109375" style="97" bestFit="1" customWidth="1"/>
    <col min="5" max="5" width="16.28515625" style="97" bestFit="1" customWidth="1"/>
    <col min="6" max="6" width="11.7109375" style="97" bestFit="1" customWidth="1"/>
    <col min="7" max="7" width="11.42578125" style="97" bestFit="1" customWidth="1"/>
    <col min="8" max="8" width="14.140625" style="97" bestFit="1" customWidth="1"/>
    <col min="9" max="9" width="13.140625" style="97" bestFit="1" customWidth="1"/>
    <col min="10" max="10" width="17.28515625" style="97" bestFit="1" customWidth="1"/>
    <col min="11" max="11" width="13.140625" style="97" bestFit="1" customWidth="1"/>
    <col min="12" max="12" width="17.85546875" style="97" customWidth="1"/>
    <col min="13" max="13" width="12.85546875" style="97" bestFit="1" customWidth="1"/>
    <col min="14" max="14" width="14.42578125" style="97" bestFit="1" customWidth="1"/>
    <col min="15" max="15" width="13.5703125" style="97" bestFit="1" customWidth="1"/>
    <col min="16" max="17" width="14.5703125" style="97" bestFit="1" customWidth="1"/>
    <col min="18" max="16384" width="9.140625" style="97"/>
  </cols>
  <sheetData>
    <row r="1" spans="1:17" ht="18" customHeight="1">
      <c r="A1" s="154" t="s">
        <v>1387</v>
      </c>
      <c r="B1" s="154"/>
      <c r="C1" s="154"/>
      <c r="D1" s="154"/>
      <c r="E1" s="154"/>
      <c r="F1" s="154"/>
      <c r="G1" s="154"/>
      <c r="H1" s="154"/>
      <c r="I1" s="154"/>
    </row>
    <row r="2" spans="1:17" s="360" customFormat="1" ht="93" customHeight="1">
      <c r="A2" s="887" t="s">
        <v>484</v>
      </c>
      <c r="B2" s="887" t="s">
        <v>485</v>
      </c>
      <c r="C2" s="887" t="s">
        <v>486</v>
      </c>
      <c r="D2" s="887" t="s">
        <v>487</v>
      </c>
      <c r="E2" s="887" t="s">
        <v>488</v>
      </c>
      <c r="F2" s="887" t="s">
        <v>269</v>
      </c>
      <c r="G2" s="887" t="s">
        <v>500</v>
      </c>
      <c r="H2" s="887" t="s">
        <v>490</v>
      </c>
      <c r="I2" s="887" t="s">
        <v>491</v>
      </c>
      <c r="J2" s="887" t="s">
        <v>492</v>
      </c>
      <c r="K2" s="887" t="s">
        <v>493</v>
      </c>
      <c r="L2" s="887" t="s">
        <v>494</v>
      </c>
      <c r="M2" s="887" t="s">
        <v>495</v>
      </c>
      <c r="N2" s="887" t="s">
        <v>496</v>
      </c>
      <c r="O2" s="887" t="s">
        <v>497</v>
      </c>
      <c r="P2" s="887" t="s">
        <v>1064</v>
      </c>
      <c r="Q2" s="887" t="s">
        <v>499</v>
      </c>
    </row>
    <row r="3" spans="1:17" s="102" customFormat="1" ht="18" customHeight="1">
      <c r="A3" s="876" t="s">
        <v>520</v>
      </c>
      <c r="B3" s="888">
        <v>69487.82673999999</v>
      </c>
      <c r="C3" s="889">
        <v>11268719.193800002</v>
      </c>
      <c r="D3" s="889">
        <v>2344344.1848999998</v>
      </c>
      <c r="E3" s="890">
        <v>20.803998614055867</v>
      </c>
      <c r="F3" s="889">
        <v>21748414.387699999</v>
      </c>
      <c r="G3" s="889">
        <v>5504035.4572999999</v>
      </c>
      <c r="H3" s="891">
        <v>25.30775512725587</v>
      </c>
      <c r="I3" s="889">
        <v>2341440.7551000002</v>
      </c>
      <c r="J3" s="890">
        <v>99.876151726410285</v>
      </c>
      <c r="K3" s="889">
        <v>5498635.5640999991</v>
      </c>
      <c r="L3" s="892">
        <v>99.901892107311212</v>
      </c>
      <c r="M3" s="893">
        <v>2903.4311500000003</v>
      </c>
      <c r="N3" s="894">
        <v>0.12384833117513626</v>
      </c>
      <c r="O3" s="893">
        <v>1303158.07</v>
      </c>
      <c r="P3" s="889">
        <v>5504035.4572999999</v>
      </c>
      <c r="Q3" s="187">
        <v>765.52</v>
      </c>
    </row>
    <row r="4" spans="1:17" s="102" customFormat="1" ht="18" customHeight="1">
      <c r="A4" s="879" t="s">
        <v>1165</v>
      </c>
      <c r="B4" s="895">
        <f>SUM(B5:B8)</f>
        <v>34895.798419999999</v>
      </c>
      <c r="C4" s="895">
        <f>SUM(C5:C8)</f>
        <v>4780871.909</v>
      </c>
      <c r="D4" s="895">
        <f>SUM(D5:D8)</f>
        <v>1050214.9887999999</v>
      </c>
      <c r="E4" s="896">
        <f>D4/C4*100</f>
        <v>21.967017916187388</v>
      </c>
      <c r="F4" s="895">
        <f>SUM(F5:F8)</f>
        <v>11386065.202</v>
      </c>
      <c r="G4" s="895">
        <f>SUM(G5:G8)</f>
        <v>2747927.3754000003</v>
      </c>
      <c r="H4" s="896">
        <f>G4/F4*100</f>
        <v>24.134126466422465</v>
      </c>
      <c r="I4" s="895">
        <f>SUM(I5:I8)</f>
        <v>1049081.5027999999</v>
      </c>
      <c r="J4" s="897">
        <f>I4/D4*100</f>
        <v>99.892071050966891</v>
      </c>
      <c r="K4" s="895">
        <f>SUM(K5:K8)</f>
        <v>2746673.0918999999</v>
      </c>
      <c r="L4" s="898">
        <f>K4/G4*100</f>
        <v>99.954355289327196</v>
      </c>
      <c r="M4" s="895">
        <f>SUM(M5:M8)</f>
        <v>1133.48569</v>
      </c>
      <c r="N4" s="899">
        <f>M4/D4*100</f>
        <v>0.10792891951534106</v>
      </c>
      <c r="O4" s="895">
        <f>SUM(O5:O8)</f>
        <v>634262.1100000001</v>
      </c>
      <c r="P4" s="895">
        <f>SUM(P5:P8)</f>
        <v>2747927.3754000003</v>
      </c>
      <c r="Q4" s="895">
        <f>INDEX(Q5:Q8,COUNT(Q5:Q8))</f>
        <v>836.15</v>
      </c>
    </row>
    <row r="5" spans="1:17" s="360" customFormat="1" ht="18" customHeight="1">
      <c r="A5" s="179">
        <v>45383</v>
      </c>
      <c r="B5" s="337">
        <v>7195.4276099999997</v>
      </c>
      <c r="C5" s="358">
        <v>1101489.7069999999</v>
      </c>
      <c r="D5" s="358">
        <v>246083.10620000001</v>
      </c>
      <c r="E5" s="338">
        <v>22.340935600000002</v>
      </c>
      <c r="F5" s="900">
        <v>2285452.9109999998</v>
      </c>
      <c r="G5" s="358">
        <v>562380.61869999999</v>
      </c>
      <c r="H5" s="338">
        <v>24.60696591</v>
      </c>
      <c r="I5" s="358">
        <v>245951.9013</v>
      </c>
      <c r="J5" s="338">
        <v>99.946682686988936</v>
      </c>
      <c r="K5" s="358">
        <v>562055.16500000004</v>
      </c>
      <c r="L5" s="338">
        <v>99.946682686988936</v>
      </c>
      <c r="M5" s="358">
        <v>131.20477</v>
      </c>
      <c r="N5" s="336">
        <v>5.3345703000000001E-2</v>
      </c>
      <c r="O5" s="358">
        <v>131968.62</v>
      </c>
      <c r="P5" s="358">
        <v>562380.61869999999</v>
      </c>
      <c r="Q5" s="358">
        <v>775.22</v>
      </c>
    </row>
    <row r="6" spans="1:17" s="360" customFormat="1" ht="18" customHeight="1">
      <c r="A6" s="179">
        <v>45413</v>
      </c>
      <c r="B6" s="337">
        <v>8145.3289599999998</v>
      </c>
      <c r="C6" s="358">
        <v>1012222.7340000001</v>
      </c>
      <c r="D6" s="358">
        <v>233019.56659999999</v>
      </c>
      <c r="E6" s="338">
        <v>23.020582210000001</v>
      </c>
      <c r="F6" s="900">
        <v>2543832.807</v>
      </c>
      <c r="G6" s="358">
        <v>617866.57259999996</v>
      </c>
      <c r="H6" s="338">
        <v>24.288804320000001</v>
      </c>
      <c r="I6" s="358">
        <v>232681.2132</v>
      </c>
      <c r="J6" s="338">
        <v>100</v>
      </c>
      <c r="K6" s="358">
        <v>617521.93420000002</v>
      </c>
      <c r="L6" s="342">
        <v>100</v>
      </c>
      <c r="M6" s="358">
        <v>338.35320999999999</v>
      </c>
      <c r="N6" s="336">
        <v>0.145414924</v>
      </c>
      <c r="O6" s="358">
        <v>130262.41</v>
      </c>
      <c r="P6" s="358">
        <v>617866.57259999996</v>
      </c>
      <c r="Q6" s="358">
        <v>819.86</v>
      </c>
    </row>
    <row r="7" spans="1:17" s="360" customFormat="1" ht="18" customHeight="1">
      <c r="A7" s="179">
        <v>45444</v>
      </c>
      <c r="B7" s="337">
        <v>9477.56</v>
      </c>
      <c r="C7" s="358">
        <v>1310108.94</v>
      </c>
      <c r="D7" s="358">
        <v>286125.69</v>
      </c>
      <c r="E7" s="338">
        <v>21.84</v>
      </c>
      <c r="F7" s="900">
        <v>3235067.35</v>
      </c>
      <c r="G7" s="358">
        <v>804129.5</v>
      </c>
      <c r="H7" s="338">
        <v>24.86</v>
      </c>
      <c r="I7" s="358">
        <v>285849.81</v>
      </c>
      <c r="J7" s="338">
        <v>100</v>
      </c>
      <c r="K7" s="358">
        <v>803773.09</v>
      </c>
      <c r="L7" s="342">
        <v>100</v>
      </c>
      <c r="M7" s="358">
        <v>275.88</v>
      </c>
      <c r="N7" s="336">
        <v>0.1</v>
      </c>
      <c r="O7" s="358">
        <v>215176.39</v>
      </c>
      <c r="P7" s="358">
        <v>804129.5</v>
      </c>
      <c r="Q7" s="358">
        <v>827.71</v>
      </c>
    </row>
    <row r="8" spans="1:17" s="360" customFormat="1" ht="18" customHeight="1">
      <c r="A8" s="179">
        <v>45474</v>
      </c>
      <c r="B8" s="337">
        <v>10077.48185</v>
      </c>
      <c r="C8" s="358">
        <v>1357050.5279999999</v>
      </c>
      <c r="D8" s="358">
        <v>284986.62599999999</v>
      </c>
      <c r="E8" s="338">
        <v>21.00044325</v>
      </c>
      <c r="F8" s="900">
        <v>3321712.1340000001</v>
      </c>
      <c r="G8" s="358">
        <v>763550.68409999995</v>
      </c>
      <c r="H8" s="338">
        <v>22.98666029</v>
      </c>
      <c r="I8" s="358">
        <v>284598.57829999999</v>
      </c>
      <c r="J8" s="338">
        <v>100</v>
      </c>
      <c r="K8" s="358">
        <v>763322.90269999998</v>
      </c>
      <c r="L8" s="342">
        <v>100</v>
      </c>
      <c r="M8" s="358">
        <v>388.04771</v>
      </c>
      <c r="N8" s="336">
        <v>0.13634913900000001</v>
      </c>
      <c r="O8" s="358">
        <v>156854.69</v>
      </c>
      <c r="P8" s="358">
        <v>763550.68409999995</v>
      </c>
      <c r="Q8" s="358">
        <v>836.15</v>
      </c>
    </row>
    <row r="9" spans="1:17" s="360" customFormat="1">
      <c r="A9" s="136"/>
      <c r="B9" s="363"/>
      <c r="C9" s="137"/>
      <c r="D9" s="137"/>
      <c r="E9" s="390"/>
      <c r="F9" s="137"/>
      <c r="G9" s="137"/>
      <c r="H9" s="390"/>
      <c r="I9" s="137"/>
      <c r="J9" s="391"/>
      <c r="K9" s="137"/>
      <c r="L9" s="390"/>
      <c r="M9" s="363"/>
      <c r="N9" s="399"/>
      <c r="O9" s="400"/>
      <c r="P9" s="137"/>
      <c r="Q9" s="362"/>
    </row>
    <row r="10" spans="1:17" s="360" customFormat="1">
      <c r="A10" s="1283" t="s">
        <v>501</v>
      </c>
      <c r="B10" s="1283"/>
      <c r="C10" s="1283"/>
      <c r="D10" s="1283"/>
      <c r="E10" s="1283"/>
      <c r="F10" s="1283"/>
      <c r="G10" s="1283"/>
    </row>
    <row r="11" spans="1:17" s="360" customFormat="1">
      <c r="A11" s="484" t="s">
        <v>1299</v>
      </c>
      <c r="B11" s="1021"/>
      <c r="C11" s="1021"/>
      <c r="D11" s="1021"/>
      <c r="E11" s="1021"/>
      <c r="F11" s="1021"/>
      <c r="G11" s="1021"/>
    </row>
    <row r="12" spans="1:17" s="360" customFormat="1">
      <c r="A12" s="1283" t="s">
        <v>1388</v>
      </c>
      <c r="B12" s="1283"/>
      <c r="C12" s="1283"/>
      <c r="D12" s="1283"/>
      <c r="E12" s="1283"/>
      <c r="F12" s="1283"/>
      <c r="G12" s="1283"/>
    </row>
    <row r="13" spans="1:17" s="360" customFormat="1">
      <c r="B13" s="97"/>
      <c r="C13" s="97"/>
      <c r="D13" s="97"/>
      <c r="E13" s="97"/>
      <c r="F13" s="97"/>
      <c r="G13" s="97"/>
    </row>
  </sheetData>
  <mergeCells count="2">
    <mergeCell ref="A10:G10"/>
    <mergeCell ref="A12:G12"/>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topLeftCell="B1" workbookViewId="0">
      <selection activeCell="H11" sqref="H11"/>
    </sheetView>
  </sheetViews>
  <sheetFormatPr defaultColWidth="9.140625" defaultRowHeight="15"/>
  <cols>
    <col min="1" max="1" width="14.42578125" style="97" customWidth="1"/>
    <col min="2" max="2" width="13.42578125" style="97" bestFit="1" customWidth="1"/>
    <col min="3" max="3" width="9.140625" style="97" bestFit="1" customWidth="1"/>
    <col min="4" max="4" width="9.7109375" style="97" bestFit="1" customWidth="1"/>
    <col min="5" max="5" width="16.28515625" style="97" bestFit="1" customWidth="1"/>
    <col min="6" max="6" width="11.7109375" style="97" bestFit="1" customWidth="1"/>
    <col min="7" max="7" width="11.42578125" style="97" bestFit="1" customWidth="1"/>
    <col min="8" max="8" width="14.140625" style="97" bestFit="1" customWidth="1"/>
    <col min="9" max="9" width="13.140625" style="97" bestFit="1" customWidth="1"/>
    <col min="10" max="10" width="17.28515625" style="97" bestFit="1" customWidth="1"/>
    <col min="11" max="11" width="13.140625" style="97" bestFit="1" customWidth="1"/>
    <col min="12" max="12" width="17.85546875" style="97" customWidth="1"/>
    <col min="13" max="13" width="12.85546875" style="97" bestFit="1" customWidth="1"/>
    <col min="14" max="14" width="14.42578125" style="97" bestFit="1" customWidth="1"/>
    <col min="15" max="15" width="13.5703125" style="97" bestFit="1" customWidth="1"/>
    <col min="16" max="17" width="14.5703125" style="97" bestFit="1" customWidth="1"/>
    <col min="18" max="16384" width="9.140625" style="97"/>
  </cols>
  <sheetData>
    <row r="1" spans="1:15" ht="14.25" customHeight="1">
      <c r="A1" s="154" t="s">
        <v>1389</v>
      </c>
      <c r="B1" s="154"/>
      <c r="C1" s="154"/>
    </row>
    <row r="2" spans="1:15" s="360" customFormat="1" ht="71.25" customHeight="1">
      <c r="A2" s="887" t="s">
        <v>484</v>
      </c>
      <c r="B2" s="887" t="s">
        <v>485</v>
      </c>
      <c r="C2" s="887" t="s">
        <v>245</v>
      </c>
      <c r="D2" s="887" t="s">
        <v>487</v>
      </c>
      <c r="E2" s="887" t="s">
        <v>488</v>
      </c>
      <c r="F2" s="887" t="s">
        <v>269</v>
      </c>
      <c r="G2" s="887" t="s">
        <v>502</v>
      </c>
      <c r="H2" s="887" t="s">
        <v>490</v>
      </c>
      <c r="I2" s="887" t="s">
        <v>491</v>
      </c>
      <c r="J2" s="887" t="s">
        <v>492</v>
      </c>
      <c r="K2" s="887" t="s">
        <v>493</v>
      </c>
      <c r="L2" s="887" t="s">
        <v>494</v>
      </c>
      <c r="M2" s="887" t="s">
        <v>497</v>
      </c>
      <c r="N2" s="887" t="s">
        <v>498</v>
      </c>
      <c r="O2" s="887" t="s">
        <v>503</v>
      </c>
    </row>
    <row r="3" spans="1:15" s="360" customFormat="1" ht="18" customHeight="1">
      <c r="A3" s="876" t="s">
        <v>520</v>
      </c>
      <c r="B3" s="901" t="s">
        <v>221</v>
      </c>
      <c r="C3" s="902" t="s">
        <v>221</v>
      </c>
      <c r="D3" s="902" t="s">
        <v>221</v>
      </c>
      <c r="E3" s="903" t="s">
        <v>221</v>
      </c>
      <c r="F3" s="902" t="s">
        <v>221</v>
      </c>
      <c r="G3" s="902" t="s">
        <v>221</v>
      </c>
      <c r="H3" s="903" t="s">
        <v>221</v>
      </c>
      <c r="I3" s="902" t="s">
        <v>221</v>
      </c>
      <c r="J3" s="903" t="s">
        <v>221</v>
      </c>
      <c r="K3" s="902" t="s">
        <v>221</v>
      </c>
      <c r="L3" s="901" t="s">
        <v>221</v>
      </c>
      <c r="M3" s="902" t="s">
        <v>221</v>
      </c>
      <c r="N3" s="902" t="s">
        <v>221</v>
      </c>
      <c r="O3" s="902" t="s">
        <v>221</v>
      </c>
    </row>
    <row r="4" spans="1:15" s="360" customFormat="1" ht="18" customHeight="1">
      <c r="A4" s="879" t="s">
        <v>1165</v>
      </c>
      <c r="B4" s="901" t="s">
        <v>221</v>
      </c>
      <c r="C4" s="902" t="s">
        <v>221</v>
      </c>
      <c r="D4" s="902" t="s">
        <v>221</v>
      </c>
      <c r="E4" s="903" t="s">
        <v>221</v>
      </c>
      <c r="F4" s="902" t="s">
        <v>221</v>
      </c>
      <c r="G4" s="902" t="s">
        <v>221</v>
      </c>
      <c r="H4" s="903" t="s">
        <v>221</v>
      </c>
      <c r="I4" s="902" t="s">
        <v>221</v>
      </c>
      <c r="J4" s="903" t="s">
        <v>221</v>
      </c>
      <c r="K4" s="902" t="s">
        <v>221</v>
      </c>
      <c r="L4" s="901" t="s">
        <v>221</v>
      </c>
      <c r="M4" s="902" t="s">
        <v>221</v>
      </c>
      <c r="N4" s="902" t="s">
        <v>221</v>
      </c>
      <c r="O4" s="902" t="s">
        <v>221</v>
      </c>
    </row>
    <row r="5" spans="1:15" s="360" customFormat="1" ht="18" customHeight="1">
      <c r="A5" s="179">
        <v>45383</v>
      </c>
      <c r="B5" s="188" t="s">
        <v>221</v>
      </c>
      <c r="C5" s="189" t="s">
        <v>221</v>
      </c>
      <c r="D5" s="189" t="s">
        <v>221</v>
      </c>
      <c r="E5" s="190" t="s">
        <v>221</v>
      </c>
      <c r="F5" s="189" t="s">
        <v>221</v>
      </c>
      <c r="G5" s="189" t="s">
        <v>221</v>
      </c>
      <c r="H5" s="190" t="s">
        <v>221</v>
      </c>
      <c r="I5" s="189" t="s">
        <v>221</v>
      </c>
      <c r="J5" s="190" t="s">
        <v>221</v>
      </c>
      <c r="K5" s="189" t="s">
        <v>221</v>
      </c>
      <c r="L5" s="188" t="s">
        <v>221</v>
      </c>
      <c r="M5" s="189" t="s">
        <v>221</v>
      </c>
      <c r="N5" s="189" t="s">
        <v>221</v>
      </c>
      <c r="O5" s="189" t="s">
        <v>221</v>
      </c>
    </row>
    <row r="6" spans="1:15" s="360" customFormat="1" ht="18" customHeight="1">
      <c r="A6" s="179">
        <v>45413</v>
      </c>
      <c r="B6" s="188" t="s">
        <v>221</v>
      </c>
      <c r="C6" s="189" t="s">
        <v>221</v>
      </c>
      <c r="D6" s="189" t="s">
        <v>221</v>
      </c>
      <c r="E6" s="190" t="s">
        <v>221</v>
      </c>
      <c r="F6" s="189" t="s">
        <v>221</v>
      </c>
      <c r="G6" s="189" t="s">
        <v>221</v>
      </c>
      <c r="H6" s="190" t="s">
        <v>221</v>
      </c>
      <c r="I6" s="189" t="s">
        <v>221</v>
      </c>
      <c r="J6" s="190" t="s">
        <v>221</v>
      </c>
      <c r="K6" s="189" t="s">
        <v>221</v>
      </c>
      <c r="L6" s="188" t="s">
        <v>221</v>
      </c>
      <c r="M6" s="189" t="s">
        <v>221</v>
      </c>
      <c r="N6" s="189" t="s">
        <v>221</v>
      </c>
      <c r="O6" s="189" t="s">
        <v>221</v>
      </c>
    </row>
    <row r="7" spans="1:15" s="360" customFormat="1" ht="18" customHeight="1">
      <c r="A7" s="179">
        <v>45444</v>
      </c>
      <c r="B7" s="188" t="s">
        <v>221</v>
      </c>
      <c r="C7" s="189" t="s">
        <v>221</v>
      </c>
      <c r="D7" s="189" t="s">
        <v>221</v>
      </c>
      <c r="E7" s="190" t="s">
        <v>221</v>
      </c>
      <c r="F7" s="189" t="s">
        <v>221</v>
      </c>
      <c r="G7" s="189" t="s">
        <v>221</v>
      </c>
      <c r="H7" s="190" t="s">
        <v>221</v>
      </c>
      <c r="I7" s="189" t="s">
        <v>221</v>
      </c>
      <c r="J7" s="190" t="s">
        <v>221</v>
      </c>
      <c r="K7" s="189" t="s">
        <v>221</v>
      </c>
      <c r="L7" s="188" t="s">
        <v>221</v>
      </c>
      <c r="M7" s="189" t="s">
        <v>221</v>
      </c>
      <c r="N7" s="189" t="s">
        <v>221</v>
      </c>
      <c r="O7" s="189" t="s">
        <v>221</v>
      </c>
    </row>
    <row r="8" spans="1:15" s="360" customFormat="1" ht="18" customHeight="1">
      <c r="A8" s="179">
        <v>45474</v>
      </c>
      <c r="B8" s="188" t="s">
        <v>221</v>
      </c>
      <c r="C8" s="189" t="s">
        <v>221</v>
      </c>
      <c r="D8" s="189" t="s">
        <v>221</v>
      </c>
      <c r="E8" s="190" t="s">
        <v>221</v>
      </c>
      <c r="F8" s="189" t="s">
        <v>221</v>
      </c>
      <c r="G8" s="189" t="s">
        <v>221</v>
      </c>
      <c r="H8" s="190" t="s">
        <v>221</v>
      </c>
      <c r="I8" s="189" t="s">
        <v>221</v>
      </c>
      <c r="J8" s="190" t="s">
        <v>221</v>
      </c>
      <c r="K8" s="189" t="s">
        <v>221</v>
      </c>
      <c r="L8" s="188" t="s">
        <v>221</v>
      </c>
      <c r="M8" s="189" t="s">
        <v>221</v>
      </c>
      <c r="N8" s="189" t="s">
        <v>221</v>
      </c>
      <c r="O8" s="189" t="s">
        <v>221</v>
      </c>
    </row>
    <row r="9" spans="1:15" s="360" customFormat="1">
      <c r="A9" s="136"/>
      <c r="B9" s="401"/>
      <c r="C9" s="402"/>
      <c r="D9" s="402"/>
      <c r="E9" s="403"/>
      <c r="F9" s="402"/>
      <c r="G9" s="402"/>
      <c r="H9" s="403"/>
      <c r="I9" s="402"/>
      <c r="J9" s="403"/>
      <c r="K9" s="402"/>
      <c r="L9" s="401"/>
      <c r="M9" s="402"/>
      <c r="N9" s="402"/>
      <c r="O9" s="402"/>
    </row>
    <row r="10" spans="1:15" s="360" customFormat="1" ht="15" customHeight="1">
      <c r="A10" s="1356" t="s">
        <v>1390</v>
      </c>
      <c r="B10" s="1356"/>
      <c r="C10" s="1356"/>
      <c r="D10" s="1356"/>
      <c r="E10" s="1356"/>
      <c r="F10" s="1356"/>
      <c r="G10" s="1356"/>
      <c r="H10" s="1356"/>
      <c r="I10" s="1356"/>
      <c r="J10" s="1356"/>
      <c r="K10" s="1356"/>
      <c r="L10" s="1356"/>
      <c r="M10" s="1356"/>
      <c r="N10" s="1356"/>
      <c r="O10" s="1356"/>
    </row>
    <row r="11" spans="1:15" s="360" customFormat="1">
      <c r="A11" s="484" t="s">
        <v>1299</v>
      </c>
    </row>
    <row r="12" spans="1:15">
      <c r="D12" s="97" t="s">
        <v>1073</v>
      </c>
    </row>
  </sheetData>
  <mergeCells count="1">
    <mergeCell ref="A10:O10"/>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
  <sheetViews>
    <sheetView topLeftCell="K1" workbookViewId="0">
      <selection activeCell="U16" sqref="U16"/>
    </sheetView>
  </sheetViews>
  <sheetFormatPr defaultColWidth="9.140625" defaultRowHeight="15"/>
  <cols>
    <col min="1" max="1" width="14.7109375" style="97" bestFit="1" customWidth="1"/>
    <col min="2" max="2" width="9.85546875" style="97" bestFit="1" customWidth="1"/>
    <col min="3" max="3" width="10.85546875" style="97" bestFit="1" customWidth="1"/>
    <col min="4" max="4" width="10" style="97" bestFit="1" customWidth="1"/>
    <col min="5" max="5" width="10.85546875" style="97" bestFit="1" customWidth="1"/>
    <col min="6" max="6" width="10" style="97" bestFit="1" customWidth="1"/>
    <col min="7" max="7" width="15.85546875" style="97" customWidth="1"/>
    <col min="8" max="8" width="14.140625" style="97" customWidth="1"/>
    <col min="9" max="9" width="13.7109375" style="97" bestFit="1" customWidth="1"/>
    <col min="10" max="10" width="15.140625" style="97" customWidth="1"/>
    <col min="11" max="11" width="13.7109375" style="97" bestFit="1" customWidth="1"/>
    <col min="12" max="12" width="13.5703125" style="97" customWidth="1"/>
    <col min="13" max="13" width="9.85546875" style="97" bestFit="1" customWidth="1"/>
    <col min="14" max="14" width="10.85546875" style="97" bestFit="1" customWidth="1"/>
    <col min="15" max="15" width="14.7109375" style="97" bestFit="1" customWidth="1"/>
    <col min="16" max="16" width="12.85546875" style="97" customWidth="1"/>
    <col min="17" max="17" width="14.140625" style="97" customWidth="1"/>
    <col min="18" max="18" width="14.5703125" style="97" customWidth="1"/>
    <col min="19" max="19" width="15.42578125" style="97" customWidth="1"/>
    <col min="20" max="20" width="13.85546875" style="97" customWidth="1"/>
    <col min="21" max="21" width="13.5703125" style="97" customWidth="1"/>
    <col min="22" max="22" width="12" style="97" customWidth="1"/>
    <col min="23" max="23" width="10.5703125" style="97" customWidth="1"/>
    <col min="24" max="24" width="14" style="97" bestFit="1" customWidth="1"/>
    <col min="25" max="25" width="11.28515625" style="97" bestFit="1" customWidth="1"/>
    <col min="26" max="16384" width="9.140625" style="97"/>
  </cols>
  <sheetData>
    <row r="1" spans="1:25" ht="18" customHeight="1">
      <c r="A1" s="154" t="s">
        <v>1065</v>
      </c>
      <c r="B1" s="154"/>
      <c r="C1" s="154"/>
      <c r="D1" s="154"/>
      <c r="E1" s="154"/>
      <c r="F1" s="154"/>
      <c r="G1" s="154"/>
      <c r="H1" s="154"/>
      <c r="I1" s="154"/>
      <c r="J1" s="154"/>
      <c r="K1" s="154"/>
      <c r="L1" s="154"/>
      <c r="M1" s="154"/>
      <c r="N1" s="154"/>
      <c r="O1" s="154"/>
      <c r="P1" s="154"/>
      <c r="Q1" s="154"/>
      <c r="R1" s="154"/>
    </row>
    <row r="2" spans="1:25" s="155" customFormat="1" ht="18" customHeight="1">
      <c r="A2" s="1360" t="s">
        <v>504</v>
      </c>
      <c r="B2" s="1360" t="s">
        <v>243</v>
      </c>
      <c r="C2" s="1363" t="s">
        <v>505</v>
      </c>
      <c r="D2" s="1364"/>
      <c r="E2" s="1363" t="s">
        <v>506</v>
      </c>
      <c r="F2" s="1367"/>
      <c r="G2" s="1369" t="s">
        <v>507</v>
      </c>
      <c r="H2" s="1370"/>
      <c r="I2" s="1370"/>
      <c r="J2" s="1370"/>
      <c r="K2" s="1370"/>
      <c r="L2" s="1380"/>
      <c r="M2" s="1369" t="s">
        <v>508</v>
      </c>
      <c r="N2" s="1370"/>
      <c r="O2" s="1370"/>
      <c r="P2" s="1370"/>
      <c r="Q2" s="1370"/>
      <c r="R2" s="1380"/>
      <c r="S2" s="1369" t="s">
        <v>509</v>
      </c>
      <c r="T2" s="1370"/>
      <c r="U2" s="1370"/>
      <c r="V2" s="1363" t="s">
        <v>510</v>
      </c>
      <c r="W2" s="1371"/>
    </row>
    <row r="3" spans="1:25" s="155" customFormat="1" ht="18" customHeight="1">
      <c r="A3" s="1362"/>
      <c r="B3" s="1362"/>
      <c r="C3" s="1365"/>
      <c r="D3" s="1366"/>
      <c r="E3" s="1365"/>
      <c r="F3" s="1368"/>
      <c r="G3" s="1374" t="s">
        <v>511</v>
      </c>
      <c r="H3" s="1374"/>
      <c r="I3" s="1374"/>
      <c r="J3" s="1374" t="s">
        <v>512</v>
      </c>
      <c r="K3" s="1374"/>
      <c r="L3" s="1374"/>
      <c r="M3" s="1374" t="s">
        <v>511</v>
      </c>
      <c r="N3" s="1374"/>
      <c r="O3" s="1374"/>
      <c r="P3" s="1374" t="s">
        <v>512</v>
      </c>
      <c r="Q3" s="1374"/>
      <c r="R3" s="1374"/>
      <c r="S3" s="1375" t="s">
        <v>513</v>
      </c>
      <c r="T3" s="1363" t="s">
        <v>269</v>
      </c>
      <c r="U3" s="1367"/>
      <c r="V3" s="1372"/>
      <c r="W3" s="1373"/>
    </row>
    <row r="4" spans="1:25" s="102" customFormat="1" ht="25.5" customHeight="1">
      <c r="A4" s="1362"/>
      <c r="B4" s="1362"/>
      <c r="C4" s="1357" t="s">
        <v>514</v>
      </c>
      <c r="D4" s="1360" t="s">
        <v>269</v>
      </c>
      <c r="E4" s="1357" t="s">
        <v>515</v>
      </c>
      <c r="F4" s="1360" t="s">
        <v>269</v>
      </c>
      <c r="G4" s="1357" t="s">
        <v>516</v>
      </c>
      <c r="H4" s="1358" t="s">
        <v>269</v>
      </c>
      <c r="I4" s="1359"/>
      <c r="J4" s="1357" t="s">
        <v>516</v>
      </c>
      <c r="K4" s="1358" t="s">
        <v>269</v>
      </c>
      <c r="L4" s="1359"/>
      <c r="M4" s="1357" t="s">
        <v>516</v>
      </c>
      <c r="N4" s="1358" t="s">
        <v>269</v>
      </c>
      <c r="O4" s="1359"/>
      <c r="P4" s="1357" t="s">
        <v>513</v>
      </c>
      <c r="Q4" s="1358" t="s">
        <v>269</v>
      </c>
      <c r="R4" s="1359"/>
      <c r="S4" s="1376"/>
      <c r="T4" s="1378"/>
      <c r="U4" s="1379"/>
      <c r="V4" s="1357" t="s">
        <v>517</v>
      </c>
      <c r="W4" s="1357" t="s">
        <v>233</v>
      </c>
    </row>
    <row r="5" spans="1:25" s="102" customFormat="1" ht="13.5" customHeight="1">
      <c r="A5" s="1361"/>
      <c r="B5" s="1361"/>
      <c r="C5" s="1357"/>
      <c r="D5" s="1361"/>
      <c r="E5" s="1357"/>
      <c r="F5" s="1361"/>
      <c r="G5" s="1357"/>
      <c r="H5" s="525" t="s">
        <v>518</v>
      </c>
      <c r="I5" s="525" t="s">
        <v>519</v>
      </c>
      <c r="J5" s="1357"/>
      <c r="K5" s="525" t="s">
        <v>518</v>
      </c>
      <c r="L5" s="525" t="s">
        <v>519</v>
      </c>
      <c r="M5" s="1357"/>
      <c r="N5" s="525" t="s">
        <v>518</v>
      </c>
      <c r="O5" s="525" t="s">
        <v>519</v>
      </c>
      <c r="P5" s="1357"/>
      <c r="Q5" s="525" t="s">
        <v>518</v>
      </c>
      <c r="R5" s="525" t="s">
        <v>519</v>
      </c>
      <c r="S5" s="1377"/>
      <c r="T5" s="525" t="s">
        <v>1066</v>
      </c>
      <c r="U5" s="525" t="s">
        <v>519</v>
      </c>
      <c r="V5" s="1374"/>
      <c r="W5" s="1357"/>
    </row>
    <row r="6" spans="1:25" s="102" customFormat="1">
      <c r="A6" s="191">
        <v>1</v>
      </c>
      <c r="B6" s="192">
        <v>2</v>
      </c>
      <c r="C6" s="904">
        <v>3</v>
      </c>
      <c r="D6" s="192">
        <v>4</v>
      </c>
      <c r="E6" s="192">
        <v>6</v>
      </c>
      <c r="F6" s="192">
        <v>8</v>
      </c>
      <c r="G6" s="904">
        <v>9</v>
      </c>
      <c r="H6" s="192">
        <v>10</v>
      </c>
      <c r="I6" s="904">
        <v>11</v>
      </c>
      <c r="J6" s="192">
        <v>12</v>
      </c>
      <c r="K6" s="904">
        <v>13</v>
      </c>
      <c r="L6" s="192">
        <v>14</v>
      </c>
      <c r="M6" s="904">
        <v>15</v>
      </c>
      <c r="N6" s="192">
        <v>16</v>
      </c>
      <c r="O6" s="904">
        <v>17</v>
      </c>
      <c r="P6" s="192">
        <v>18</v>
      </c>
      <c r="Q6" s="904">
        <v>19</v>
      </c>
      <c r="R6" s="192">
        <v>20</v>
      </c>
      <c r="S6" s="904">
        <v>21</v>
      </c>
      <c r="T6" s="192">
        <v>22</v>
      </c>
      <c r="U6" s="192">
        <v>24</v>
      </c>
      <c r="V6" s="904">
        <v>25</v>
      </c>
      <c r="W6" s="904">
        <v>26</v>
      </c>
    </row>
    <row r="7" spans="1:25" s="102" customFormat="1">
      <c r="A7" s="876" t="s">
        <v>520</v>
      </c>
      <c r="B7" s="905">
        <v>246</v>
      </c>
      <c r="C7" s="193">
        <v>281532</v>
      </c>
      <c r="D7" s="193">
        <v>20247.138979424999</v>
      </c>
      <c r="E7" s="893">
        <v>1</v>
      </c>
      <c r="F7" s="893">
        <v>9.4170000000000004E-2</v>
      </c>
      <c r="G7" s="194">
        <v>5800012712</v>
      </c>
      <c r="H7" s="194">
        <v>259453.90862050003</v>
      </c>
      <c r="I7" s="194">
        <v>414316521.51317048</v>
      </c>
      <c r="J7" s="194">
        <v>5499653676</v>
      </c>
      <c r="K7" s="194">
        <v>233206.67681227502</v>
      </c>
      <c r="L7" s="194">
        <v>388498615.51731229</v>
      </c>
      <c r="M7" s="339">
        <v>0</v>
      </c>
      <c r="N7" s="339">
        <v>0</v>
      </c>
      <c r="O7" s="339">
        <v>0</v>
      </c>
      <c r="P7" s="339">
        <v>0</v>
      </c>
      <c r="Q7" s="339">
        <v>0</v>
      </c>
      <c r="R7" s="195">
        <v>0</v>
      </c>
      <c r="S7" s="194">
        <v>11299947921</v>
      </c>
      <c r="T7" s="196">
        <v>512907.81858219998</v>
      </c>
      <c r="U7" s="197">
        <v>802835384.2636323</v>
      </c>
      <c r="V7" s="194">
        <v>2183095.5</v>
      </c>
      <c r="W7" s="194">
        <v>161229.46758444002</v>
      </c>
      <c r="X7" s="156">
        <f>U7/B7</f>
        <v>3263558.4726163913</v>
      </c>
    </row>
    <row r="8" spans="1:25" s="102" customFormat="1">
      <c r="A8" s="879" t="s">
        <v>1165</v>
      </c>
      <c r="B8" s="895">
        <f t="shared" ref="B8:U8" si="0">SUM(B9:B12)</f>
        <v>83</v>
      </c>
      <c r="C8" s="895">
        <f t="shared" si="0"/>
        <v>171691</v>
      </c>
      <c r="D8" s="895">
        <f t="shared" si="0"/>
        <v>13536.09440645</v>
      </c>
      <c r="E8" s="895">
        <f t="shared" si="0"/>
        <v>4148</v>
      </c>
      <c r="F8" s="895">
        <f t="shared" si="0"/>
        <v>316.13313826000001</v>
      </c>
      <c r="G8" s="895">
        <f t="shared" si="0"/>
        <v>5515905104</v>
      </c>
      <c r="H8" s="895">
        <f t="shared" si="0"/>
        <v>309832.97844212502</v>
      </c>
      <c r="I8" s="895">
        <f t="shared" si="0"/>
        <v>438718893.5552423</v>
      </c>
      <c r="J8" s="895">
        <f t="shared" si="0"/>
        <v>5242395492</v>
      </c>
      <c r="K8" s="895">
        <f t="shared" si="0"/>
        <v>291464.74051865004</v>
      </c>
      <c r="L8" s="895">
        <f t="shared" si="0"/>
        <v>411145634.94881809</v>
      </c>
      <c r="M8" s="895">
        <f t="shared" si="0"/>
        <v>186</v>
      </c>
      <c r="N8" s="895">
        <f t="shared" si="0"/>
        <v>0.22526699999999997</v>
      </c>
      <c r="O8" s="895">
        <f t="shared" si="0"/>
        <v>15.358467000000001</v>
      </c>
      <c r="P8" s="895">
        <f t="shared" si="0"/>
        <v>235</v>
      </c>
      <c r="Q8" s="895">
        <f t="shared" si="0"/>
        <v>0.19669162499999998</v>
      </c>
      <c r="R8" s="895">
        <f t="shared" si="0"/>
        <v>20.241841624999999</v>
      </c>
      <c r="S8" s="895">
        <f t="shared" si="0"/>
        <v>10758476856</v>
      </c>
      <c r="T8" s="895">
        <f t="shared" si="0"/>
        <v>615150.27496410999</v>
      </c>
      <c r="U8" s="895">
        <f t="shared" si="0"/>
        <v>849878416.42474496</v>
      </c>
      <c r="V8" s="260">
        <f>INDEX(V9:V12,COUNT(V9:V12))</f>
        <v>386890</v>
      </c>
      <c r="W8" s="260">
        <f>INDEX(W9:W12,COUNT(W9:W12))</f>
        <v>31854.729854189307</v>
      </c>
      <c r="X8" s="156">
        <f t="shared" ref="X8:X12" si="1">U8/B8</f>
        <v>10239498.993069217</v>
      </c>
      <c r="Y8" s="360"/>
    </row>
    <row r="9" spans="1:25" s="360" customFormat="1">
      <c r="A9" s="179">
        <v>45383</v>
      </c>
      <c r="B9" s="274">
        <v>20</v>
      </c>
      <c r="C9" s="198">
        <v>43584</v>
      </c>
      <c r="D9" s="198">
        <v>3336.6670426249998</v>
      </c>
      <c r="E9" s="198">
        <v>0</v>
      </c>
      <c r="F9" s="198">
        <v>0</v>
      </c>
      <c r="G9" s="198">
        <v>1136394739</v>
      </c>
      <c r="H9" s="198">
        <v>59762.223941775002</v>
      </c>
      <c r="I9" s="198">
        <v>87127144.360391781</v>
      </c>
      <c r="J9" s="198">
        <v>1087904500</v>
      </c>
      <c r="K9" s="198">
        <v>57625.138691400003</v>
      </c>
      <c r="L9" s="198">
        <v>82368154.030341387</v>
      </c>
      <c r="M9" s="198">
        <v>0</v>
      </c>
      <c r="N9" s="198">
        <v>0</v>
      </c>
      <c r="O9" s="198">
        <v>0</v>
      </c>
      <c r="P9" s="198">
        <v>0</v>
      </c>
      <c r="Q9" s="198">
        <v>0</v>
      </c>
      <c r="R9" s="198">
        <v>0</v>
      </c>
      <c r="S9" s="198">
        <v>2224342823</v>
      </c>
      <c r="T9" s="198">
        <v>120724.0296758</v>
      </c>
      <c r="U9" s="198">
        <v>169498635.05777588</v>
      </c>
      <c r="V9" s="198">
        <v>293730</v>
      </c>
      <c r="W9" s="198">
        <v>22345.473455765401</v>
      </c>
      <c r="X9" s="156">
        <f t="shared" si="1"/>
        <v>8474931.752888795</v>
      </c>
    </row>
    <row r="10" spans="1:25" s="360" customFormat="1">
      <c r="A10" s="179">
        <v>45413</v>
      </c>
      <c r="B10" s="207">
        <v>22</v>
      </c>
      <c r="C10" s="198">
        <v>33975</v>
      </c>
      <c r="D10" s="198">
        <v>2552.1349276999999</v>
      </c>
      <c r="E10" s="906">
        <v>0</v>
      </c>
      <c r="F10" s="906">
        <v>0</v>
      </c>
      <c r="G10" s="198">
        <v>1480962413</v>
      </c>
      <c r="H10" s="198">
        <v>78074.340969249999</v>
      </c>
      <c r="I10" s="198">
        <v>113135370.505569</v>
      </c>
      <c r="J10" s="198">
        <v>1413930789</v>
      </c>
      <c r="K10" s="198">
        <v>80786.207591275001</v>
      </c>
      <c r="L10" s="198">
        <v>106604271.105891</v>
      </c>
      <c r="M10" s="339">
        <v>0</v>
      </c>
      <c r="N10" s="339">
        <v>0</v>
      </c>
      <c r="O10" s="339">
        <v>0</v>
      </c>
      <c r="P10" s="339">
        <v>0</v>
      </c>
      <c r="Q10" s="339">
        <v>0</v>
      </c>
      <c r="R10" s="195">
        <v>0</v>
      </c>
      <c r="S10" s="198">
        <v>2894927177</v>
      </c>
      <c r="T10" s="199">
        <v>161412.68348822501</v>
      </c>
      <c r="U10" s="199">
        <v>219742193.74638799</v>
      </c>
      <c r="V10" s="199">
        <v>150694</v>
      </c>
      <c r="W10" s="199">
        <v>12462.15</v>
      </c>
      <c r="X10" s="156">
        <f t="shared" si="1"/>
        <v>9988281.5339267273</v>
      </c>
    </row>
    <row r="11" spans="1:25" s="360" customFormat="1">
      <c r="A11" s="1134">
        <v>45444</v>
      </c>
      <c r="B11" s="1135">
        <v>19</v>
      </c>
      <c r="C11" s="1136">
        <v>34978</v>
      </c>
      <c r="D11" s="1136">
        <v>2723.8138489749999</v>
      </c>
      <c r="E11" s="1137">
        <v>0</v>
      </c>
      <c r="F11" s="1137">
        <v>0</v>
      </c>
      <c r="G11" s="1136">
        <v>1346324635</v>
      </c>
      <c r="H11" s="1136">
        <v>85283.051491524995</v>
      </c>
      <c r="I11" s="1136">
        <v>108224842.59604155</v>
      </c>
      <c r="J11" s="1136">
        <v>1242473794</v>
      </c>
      <c r="K11" s="1136">
        <v>75332.357840750003</v>
      </c>
      <c r="L11" s="1136">
        <v>98148144.476640731</v>
      </c>
      <c r="M11" s="1138">
        <v>1</v>
      </c>
      <c r="N11" s="1138">
        <v>9.4049999999999995E-2</v>
      </c>
      <c r="O11" s="1138">
        <v>5.5000000000000003E-4</v>
      </c>
      <c r="P11" s="1138">
        <v>0</v>
      </c>
      <c r="Q11" s="1138">
        <v>0</v>
      </c>
      <c r="R11" s="1139">
        <v>0</v>
      </c>
      <c r="S11" s="1136">
        <v>2588833408</v>
      </c>
      <c r="T11" s="1140">
        <v>163339.22373125001</v>
      </c>
      <c r="U11" s="1140">
        <v>206375710.98058116</v>
      </c>
      <c r="V11" s="198">
        <v>318510</v>
      </c>
      <c r="W11" s="198">
        <v>28044.047634139999</v>
      </c>
      <c r="X11" s="156">
        <f t="shared" si="1"/>
        <v>10861879.525293745</v>
      </c>
    </row>
    <row r="12" spans="1:25" s="360" customFormat="1">
      <c r="A12" s="179">
        <v>45474</v>
      </c>
      <c r="B12" s="207">
        <v>22</v>
      </c>
      <c r="C12" s="198">
        <v>59154</v>
      </c>
      <c r="D12" s="198">
        <v>4923.4785871499998</v>
      </c>
      <c r="E12" s="358">
        <v>4148</v>
      </c>
      <c r="F12" s="358">
        <v>316.13313826000001</v>
      </c>
      <c r="G12" s="198">
        <v>1552223317</v>
      </c>
      <c r="H12" s="198">
        <v>86713.362039575019</v>
      </c>
      <c r="I12" s="198">
        <v>130231536.09323999</v>
      </c>
      <c r="J12" s="198">
        <v>1498086409</v>
      </c>
      <c r="K12" s="198">
        <v>77721.036395225005</v>
      </c>
      <c r="L12" s="198">
        <v>124025065.335945</v>
      </c>
      <c r="M12" s="1141">
        <v>185</v>
      </c>
      <c r="N12" s="1152">
        <v>0.13121699999999997</v>
      </c>
      <c r="O12" s="1152">
        <v>15.357917</v>
      </c>
      <c r="P12" s="1141">
        <v>235</v>
      </c>
      <c r="Q12" s="1152">
        <v>0.19669162499999998</v>
      </c>
      <c r="R12" s="340">
        <v>20.241841624999999</v>
      </c>
      <c r="S12" s="198">
        <v>3050373448</v>
      </c>
      <c r="T12" s="199">
        <v>169674.33806883497</v>
      </c>
      <c r="U12" s="199">
        <v>254261876.63999999</v>
      </c>
      <c r="V12" s="198">
        <v>386890</v>
      </c>
      <c r="W12" s="198">
        <v>31854.729854189307</v>
      </c>
      <c r="X12" s="156">
        <f t="shared" si="1"/>
        <v>11557358.029090909</v>
      </c>
    </row>
    <row r="13" spans="1:25">
      <c r="A13" s="516"/>
      <c r="B13" s="516"/>
      <c r="C13" s="516"/>
      <c r="D13" s="516"/>
      <c r="E13" s="516"/>
      <c r="F13" s="516"/>
      <c r="G13" s="404"/>
      <c r="H13" s="404"/>
      <c r="I13" s="404"/>
      <c r="J13" s="516"/>
      <c r="K13" s="516"/>
      <c r="L13" s="516"/>
      <c r="M13" s="404"/>
      <c r="N13" s="404"/>
      <c r="O13" s="404"/>
      <c r="P13" s="516"/>
      <c r="Q13" s="516"/>
      <c r="R13" s="516"/>
    </row>
    <row r="14" spans="1:25">
      <c r="A14" s="154" t="s">
        <v>521</v>
      </c>
      <c r="B14" s="154"/>
      <c r="C14" s="154"/>
      <c r="D14" s="154"/>
      <c r="E14" s="154"/>
      <c r="F14" s="154"/>
      <c r="G14" s="404"/>
      <c r="H14" s="404"/>
      <c r="I14" s="404"/>
      <c r="J14" s="516"/>
      <c r="K14" s="516"/>
      <c r="L14" s="516"/>
      <c r="M14" s="404"/>
      <c r="N14" s="404"/>
      <c r="O14" s="404"/>
      <c r="P14" s="360"/>
      <c r="Q14" s="360"/>
      <c r="R14" s="360"/>
      <c r="S14" s="360"/>
      <c r="T14" s="200"/>
      <c r="U14" s="200"/>
      <c r="V14" s="360"/>
      <c r="W14" s="360"/>
    </row>
    <row r="15" spans="1:25">
      <c r="A15" s="516" t="s">
        <v>522</v>
      </c>
      <c r="B15" s="516"/>
      <c r="C15" s="516"/>
      <c r="D15" s="516"/>
      <c r="E15" s="516"/>
      <c r="F15" s="516"/>
      <c r="G15" s="516"/>
      <c r="H15" s="516"/>
      <c r="I15" s="516"/>
      <c r="J15" s="516"/>
      <c r="K15" s="360"/>
      <c r="L15" s="360"/>
      <c r="M15" s="360"/>
      <c r="N15" s="360"/>
      <c r="O15" s="360"/>
      <c r="P15" s="360"/>
      <c r="Q15" s="360"/>
      <c r="R15" s="360"/>
      <c r="S15" s="360"/>
      <c r="T15" s="200"/>
      <c r="U15" s="239"/>
      <c r="V15" s="360"/>
      <c r="W15" s="360"/>
    </row>
    <row r="16" spans="1:25">
      <c r="A16" s="516" t="s">
        <v>1070</v>
      </c>
      <c r="B16" s="516"/>
      <c r="C16" s="516"/>
      <c r="D16" s="516"/>
      <c r="E16" s="516"/>
      <c r="F16" s="516"/>
      <c r="G16" s="516"/>
      <c r="H16" s="516"/>
      <c r="I16" s="516"/>
      <c r="J16" s="516"/>
      <c r="K16" s="360"/>
      <c r="L16" s="360"/>
      <c r="M16" s="360"/>
      <c r="N16" s="360"/>
      <c r="O16" s="360"/>
      <c r="P16" s="360"/>
      <c r="Q16" s="360"/>
      <c r="R16" s="360"/>
      <c r="S16" s="360"/>
      <c r="T16" s="200"/>
      <c r="U16" s="200"/>
      <c r="V16" s="360"/>
      <c r="W16" s="360"/>
    </row>
    <row r="17" spans="1:23">
      <c r="A17" s="484" t="s">
        <v>1299</v>
      </c>
      <c r="B17" s="1021"/>
      <c r="C17" s="1021"/>
      <c r="D17" s="1021"/>
      <c r="E17" s="1021"/>
      <c r="F17" s="1021"/>
      <c r="G17" s="1021"/>
      <c r="H17" s="1021"/>
      <c r="I17" s="1021"/>
      <c r="J17" s="1021"/>
      <c r="K17" s="360"/>
      <c r="L17" s="360"/>
      <c r="M17" s="360"/>
      <c r="N17" s="360"/>
      <c r="O17" s="360"/>
      <c r="P17" s="360"/>
      <c r="Q17" s="360"/>
      <c r="R17" s="360"/>
      <c r="S17" s="360"/>
      <c r="T17" s="200"/>
      <c r="U17" s="200"/>
      <c r="V17" s="360"/>
      <c r="W17" s="360"/>
    </row>
    <row r="18" spans="1:23">
      <c r="A18" s="1283" t="s">
        <v>308</v>
      </c>
      <c r="B18" s="1283"/>
      <c r="C18" s="1283"/>
      <c r="D18" s="1283"/>
      <c r="E18" s="1283"/>
      <c r="F18" s="1283"/>
      <c r="G18" s="1283"/>
      <c r="H18" s="1283"/>
      <c r="I18" s="1283"/>
      <c r="J18" s="1283"/>
      <c r="K18" s="360"/>
      <c r="L18" s="360"/>
      <c r="M18" s="360"/>
      <c r="N18" s="360"/>
      <c r="O18" s="360"/>
      <c r="P18" s="360"/>
      <c r="Q18" s="360"/>
      <c r="R18" s="360"/>
      <c r="S18" s="360"/>
      <c r="T18" s="200"/>
      <c r="U18" s="200"/>
      <c r="V18" s="360"/>
      <c r="W18" s="360"/>
    </row>
    <row r="19" spans="1:23">
      <c r="K19" s="360"/>
      <c r="L19" s="360"/>
      <c r="M19" s="360"/>
      <c r="N19" s="360"/>
      <c r="O19" s="360"/>
      <c r="P19" s="360"/>
      <c r="Q19" s="360"/>
      <c r="R19" s="360"/>
      <c r="S19" s="360"/>
      <c r="T19" s="200"/>
      <c r="U19" s="200"/>
      <c r="V19" s="360"/>
      <c r="W19" s="360"/>
    </row>
  </sheetData>
  <mergeCells count="29">
    <mergeCell ref="S2:U2"/>
    <mergeCell ref="V2:W3"/>
    <mergeCell ref="G3:I3"/>
    <mergeCell ref="J3:L3"/>
    <mergeCell ref="M3:O3"/>
    <mergeCell ref="P3:R3"/>
    <mergeCell ref="S3:S5"/>
    <mergeCell ref="T3:U4"/>
    <mergeCell ref="G4:G5"/>
    <mergeCell ref="H4:I4"/>
    <mergeCell ref="G2:L2"/>
    <mergeCell ref="M2:R2"/>
    <mergeCell ref="V4:V5"/>
    <mergeCell ref="W4:W5"/>
    <mergeCell ref="P4:P5"/>
    <mergeCell ref="Q4:R4"/>
    <mergeCell ref="A18:J18"/>
    <mergeCell ref="J4:J5"/>
    <mergeCell ref="K4:L4"/>
    <mergeCell ref="M4:M5"/>
    <mergeCell ref="N4:O4"/>
    <mergeCell ref="F4:F5"/>
    <mergeCell ref="A2:A5"/>
    <mergeCell ref="B2:B5"/>
    <mergeCell ref="C2:D3"/>
    <mergeCell ref="E2:F3"/>
    <mergeCell ref="C4:C5"/>
    <mergeCell ref="D4:D5"/>
    <mergeCell ref="E4:E5"/>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colBreaks count="1" manualBreakCount="1">
    <brk id="12" max="26"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workbookViewId="0">
      <selection activeCell="X11" sqref="X11"/>
    </sheetView>
  </sheetViews>
  <sheetFormatPr defaultColWidth="9.140625" defaultRowHeight="15"/>
  <cols>
    <col min="1" max="1" width="12.28515625" style="97" bestFit="1" customWidth="1"/>
    <col min="2" max="2" width="9.28515625" style="97" bestFit="1" customWidth="1"/>
    <col min="3" max="4" width="13.85546875" style="97" bestFit="1" customWidth="1"/>
    <col min="5" max="5" width="14" style="97" bestFit="1" customWidth="1"/>
    <col min="6" max="6" width="13.85546875" style="97" bestFit="1" customWidth="1"/>
    <col min="7" max="7" width="15.5703125" style="97" customWidth="1"/>
    <col min="8" max="8" width="13.85546875" style="97" bestFit="1" customWidth="1"/>
    <col min="9" max="9" width="15" style="97" bestFit="1" customWidth="1"/>
    <col min="10" max="10" width="16.5703125" style="97" bestFit="1" customWidth="1"/>
    <col min="11" max="11" width="13.85546875" style="97" bestFit="1" customWidth="1"/>
    <col min="12" max="12" width="15" style="97" bestFit="1" customWidth="1"/>
    <col min="13" max="13" width="14" style="97" bestFit="1" customWidth="1"/>
    <col min="14" max="14" width="13.85546875" style="97" bestFit="1" customWidth="1"/>
    <col min="15" max="15" width="15.5703125" style="97" customWidth="1"/>
    <col min="16" max="16" width="14" style="97" bestFit="1" customWidth="1"/>
    <col min="17" max="18" width="13.85546875" style="97" bestFit="1" customWidth="1"/>
    <col min="19" max="19" width="14.5703125" style="97" customWidth="1"/>
    <col min="20" max="20" width="11" style="97" customWidth="1"/>
    <col min="21" max="21" width="18" style="97" customWidth="1"/>
    <col min="22" max="22" width="16.140625" style="97" bestFit="1" customWidth="1"/>
    <col min="23" max="23" width="10.42578125" style="97" customWidth="1"/>
    <col min="24" max="24" width="14" style="97" bestFit="1" customWidth="1"/>
    <col min="25" max="25" width="9.140625" style="97"/>
    <col min="26" max="26" width="11.42578125" style="97" bestFit="1" customWidth="1"/>
    <col min="27" max="16384" width="9.140625" style="97"/>
  </cols>
  <sheetData>
    <row r="1" spans="1:26">
      <c r="A1" s="206" t="s">
        <v>1067</v>
      </c>
      <c r="B1" s="206"/>
      <c r="C1" s="206"/>
      <c r="D1" s="206"/>
      <c r="E1" s="206"/>
      <c r="F1" s="206"/>
      <c r="G1" s="206"/>
      <c r="H1" s="206"/>
      <c r="I1" s="206"/>
      <c r="J1" s="206"/>
      <c r="K1" s="206"/>
      <c r="L1" s="206"/>
      <c r="M1" s="206"/>
      <c r="N1" s="206"/>
    </row>
    <row r="2" spans="1:26" s="155" customFormat="1">
      <c r="A2" s="1360" t="s">
        <v>504</v>
      </c>
      <c r="B2" s="1360" t="s">
        <v>243</v>
      </c>
      <c r="C2" s="1363" t="s">
        <v>505</v>
      </c>
      <c r="D2" s="1364"/>
      <c r="E2" s="1363" t="s">
        <v>506</v>
      </c>
      <c r="F2" s="1367"/>
      <c r="G2" s="1369" t="s">
        <v>507</v>
      </c>
      <c r="H2" s="1370"/>
      <c r="I2" s="1370"/>
      <c r="J2" s="1370"/>
      <c r="K2" s="1370"/>
      <c r="L2" s="1380"/>
      <c r="M2" s="1369" t="s">
        <v>508</v>
      </c>
      <c r="N2" s="1370"/>
      <c r="O2" s="1370"/>
      <c r="P2" s="1370"/>
      <c r="Q2" s="1370"/>
      <c r="R2" s="1380"/>
      <c r="S2" s="1369" t="s">
        <v>509</v>
      </c>
      <c r="T2" s="1370"/>
      <c r="U2" s="1370"/>
      <c r="V2" s="1363" t="s">
        <v>510</v>
      </c>
      <c r="W2" s="1371"/>
    </row>
    <row r="3" spans="1:26" s="155" customFormat="1">
      <c r="A3" s="1362"/>
      <c r="B3" s="1362"/>
      <c r="C3" s="1365"/>
      <c r="D3" s="1366"/>
      <c r="E3" s="1365"/>
      <c r="F3" s="1368"/>
      <c r="G3" s="1374" t="s">
        <v>511</v>
      </c>
      <c r="H3" s="1374"/>
      <c r="I3" s="1374"/>
      <c r="J3" s="1374" t="s">
        <v>512</v>
      </c>
      <c r="K3" s="1374"/>
      <c r="L3" s="1374"/>
      <c r="M3" s="1374" t="s">
        <v>511</v>
      </c>
      <c r="N3" s="1374"/>
      <c r="O3" s="1374"/>
      <c r="P3" s="1374" t="s">
        <v>512</v>
      </c>
      <c r="Q3" s="1374"/>
      <c r="R3" s="1374"/>
      <c r="S3" s="1375" t="s">
        <v>513</v>
      </c>
      <c r="T3" s="1363" t="s">
        <v>269</v>
      </c>
      <c r="U3" s="1367"/>
      <c r="V3" s="1372"/>
      <c r="W3" s="1373"/>
    </row>
    <row r="4" spans="1:26" s="102" customFormat="1">
      <c r="A4" s="1362"/>
      <c r="B4" s="1362"/>
      <c r="C4" s="1357" t="s">
        <v>514</v>
      </c>
      <c r="D4" s="1360" t="s">
        <v>269</v>
      </c>
      <c r="E4" s="1357" t="s">
        <v>515</v>
      </c>
      <c r="F4" s="1360" t="s">
        <v>269</v>
      </c>
      <c r="G4" s="1357" t="s">
        <v>516</v>
      </c>
      <c r="H4" s="1358" t="s">
        <v>269</v>
      </c>
      <c r="I4" s="1359"/>
      <c r="J4" s="1357" t="s">
        <v>516</v>
      </c>
      <c r="K4" s="1358" t="s">
        <v>269</v>
      </c>
      <c r="L4" s="1359"/>
      <c r="M4" s="1357" t="s">
        <v>516</v>
      </c>
      <c r="N4" s="1358" t="s">
        <v>269</v>
      </c>
      <c r="O4" s="1359"/>
      <c r="P4" s="1357" t="s">
        <v>513</v>
      </c>
      <c r="Q4" s="1358" t="s">
        <v>269</v>
      </c>
      <c r="R4" s="1359"/>
      <c r="S4" s="1376"/>
      <c r="T4" s="1378"/>
      <c r="U4" s="1379"/>
      <c r="V4" s="1357" t="s">
        <v>517</v>
      </c>
      <c r="W4" s="1357" t="s">
        <v>523</v>
      </c>
    </row>
    <row r="5" spans="1:26" s="102" customFormat="1">
      <c r="A5" s="1361"/>
      <c r="B5" s="1361"/>
      <c r="C5" s="1357"/>
      <c r="D5" s="1361"/>
      <c r="E5" s="1357"/>
      <c r="F5" s="1361"/>
      <c r="G5" s="1357"/>
      <c r="H5" s="525" t="s">
        <v>518</v>
      </c>
      <c r="I5" s="525" t="s">
        <v>519</v>
      </c>
      <c r="J5" s="1357"/>
      <c r="K5" s="525" t="s">
        <v>518</v>
      </c>
      <c r="L5" s="525" t="s">
        <v>519</v>
      </c>
      <c r="M5" s="1357"/>
      <c r="N5" s="525" t="s">
        <v>518</v>
      </c>
      <c r="O5" s="525" t="s">
        <v>519</v>
      </c>
      <c r="P5" s="1357"/>
      <c r="Q5" s="525" t="s">
        <v>518</v>
      </c>
      <c r="R5" s="525" t="s">
        <v>519</v>
      </c>
      <c r="S5" s="1377"/>
      <c r="T5" s="525" t="s">
        <v>1066</v>
      </c>
      <c r="U5" s="525" t="s">
        <v>519</v>
      </c>
      <c r="V5" s="1374"/>
      <c r="W5" s="1357"/>
    </row>
    <row r="6" spans="1:26" s="102" customFormat="1">
      <c r="A6" s="191">
        <v>1</v>
      </c>
      <c r="B6" s="192">
        <v>2</v>
      </c>
      <c r="C6" s="904">
        <v>3</v>
      </c>
      <c r="D6" s="192">
        <v>4</v>
      </c>
      <c r="E6" s="192">
        <v>6</v>
      </c>
      <c r="F6" s="192">
        <v>8</v>
      </c>
      <c r="G6" s="904">
        <v>9</v>
      </c>
      <c r="H6" s="192">
        <v>10</v>
      </c>
      <c r="I6" s="904">
        <v>11</v>
      </c>
      <c r="J6" s="192">
        <v>12</v>
      </c>
      <c r="K6" s="904">
        <v>13</v>
      </c>
      <c r="L6" s="192">
        <v>14</v>
      </c>
      <c r="M6" s="904">
        <v>15</v>
      </c>
      <c r="N6" s="192">
        <v>16</v>
      </c>
      <c r="O6" s="904">
        <v>17</v>
      </c>
      <c r="P6" s="192">
        <v>18</v>
      </c>
      <c r="Q6" s="904">
        <v>19</v>
      </c>
      <c r="R6" s="192">
        <v>20</v>
      </c>
      <c r="S6" s="904">
        <v>21</v>
      </c>
      <c r="T6" s="904">
        <v>22</v>
      </c>
      <c r="U6" s="192">
        <v>23</v>
      </c>
      <c r="V6" s="192">
        <v>24</v>
      </c>
      <c r="W6" s="904">
        <v>25</v>
      </c>
    </row>
    <row r="7" spans="1:26" s="102" customFormat="1">
      <c r="A7" s="876" t="s">
        <v>520</v>
      </c>
      <c r="B7" s="201">
        <v>246</v>
      </c>
      <c r="C7" s="201">
        <v>85826189</v>
      </c>
      <c r="D7" s="201">
        <v>7417117.2654512748</v>
      </c>
      <c r="E7" s="201">
        <v>325399952</v>
      </c>
      <c r="F7" s="201">
        <v>25546966.490185678</v>
      </c>
      <c r="G7" s="201">
        <v>47921898390</v>
      </c>
      <c r="H7" s="201">
        <v>7126932.2513053035</v>
      </c>
      <c r="I7" s="201">
        <v>4061453032.6098547</v>
      </c>
      <c r="J7" s="201">
        <v>45730172862</v>
      </c>
      <c r="K7" s="201">
        <v>6692632.1376468912</v>
      </c>
      <c r="L7" s="201">
        <v>3806238245.1855206</v>
      </c>
      <c r="M7" s="201">
        <v>775801808</v>
      </c>
      <c r="N7" s="201">
        <v>1000523.2385264949</v>
      </c>
      <c r="O7" s="201">
        <v>64095047.148903705</v>
      </c>
      <c r="P7" s="201">
        <v>361845516</v>
      </c>
      <c r="Q7" s="201">
        <v>377506.70211367001</v>
      </c>
      <c r="R7" s="201">
        <v>28016743.730634663</v>
      </c>
      <c r="S7" s="201">
        <v>95200943894</v>
      </c>
      <c r="T7" s="201">
        <v>48161678.626625054</v>
      </c>
      <c r="U7" s="201">
        <v>7992767152.4305525</v>
      </c>
      <c r="V7" s="201">
        <v>15039231</v>
      </c>
      <c r="W7" s="201">
        <v>1304406.58</v>
      </c>
    </row>
    <row r="8" spans="1:26" s="102" customFormat="1">
      <c r="A8" s="879" t="s">
        <v>1165</v>
      </c>
      <c r="B8" s="895">
        <f t="shared" ref="B8:U8" si="0">SUM(B9:B12)</f>
        <v>83</v>
      </c>
      <c r="C8" s="895">
        <f t="shared" si="0"/>
        <v>48187301</v>
      </c>
      <c r="D8" s="895">
        <f t="shared" si="0"/>
        <v>3308164.9963580747</v>
      </c>
      <c r="E8" s="895">
        <f t="shared" si="0"/>
        <v>176525117</v>
      </c>
      <c r="F8" s="895">
        <f t="shared" si="0"/>
        <v>14117603.479543472</v>
      </c>
      <c r="G8" s="895">
        <f t="shared" si="0"/>
        <v>20956979541</v>
      </c>
      <c r="H8" s="895">
        <f t="shared" si="0"/>
        <v>2701000.6764765838</v>
      </c>
      <c r="I8" s="895">
        <f t="shared" si="0"/>
        <v>1558660127.4401646</v>
      </c>
      <c r="J8" s="895">
        <f t="shared" si="0"/>
        <v>19401031140</v>
      </c>
      <c r="K8" s="895">
        <f t="shared" si="0"/>
        <v>2466893.8251572121</v>
      </c>
      <c r="L8" s="895">
        <f t="shared" si="0"/>
        <v>1408036078.2818828</v>
      </c>
      <c r="M8" s="895">
        <f t="shared" si="0"/>
        <v>363887259</v>
      </c>
      <c r="N8" s="895">
        <f t="shared" si="0"/>
        <v>529819.49950251495</v>
      </c>
      <c r="O8" s="895">
        <f t="shared" si="0"/>
        <v>31010333.086502962</v>
      </c>
      <c r="P8" s="895">
        <f t="shared" si="0"/>
        <v>164973594</v>
      </c>
      <c r="Q8" s="895">
        <f t="shared" si="0"/>
        <v>201983.38560196001</v>
      </c>
      <c r="R8" s="895">
        <f t="shared" si="0"/>
        <v>13050037.774993405</v>
      </c>
      <c r="S8" s="895">
        <f t="shared" si="0"/>
        <v>41111583952</v>
      </c>
      <c r="T8" s="895">
        <f t="shared" si="0"/>
        <v>18668631.339997884</v>
      </c>
      <c r="U8" s="895">
        <f t="shared" si="0"/>
        <v>3028182345.0594454</v>
      </c>
      <c r="V8" s="895">
        <f>INDEX(V9:V12,COUNT(V9:V12))</f>
        <v>27757631</v>
      </c>
      <c r="W8" s="260">
        <f>INDEX(W9:W12,COUNT(W9:W12))</f>
        <v>1925117.71</v>
      </c>
    </row>
    <row r="9" spans="1:26" s="360" customFormat="1">
      <c r="A9" s="179">
        <v>45383</v>
      </c>
      <c r="B9" s="340">
        <v>20</v>
      </c>
      <c r="C9" s="340">
        <v>7887086</v>
      </c>
      <c r="D9" s="340">
        <v>693063.85423822491</v>
      </c>
      <c r="E9" s="340">
        <v>36869594</v>
      </c>
      <c r="F9" s="340">
        <v>3158915.0478069698</v>
      </c>
      <c r="G9" s="340">
        <v>4259527124</v>
      </c>
      <c r="H9" s="340">
        <v>573007.90278879297</v>
      </c>
      <c r="I9" s="340">
        <v>364371027.3625766</v>
      </c>
      <c r="J9" s="340">
        <v>4078207900</v>
      </c>
      <c r="K9" s="340">
        <v>511594.34244528605</v>
      </c>
      <c r="L9" s="340">
        <v>342866336.59797037</v>
      </c>
      <c r="M9" s="340">
        <v>76010605</v>
      </c>
      <c r="N9" s="340">
        <v>113516.09941545999</v>
      </c>
      <c r="O9" s="340">
        <v>6933926.9735477092</v>
      </c>
      <c r="P9" s="340">
        <v>35324034</v>
      </c>
      <c r="Q9" s="340">
        <v>42426.619812224999</v>
      </c>
      <c r="R9" s="340">
        <v>2987417.7592714746</v>
      </c>
      <c r="S9" s="340">
        <v>8493826343</v>
      </c>
      <c r="T9" s="340">
        <v>5092523.8665069584</v>
      </c>
      <c r="U9" s="340">
        <v>721010687.59541142</v>
      </c>
      <c r="V9" s="340">
        <v>25024548</v>
      </c>
      <c r="W9" s="340">
        <v>1610978.08</v>
      </c>
      <c r="X9" s="1174">
        <f>U9/B9</f>
        <v>36050534.37977057</v>
      </c>
      <c r="Y9" s="360">
        <f>'34'!X9</f>
        <v>8474931.752888795</v>
      </c>
      <c r="Z9" s="200">
        <f>X9+Y9</f>
        <v>44525466.132659361</v>
      </c>
    </row>
    <row r="10" spans="1:26" s="360" customFormat="1">
      <c r="A10" s="179">
        <v>45413</v>
      </c>
      <c r="B10" s="340">
        <v>22</v>
      </c>
      <c r="C10" s="340">
        <v>12867642</v>
      </c>
      <c r="D10" s="340">
        <v>806652.3009712249</v>
      </c>
      <c r="E10" s="340">
        <v>44730139</v>
      </c>
      <c r="F10" s="340">
        <v>3464429.8983681006</v>
      </c>
      <c r="G10" s="340">
        <v>5522370837</v>
      </c>
      <c r="H10" s="340">
        <v>638840.1536512709</v>
      </c>
      <c r="I10" s="340">
        <v>375294902.13408899</v>
      </c>
      <c r="J10" s="340">
        <v>5124124253</v>
      </c>
      <c r="K10" s="340">
        <v>645947.84201944189</v>
      </c>
      <c r="L10" s="340">
        <v>340061607.27425718</v>
      </c>
      <c r="M10" s="340">
        <v>92044531</v>
      </c>
      <c r="N10" s="340">
        <v>134430.54670222502</v>
      </c>
      <c r="O10" s="340">
        <v>7732031.6565477252</v>
      </c>
      <c r="P10" s="340">
        <v>42409057</v>
      </c>
      <c r="Q10" s="340">
        <v>52182.763487199984</v>
      </c>
      <c r="R10" s="340">
        <v>3302662.3989927</v>
      </c>
      <c r="S10" s="340">
        <v>10838546459</v>
      </c>
      <c r="T10" s="340">
        <v>5742483.5051994603</v>
      </c>
      <c r="U10" s="340">
        <v>730662285.66322601</v>
      </c>
      <c r="V10" s="340">
        <v>21048035</v>
      </c>
      <c r="W10" s="340">
        <v>1403628.44</v>
      </c>
      <c r="X10" s="1174">
        <f t="shared" ref="X10:X12" si="1">U10/B10</f>
        <v>33211922.075601183</v>
      </c>
      <c r="Y10" s="360">
        <f>'34'!X10</f>
        <v>9988281.5339267273</v>
      </c>
      <c r="Z10" s="200">
        <f t="shared" ref="Z10:Z12" si="2">X10+Y10</f>
        <v>43200203.609527908</v>
      </c>
    </row>
    <row r="11" spans="1:26" s="360" customFormat="1">
      <c r="A11" s="179">
        <v>45444</v>
      </c>
      <c r="B11" s="340">
        <v>19</v>
      </c>
      <c r="C11" s="340">
        <v>15202595</v>
      </c>
      <c r="D11" s="340">
        <v>983344.44168852491</v>
      </c>
      <c r="E11" s="340">
        <v>46464820</v>
      </c>
      <c r="F11" s="340">
        <v>3662528.4101865701</v>
      </c>
      <c r="G11" s="340">
        <v>5311283074</v>
      </c>
      <c r="H11" s="340">
        <v>803979.06250507606</v>
      </c>
      <c r="I11" s="340">
        <v>385233331.14759248</v>
      </c>
      <c r="J11" s="340">
        <v>4822496239</v>
      </c>
      <c r="K11" s="340">
        <v>682328.70573494199</v>
      </c>
      <c r="L11" s="340">
        <v>337381696.47595996</v>
      </c>
      <c r="M11" s="340">
        <v>94203160</v>
      </c>
      <c r="N11" s="340">
        <v>139043.34270071</v>
      </c>
      <c r="O11" s="340">
        <v>7978189.7083802111</v>
      </c>
      <c r="P11" s="340">
        <v>40640021</v>
      </c>
      <c r="Q11" s="340">
        <v>52326.558629250001</v>
      </c>
      <c r="R11" s="340">
        <v>3198611.3893715008</v>
      </c>
      <c r="S11" s="340">
        <v>10330289909</v>
      </c>
      <c r="T11" s="340">
        <v>6323550.5214450732</v>
      </c>
      <c r="U11" s="340">
        <v>738437701.57317924</v>
      </c>
      <c r="V11" s="340">
        <v>26690224</v>
      </c>
      <c r="W11" s="340">
        <v>1903259.69</v>
      </c>
      <c r="X11" s="1174">
        <f t="shared" si="1"/>
        <v>38865142.188062064</v>
      </c>
      <c r="Y11" s="360">
        <f>'34'!X11</f>
        <v>10861879.525293745</v>
      </c>
      <c r="Z11" s="200">
        <f t="shared" si="2"/>
        <v>49727021.713355809</v>
      </c>
    </row>
    <row r="12" spans="1:26" s="360" customFormat="1">
      <c r="A12" s="179">
        <v>45474</v>
      </c>
      <c r="B12" s="1028">
        <v>22</v>
      </c>
      <c r="C12" s="1028">
        <v>12229978</v>
      </c>
      <c r="D12" s="1028">
        <v>825104.39946009999</v>
      </c>
      <c r="E12" s="1028">
        <v>48460564</v>
      </c>
      <c r="F12" s="1028">
        <v>3831730.1231818311</v>
      </c>
      <c r="G12" s="1028">
        <v>5863798506</v>
      </c>
      <c r="H12" s="1028">
        <v>685173.55753144401</v>
      </c>
      <c r="I12" s="1028">
        <v>433760866.7959066</v>
      </c>
      <c r="J12" s="1028">
        <v>5376202748</v>
      </c>
      <c r="K12" s="1028">
        <v>627022.93495754199</v>
      </c>
      <c r="L12" s="1028">
        <v>387726437.93369538</v>
      </c>
      <c r="M12" s="1028">
        <v>101628963</v>
      </c>
      <c r="N12" s="1028">
        <v>142829.51068411997</v>
      </c>
      <c r="O12" s="1028">
        <v>8366184.7480273154</v>
      </c>
      <c r="P12" s="1028">
        <v>46600482</v>
      </c>
      <c r="Q12" s="1028">
        <v>55047.443673285001</v>
      </c>
      <c r="R12" s="1028">
        <v>3561346.2273577293</v>
      </c>
      <c r="S12" s="1028">
        <v>11448921241</v>
      </c>
      <c r="T12" s="1028">
        <v>1510073.4468463908</v>
      </c>
      <c r="U12" s="1028">
        <v>838071670.22762895</v>
      </c>
      <c r="V12" s="1028">
        <v>27757631</v>
      </c>
      <c r="W12" s="1028">
        <v>1925117.71</v>
      </c>
      <c r="X12" s="1174">
        <f t="shared" si="1"/>
        <v>38094166.828528591</v>
      </c>
      <c r="Y12" s="360">
        <f>'34'!X12</f>
        <v>11557358.029090909</v>
      </c>
      <c r="Z12" s="200">
        <f t="shared" si="2"/>
        <v>49651524.857619502</v>
      </c>
    </row>
    <row r="13" spans="1:26" s="360" customFormat="1">
      <c r="A13" s="516"/>
      <c r="B13" s="516"/>
      <c r="C13" s="516"/>
      <c r="D13" s="516"/>
      <c r="E13" s="516"/>
      <c r="F13" s="516"/>
      <c r="G13" s="404"/>
      <c r="H13" s="404"/>
      <c r="I13" s="404"/>
      <c r="J13" s="516"/>
      <c r="K13" s="516"/>
      <c r="L13" s="516"/>
      <c r="M13" s="404"/>
      <c r="N13" s="404"/>
      <c r="O13" s="404"/>
      <c r="T13" s="164"/>
    </row>
    <row r="14" spans="1:26" s="360" customFormat="1">
      <c r="A14" s="516" t="s">
        <v>524</v>
      </c>
      <c r="B14" s="516"/>
      <c r="C14" s="516"/>
      <c r="D14" s="516"/>
      <c r="E14" s="516"/>
      <c r="F14" s="516"/>
      <c r="G14" s="404"/>
      <c r="H14" s="404"/>
      <c r="I14" s="404"/>
      <c r="J14" s="516"/>
      <c r="K14" s="516"/>
      <c r="L14" s="516"/>
      <c r="M14" s="404"/>
      <c r="N14" s="404"/>
      <c r="O14" s="404"/>
      <c r="T14" s="164"/>
    </row>
    <row r="15" spans="1:26" s="360" customFormat="1">
      <c r="A15" s="516" t="s">
        <v>522</v>
      </c>
      <c r="B15" s="516"/>
      <c r="C15" s="516"/>
      <c r="D15" s="516"/>
      <c r="E15" s="516"/>
      <c r="F15" s="516"/>
      <c r="G15" s="516"/>
      <c r="H15" s="516"/>
      <c r="I15" s="516"/>
      <c r="J15" s="516"/>
      <c r="K15" s="516"/>
      <c r="L15" s="516"/>
      <c r="M15" s="516"/>
      <c r="N15" s="516"/>
      <c r="T15" s="164"/>
    </row>
    <row r="16" spans="1:26">
      <c r="A16" s="516" t="s">
        <v>1070</v>
      </c>
      <c r="B16" s="516"/>
      <c r="C16" s="516"/>
      <c r="D16" s="516"/>
      <c r="E16" s="516"/>
      <c r="F16" s="516"/>
      <c r="G16" s="516"/>
      <c r="H16" s="516"/>
      <c r="I16" s="516"/>
      <c r="J16" s="516"/>
      <c r="K16" s="360"/>
      <c r="L16" s="360"/>
      <c r="M16" s="360"/>
      <c r="N16" s="360"/>
      <c r="O16" s="360"/>
      <c r="P16" s="360"/>
      <c r="Q16" s="360"/>
      <c r="R16" s="360"/>
      <c r="S16" s="360"/>
      <c r="T16" s="200"/>
      <c r="U16" s="200"/>
      <c r="V16" s="360"/>
      <c r="W16" s="360"/>
    </row>
    <row r="17" spans="1:34">
      <c r="A17" s="484" t="s">
        <v>1299</v>
      </c>
      <c r="B17" s="1021"/>
      <c r="C17" s="1021"/>
      <c r="D17" s="1021"/>
      <c r="E17" s="1021"/>
      <c r="F17" s="1021"/>
      <c r="G17" s="1021"/>
      <c r="H17" s="1021"/>
      <c r="I17" s="1021"/>
      <c r="J17" s="1021"/>
      <c r="K17" s="360"/>
      <c r="L17" s="360"/>
      <c r="M17" s="360"/>
      <c r="N17" s="360"/>
      <c r="O17" s="360"/>
      <c r="P17" s="360"/>
      <c r="Q17" s="360"/>
      <c r="R17" s="360"/>
      <c r="S17" s="360"/>
      <c r="T17" s="200"/>
      <c r="U17" s="200"/>
      <c r="V17" s="360"/>
      <c r="W17" s="360"/>
    </row>
    <row r="18" spans="1:34">
      <c r="A18" s="1283" t="s">
        <v>310</v>
      </c>
      <c r="B18" s="1283"/>
      <c r="C18" s="1283"/>
      <c r="D18" s="1283"/>
      <c r="E18" s="1283"/>
      <c r="F18" s="1283"/>
      <c r="G18" s="1283"/>
      <c r="H18" s="1283"/>
      <c r="I18" s="1283"/>
      <c r="J18" s="1283"/>
      <c r="K18" s="1283"/>
      <c r="L18" s="1283"/>
      <c r="M18" s="1283"/>
      <c r="N18" s="1283"/>
      <c r="O18" s="1283"/>
      <c r="P18" s="1283"/>
      <c r="Q18" s="1283"/>
      <c r="R18" s="1283"/>
      <c r="S18" s="360"/>
      <c r="T18" s="360"/>
      <c r="U18" s="360"/>
      <c r="V18" s="360"/>
      <c r="W18" s="360"/>
      <c r="X18" s="360"/>
      <c r="Y18" s="360"/>
      <c r="Z18" s="360"/>
      <c r="AA18" s="360"/>
      <c r="AB18" s="360"/>
      <c r="AC18" s="360"/>
      <c r="AD18" s="360"/>
      <c r="AE18" s="360"/>
      <c r="AF18" s="360"/>
      <c r="AG18" s="360"/>
      <c r="AH18" s="360"/>
    </row>
    <row r="19" spans="1:34">
      <c r="A19" s="484"/>
      <c r="Q19" s="120"/>
      <c r="S19" s="360"/>
      <c r="T19" s="360"/>
      <c r="U19" s="360"/>
      <c r="V19" s="360"/>
      <c r="W19" s="360"/>
      <c r="X19" s="360"/>
      <c r="Y19" s="360"/>
      <c r="Z19" s="360"/>
      <c r="AA19" s="360"/>
      <c r="AB19" s="360"/>
      <c r="AC19" s="360"/>
      <c r="AD19" s="360"/>
      <c r="AE19" s="360"/>
      <c r="AF19" s="360"/>
      <c r="AG19" s="360"/>
      <c r="AH19" s="360"/>
    </row>
    <row r="20" spans="1:34">
      <c r="Q20" s="120"/>
      <c r="T20" s="120"/>
      <c r="U20" s="157"/>
    </row>
    <row r="21" spans="1:34">
      <c r="Q21" s="120"/>
      <c r="U21" s="157"/>
    </row>
    <row r="22" spans="1:34">
      <c r="Q22" s="120"/>
      <c r="U22" s="157"/>
    </row>
    <row r="23" spans="1:34">
      <c r="Q23" s="120"/>
      <c r="U23" s="157"/>
    </row>
    <row r="24" spans="1:34">
      <c r="Q24" s="120"/>
      <c r="U24" s="157"/>
    </row>
    <row r="25" spans="1:34">
      <c r="Q25" s="120"/>
      <c r="U25" s="157"/>
    </row>
    <row r="26" spans="1:34">
      <c r="Q26" s="120"/>
    </row>
    <row r="27" spans="1:34">
      <c r="Q27" s="120"/>
    </row>
  </sheetData>
  <mergeCells count="29">
    <mergeCell ref="S2:U2"/>
    <mergeCell ref="V2:W3"/>
    <mergeCell ref="G3:I3"/>
    <mergeCell ref="J3:L3"/>
    <mergeCell ref="M3:O3"/>
    <mergeCell ref="P3:R3"/>
    <mergeCell ref="S3:S5"/>
    <mergeCell ref="T3:U4"/>
    <mergeCell ref="G4:G5"/>
    <mergeCell ref="H4:I4"/>
    <mergeCell ref="G2:L2"/>
    <mergeCell ref="M2:R2"/>
    <mergeCell ref="V4:V5"/>
    <mergeCell ref="W4:W5"/>
    <mergeCell ref="A18:R18"/>
    <mergeCell ref="J4:J5"/>
    <mergeCell ref="K4:L4"/>
    <mergeCell ref="M4:M5"/>
    <mergeCell ref="N4:O4"/>
    <mergeCell ref="P4:P5"/>
    <mergeCell ref="Q4:R4"/>
    <mergeCell ref="A2:A5"/>
    <mergeCell ref="B2:B5"/>
    <mergeCell ref="C2:D3"/>
    <mergeCell ref="E2:F3"/>
    <mergeCell ref="C4:C5"/>
    <mergeCell ref="D4:D5"/>
    <mergeCell ref="E4:E5"/>
    <mergeCell ref="F4:F5"/>
  </mergeCells>
  <printOptions horizontalCentered="1"/>
  <pageMargins left="0.78431372549019618" right="0.78431372549019618" top="0.98039215686274517" bottom="0.98039215686274517" header="0.50980392156862753" footer="0.50980392156862753"/>
  <pageSetup paperSize="9" scale="77" orientation="landscape" useFirstPageNumber="1" r:id="rId1"/>
  <headerFooter alignWithMargins="0"/>
  <colBreaks count="1" manualBreakCount="1">
    <brk id="12" max="2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workbookViewId="0"/>
  </sheetViews>
  <sheetFormatPr defaultColWidth="9.140625" defaultRowHeight="15"/>
  <cols>
    <col min="1" max="1" width="13.42578125" style="97" bestFit="1" customWidth="1"/>
    <col min="2" max="3" width="10.5703125" style="97" bestFit="1" customWidth="1"/>
    <col min="4" max="4" width="10.5703125" style="97" customWidth="1"/>
    <col min="5" max="7" width="10.5703125" style="97" bestFit="1" customWidth="1"/>
    <col min="8" max="8" width="11.42578125" style="97" bestFit="1" customWidth="1"/>
    <col min="9" max="13" width="10.5703125" style="97" bestFit="1" customWidth="1"/>
    <col min="14" max="14" width="10.85546875" style="97" bestFit="1" customWidth="1"/>
    <col min="15" max="15" width="9.140625" style="97" customWidth="1"/>
    <col min="16" max="16384" width="9.140625" style="97"/>
  </cols>
  <sheetData>
    <row r="1" spans="1:15" ht="17.25" customHeight="1">
      <c r="A1" s="206" t="s">
        <v>525</v>
      </c>
      <c r="B1" s="206"/>
      <c r="C1" s="206"/>
      <c r="D1" s="206"/>
      <c r="E1" s="206"/>
      <c r="F1" s="206"/>
      <c r="G1" s="206"/>
      <c r="H1" s="206"/>
      <c r="I1" s="206"/>
      <c r="J1" s="206"/>
      <c r="K1" s="206"/>
      <c r="L1" s="206"/>
      <c r="M1" s="206"/>
      <c r="N1" s="206"/>
    </row>
    <row r="2" spans="1:15" s="360" customFormat="1" ht="17.25" customHeight="1">
      <c r="A2" s="1383" t="s">
        <v>526</v>
      </c>
      <c r="B2" s="1385" t="s">
        <v>69</v>
      </c>
      <c r="C2" s="1386"/>
      <c r="D2" s="1386"/>
      <c r="E2" s="1386"/>
      <c r="F2" s="1386"/>
      <c r="G2" s="1386"/>
      <c r="H2" s="1387"/>
      <c r="I2" s="1385" t="s">
        <v>70</v>
      </c>
      <c r="J2" s="1386"/>
      <c r="K2" s="1386"/>
      <c r="L2" s="1386"/>
      <c r="M2" s="1386"/>
      <c r="N2" s="1387"/>
    </row>
    <row r="3" spans="1:15" s="360" customFormat="1" ht="27" customHeight="1">
      <c r="A3" s="1384"/>
      <c r="B3" s="1388" t="s">
        <v>527</v>
      </c>
      <c r="C3" s="1389"/>
      <c r="D3" s="1390"/>
      <c r="E3" s="1388" t="s">
        <v>528</v>
      </c>
      <c r="F3" s="1391"/>
      <c r="G3" s="1392" t="s">
        <v>92</v>
      </c>
      <c r="H3" s="1381" t="s">
        <v>529</v>
      </c>
      <c r="I3" s="1388" t="s">
        <v>527</v>
      </c>
      <c r="J3" s="1391"/>
      <c r="K3" s="1388" t="s">
        <v>528</v>
      </c>
      <c r="L3" s="1391"/>
      <c r="M3" s="1392" t="s">
        <v>92</v>
      </c>
      <c r="N3" s="1381" t="s">
        <v>529</v>
      </c>
    </row>
    <row r="4" spans="1:15" s="360" customFormat="1" ht="40.5" customHeight="1">
      <c r="A4" s="1312"/>
      <c r="B4" s="907" t="s">
        <v>530</v>
      </c>
      <c r="C4" s="907" t="s">
        <v>531</v>
      </c>
      <c r="D4" s="907" t="s">
        <v>532</v>
      </c>
      <c r="E4" s="907" t="s">
        <v>533</v>
      </c>
      <c r="F4" s="907" t="s">
        <v>534</v>
      </c>
      <c r="G4" s="1325"/>
      <c r="H4" s="1382"/>
      <c r="I4" s="907" t="s">
        <v>530</v>
      </c>
      <c r="J4" s="907" t="s">
        <v>531</v>
      </c>
      <c r="K4" s="907" t="s">
        <v>533</v>
      </c>
      <c r="L4" s="907" t="s">
        <v>534</v>
      </c>
      <c r="M4" s="1325"/>
      <c r="N4" s="1382"/>
    </row>
    <row r="5" spans="1:15" s="102" customFormat="1" ht="18" customHeight="1">
      <c r="A5" s="876" t="s">
        <v>520</v>
      </c>
      <c r="B5" s="893">
        <v>6005.4689470599969</v>
      </c>
      <c r="C5" s="893">
        <v>164.23793094499999</v>
      </c>
      <c r="D5" s="893" t="s">
        <v>234</v>
      </c>
      <c r="E5" s="893">
        <v>3919.1981626499987</v>
      </c>
      <c r="F5" s="893">
        <v>819.87672012999997</v>
      </c>
      <c r="G5" s="893">
        <v>10908.781760784997</v>
      </c>
      <c r="H5" s="893">
        <v>100.92</v>
      </c>
      <c r="I5" s="889">
        <v>239700.49895134001</v>
      </c>
      <c r="J5" s="893">
        <v>3940.7345781600002</v>
      </c>
      <c r="K5" s="893">
        <v>112155.91993335501</v>
      </c>
      <c r="L5" s="893">
        <v>24024.773700040001</v>
      </c>
      <c r="M5" s="889">
        <v>379821.92716289504</v>
      </c>
      <c r="N5" s="893">
        <v>4264.49</v>
      </c>
    </row>
    <row r="6" spans="1:15" s="102" customFormat="1" ht="18" customHeight="1">
      <c r="A6" s="879" t="s">
        <v>1165</v>
      </c>
      <c r="B6" s="895">
        <f>SUM(B7:B10)</f>
        <v>3012.756737345997</v>
      </c>
      <c r="C6" s="895">
        <f>SUM(C7:C10)</f>
        <v>40.778380690999995</v>
      </c>
      <c r="D6" s="350" t="s">
        <v>234</v>
      </c>
      <c r="E6" s="895">
        <f>SUM(E7:E10)</f>
        <v>1943.7134201749991</v>
      </c>
      <c r="F6" s="895">
        <f>SUM(F7:F10)</f>
        <v>877.34051325000007</v>
      </c>
      <c r="G6" s="895">
        <f>SUM(G7:G10)</f>
        <v>5874.5890514619987</v>
      </c>
      <c r="H6" s="895">
        <f>INDEX(H7:H10,COUNT(H7:H10))</f>
        <v>107.15</v>
      </c>
      <c r="I6" s="895">
        <v>121066.22565557499</v>
      </c>
      <c r="J6" s="895">
        <v>1647.0342684680002</v>
      </c>
      <c r="K6" s="895">
        <v>40221.467454650003</v>
      </c>
      <c r="L6" s="895">
        <v>12544.360041155</v>
      </c>
      <c r="M6" s="895">
        <v>175479.08741984802</v>
      </c>
      <c r="N6" s="895">
        <v>7759.44</v>
      </c>
    </row>
    <row r="7" spans="1:15" s="360" customFormat="1" ht="18" customHeight="1">
      <c r="A7" s="179">
        <v>45383</v>
      </c>
      <c r="B7" s="358">
        <v>1065.200784115</v>
      </c>
      <c r="C7" s="358">
        <v>6.8701903949999998</v>
      </c>
      <c r="D7" s="350">
        <v>0</v>
      </c>
      <c r="E7" s="358">
        <v>402.05085907</v>
      </c>
      <c r="F7" s="358">
        <v>204.05946348500001</v>
      </c>
      <c r="G7" s="358">
        <v>1678.1812970650001</v>
      </c>
      <c r="H7" s="358">
        <v>102.32</v>
      </c>
      <c r="I7" s="350">
        <v>24836.53903222</v>
      </c>
      <c r="J7" s="350">
        <v>435.98307411500002</v>
      </c>
      <c r="K7" s="350">
        <v>11915.182982415001</v>
      </c>
      <c r="L7" s="350">
        <v>3958.24647258</v>
      </c>
      <c r="M7" s="350">
        <v>41145.951561330003</v>
      </c>
      <c r="N7" s="350">
        <v>4293.95</v>
      </c>
      <c r="O7" s="102"/>
    </row>
    <row r="8" spans="1:15" s="360" customFormat="1" ht="18" customHeight="1">
      <c r="A8" s="179">
        <v>45413</v>
      </c>
      <c r="B8" s="358">
        <v>391.62876141499999</v>
      </c>
      <c r="C8" s="358">
        <v>7.5643721099999901</v>
      </c>
      <c r="D8" s="350">
        <v>0</v>
      </c>
      <c r="E8" s="358">
        <v>287.96325990999998</v>
      </c>
      <c r="F8" s="358">
        <v>192.80091651500001</v>
      </c>
      <c r="G8" s="358">
        <v>879.95730994999997</v>
      </c>
      <c r="H8" s="358">
        <v>104.35</v>
      </c>
      <c r="I8" s="358">
        <v>37390.639999999999</v>
      </c>
      <c r="J8" s="358">
        <v>862.45</v>
      </c>
      <c r="K8" s="358">
        <v>14393.78</v>
      </c>
      <c r="L8" s="358">
        <v>3302.45</v>
      </c>
      <c r="M8" s="358">
        <v>55949.32</v>
      </c>
      <c r="N8" s="358">
        <v>4379.67</v>
      </c>
      <c r="O8" s="102"/>
    </row>
    <row r="9" spans="1:15" s="360" customFormat="1" ht="18" customHeight="1">
      <c r="A9" s="179">
        <v>45444</v>
      </c>
      <c r="B9" s="358">
        <v>1113.9646488149999</v>
      </c>
      <c r="C9" s="358">
        <v>9.5482689359999906</v>
      </c>
      <c r="D9" s="350">
        <v>0</v>
      </c>
      <c r="E9" s="358">
        <v>882.946808699999</v>
      </c>
      <c r="F9" s="358">
        <v>296.06176183999997</v>
      </c>
      <c r="G9" s="358">
        <v>2302.521488291</v>
      </c>
      <c r="H9" s="358">
        <v>105.62</v>
      </c>
      <c r="I9" s="358">
        <v>58839.046623355003</v>
      </c>
      <c r="J9" s="358">
        <v>348.60119435299998</v>
      </c>
      <c r="K9" s="358">
        <v>13912.504472234999</v>
      </c>
      <c r="L9" s="358">
        <v>5283.6635685749998</v>
      </c>
      <c r="M9" s="358">
        <v>78383.815858518006</v>
      </c>
      <c r="N9" s="358">
        <v>7759.44</v>
      </c>
      <c r="O9" s="102"/>
    </row>
    <row r="10" spans="1:15" s="360" customFormat="1" ht="18" customHeight="1">
      <c r="A10" s="179">
        <v>45474</v>
      </c>
      <c r="B10" s="358">
        <v>441.96254300099758</v>
      </c>
      <c r="C10" s="358">
        <v>16.795549250000011</v>
      </c>
      <c r="D10" s="358">
        <v>0</v>
      </c>
      <c r="E10" s="358">
        <v>370.75249249500018</v>
      </c>
      <c r="F10" s="358">
        <v>184.41837141000005</v>
      </c>
      <c r="G10" s="358">
        <v>1013.9289561559981</v>
      </c>
      <c r="H10" s="358">
        <v>107.15</v>
      </c>
      <c r="I10" s="358">
        <v>34038.46</v>
      </c>
      <c r="J10" s="358">
        <v>270.26</v>
      </c>
      <c r="K10" s="358">
        <v>12522.08</v>
      </c>
      <c r="L10" s="358">
        <v>3257.71</v>
      </c>
      <c r="M10" s="358">
        <v>50088.51</v>
      </c>
      <c r="N10" s="358">
        <v>7872.74</v>
      </c>
    </row>
    <row r="11" spans="1:15" s="360" customFormat="1">
      <c r="A11" s="386"/>
      <c r="B11" s="362"/>
      <c r="C11" s="362"/>
      <c r="D11" s="394"/>
      <c r="E11" s="362"/>
      <c r="F11" s="362"/>
      <c r="G11" s="362"/>
      <c r="H11" s="362"/>
      <c r="I11" s="362"/>
      <c r="J11" s="362"/>
      <c r="K11" s="362"/>
      <c r="L11" s="362"/>
      <c r="M11" s="362"/>
      <c r="N11" s="362"/>
    </row>
    <row r="12" spans="1:15" s="360" customFormat="1">
      <c r="A12" s="978" t="s">
        <v>1297</v>
      </c>
      <c r="B12" s="362"/>
      <c r="C12" s="362"/>
      <c r="D12" s="394"/>
      <c r="E12" s="362"/>
      <c r="F12" s="362"/>
      <c r="G12" s="362"/>
      <c r="H12" s="362"/>
      <c r="I12" s="362"/>
      <c r="J12" s="362"/>
      <c r="K12" s="362"/>
      <c r="L12" s="362"/>
      <c r="M12" s="362"/>
      <c r="N12" s="362"/>
    </row>
    <row r="13" spans="1:15" s="360" customFormat="1">
      <c r="A13" s="1283" t="s">
        <v>171</v>
      </c>
      <c r="B13" s="1283"/>
      <c r="C13" s="1283"/>
      <c r="D13" s="1283"/>
      <c r="E13" s="1283"/>
    </row>
    <row r="14" spans="1:15" s="360" customFormat="1">
      <c r="A14" s="97" t="s">
        <v>1299</v>
      </c>
      <c r="B14" s="110"/>
      <c r="C14" s="110"/>
      <c r="D14" s="110"/>
      <c r="E14" s="110"/>
    </row>
    <row r="15" spans="1:15">
      <c r="F15" s="110"/>
      <c r="G15" s="110"/>
      <c r="H15" s="110"/>
      <c r="I15" s="110"/>
      <c r="J15" s="110"/>
      <c r="K15" s="110"/>
      <c r="L15" s="110"/>
      <c r="M15" s="110"/>
    </row>
  </sheetData>
  <mergeCells count="12">
    <mergeCell ref="N3:N4"/>
    <mergeCell ref="A13:E13"/>
    <mergeCell ref="A2:A4"/>
    <mergeCell ref="B2:H2"/>
    <mergeCell ref="I2:N2"/>
    <mergeCell ref="B3:D3"/>
    <mergeCell ref="E3:F3"/>
    <mergeCell ref="G3:G4"/>
    <mergeCell ref="H3:H4"/>
    <mergeCell ref="I3:J3"/>
    <mergeCell ref="K3:L3"/>
    <mergeCell ref="M3:M4"/>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workbookViewId="0"/>
  </sheetViews>
  <sheetFormatPr defaultColWidth="9.140625" defaultRowHeight="15"/>
  <cols>
    <col min="1" max="11" width="14.5703125" style="97" bestFit="1" customWidth="1"/>
    <col min="12" max="12" width="4.5703125" style="97" bestFit="1" customWidth="1"/>
    <col min="13" max="16384" width="9.140625" style="97"/>
  </cols>
  <sheetData>
    <row r="1" spans="1:11">
      <c r="A1" s="206" t="s">
        <v>29</v>
      </c>
      <c r="B1" s="206"/>
      <c r="C1" s="206"/>
      <c r="D1" s="206"/>
      <c r="E1" s="206"/>
      <c r="F1" s="206"/>
      <c r="G1" s="206"/>
      <c r="H1" s="206"/>
      <c r="I1" s="206"/>
      <c r="J1" s="206"/>
      <c r="K1" s="206"/>
    </row>
    <row r="2" spans="1:11" s="360" customFormat="1">
      <c r="A2" s="1392" t="s">
        <v>168</v>
      </c>
      <c r="B2" s="1385" t="s">
        <v>304</v>
      </c>
      <c r="C2" s="1386"/>
      <c r="D2" s="1386"/>
      <c r="E2" s="1386"/>
      <c r="F2" s="1387"/>
      <c r="G2" s="1385" t="s">
        <v>535</v>
      </c>
      <c r="H2" s="1386"/>
      <c r="I2" s="1386"/>
      <c r="J2" s="1386"/>
      <c r="K2" s="1387"/>
    </row>
    <row r="3" spans="1:11" s="360" customFormat="1">
      <c r="A3" s="1325"/>
      <c r="B3" s="908" t="s">
        <v>536</v>
      </c>
      <c r="C3" s="908" t="s">
        <v>306</v>
      </c>
      <c r="D3" s="908" t="s">
        <v>76</v>
      </c>
      <c r="E3" s="908" t="s">
        <v>307</v>
      </c>
      <c r="F3" s="908" t="s">
        <v>302</v>
      </c>
      <c r="G3" s="908" t="s">
        <v>536</v>
      </c>
      <c r="H3" s="908" t="s">
        <v>306</v>
      </c>
      <c r="I3" s="908" t="s">
        <v>76</v>
      </c>
      <c r="J3" s="908" t="s">
        <v>307</v>
      </c>
      <c r="K3" s="908" t="s">
        <v>302</v>
      </c>
    </row>
    <row r="4" spans="1:11" s="360" customFormat="1">
      <c r="A4" s="876" t="s">
        <v>520</v>
      </c>
      <c r="B4" s="922">
        <v>68.718276651998536</v>
      </c>
      <c r="C4" s="922">
        <v>1.8481793310764119</v>
      </c>
      <c r="D4" s="922">
        <v>0</v>
      </c>
      <c r="E4" s="922">
        <v>0</v>
      </c>
      <c r="F4" s="922">
        <v>29.433544016925051</v>
      </c>
      <c r="G4" s="922">
        <v>18.311075544613018</v>
      </c>
      <c r="H4" s="922">
        <v>0</v>
      </c>
      <c r="I4" s="922">
        <v>0</v>
      </c>
      <c r="J4" s="922">
        <v>0</v>
      </c>
      <c r="K4" s="922">
        <v>81.688924455386967</v>
      </c>
    </row>
    <row r="5" spans="1:11" s="360" customFormat="1">
      <c r="A5" s="879" t="s">
        <v>1165</v>
      </c>
      <c r="B5" s="924">
        <v>70.637457476006048</v>
      </c>
      <c r="C5" s="924">
        <v>1.2487350105402084</v>
      </c>
      <c r="D5" s="924">
        <v>0</v>
      </c>
      <c r="E5" s="924">
        <v>0</v>
      </c>
      <c r="F5" s="924">
        <v>28.113807513453754</v>
      </c>
      <c r="G5" s="1133">
        <f>INDEX(G6:G9,COUNT(G6:G9))</f>
        <v>33.457483855485556</v>
      </c>
      <c r="H5" s="1133">
        <f>INDEX(H6:H9,COUNT(H6:H9))</f>
        <v>0</v>
      </c>
      <c r="I5" s="1133">
        <f>INDEX(I6:I9,COUNT(I6:I9))</f>
        <v>0</v>
      </c>
      <c r="J5" s="1133">
        <f>INDEX(J6:J9,COUNT(J6:J9))</f>
        <v>0</v>
      </c>
      <c r="K5" s="1133">
        <f>INDEX(K6:K9,COUNT(K6:K9))</f>
        <v>66.542516144514423</v>
      </c>
    </row>
    <row r="6" spans="1:11" s="360" customFormat="1">
      <c r="A6" s="179">
        <v>45383</v>
      </c>
      <c r="B6" s="345">
        <v>70.756085780896157</v>
      </c>
      <c r="C6" s="345">
        <v>1.3804805299891896</v>
      </c>
      <c r="D6" s="345">
        <v>0</v>
      </c>
      <c r="E6" s="345">
        <v>0</v>
      </c>
      <c r="F6" s="345">
        <v>27.863433689114665</v>
      </c>
      <c r="G6" s="345">
        <v>33.470142878797262</v>
      </c>
      <c r="H6" s="345">
        <v>4.4074680334304752E-4</v>
      </c>
      <c r="I6" s="345">
        <v>0</v>
      </c>
      <c r="J6" s="345">
        <v>0</v>
      </c>
      <c r="K6" s="345">
        <v>66.529416374399403</v>
      </c>
    </row>
    <row r="7" spans="1:11" s="360" customFormat="1">
      <c r="A7" s="179">
        <v>45413</v>
      </c>
      <c r="B7" s="345">
        <v>70.010853452079729</v>
      </c>
      <c r="C7" s="345">
        <v>1.1681408247739702</v>
      </c>
      <c r="D7" s="345">
        <v>0</v>
      </c>
      <c r="E7" s="345">
        <v>0</v>
      </c>
      <c r="F7" s="345">
        <v>28.821005723146303</v>
      </c>
      <c r="G7" s="345">
        <v>38.257287909554464</v>
      </c>
      <c r="H7" s="345">
        <v>0</v>
      </c>
      <c r="I7" s="345">
        <v>0</v>
      </c>
      <c r="J7" s="345">
        <v>0</v>
      </c>
      <c r="K7" s="345">
        <v>61.742712090445529</v>
      </c>
    </row>
    <row r="8" spans="1:11" s="360" customFormat="1">
      <c r="A8" s="179">
        <v>45444</v>
      </c>
      <c r="B8" s="345">
        <v>71.207214481377918</v>
      </c>
      <c r="C8" s="345">
        <v>1.2263450572063219</v>
      </c>
      <c r="D8" s="345">
        <v>0</v>
      </c>
      <c r="E8" s="345">
        <v>0</v>
      </c>
      <c r="F8" s="345">
        <v>27.566440461415748</v>
      </c>
      <c r="G8" s="345">
        <v>29.797654062502943</v>
      </c>
      <c r="H8" s="345">
        <v>5.3192725534023828E-2</v>
      </c>
      <c r="I8" s="345">
        <v>0</v>
      </c>
      <c r="J8" s="345">
        <v>0</v>
      </c>
      <c r="K8" s="345">
        <v>70.149153211963039</v>
      </c>
    </row>
    <row r="9" spans="1:11" s="360" customFormat="1">
      <c r="A9" s="179">
        <v>45474</v>
      </c>
      <c r="B9" s="345">
        <v>72.424865564994718</v>
      </c>
      <c r="C9" s="345">
        <v>1.1803424338053543</v>
      </c>
      <c r="D9" s="345">
        <v>0</v>
      </c>
      <c r="E9" s="345">
        <v>0</v>
      </c>
      <c r="F9" s="345">
        <v>26.394792001199935</v>
      </c>
      <c r="G9" s="345">
        <v>33.457483855485556</v>
      </c>
      <c r="H9" s="345">
        <v>0</v>
      </c>
      <c r="I9" s="345">
        <v>0</v>
      </c>
      <c r="J9" s="345">
        <v>0</v>
      </c>
      <c r="K9" s="345">
        <v>66.542516144514423</v>
      </c>
    </row>
    <row r="10" spans="1:11" s="360" customFormat="1">
      <c r="A10" s="136"/>
      <c r="B10" s="202"/>
      <c r="C10" s="202"/>
      <c r="D10" s="202"/>
      <c r="E10" s="202"/>
      <c r="F10" s="202"/>
      <c r="G10" s="202"/>
      <c r="H10" s="202"/>
      <c r="I10" s="202"/>
      <c r="J10" s="202"/>
      <c r="K10" s="202"/>
    </row>
    <row r="11" spans="1:11" s="360" customFormat="1">
      <c r="A11" s="1283" t="s">
        <v>308</v>
      </c>
      <c r="B11" s="1283"/>
      <c r="C11" s="1283"/>
      <c r="D11" s="1283"/>
      <c r="E11" s="1283"/>
      <c r="F11" s="1283"/>
      <c r="G11" s="1283"/>
      <c r="H11" s="1283"/>
      <c r="I11" s="1283"/>
      <c r="J11" s="1283"/>
      <c r="K11" s="1283"/>
    </row>
    <row r="12" spans="1:11" s="360" customFormat="1">
      <c r="A12" s="484" t="s">
        <v>1299</v>
      </c>
    </row>
    <row r="13" spans="1:11" s="360" customFormat="1">
      <c r="A13" s="97"/>
      <c r="B13" s="97"/>
      <c r="C13" s="97"/>
      <c r="D13" s="97"/>
      <c r="E13" s="97"/>
      <c r="F13" s="97"/>
      <c r="G13" s="97"/>
      <c r="H13" s="97"/>
      <c r="I13" s="97"/>
      <c r="J13" s="97"/>
      <c r="K13" s="97"/>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workbookViewId="0"/>
  </sheetViews>
  <sheetFormatPr defaultColWidth="9.140625" defaultRowHeight="15"/>
  <cols>
    <col min="1" max="11" width="14.5703125" style="97" bestFit="1" customWidth="1"/>
    <col min="12" max="12" width="5" style="97" bestFit="1" customWidth="1"/>
    <col min="13" max="16384" width="9.140625" style="97"/>
  </cols>
  <sheetData>
    <row r="1" spans="1:11">
      <c r="A1" s="206" t="s">
        <v>30</v>
      </c>
      <c r="B1" s="206"/>
      <c r="C1" s="206"/>
      <c r="D1" s="206"/>
      <c r="E1" s="206"/>
      <c r="F1" s="206"/>
      <c r="G1" s="206"/>
      <c r="H1" s="206"/>
      <c r="I1" s="206"/>
      <c r="J1" s="206"/>
      <c r="K1" s="206"/>
    </row>
    <row r="2" spans="1:11" s="360" customFormat="1">
      <c r="A2" s="1392" t="s">
        <v>168</v>
      </c>
      <c r="B2" s="1393" t="s">
        <v>304</v>
      </c>
      <c r="C2" s="1394"/>
      <c r="D2" s="1394"/>
      <c r="E2" s="1394"/>
      <c r="F2" s="1395"/>
      <c r="G2" s="1393" t="s">
        <v>535</v>
      </c>
      <c r="H2" s="1394"/>
      <c r="I2" s="1394"/>
      <c r="J2" s="1394"/>
      <c r="K2" s="1395"/>
    </row>
    <row r="3" spans="1:11" s="360" customFormat="1">
      <c r="A3" s="1325"/>
      <c r="B3" s="909" t="s">
        <v>536</v>
      </c>
      <c r="C3" s="909" t="s">
        <v>306</v>
      </c>
      <c r="D3" s="909" t="s">
        <v>76</v>
      </c>
      <c r="E3" s="909" t="s">
        <v>307</v>
      </c>
      <c r="F3" s="909" t="s">
        <v>302</v>
      </c>
      <c r="G3" s="909" t="s">
        <v>536</v>
      </c>
      <c r="H3" s="909" t="s">
        <v>306</v>
      </c>
      <c r="I3" s="909" t="s">
        <v>76</v>
      </c>
      <c r="J3" s="909" t="s">
        <v>307</v>
      </c>
      <c r="K3" s="909" t="s">
        <v>302</v>
      </c>
    </row>
    <row r="4" spans="1:11" s="360" customFormat="1">
      <c r="A4" s="876" t="s">
        <v>520</v>
      </c>
      <c r="B4" s="922">
        <v>59.72</v>
      </c>
      <c r="C4" s="922">
        <v>6</v>
      </c>
      <c r="D4" s="922">
        <v>0.03</v>
      </c>
      <c r="E4" s="922">
        <v>0</v>
      </c>
      <c r="F4" s="922">
        <v>34.25</v>
      </c>
      <c r="G4" s="922">
        <v>22.74</v>
      </c>
      <c r="H4" s="922">
        <v>20.55</v>
      </c>
      <c r="I4" s="922">
        <v>8.4</v>
      </c>
      <c r="J4" s="922">
        <v>0</v>
      </c>
      <c r="K4" s="922">
        <v>48.31</v>
      </c>
    </row>
    <row r="5" spans="1:11" s="360" customFormat="1">
      <c r="A5" s="879" t="s">
        <v>1165</v>
      </c>
      <c r="B5" s="1131">
        <v>58.88</v>
      </c>
      <c r="C5" s="1131">
        <v>7.07</v>
      </c>
      <c r="D5" s="1131">
        <v>0.04</v>
      </c>
      <c r="E5" s="1131">
        <v>0</v>
      </c>
      <c r="F5" s="1131">
        <v>34.01</v>
      </c>
      <c r="G5" s="1133">
        <f>INDEX(G6:G9,COUNT(G6:G9))</f>
        <v>18.62</v>
      </c>
      <c r="H5" s="1133">
        <f>INDEX(H6:H9,COUNT(H6:H9))</f>
        <v>18.77</v>
      </c>
      <c r="I5" s="1133">
        <f>INDEX(I6:I9,COUNT(I6:I9))</f>
        <v>6.79</v>
      </c>
      <c r="J5" s="1133">
        <f>INDEX(J6:J9,COUNT(J6:J9))</f>
        <v>0</v>
      </c>
      <c r="K5" s="1133">
        <f>INDEX(K6:K9,COUNT(K6:K9))</f>
        <v>55.81</v>
      </c>
    </row>
    <row r="6" spans="1:11" s="360" customFormat="1">
      <c r="A6" s="179">
        <v>45383</v>
      </c>
      <c r="B6" s="345">
        <v>58.53</v>
      </c>
      <c r="C6" s="345">
        <v>7.66</v>
      </c>
      <c r="D6" s="345">
        <v>0.04</v>
      </c>
      <c r="E6" s="345">
        <v>0</v>
      </c>
      <c r="F6" s="345">
        <v>33.76</v>
      </c>
      <c r="G6" s="345">
        <v>20.49</v>
      </c>
      <c r="H6" s="345">
        <v>18.71</v>
      </c>
      <c r="I6" s="345">
        <v>6.83</v>
      </c>
      <c r="J6" s="345">
        <v>0</v>
      </c>
      <c r="K6" s="345">
        <v>53.97</v>
      </c>
    </row>
    <row r="7" spans="1:11" s="360" customFormat="1">
      <c r="A7" s="179">
        <v>45413</v>
      </c>
      <c r="B7" s="345">
        <v>59.47</v>
      </c>
      <c r="C7" s="345">
        <v>6.96</v>
      </c>
      <c r="D7" s="345">
        <v>0.04</v>
      </c>
      <c r="E7" s="345">
        <v>0</v>
      </c>
      <c r="F7" s="345">
        <v>33.520000000000003</v>
      </c>
      <c r="G7" s="345">
        <v>20.46</v>
      </c>
      <c r="H7" s="345">
        <v>23.88</v>
      </c>
      <c r="I7" s="345">
        <v>8.77</v>
      </c>
      <c r="J7" s="345">
        <v>0</v>
      </c>
      <c r="K7" s="345">
        <v>46.89</v>
      </c>
    </row>
    <row r="8" spans="1:11" s="360" customFormat="1">
      <c r="A8" s="179">
        <v>45444</v>
      </c>
      <c r="B8" s="345">
        <v>58.62</v>
      </c>
      <c r="C8" s="345">
        <v>6.6</v>
      </c>
      <c r="D8" s="345">
        <v>0.05</v>
      </c>
      <c r="E8" s="345">
        <v>0</v>
      </c>
      <c r="F8" s="345">
        <v>34.729999999999997</v>
      </c>
      <c r="G8" s="345">
        <v>19.309999999999999</v>
      </c>
      <c r="H8" s="345">
        <v>17.84</v>
      </c>
      <c r="I8" s="345">
        <v>6.46</v>
      </c>
      <c r="J8" s="345">
        <v>0</v>
      </c>
      <c r="K8" s="345">
        <v>56.39</v>
      </c>
    </row>
    <row r="9" spans="1:11" s="360" customFormat="1">
      <c r="A9" s="179">
        <v>45474</v>
      </c>
      <c r="B9" s="345">
        <v>59.88</v>
      </c>
      <c r="C9" s="345">
        <v>6.53</v>
      </c>
      <c r="D9" s="345">
        <v>0.04</v>
      </c>
      <c r="E9" s="345">
        <v>0</v>
      </c>
      <c r="F9" s="345">
        <v>33.549999999999997</v>
      </c>
      <c r="G9" s="345">
        <v>18.62</v>
      </c>
      <c r="H9" s="345">
        <v>18.77</v>
      </c>
      <c r="I9" s="345">
        <v>6.79</v>
      </c>
      <c r="J9" s="345">
        <v>0</v>
      </c>
      <c r="K9" s="345">
        <v>55.81</v>
      </c>
    </row>
    <row r="10" spans="1:11" s="360" customFormat="1">
      <c r="A10" s="136"/>
      <c r="B10" s="390"/>
      <c r="C10" s="390"/>
      <c r="D10" s="390"/>
      <c r="E10" s="390"/>
      <c r="F10" s="390"/>
      <c r="G10" s="390"/>
      <c r="H10" s="390"/>
      <c r="I10" s="390"/>
      <c r="J10" s="390"/>
      <c r="K10" s="390"/>
    </row>
    <row r="11" spans="1:11" s="360" customFormat="1" ht="15" customHeight="1">
      <c r="A11" s="1318" t="s">
        <v>310</v>
      </c>
      <c r="B11" s="1318"/>
      <c r="C11" s="1318"/>
      <c r="D11" s="1318"/>
      <c r="E11" s="1318"/>
      <c r="F11" s="1318"/>
      <c r="G11" s="1318"/>
      <c r="H11" s="1318"/>
      <c r="I11" s="1318"/>
      <c r="J11" s="1318"/>
      <c r="K11" s="1318"/>
    </row>
    <row r="12" spans="1:11" s="360" customFormat="1">
      <c r="A12" s="484" t="s">
        <v>1299</v>
      </c>
    </row>
    <row r="13" spans="1:11" s="360" customFormat="1">
      <c r="A13" s="97"/>
      <c r="B13" s="97"/>
      <c r="C13" s="97"/>
      <c r="D13" s="97"/>
      <c r="E13" s="97"/>
      <c r="F13" s="97"/>
      <c r="G13" s="97"/>
      <c r="H13" s="97"/>
      <c r="I13" s="97"/>
      <c r="J13" s="97"/>
      <c r="K13" s="97"/>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workbookViewId="0"/>
  </sheetViews>
  <sheetFormatPr defaultColWidth="9.140625" defaultRowHeight="15"/>
  <cols>
    <col min="1" max="7" width="14.5703125" style="97" bestFit="1" customWidth="1"/>
    <col min="8" max="8" width="15" style="97" bestFit="1" customWidth="1"/>
    <col min="9" max="9" width="14.42578125" style="97" bestFit="1" customWidth="1"/>
    <col min="10" max="11" width="14.5703125" style="97" bestFit="1" customWidth="1"/>
    <col min="12" max="12" width="4.5703125" style="97" bestFit="1" customWidth="1"/>
    <col min="13" max="16384" width="9.140625" style="97"/>
  </cols>
  <sheetData>
    <row r="1" spans="1:11">
      <c r="A1" s="206" t="s">
        <v>31</v>
      </c>
      <c r="B1" s="206"/>
      <c r="C1" s="206"/>
      <c r="D1" s="206"/>
      <c r="E1" s="206"/>
      <c r="F1" s="206"/>
      <c r="G1" s="206"/>
      <c r="H1" s="206"/>
    </row>
    <row r="2" spans="1:11" s="360" customFormat="1" ht="18" customHeight="1">
      <c r="A2" s="1393" t="s">
        <v>537</v>
      </c>
      <c r="B2" s="1394"/>
      <c r="C2" s="1394"/>
      <c r="D2" s="1394"/>
      <c r="E2" s="1394"/>
      <c r="F2" s="1394"/>
      <c r="G2" s="1394"/>
      <c r="H2" s="1394"/>
      <c r="I2" s="1394"/>
      <c r="J2" s="1394"/>
      <c r="K2" s="1395"/>
    </row>
    <row r="3" spans="1:11" s="360" customFormat="1" ht="27.75" customHeight="1">
      <c r="A3" s="911" t="s">
        <v>168</v>
      </c>
      <c r="B3" s="887" t="s">
        <v>538</v>
      </c>
      <c r="C3" s="887" t="s">
        <v>539</v>
      </c>
      <c r="D3" s="887" t="s">
        <v>540</v>
      </c>
      <c r="E3" s="887" t="s">
        <v>541</v>
      </c>
      <c r="F3" s="887" t="s">
        <v>542</v>
      </c>
      <c r="G3" s="887" t="s">
        <v>466</v>
      </c>
      <c r="H3" s="933" t="s">
        <v>543</v>
      </c>
      <c r="I3" s="933" t="s">
        <v>544</v>
      </c>
      <c r="J3" s="933" t="s">
        <v>545</v>
      </c>
      <c r="K3" s="933" t="s">
        <v>546</v>
      </c>
    </row>
    <row r="4" spans="1:11" s="102" customFormat="1" ht="18" customHeight="1">
      <c r="A4" s="876" t="s">
        <v>520</v>
      </c>
      <c r="B4" s="1130">
        <v>100</v>
      </c>
      <c r="C4" s="1130">
        <v>1.2745228704333337E-4</v>
      </c>
      <c r="D4" s="922">
        <v>6.3109314694256465E-3</v>
      </c>
      <c r="E4" s="922">
        <v>0</v>
      </c>
      <c r="F4" s="922">
        <v>0</v>
      </c>
      <c r="G4" s="922">
        <v>0</v>
      </c>
      <c r="H4" s="1130">
        <v>0</v>
      </c>
      <c r="I4" s="1130">
        <v>0</v>
      </c>
      <c r="J4" s="1130">
        <v>0</v>
      </c>
      <c r="K4" s="1130">
        <v>0</v>
      </c>
    </row>
    <row r="5" spans="1:11" s="102" customFormat="1" ht="18" customHeight="1">
      <c r="A5" s="879" t="s">
        <v>1165</v>
      </c>
      <c r="B5" s="1131">
        <v>73.86</v>
      </c>
      <c r="C5" s="1131">
        <v>0</v>
      </c>
      <c r="D5" s="1131">
        <v>26.14</v>
      </c>
      <c r="E5" s="1131">
        <v>0</v>
      </c>
      <c r="F5" s="1131">
        <v>0</v>
      </c>
      <c r="G5" s="1131">
        <v>0</v>
      </c>
      <c r="H5" s="1132">
        <v>0</v>
      </c>
      <c r="I5" s="1132">
        <v>0</v>
      </c>
      <c r="J5" s="1132">
        <v>0</v>
      </c>
      <c r="K5" s="1132">
        <v>0</v>
      </c>
    </row>
    <row r="6" spans="1:11" s="360" customFormat="1" ht="18" customHeight="1">
      <c r="A6" s="179">
        <v>45383</v>
      </c>
      <c r="B6" s="415">
        <v>69.02</v>
      </c>
      <c r="C6" s="415">
        <v>0</v>
      </c>
      <c r="D6" s="345">
        <v>30.98</v>
      </c>
      <c r="E6" s="345">
        <v>0</v>
      </c>
      <c r="F6" s="345">
        <v>0</v>
      </c>
      <c r="G6" s="345">
        <v>0</v>
      </c>
      <c r="H6" s="415">
        <v>0</v>
      </c>
      <c r="I6" s="415">
        <v>0</v>
      </c>
      <c r="J6" s="415">
        <v>0</v>
      </c>
      <c r="K6" s="415">
        <v>0</v>
      </c>
    </row>
    <row r="7" spans="1:11" s="360" customFormat="1" ht="18" customHeight="1">
      <c r="A7" s="179">
        <v>45413</v>
      </c>
      <c r="B7" s="415">
        <v>77.45</v>
      </c>
      <c r="C7" s="415">
        <v>0</v>
      </c>
      <c r="D7" s="345">
        <v>22.55</v>
      </c>
      <c r="E7" s="345">
        <v>0</v>
      </c>
      <c r="F7" s="345">
        <v>0</v>
      </c>
      <c r="G7" s="345">
        <v>0</v>
      </c>
      <c r="H7" s="415">
        <v>0</v>
      </c>
      <c r="I7" s="415">
        <v>0</v>
      </c>
      <c r="J7" s="415">
        <v>0</v>
      </c>
      <c r="K7" s="415">
        <v>0</v>
      </c>
    </row>
    <row r="8" spans="1:11" s="360" customFormat="1" ht="18" customHeight="1">
      <c r="A8" s="179">
        <v>45444</v>
      </c>
      <c r="B8" s="415">
        <v>74.03</v>
      </c>
      <c r="C8" s="415">
        <v>0</v>
      </c>
      <c r="D8" s="345">
        <v>25.97</v>
      </c>
      <c r="E8" s="345">
        <v>0</v>
      </c>
      <c r="F8" s="345">
        <v>0</v>
      </c>
      <c r="G8" s="345">
        <v>0</v>
      </c>
      <c r="H8" s="415">
        <v>0</v>
      </c>
      <c r="I8" s="415">
        <v>0</v>
      </c>
      <c r="J8" s="415">
        <v>0</v>
      </c>
      <c r="K8" s="415">
        <v>0</v>
      </c>
    </row>
    <row r="9" spans="1:11" s="360" customFormat="1" ht="18" customHeight="1">
      <c r="A9" s="179">
        <v>45474</v>
      </c>
      <c r="B9" s="415">
        <v>67.165949969983359</v>
      </c>
      <c r="C9" s="415">
        <v>0</v>
      </c>
      <c r="D9" s="415">
        <v>32.834050030016641</v>
      </c>
      <c r="E9" s="415">
        <v>0</v>
      </c>
      <c r="F9" s="415">
        <v>0</v>
      </c>
      <c r="G9" s="415">
        <v>0</v>
      </c>
      <c r="H9" s="415">
        <v>0</v>
      </c>
      <c r="I9" s="415">
        <v>0</v>
      </c>
      <c r="J9" s="415">
        <v>0</v>
      </c>
      <c r="K9" s="415">
        <v>0</v>
      </c>
    </row>
    <row r="10" spans="1:11" s="360" customFormat="1">
      <c r="A10" s="136"/>
      <c r="B10" s="390"/>
      <c r="C10" s="390"/>
      <c r="D10" s="390"/>
      <c r="E10" s="390"/>
      <c r="F10" s="390"/>
      <c r="G10" s="390"/>
      <c r="H10" s="390"/>
      <c r="I10" s="390"/>
      <c r="J10" s="390"/>
      <c r="K10" s="390"/>
    </row>
    <row r="11" spans="1:11" s="360" customFormat="1">
      <c r="A11" s="1283" t="s">
        <v>308</v>
      </c>
      <c r="B11" s="1283"/>
      <c r="C11" s="1283"/>
      <c r="D11" s="1283"/>
      <c r="E11" s="1283"/>
      <c r="F11" s="1283"/>
    </row>
    <row r="12" spans="1:11" s="360" customFormat="1">
      <c r="A12" s="484" t="s">
        <v>1299</v>
      </c>
    </row>
    <row r="13" spans="1:11" s="360" customFormat="1">
      <c r="A13" s="97"/>
      <c r="B13" s="97"/>
      <c r="C13" s="97"/>
      <c r="D13" s="97"/>
      <c r="E13" s="97"/>
      <c r="F13" s="97"/>
    </row>
  </sheetData>
  <mergeCells count="2">
    <mergeCell ref="A2:K2"/>
    <mergeCell ref="A11:F11"/>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workbookViewId="0"/>
  </sheetViews>
  <sheetFormatPr defaultColWidth="9.140625" defaultRowHeight="15"/>
  <cols>
    <col min="1" max="5" width="14.5703125" style="97" bestFit="1" customWidth="1"/>
    <col min="6" max="6" width="7.85546875" style="97" customWidth="1"/>
    <col min="7" max="16384" width="9.140625" style="97"/>
  </cols>
  <sheetData>
    <row r="1" spans="1:11">
      <c r="A1" s="206" t="s">
        <v>32</v>
      </c>
      <c r="B1" s="206"/>
      <c r="C1" s="206"/>
      <c r="D1" s="206"/>
      <c r="E1" s="206"/>
    </row>
    <row r="2" spans="1:11" s="360" customFormat="1">
      <c r="A2" s="1297" t="s">
        <v>168</v>
      </c>
      <c r="B2" s="1396" t="s">
        <v>537</v>
      </c>
      <c r="C2" s="1396"/>
      <c r="D2" s="1396"/>
      <c r="E2" s="1397"/>
    </row>
    <row r="3" spans="1:11" s="360" customFormat="1">
      <c r="A3" s="1297"/>
      <c r="B3" s="518" t="s">
        <v>547</v>
      </c>
      <c r="C3" s="520" t="s">
        <v>548</v>
      </c>
      <c r="D3" s="520" t="s">
        <v>549</v>
      </c>
      <c r="E3" s="520" t="s">
        <v>550</v>
      </c>
    </row>
    <row r="4" spans="1:11" s="102" customFormat="1">
      <c r="A4" s="876" t="s">
        <v>520</v>
      </c>
      <c r="B4" s="892">
        <v>33.43</v>
      </c>
      <c r="C4" s="892">
        <v>45.18</v>
      </c>
      <c r="D4" s="892">
        <v>17.600000000000001</v>
      </c>
      <c r="E4" s="892">
        <v>3.79</v>
      </c>
    </row>
    <row r="5" spans="1:11" s="102" customFormat="1">
      <c r="A5" s="879" t="s">
        <v>1165</v>
      </c>
      <c r="B5" s="912">
        <v>36.159999999999997</v>
      </c>
      <c r="C5" s="912">
        <v>41.54</v>
      </c>
      <c r="D5" s="912">
        <v>15.75</v>
      </c>
      <c r="E5" s="912">
        <v>6.54</v>
      </c>
    </row>
    <row r="6" spans="1:11" s="360" customFormat="1">
      <c r="A6" s="179">
        <v>45383</v>
      </c>
      <c r="B6" s="342">
        <v>36.08</v>
      </c>
      <c r="C6" s="342">
        <v>41.13</v>
      </c>
      <c r="D6" s="342">
        <v>16.36</v>
      </c>
      <c r="E6" s="342">
        <v>6.44</v>
      </c>
    </row>
    <row r="7" spans="1:11" s="360" customFormat="1">
      <c r="A7" s="179">
        <v>45413</v>
      </c>
      <c r="B7" s="342">
        <v>39.17</v>
      </c>
      <c r="C7" s="342">
        <v>39.200000000000003</v>
      </c>
      <c r="D7" s="342">
        <v>15.19</v>
      </c>
      <c r="E7" s="342">
        <v>6.42</v>
      </c>
    </row>
    <row r="8" spans="1:11" s="360" customFormat="1">
      <c r="A8" s="179">
        <v>45444</v>
      </c>
      <c r="B8" s="342">
        <v>33.26</v>
      </c>
      <c r="C8" s="342">
        <v>44.25</v>
      </c>
      <c r="D8" s="342">
        <v>15.7</v>
      </c>
      <c r="E8" s="342">
        <v>6.77</v>
      </c>
    </row>
    <row r="9" spans="1:11" s="360" customFormat="1">
      <c r="A9" s="179">
        <v>45474</v>
      </c>
      <c r="B9" s="342">
        <v>30.18</v>
      </c>
      <c r="C9" s="342">
        <v>43.21</v>
      </c>
      <c r="D9" s="342">
        <v>17.61</v>
      </c>
      <c r="E9" s="342">
        <v>8.98</v>
      </c>
    </row>
    <row r="10" spans="1:11" s="360" customFormat="1">
      <c r="A10" s="136"/>
      <c r="B10" s="390"/>
      <c r="C10" s="390"/>
      <c r="D10" s="390"/>
      <c r="E10" s="390"/>
      <c r="H10" s="474"/>
      <c r="I10" s="474"/>
      <c r="J10" s="474"/>
      <c r="K10" s="474"/>
    </row>
    <row r="11" spans="1:11" s="360" customFormat="1" ht="15" customHeight="1">
      <c r="A11" s="1318" t="s">
        <v>310</v>
      </c>
      <c r="B11" s="1318"/>
      <c r="C11" s="1318"/>
      <c r="D11" s="1318"/>
      <c r="H11" s="474"/>
      <c r="I11" s="474"/>
      <c r="J11" s="474"/>
      <c r="K11" s="474"/>
    </row>
    <row r="12" spans="1:11" s="360" customFormat="1">
      <c r="A12" s="484" t="s">
        <v>1299</v>
      </c>
      <c r="H12" s="474"/>
      <c r="I12" s="474"/>
      <c r="J12" s="474"/>
      <c r="K12" s="474"/>
    </row>
    <row r="13" spans="1:11" s="360" customFormat="1">
      <c r="A13" s="97"/>
      <c r="B13" s="97"/>
      <c r="C13" s="97"/>
      <c r="D13" s="97"/>
    </row>
    <row r="14" spans="1:11">
      <c r="B14" s="361"/>
      <c r="C14" s="361"/>
    </row>
    <row r="15" spans="1:11">
      <c r="B15" s="361"/>
      <c r="C15" s="361"/>
    </row>
    <row r="16" spans="1:11">
      <c r="B16" s="361"/>
      <c r="C16" s="361"/>
    </row>
    <row r="17" spans="2:3">
      <c r="B17" s="361"/>
      <c r="C17" s="361"/>
    </row>
  </sheetData>
  <mergeCells count="3">
    <mergeCell ref="A2:A3"/>
    <mergeCell ref="B2:E2"/>
    <mergeCell ref="A11:D11"/>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selection activeCell="J16" sqref="J16"/>
    </sheetView>
  </sheetViews>
  <sheetFormatPr defaultColWidth="9.140625" defaultRowHeight="15"/>
  <cols>
    <col min="1" max="11" width="14.5703125" style="148" bestFit="1" customWidth="1"/>
    <col min="12" max="12" width="15" style="148" bestFit="1" customWidth="1"/>
    <col min="13" max="13" width="4.5703125" style="148" bestFit="1" customWidth="1"/>
    <col min="14" max="16384" width="9.140625" style="148"/>
  </cols>
  <sheetData>
    <row r="1" spans="1:12">
      <c r="A1" s="206" t="s">
        <v>33</v>
      </c>
      <c r="B1" s="206"/>
      <c r="C1" s="206"/>
      <c r="D1" s="206"/>
      <c r="E1" s="206"/>
      <c r="F1" s="206"/>
      <c r="G1" s="206"/>
      <c r="H1" s="206"/>
      <c r="I1" s="206"/>
      <c r="J1" s="206"/>
      <c r="K1" s="206"/>
      <c r="L1" s="206"/>
    </row>
    <row r="2" spans="1:12" s="311" customFormat="1">
      <c r="A2" s="1392" t="s">
        <v>139</v>
      </c>
      <c r="B2" s="1383" t="s">
        <v>243</v>
      </c>
      <c r="C2" s="1398" t="s">
        <v>551</v>
      </c>
      <c r="D2" s="1399"/>
      <c r="E2" s="1385" t="s">
        <v>552</v>
      </c>
      <c r="F2" s="1386"/>
      <c r="G2" s="1386"/>
      <c r="H2" s="1387"/>
      <c r="I2" s="1398" t="s">
        <v>92</v>
      </c>
      <c r="J2" s="1399"/>
      <c r="K2" s="1400" t="s">
        <v>553</v>
      </c>
      <c r="L2" s="1401"/>
    </row>
    <row r="3" spans="1:12" s="311" customFormat="1">
      <c r="A3" s="1294"/>
      <c r="B3" s="1384"/>
      <c r="C3" s="1305"/>
      <c r="D3" s="1306"/>
      <c r="E3" s="1385" t="s">
        <v>554</v>
      </c>
      <c r="F3" s="1387"/>
      <c r="G3" s="1385" t="s">
        <v>555</v>
      </c>
      <c r="H3" s="1387"/>
      <c r="I3" s="1305"/>
      <c r="J3" s="1306"/>
      <c r="K3" s="1402"/>
      <c r="L3" s="1403"/>
    </row>
    <row r="4" spans="1:12" s="311" customFormat="1" ht="30">
      <c r="A4" s="1325"/>
      <c r="B4" s="1312"/>
      <c r="C4" s="887" t="s">
        <v>516</v>
      </c>
      <c r="D4" s="887" t="s">
        <v>269</v>
      </c>
      <c r="E4" s="887" t="s">
        <v>516</v>
      </c>
      <c r="F4" s="887" t="s">
        <v>269</v>
      </c>
      <c r="G4" s="887" t="s">
        <v>516</v>
      </c>
      <c r="H4" s="887" t="s">
        <v>269</v>
      </c>
      <c r="I4" s="887" t="s">
        <v>516</v>
      </c>
      <c r="J4" s="887" t="s">
        <v>269</v>
      </c>
      <c r="K4" s="887" t="s">
        <v>514</v>
      </c>
      <c r="L4" s="907" t="s">
        <v>556</v>
      </c>
    </row>
    <row r="5" spans="1:12" s="313" customFormat="1">
      <c r="A5" s="876" t="s">
        <v>520</v>
      </c>
      <c r="B5" s="913">
        <v>241</v>
      </c>
      <c r="C5" s="914">
        <v>264230072</v>
      </c>
      <c r="D5" s="915">
        <v>2189493.6302000005</v>
      </c>
      <c r="E5" s="914">
        <v>10072828</v>
      </c>
      <c r="F5" s="915">
        <v>83584.349700000021</v>
      </c>
      <c r="G5" s="914">
        <v>8811787</v>
      </c>
      <c r="H5" s="915">
        <v>72737.362100000013</v>
      </c>
      <c r="I5" s="914">
        <v>283114687</v>
      </c>
      <c r="J5" s="915">
        <v>2345815.3420000002</v>
      </c>
      <c r="K5" s="915">
        <v>1158785</v>
      </c>
      <c r="L5" s="916">
        <v>9668.9115424100019</v>
      </c>
    </row>
    <row r="6" spans="1:12" s="313" customFormat="1">
      <c r="A6" s="879" t="s">
        <v>1165</v>
      </c>
      <c r="B6" s="895">
        <f>SUM(B7:B10)</f>
        <v>79</v>
      </c>
      <c r="C6" s="895">
        <f t="shared" ref="C6:J6" si="0">SUM(C7:C10)</f>
        <v>3684521</v>
      </c>
      <c r="D6" s="895">
        <f t="shared" si="0"/>
        <v>30766.296399999999</v>
      </c>
      <c r="E6" s="895">
        <f t="shared" si="0"/>
        <v>20623</v>
      </c>
      <c r="F6" s="895">
        <f t="shared" si="0"/>
        <v>172.30069999999998</v>
      </c>
      <c r="G6" s="895">
        <f t="shared" si="0"/>
        <v>22107</v>
      </c>
      <c r="H6" s="895">
        <f t="shared" si="0"/>
        <v>183.59569999999997</v>
      </c>
      <c r="I6" s="895">
        <f t="shared" si="0"/>
        <v>3727251</v>
      </c>
      <c r="J6" s="895">
        <f t="shared" si="0"/>
        <v>31122.192800000001</v>
      </c>
      <c r="K6" s="895">
        <f>INDEX(K7:K10,COUNT(K7:K10))</f>
        <v>535</v>
      </c>
      <c r="L6" s="895">
        <f>INDEX(L7:L10,COUNT(L7:L10))</f>
        <v>4.4803040000000003</v>
      </c>
    </row>
    <row r="7" spans="1:12" s="311" customFormat="1">
      <c r="A7" s="179">
        <v>45383</v>
      </c>
      <c r="B7" s="203">
        <v>18</v>
      </c>
      <c r="C7" s="344">
        <v>3150904</v>
      </c>
      <c r="D7" s="344">
        <v>26310.400999999998</v>
      </c>
      <c r="E7" s="344">
        <v>20623</v>
      </c>
      <c r="F7" s="344">
        <v>172.30069999999998</v>
      </c>
      <c r="G7" s="344">
        <v>22107</v>
      </c>
      <c r="H7" s="344">
        <v>183.59569999999997</v>
      </c>
      <c r="I7" s="344">
        <v>3193634</v>
      </c>
      <c r="J7" s="344">
        <v>26666.297399999999</v>
      </c>
      <c r="K7" s="343">
        <v>252685</v>
      </c>
      <c r="L7" s="344">
        <v>2111.52940683</v>
      </c>
    </row>
    <row r="8" spans="1:12" s="311" customFormat="1">
      <c r="A8" s="179">
        <v>45413</v>
      </c>
      <c r="B8" s="203">
        <v>20</v>
      </c>
      <c r="C8" s="344">
        <v>240852</v>
      </c>
      <c r="D8" s="344">
        <v>2011.5062</v>
      </c>
      <c r="E8" s="343">
        <v>0</v>
      </c>
      <c r="F8" s="344">
        <v>0</v>
      </c>
      <c r="G8" s="343">
        <v>0</v>
      </c>
      <c r="H8" s="344">
        <v>0</v>
      </c>
      <c r="I8" s="344">
        <v>240852</v>
      </c>
      <c r="J8" s="344">
        <v>2011.5062</v>
      </c>
      <c r="K8" s="344">
        <v>9076</v>
      </c>
      <c r="L8" s="344">
        <v>75.601990879999988</v>
      </c>
    </row>
    <row r="9" spans="1:12" s="311" customFormat="1">
      <c r="A9" s="179">
        <v>45444</v>
      </c>
      <c r="B9" s="203">
        <v>19</v>
      </c>
      <c r="C9" s="344">
        <v>271760</v>
      </c>
      <c r="D9" s="344">
        <v>2268.5628999999994</v>
      </c>
      <c r="E9" s="343">
        <v>0</v>
      </c>
      <c r="F9" s="344">
        <v>0</v>
      </c>
      <c r="G9" s="343">
        <v>0</v>
      </c>
      <c r="H9" s="344">
        <v>0</v>
      </c>
      <c r="I9" s="344">
        <v>271760</v>
      </c>
      <c r="J9" s="344">
        <v>2268.5628999999994</v>
      </c>
      <c r="K9" s="344">
        <v>45810</v>
      </c>
      <c r="L9" s="344">
        <v>382.30002539999998</v>
      </c>
    </row>
    <row r="10" spans="1:12" s="311" customFormat="1">
      <c r="A10" s="179">
        <v>45474</v>
      </c>
      <c r="B10" s="203">
        <v>22</v>
      </c>
      <c r="C10" s="1129">
        <v>21005</v>
      </c>
      <c r="D10" s="1128">
        <v>175.8263</v>
      </c>
      <c r="E10" s="203">
        <v>0</v>
      </c>
      <c r="F10" s="203">
        <v>0</v>
      </c>
      <c r="G10" s="203">
        <v>0</v>
      </c>
      <c r="H10" s="203">
        <v>0</v>
      </c>
      <c r="I10" s="1129">
        <v>21005</v>
      </c>
      <c r="J10" s="1029">
        <v>175.8263</v>
      </c>
      <c r="K10" s="203">
        <v>535</v>
      </c>
      <c r="L10" s="1128">
        <v>4.4803040000000003</v>
      </c>
    </row>
    <row r="11" spans="1:12" s="311" customFormat="1">
      <c r="A11" s="405"/>
      <c r="B11" s="406"/>
      <c r="C11" s="407"/>
      <c r="D11" s="408"/>
      <c r="E11" s="408"/>
      <c r="F11" s="409"/>
      <c r="G11" s="408"/>
      <c r="H11" s="410"/>
      <c r="I11" s="411"/>
      <c r="J11" s="408"/>
      <c r="K11" s="408"/>
      <c r="L11" s="410"/>
    </row>
    <row r="12" spans="1:12" s="311" customFormat="1">
      <c r="A12" s="1299" t="s">
        <v>258</v>
      </c>
      <c r="B12" s="1299"/>
      <c r="C12" s="1299"/>
      <c r="D12" s="1299"/>
      <c r="E12" s="1299"/>
      <c r="F12" s="1299"/>
      <c r="G12" s="1299"/>
      <c r="H12" s="1299"/>
      <c r="I12" s="1299"/>
      <c r="J12" s="1299"/>
      <c r="K12" s="1299"/>
      <c r="L12" s="1299"/>
    </row>
    <row r="13" spans="1:12" s="311" customFormat="1">
      <c r="A13" s="311" t="s">
        <v>1299</v>
      </c>
    </row>
    <row r="14" spans="1:12" s="311" customFormat="1">
      <c r="A14" s="148"/>
      <c r="B14" s="148"/>
      <c r="C14" s="148"/>
      <c r="D14" s="148"/>
      <c r="E14" s="158"/>
      <c r="F14" s="158"/>
      <c r="G14" s="158"/>
      <c r="H14" s="158"/>
      <c r="I14" s="158"/>
      <c r="J14" s="158"/>
      <c r="K14" s="148"/>
      <c r="L14" s="148"/>
    </row>
    <row r="15" spans="1:12">
      <c r="E15" s="158"/>
      <c r="F15" s="158"/>
      <c r="G15" s="158"/>
      <c r="H15" s="158"/>
      <c r="I15" s="158"/>
      <c r="J15" s="158"/>
    </row>
    <row r="16" spans="1:12">
      <c r="E16" s="158"/>
      <c r="F16" s="158"/>
      <c r="G16" s="158"/>
      <c r="H16" s="158"/>
      <c r="I16" s="158"/>
      <c r="J16" s="158"/>
    </row>
    <row r="17" spans="5:10">
      <c r="E17" s="158"/>
      <c r="F17" s="158"/>
      <c r="G17" s="158"/>
      <c r="H17" s="158"/>
      <c r="I17" s="158"/>
      <c r="J17" s="158"/>
    </row>
    <row r="18" spans="5:10">
      <c r="E18" s="158"/>
      <c r="F18" s="158"/>
      <c r="G18" s="158"/>
      <c r="H18" s="158"/>
      <c r="I18" s="158"/>
      <c r="J18" s="158"/>
    </row>
    <row r="19" spans="5:10">
      <c r="I19" s="159"/>
      <c r="J19" s="159"/>
    </row>
    <row r="20" spans="5:10">
      <c r="I20" s="159"/>
      <c r="J20" s="159"/>
    </row>
  </sheetData>
  <mergeCells count="9">
    <mergeCell ref="A12:L12"/>
    <mergeCell ref="A2:A4"/>
    <mergeCell ref="B2:B4"/>
    <mergeCell ref="C2:D3"/>
    <mergeCell ref="E2:H2"/>
    <mergeCell ref="I2:J3"/>
    <mergeCell ref="K2:L3"/>
    <mergeCell ref="E3:F3"/>
    <mergeCell ref="G3:H3"/>
  </mergeCells>
  <printOptions horizontalCentered="1"/>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selection activeCell="K6" sqref="K6"/>
    </sheetView>
  </sheetViews>
  <sheetFormatPr defaultColWidth="9.140625" defaultRowHeight="15"/>
  <cols>
    <col min="1" max="1" width="9.42578125" style="97" bestFit="1" customWidth="1"/>
    <col min="2" max="2" width="14.5703125" style="97" bestFit="1" customWidth="1"/>
    <col min="3" max="4" width="12.42578125" style="97" bestFit="1" customWidth="1"/>
    <col min="5" max="5" width="14.7109375" style="97" customWidth="1"/>
    <col min="6" max="6" width="12.42578125" style="97" bestFit="1" customWidth="1"/>
    <col min="7" max="7" width="13.140625" style="97" customWidth="1"/>
    <col min="8" max="8" width="12.42578125" style="97" bestFit="1" customWidth="1"/>
    <col min="9" max="9" width="14.5703125" style="97" customWidth="1"/>
    <col min="10" max="10" width="13.42578125" style="97" bestFit="1" customWidth="1"/>
    <col min="11" max="11" width="12.42578125" style="97" customWidth="1"/>
    <col min="12" max="12" width="10.85546875" style="97" bestFit="1" customWidth="1"/>
    <col min="13" max="13" width="9.85546875" style="97" customWidth="1"/>
    <col min="14" max="16384" width="9.140625" style="97"/>
  </cols>
  <sheetData>
    <row r="1" spans="1:12">
      <c r="A1" s="206" t="s">
        <v>34</v>
      </c>
      <c r="B1" s="206"/>
      <c r="C1" s="206"/>
      <c r="D1" s="206"/>
      <c r="E1" s="206"/>
      <c r="F1" s="206"/>
      <c r="G1" s="206"/>
      <c r="H1" s="206"/>
      <c r="I1" s="206"/>
      <c r="J1" s="206"/>
      <c r="K1" s="206"/>
      <c r="L1" s="206"/>
    </row>
    <row r="2" spans="1:12" s="360" customFormat="1">
      <c r="A2" s="1383" t="s">
        <v>526</v>
      </c>
      <c r="B2" s="1383" t="s">
        <v>557</v>
      </c>
      <c r="C2" s="1385" t="s">
        <v>551</v>
      </c>
      <c r="D2" s="1387"/>
      <c r="E2" s="1385" t="s">
        <v>558</v>
      </c>
      <c r="F2" s="1386"/>
      <c r="G2" s="1386"/>
      <c r="H2" s="1387"/>
      <c r="I2" s="1385" t="s">
        <v>92</v>
      </c>
      <c r="J2" s="1387"/>
      <c r="K2" s="1388" t="s">
        <v>559</v>
      </c>
      <c r="L2" s="1391"/>
    </row>
    <row r="3" spans="1:12" s="360" customFormat="1">
      <c r="A3" s="1384"/>
      <c r="B3" s="1384"/>
      <c r="C3" s="1381" t="s">
        <v>560</v>
      </c>
      <c r="D3" s="1381" t="s">
        <v>561</v>
      </c>
      <c r="E3" s="1385" t="s">
        <v>554</v>
      </c>
      <c r="F3" s="1387"/>
      <c r="G3" s="1385" t="s">
        <v>555</v>
      </c>
      <c r="H3" s="1387"/>
      <c r="I3" s="1404" t="s">
        <v>516</v>
      </c>
      <c r="J3" s="1404" t="s">
        <v>269</v>
      </c>
      <c r="K3" s="1381" t="s">
        <v>560</v>
      </c>
      <c r="L3" s="1381" t="s">
        <v>562</v>
      </c>
    </row>
    <row r="4" spans="1:12" s="360" customFormat="1" ht="30">
      <c r="A4" s="1312"/>
      <c r="B4" s="1312"/>
      <c r="C4" s="1382"/>
      <c r="D4" s="1382"/>
      <c r="E4" s="917" t="s">
        <v>516</v>
      </c>
      <c r="F4" s="917" t="s">
        <v>269</v>
      </c>
      <c r="G4" s="917" t="s">
        <v>516</v>
      </c>
      <c r="H4" s="917" t="s">
        <v>269</v>
      </c>
      <c r="I4" s="1405"/>
      <c r="J4" s="1405"/>
      <c r="K4" s="1382"/>
      <c r="L4" s="1382"/>
    </row>
    <row r="5" spans="1:12" s="102" customFormat="1">
      <c r="A5" s="918" t="s">
        <v>520</v>
      </c>
      <c r="B5" s="919">
        <v>241</v>
      </c>
      <c r="C5" s="920">
        <v>851902719</v>
      </c>
      <c r="D5" s="889">
        <v>7201741.9799999986</v>
      </c>
      <c r="E5" s="921">
        <v>1738285961</v>
      </c>
      <c r="F5" s="889">
        <v>14436935.25999999</v>
      </c>
      <c r="G5" s="920">
        <v>1632032548</v>
      </c>
      <c r="H5" s="889">
        <v>13505360.920000002</v>
      </c>
      <c r="I5" s="921">
        <v>4222221228</v>
      </c>
      <c r="J5" s="920">
        <v>35144038.149999999</v>
      </c>
      <c r="K5" s="920">
        <v>17804703</v>
      </c>
      <c r="L5" s="893">
        <v>165247.0914</v>
      </c>
    </row>
    <row r="6" spans="1:12" s="102" customFormat="1">
      <c r="A6" s="213" t="s">
        <v>1165</v>
      </c>
      <c r="B6" s="895">
        <f>SUM(B7:B10)</f>
        <v>79</v>
      </c>
      <c r="C6" s="895">
        <f t="shared" ref="C6:J6" si="0">SUM(C7:C10)</f>
        <v>56930211</v>
      </c>
      <c r="D6" s="895">
        <f t="shared" si="0"/>
        <v>477507.3707194046</v>
      </c>
      <c r="E6" s="895">
        <f t="shared" si="0"/>
        <v>10526774</v>
      </c>
      <c r="F6" s="895">
        <f t="shared" si="0"/>
        <v>88297.795660999996</v>
      </c>
      <c r="G6" s="895">
        <f t="shared" si="0"/>
        <v>9337116</v>
      </c>
      <c r="H6" s="895">
        <f t="shared" si="0"/>
        <v>77657.499298500014</v>
      </c>
      <c r="I6" s="895">
        <f t="shared" si="0"/>
        <v>76794101</v>
      </c>
      <c r="J6" s="895">
        <f t="shared" si="0"/>
        <v>643462.6556789045</v>
      </c>
      <c r="K6" s="895">
        <f>INDEX(K7:K10,COUNT(K7:K10))</f>
        <v>1332388</v>
      </c>
      <c r="L6" s="895">
        <f>INDEX(L7:L10,COUNT(L7:L10))</f>
        <v>11081.4085</v>
      </c>
    </row>
    <row r="7" spans="1:12" s="360" customFormat="1">
      <c r="A7" s="179">
        <v>45383</v>
      </c>
      <c r="B7" s="412">
        <v>18</v>
      </c>
      <c r="C7" s="413">
        <v>25887006</v>
      </c>
      <c r="D7" s="348">
        <v>217438.37</v>
      </c>
      <c r="E7" s="348">
        <v>9600292</v>
      </c>
      <c r="F7" s="350">
        <v>80511.67</v>
      </c>
      <c r="G7" s="348">
        <v>8858247</v>
      </c>
      <c r="H7" s="350">
        <v>73676.570000000007</v>
      </c>
      <c r="I7" s="414">
        <v>44345545</v>
      </c>
      <c r="J7" s="348">
        <v>371626.6</v>
      </c>
      <c r="K7" s="350">
        <v>4205161</v>
      </c>
      <c r="L7" s="350">
        <v>34682.299599999998</v>
      </c>
    </row>
    <row r="8" spans="1:12" s="360" customFormat="1">
      <c r="A8" s="179">
        <v>45413</v>
      </c>
      <c r="B8" s="346">
        <v>20</v>
      </c>
      <c r="C8" s="347">
        <v>12571143</v>
      </c>
      <c r="D8" s="359">
        <v>105150.50071940459</v>
      </c>
      <c r="E8" s="348">
        <v>429828</v>
      </c>
      <c r="F8" s="350">
        <v>3605.5656609999996</v>
      </c>
      <c r="G8" s="348">
        <v>266533</v>
      </c>
      <c r="H8" s="350">
        <v>2215.5392985000003</v>
      </c>
      <c r="I8" s="414">
        <v>13267504</v>
      </c>
      <c r="J8" s="359">
        <v>110971.6056789046</v>
      </c>
      <c r="K8" s="359">
        <v>3064185</v>
      </c>
      <c r="L8" s="350">
        <v>25354.244500000001</v>
      </c>
    </row>
    <row r="9" spans="1:12" s="360" customFormat="1">
      <c r="A9" s="179">
        <v>45444</v>
      </c>
      <c r="B9" s="346">
        <v>19</v>
      </c>
      <c r="C9" s="358">
        <v>13057459</v>
      </c>
      <c r="D9" s="358">
        <v>109312.06</v>
      </c>
      <c r="E9" s="358">
        <v>310279</v>
      </c>
      <c r="F9" s="358">
        <v>2612.15</v>
      </c>
      <c r="G9" s="358">
        <v>158451</v>
      </c>
      <c r="H9" s="358">
        <v>1315.65</v>
      </c>
      <c r="I9" s="358">
        <v>13526189</v>
      </c>
      <c r="J9" s="358">
        <v>113239.86</v>
      </c>
      <c r="K9" s="358">
        <v>2882251</v>
      </c>
      <c r="L9" s="358">
        <v>23813.798900000002</v>
      </c>
    </row>
    <row r="10" spans="1:12" s="360" customFormat="1">
      <c r="A10" s="179">
        <v>45474</v>
      </c>
      <c r="B10" s="346">
        <v>22</v>
      </c>
      <c r="C10" s="287">
        <v>5414603</v>
      </c>
      <c r="D10" s="287">
        <v>45606.44</v>
      </c>
      <c r="E10" s="287">
        <v>186375</v>
      </c>
      <c r="F10" s="287">
        <v>1568.41</v>
      </c>
      <c r="G10" s="287">
        <v>53885</v>
      </c>
      <c r="H10" s="287">
        <v>449.74</v>
      </c>
      <c r="I10" s="287">
        <v>5654863</v>
      </c>
      <c r="J10" s="287">
        <v>47624.59</v>
      </c>
      <c r="K10" s="287">
        <v>1332388</v>
      </c>
      <c r="L10" s="287">
        <v>11081.4085</v>
      </c>
    </row>
    <row r="11" spans="1:12" s="360" customFormat="1" ht="13.5" customHeight="1">
      <c r="A11" s="136"/>
      <c r="B11" s="388"/>
      <c r="C11" s="389"/>
      <c r="D11" s="137"/>
      <c r="E11" s="389"/>
      <c r="F11" s="137"/>
      <c r="G11" s="389"/>
      <c r="H11" s="137"/>
      <c r="I11" s="389"/>
      <c r="J11" s="137"/>
      <c r="K11" s="389"/>
      <c r="L11" s="362"/>
    </row>
    <row r="12" spans="1:12" s="360" customFormat="1" ht="15" customHeight="1">
      <c r="A12" s="1318" t="s">
        <v>563</v>
      </c>
      <c r="B12" s="1318"/>
      <c r="C12" s="1318"/>
      <c r="D12" s="1318"/>
      <c r="E12" s="1318"/>
      <c r="F12" s="1318"/>
      <c r="G12" s="1318"/>
      <c r="H12" s="1318"/>
      <c r="I12" s="1318"/>
      <c r="J12" s="1318"/>
      <c r="K12" s="1318"/>
      <c r="L12" s="1318"/>
    </row>
    <row r="13" spans="1:12" s="360" customFormat="1" ht="15" customHeight="1">
      <c r="A13" s="1318" t="s">
        <v>310</v>
      </c>
      <c r="B13" s="1318"/>
      <c r="C13" s="1318"/>
      <c r="D13" s="1318"/>
      <c r="E13" s="1318"/>
      <c r="F13" s="1318"/>
      <c r="G13" s="1318"/>
      <c r="H13" s="1318"/>
      <c r="I13" s="1318"/>
      <c r="J13" s="1318"/>
      <c r="K13" s="1318"/>
      <c r="L13" s="1318"/>
    </row>
    <row r="14" spans="1:12" s="360" customFormat="1" ht="15" customHeight="1">
      <c r="A14" s="360" t="s">
        <v>1299</v>
      </c>
    </row>
    <row r="15" spans="1:12" s="360" customFormat="1">
      <c r="A15" s="97"/>
      <c r="B15" s="97"/>
      <c r="C15" s="97"/>
      <c r="D15" s="97"/>
      <c r="E15" s="157"/>
      <c r="F15" s="157"/>
      <c r="G15" s="157"/>
      <c r="H15" s="157"/>
      <c r="I15" s="157"/>
      <c r="J15" s="157"/>
      <c r="K15" s="97"/>
      <c r="L15" s="97"/>
    </row>
    <row r="16" spans="1:12">
      <c r="E16" s="157"/>
      <c r="F16" s="157"/>
      <c r="G16" s="157"/>
      <c r="H16" s="157"/>
      <c r="I16" s="157"/>
      <c r="J16" s="157"/>
    </row>
    <row r="17" spans="5:10">
      <c r="E17" s="157"/>
      <c r="F17" s="157"/>
      <c r="G17" s="157"/>
      <c r="H17" s="157"/>
      <c r="I17" s="157"/>
      <c r="J17" s="157"/>
    </row>
    <row r="18" spans="5:10">
      <c r="E18" s="157"/>
      <c r="F18" s="157"/>
      <c r="G18" s="157"/>
      <c r="H18" s="157"/>
      <c r="I18" s="157"/>
      <c r="J18" s="157"/>
    </row>
    <row r="19" spans="5:10">
      <c r="E19" s="157"/>
      <c r="F19" s="157"/>
      <c r="G19" s="157"/>
      <c r="H19" s="157"/>
      <c r="I19" s="157"/>
      <c r="J19" s="157"/>
    </row>
    <row r="20" spans="5:10">
      <c r="J20" s="143"/>
    </row>
  </sheetData>
  <mergeCells count="16">
    <mergeCell ref="A13:L13"/>
    <mergeCell ref="A2:A4"/>
    <mergeCell ref="B2:B4"/>
    <mergeCell ref="C2:D2"/>
    <mergeCell ref="E2:H2"/>
    <mergeCell ref="I2:J2"/>
    <mergeCell ref="K2:L2"/>
    <mergeCell ref="C3:C4"/>
    <mergeCell ref="D3:D4"/>
    <mergeCell ref="E3:F3"/>
    <mergeCell ref="G3:H3"/>
    <mergeCell ref="I3:I4"/>
    <mergeCell ref="J3:J4"/>
    <mergeCell ref="K3:K4"/>
    <mergeCell ref="L3:L4"/>
    <mergeCell ref="A12:L12"/>
  </mergeCells>
  <printOptions horizontalCentered="1"/>
  <pageMargins left="0.78431372549019618" right="0.78431372549019618" top="0.98039215686274517" bottom="0.98039215686274517" header="0.50980392156862753" footer="0.50980392156862753"/>
  <pageSetup paperSize="9" scale="84"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
  <sheetViews>
    <sheetView workbookViewId="0">
      <selection activeCell="I7" sqref="I7"/>
    </sheetView>
  </sheetViews>
  <sheetFormatPr defaultColWidth="9.140625" defaultRowHeight="15"/>
  <cols>
    <col min="1" max="1" width="9.42578125" style="97" bestFit="1" customWidth="1"/>
    <col min="2" max="2" width="14.5703125" style="97" bestFit="1" customWidth="1"/>
    <col min="3" max="9" width="12.140625" style="97" bestFit="1" customWidth="1"/>
    <col min="10" max="10" width="10" style="97" bestFit="1" customWidth="1"/>
    <col min="11" max="11" width="14.140625" style="97" bestFit="1" customWidth="1"/>
    <col min="12" max="12" width="12.5703125" style="97" customWidth="1"/>
    <col min="13" max="13" width="7.5703125" style="97" bestFit="1" customWidth="1"/>
    <col min="14" max="16384" width="9.140625" style="97"/>
  </cols>
  <sheetData>
    <row r="1" spans="1:12" ht="15.75" customHeight="1">
      <c r="A1" s="206" t="s">
        <v>35</v>
      </c>
      <c r="B1" s="206"/>
      <c r="C1" s="206"/>
      <c r="D1" s="206"/>
      <c r="E1" s="206"/>
      <c r="F1" s="206"/>
      <c r="G1" s="206"/>
      <c r="H1" s="206"/>
      <c r="I1" s="206"/>
      <c r="J1" s="206"/>
      <c r="K1" s="206"/>
      <c r="L1" s="206"/>
    </row>
    <row r="2" spans="1:12" s="360" customFormat="1" ht="41.25" customHeight="1">
      <c r="A2" s="1383" t="s">
        <v>526</v>
      </c>
      <c r="B2" s="1383" t="s">
        <v>557</v>
      </c>
      <c r="C2" s="1385" t="s">
        <v>551</v>
      </c>
      <c r="D2" s="1387"/>
      <c r="E2" s="1407" t="s">
        <v>558</v>
      </c>
      <c r="F2" s="1407"/>
      <c r="G2" s="1407"/>
      <c r="H2" s="1407"/>
      <c r="I2" s="1385" t="s">
        <v>92</v>
      </c>
      <c r="J2" s="1387"/>
      <c r="K2" s="1408" t="s">
        <v>559</v>
      </c>
      <c r="L2" s="1409"/>
    </row>
    <row r="3" spans="1:12" s="360" customFormat="1" ht="18" customHeight="1">
      <c r="A3" s="1384"/>
      <c r="B3" s="1384"/>
      <c r="C3" s="1381" t="s">
        <v>560</v>
      </c>
      <c r="D3" s="1381" t="s">
        <v>561</v>
      </c>
      <c r="E3" s="1385" t="s">
        <v>554</v>
      </c>
      <c r="F3" s="1387"/>
      <c r="G3" s="1385" t="s">
        <v>555</v>
      </c>
      <c r="H3" s="1387"/>
      <c r="I3" s="1383" t="s">
        <v>514</v>
      </c>
      <c r="J3" s="1406" t="s">
        <v>564</v>
      </c>
      <c r="K3" s="1381" t="s">
        <v>560</v>
      </c>
      <c r="L3" s="1381" t="s">
        <v>562</v>
      </c>
    </row>
    <row r="4" spans="1:12" s="360" customFormat="1" ht="39" customHeight="1">
      <c r="A4" s="1312"/>
      <c r="B4" s="1312"/>
      <c r="C4" s="1382"/>
      <c r="D4" s="1382"/>
      <c r="E4" s="907" t="s">
        <v>560</v>
      </c>
      <c r="F4" s="907" t="s">
        <v>565</v>
      </c>
      <c r="G4" s="907" t="s">
        <v>560</v>
      </c>
      <c r="H4" s="907" t="s">
        <v>561</v>
      </c>
      <c r="I4" s="1312"/>
      <c r="J4" s="1406"/>
      <c r="K4" s="1382"/>
      <c r="L4" s="1382"/>
    </row>
    <row r="5" spans="1:12" s="102" customFormat="1" ht="18" customHeight="1">
      <c r="A5" s="876" t="s">
        <v>520</v>
      </c>
      <c r="B5" s="919">
        <v>241</v>
      </c>
      <c r="C5" s="920">
        <v>29862428</v>
      </c>
      <c r="D5" s="893">
        <v>247738.04429925</v>
      </c>
      <c r="E5" s="893">
        <v>0</v>
      </c>
      <c r="F5" s="893">
        <v>0</v>
      </c>
      <c r="G5" s="893">
        <v>0</v>
      </c>
      <c r="H5" s="893">
        <v>0</v>
      </c>
      <c r="I5" s="920">
        <v>29862428</v>
      </c>
      <c r="J5" s="893">
        <v>247738.04429924997</v>
      </c>
      <c r="K5" s="893">
        <v>103180</v>
      </c>
      <c r="L5" s="893">
        <v>861.50116824999998</v>
      </c>
    </row>
    <row r="6" spans="1:12" s="102" customFormat="1" ht="18" customHeight="1">
      <c r="A6" s="879" t="s">
        <v>1165</v>
      </c>
      <c r="B6" s="895">
        <f>SUM(B7:B10)</f>
        <v>79</v>
      </c>
      <c r="C6" s="895">
        <f t="shared" ref="C6:J6" si="0">SUM(C7:C10)</f>
        <v>855475</v>
      </c>
      <c r="D6" s="895">
        <f t="shared" si="0"/>
        <v>7141.1350429999993</v>
      </c>
      <c r="E6" s="895">
        <f t="shared" si="0"/>
        <v>0</v>
      </c>
      <c r="F6" s="895">
        <f t="shared" si="0"/>
        <v>0</v>
      </c>
      <c r="G6" s="895">
        <f t="shared" si="0"/>
        <v>0</v>
      </c>
      <c r="H6" s="895">
        <f t="shared" si="0"/>
        <v>0</v>
      </c>
      <c r="I6" s="895">
        <f>SUM(I7:I10)</f>
        <v>855475</v>
      </c>
      <c r="J6" s="895">
        <f t="shared" si="0"/>
        <v>7140.9305429999995</v>
      </c>
      <c r="K6" s="895">
        <f>INDEX(K7:K10,COUNT(K7:K10))</f>
        <v>0</v>
      </c>
      <c r="L6" s="895">
        <f>INDEX(L7:L10,COUNT(L7:L10))</f>
        <v>0</v>
      </c>
    </row>
    <row r="7" spans="1:12" s="360" customFormat="1" ht="18" customHeight="1">
      <c r="A7" s="179">
        <v>45383</v>
      </c>
      <c r="B7" s="346">
        <v>18</v>
      </c>
      <c r="C7" s="359">
        <v>636475</v>
      </c>
      <c r="D7" s="358">
        <v>5312.0762930000001</v>
      </c>
      <c r="E7" s="358">
        <v>0</v>
      </c>
      <c r="F7" s="358">
        <v>0</v>
      </c>
      <c r="G7" s="358">
        <v>0</v>
      </c>
      <c r="H7" s="358">
        <v>0</v>
      </c>
      <c r="I7" s="359">
        <v>636475</v>
      </c>
      <c r="J7" s="358">
        <v>5312.0762930000001</v>
      </c>
      <c r="K7" s="358">
        <v>40175</v>
      </c>
      <c r="L7" s="358">
        <v>335.53159025000002</v>
      </c>
    </row>
    <row r="8" spans="1:12" s="360" customFormat="1" ht="18" customHeight="1">
      <c r="A8" s="179">
        <v>45413</v>
      </c>
      <c r="B8" s="346">
        <v>20</v>
      </c>
      <c r="C8" s="359">
        <v>120000</v>
      </c>
      <c r="D8" s="358">
        <v>1001.7</v>
      </c>
      <c r="E8" s="358">
        <v>0</v>
      </c>
      <c r="F8" s="358">
        <v>0</v>
      </c>
      <c r="G8" s="358">
        <v>0</v>
      </c>
      <c r="H8" s="358">
        <v>0</v>
      </c>
      <c r="I8" s="359">
        <v>120000</v>
      </c>
      <c r="J8" s="358">
        <v>1001.7</v>
      </c>
      <c r="K8" s="358">
        <v>4</v>
      </c>
      <c r="L8" s="358">
        <v>3.3413999999999999E-2</v>
      </c>
    </row>
    <row r="9" spans="1:12" s="360" customFormat="1" ht="18" customHeight="1">
      <c r="A9" s="179">
        <v>45444</v>
      </c>
      <c r="B9" s="287">
        <v>19</v>
      </c>
      <c r="C9" s="287">
        <v>78000</v>
      </c>
      <c r="D9" s="287">
        <v>651.57425000000001</v>
      </c>
      <c r="E9" s="287">
        <v>0</v>
      </c>
      <c r="F9" s="287">
        <v>0</v>
      </c>
      <c r="G9" s="287">
        <v>0</v>
      </c>
      <c r="H9" s="1127">
        <v>0</v>
      </c>
      <c r="I9" s="287">
        <v>78000</v>
      </c>
      <c r="J9" s="287">
        <v>651.57425000000001</v>
      </c>
      <c r="K9" s="287">
        <v>28000</v>
      </c>
      <c r="L9" s="287">
        <v>233.96100000000001</v>
      </c>
    </row>
    <row r="10" spans="1:12" s="360" customFormat="1" ht="18" customHeight="1">
      <c r="A10" s="179">
        <v>45474</v>
      </c>
      <c r="B10" s="346">
        <v>22</v>
      </c>
      <c r="C10" s="287">
        <v>21000</v>
      </c>
      <c r="D10" s="358">
        <v>175.78450000000001</v>
      </c>
      <c r="E10" s="358">
        <v>0</v>
      </c>
      <c r="F10" s="358">
        <v>0</v>
      </c>
      <c r="G10" s="358">
        <v>0</v>
      </c>
      <c r="H10" s="358">
        <v>0</v>
      </c>
      <c r="I10" s="359">
        <v>21000</v>
      </c>
      <c r="J10" s="358">
        <v>175.58</v>
      </c>
      <c r="K10" s="358">
        <v>0</v>
      </c>
      <c r="L10" s="358">
        <v>0</v>
      </c>
    </row>
    <row r="11" spans="1:12" s="360" customFormat="1">
      <c r="A11" s="136"/>
      <c r="B11" s="388"/>
      <c r="C11" s="137"/>
      <c r="D11" s="362"/>
      <c r="E11" s="362"/>
      <c r="F11" s="362"/>
      <c r="G11" s="362"/>
      <c r="H11" s="354"/>
      <c r="I11" s="137"/>
      <c r="J11" s="362"/>
      <c r="K11" s="362"/>
      <c r="L11" s="362"/>
    </row>
    <row r="12" spans="1:12" s="360" customFormat="1" ht="15" customHeight="1">
      <c r="A12" s="1318" t="s">
        <v>276</v>
      </c>
      <c r="B12" s="1318"/>
      <c r="C12" s="1318"/>
      <c r="D12" s="1318"/>
      <c r="E12" s="1318"/>
      <c r="F12" s="1318"/>
      <c r="G12" s="1318"/>
      <c r="H12" s="1318"/>
      <c r="I12" s="1318"/>
      <c r="J12" s="1318"/>
    </row>
    <row r="13" spans="1:12" s="360" customFormat="1" ht="15" customHeight="1">
      <c r="A13" s="360" t="s">
        <v>1299</v>
      </c>
    </row>
    <row r="14" spans="1:12" s="360" customFormat="1">
      <c r="A14" s="97"/>
      <c r="B14" s="97"/>
      <c r="C14" s="97"/>
      <c r="D14" s="97"/>
      <c r="E14" s="97"/>
      <c r="F14" s="97"/>
      <c r="G14" s="97"/>
      <c r="H14" s="97"/>
      <c r="I14" s="97"/>
      <c r="J14" s="97"/>
    </row>
  </sheetData>
  <mergeCells count="15">
    <mergeCell ref="I3:I4"/>
    <mergeCell ref="J3:J4"/>
    <mergeCell ref="K3:K4"/>
    <mergeCell ref="L3:L4"/>
    <mergeCell ref="A12:J12"/>
    <mergeCell ref="A2:A4"/>
    <mergeCell ref="B2:B4"/>
    <mergeCell ref="C2:D2"/>
    <mergeCell ref="E2:H2"/>
    <mergeCell ref="I2:J2"/>
    <mergeCell ref="K2:L2"/>
    <mergeCell ref="C3:C4"/>
    <mergeCell ref="D3:D4"/>
    <mergeCell ref="E3:F3"/>
    <mergeCell ref="G3:H3"/>
  </mergeCells>
  <printOptions horizontalCentered="1"/>
  <pageMargins left="0.78431372549019618" right="0.78431372549019618" top="0.98039215686274517" bottom="0.98039215686274517" header="0.50980392156862753" footer="0.50980392156862753"/>
  <pageSetup paperSize="9" scale="90"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6"/>
  <sheetViews>
    <sheetView workbookViewId="0">
      <selection activeCell="G7" sqref="G7"/>
    </sheetView>
  </sheetViews>
  <sheetFormatPr defaultColWidth="9.140625" defaultRowHeight="15"/>
  <cols>
    <col min="1" max="1" width="13.5703125" style="97" bestFit="1" customWidth="1"/>
    <col min="2" max="5" width="12.140625" style="97" bestFit="1" customWidth="1"/>
    <col min="6" max="6" width="9.42578125" style="97" bestFit="1" customWidth="1"/>
    <col min="7" max="7" width="12.42578125" style="97" bestFit="1" customWidth="1"/>
    <col min="8" max="8" width="12.28515625" style="97" bestFit="1" customWidth="1"/>
    <col min="9" max="9" width="12.42578125" style="97" bestFit="1" customWidth="1"/>
    <col min="10" max="10" width="12.28515625" style="97" bestFit="1" customWidth="1"/>
    <col min="11" max="11" width="11" style="97" customWidth="1"/>
    <col min="12" max="15" width="12.140625" style="97" bestFit="1" customWidth="1"/>
    <col min="16" max="16" width="9.42578125" style="97" bestFit="1" customWidth="1"/>
    <col min="17" max="17" width="4.5703125" style="97" bestFit="1" customWidth="1"/>
    <col min="18" max="16384" width="9.140625" style="97"/>
  </cols>
  <sheetData>
    <row r="1" spans="1:17" ht="18" customHeight="1">
      <c r="A1" s="206" t="s">
        <v>566</v>
      </c>
      <c r="B1" s="206"/>
      <c r="C1" s="206"/>
      <c r="D1" s="206"/>
      <c r="E1" s="206"/>
      <c r="F1" s="206"/>
      <c r="G1" s="206"/>
      <c r="H1" s="206"/>
      <c r="I1" s="206"/>
      <c r="J1" s="206"/>
      <c r="K1" s="206"/>
      <c r="L1" s="206"/>
      <c r="M1" s="206"/>
      <c r="N1" s="206"/>
      <c r="O1" s="206"/>
    </row>
    <row r="2" spans="1:17" s="360" customFormat="1" ht="18" customHeight="1">
      <c r="A2" s="1383" t="s">
        <v>526</v>
      </c>
      <c r="B2" s="1385" t="s">
        <v>69</v>
      </c>
      <c r="C2" s="1386"/>
      <c r="D2" s="1386"/>
      <c r="E2" s="1387"/>
      <c r="F2" s="1392" t="s">
        <v>92</v>
      </c>
      <c r="G2" s="1385" t="s">
        <v>70</v>
      </c>
      <c r="H2" s="1386"/>
      <c r="I2" s="1386"/>
      <c r="J2" s="1387"/>
      <c r="K2" s="1383" t="s">
        <v>92</v>
      </c>
      <c r="L2" s="1385" t="s">
        <v>71</v>
      </c>
      <c r="M2" s="1386"/>
      <c r="N2" s="1386"/>
      <c r="O2" s="1387"/>
      <c r="P2" s="1392" t="s">
        <v>92</v>
      </c>
    </row>
    <row r="3" spans="1:17" s="360" customFormat="1" ht="27" customHeight="1">
      <c r="A3" s="1384"/>
      <c r="B3" s="1388" t="s">
        <v>551</v>
      </c>
      <c r="C3" s="1391"/>
      <c r="D3" s="1385" t="s">
        <v>558</v>
      </c>
      <c r="E3" s="1387"/>
      <c r="F3" s="1294"/>
      <c r="G3" s="1388" t="s">
        <v>551</v>
      </c>
      <c r="H3" s="1391"/>
      <c r="I3" s="1385" t="s">
        <v>558</v>
      </c>
      <c r="J3" s="1387"/>
      <c r="K3" s="1384"/>
      <c r="L3" s="1388" t="s">
        <v>567</v>
      </c>
      <c r="M3" s="1391"/>
      <c r="N3" s="1385" t="s">
        <v>558</v>
      </c>
      <c r="O3" s="1387"/>
      <c r="P3" s="1294"/>
    </row>
    <row r="4" spans="1:17" s="360" customFormat="1" ht="27" customHeight="1">
      <c r="A4" s="1312"/>
      <c r="B4" s="907" t="s">
        <v>530</v>
      </c>
      <c r="C4" s="907" t="s">
        <v>531</v>
      </c>
      <c r="D4" s="907" t="s">
        <v>533</v>
      </c>
      <c r="E4" s="907" t="s">
        <v>534</v>
      </c>
      <c r="F4" s="1325"/>
      <c r="G4" s="907" t="s">
        <v>530</v>
      </c>
      <c r="H4" s="907" t="s">
        <v>531</v>
      </c>
      <c r="I4" s="907" t="s">
        <v>533</v>
      </c>
      <c r="J4" s="907" t="s">
        <v>534</v>
      </c>
      <c r="K4" s="1312"/>
      <c r="L4" s="907" t="s">
        <v>530</v>
      </c>
      <c r="M4" s="907" t="s">
        <v>531</v>
      </c>
      <c r="N4" s="907" t="s">
        <v>533</v>
      </c>
      <c r="O4" s="907" t="s">
        <v>534</v>
      </c>
      <c r="P4" s="1325"/>
    </row>
    <row r="5" spans="1:17" s="102" customFormat="1" ht="18" customHeight="1">
      <c r="A5" s="918" t="s">
        <v>520</v>
      </c>
      <c r="B5" s="893">
        <v>6550.62</v>
      </c>
      <c r="C5" s="922">
        <v>194.57000000000002</v>
      </c>
      <c r="D5" s="893">
        <v>9296.52</v>
      </c>
      <c r="E5" s="922">
        <v>381.98000000000008</v>
      </c>
      <c r="F5" s="893">
        <v>16423.689999999999</v>
      </c>
      <c r="G5" s="893">
        <v>6645.7642925999999</v>
      </c>
      <c r="H5" s="922">
        <v>209.98746928</v>
      </c>
      <c r="I5" s="893">
        <v>2068.4298365000004</v>
      </c>
      <c r="J5" s="922">
        <v>745.28976819000002</v>
      </c>
      <c r="K5" s="893">
        <v>9669.4713665699983</v>
      </c>
      <c r="L5" s="922" t="s">
        <v>221</v>
      </c>
      <c r="M5" s="922" t="s">
        <v>221</v>
      </c>
      <c r="N5" s="922" t="s">
        <v>221</v>
      </c>
      <c r="O5" s="922" t="s">
        <v>221</v>
      </c>
      <c r="P5" s="893" t="s">
        <v>221</v>
      </c>
    </row>
    <row r="6" spans="1:17" s="102" customFormat="1" ht="18" customHeight="1">
      <c r="A6" s="213" t="s">
        <v>1165</v>
      </c>
      <c r="B6" s="895">
        <f>SUM(B7:B10)</f>
        <v>1536.87</v>
      </c>
      <c r="C6" s="895">
        <f t="shared" ref="C6:K6" si="0">SUM(C7:C10)</f>
        <v>41.030000000000008</v>
      </c>
      <c r="D6" s="895">
        <f t="shared" si="0"/>
        <v>150.65000000000003</v>
      </c>
      <c r="E6" s="895">
        <f t="shared" si="0"/>
        <v>17.789999999999996</v>
      </c>
      <c r="F6" s="895">
        <f>SUM(F7:F10)</f>
        <v>1746.3400000000001</v>
      </c>
      <c r="G6" s="895">
        <f>SUM(G7:G10)</f>
        <v>1243.4815108499999</v>
      </c>
      <c r="H6" s="895">
        <f t="shared" si="0"/>
        <v>32.703441650000002</v>
      </c>
      <c r="I6" s="895">
        <f t="shared" si="0"/>
        <v>152.29689625</v>
      </c>
      <c r="J6" s="895">
        <f t="shared" si="0"/>
        <v>22.568682029999994</v>
      </c>
      <c r="K6" s="895">
        <f t="shared" si="0"/>
        <v>1451.0505307799999</v>
      </c>
      <c r="L6" s="923" t="s">
        <v>221</v>
      </c>
      <c r="M6" s="923" t="s">
        <v>221</v>
      </c>
      <c r="N6" s="923" t="s">
        <v>221</v>
      </c>
      <c r="O6" s="923" t="s">
        <v>221</v>
      </c>
      <c r="P6" s="924" t="s">
        <v>221</v>
      </c>
    </row>
    <row r="7" spans="1:17" s="360" customFormat="1" ht="18" customHeight="1">
      <c r="A7" s="179">
        <v>45383</v>
      </c>
      <c r="B7" s="345">
        <v>399.36</v>
      </c>
      <c r="C7" s="345">
        <v>2.65</v>
      </c>
      <c r="D7" s="345">
        <v>147.27000000000001</v>
      </c>
      <c r="E7" s="345">
        <v>16.29</v>
      </c>
      <c r="F7" s="358">
        <v>565.57000000000005</v>
      </c>
      <c r="G7" s="415">
        <v>290.54980611000002</v>
      </c>
      <c r="H7" s="415">
        <v>1.2335245100000001</v>
      </c>
      <c r="I7" s="415">
        <v>146.26018450000001</v>
      </c>
      <c r="J7" s="415">
        <v>17.952041999999999</v>
      </c>
      <c r="K7" s="350">
        <v>455.99555712</v>
      </c>
      <c r="L7" s="345" t="s">
        <v>221</v>
      </c>
      <c r="M7" s="345" t="s">
        <v>221</v>
      </c>
      <c r="N7" s="345" t="s">
        <v>221</v>
      </c>
      <c r="O7" s="345" t="s">
        <v>221</v>
      </c>
      <c r="P7" s="345" t="s">
        <v>221</v>
      </c>
    </row>
    <row r="8" spans="1:17" s="360" customFormat="1" ht="18" customHeight="1">
      <c r="A8" s="179">
        <v>45413</v>
      </c>
      <c r="B8" s="345">
        <v>345.68</v>
      </c>
      <c r="C8" s="345">
        <v>20.85</v>
      </c>
      <c r="D8" s="345">
        <v>2.33</v>
      </c>
      <c r="E8" s="345">
        <v>1.27</v>
      </c>
      <c r="F8" s="358">
        <v>370.13</v>
      </c>
      <c r="G8" s="345">
        <v>303.24492935000001</v>
      </c>
      <c r="H8" s="345">
        <v>18.722498999999999</v>
      </c>
      <c r="I8" s="345">
        <v>3.3531594999999998</v>
      </c>
      <c r="J8" s="345">
        <v>3.7566815</v>
      </c>
      <c r="K8" s="358">
        <v>329.07726934999999</v>
      </c>
      <c r="L8" s="345" t="s">
        <v>221</v>
      </c>
      <c r="M8" s="345" t="s">
        <v>221</v>
      </c>
      <c r="N8" s="345" t="s">
        <v>221</v>
      </c>
      <c r="O8" s="345" t="s">
        <v>221</v>
      </c>
      <c r="P8" s="345" t="s">
        <v>221</v>
      </c>
    </row>
    <row r="9" spans="1:17" s="360" customFormat="1" ht="18" customHeight="1">
      <c r="A9" s="179">
        <v>45444</v>
      </c>
      <c r="B9" s="345">
        <v>608.74</v>
      </c>
      <c r="C9" s="345">
        <v>16.010000000000002</v>
      </c>
      <c r="D9" s="345">
        <v>0.56000000000000005</v>
      </c>
      <c r="E9" s="345">
        <v>0.15</v>
      </c>
      <c r="F9" s="358">
        <v>625.46</v>
      </c>
      <c r="G9" s="345">
        <v>498.90203063000001</v>
      </c>
      <c r="H9" s="345">
        <v>11.680053770000001</v>
      </c>
      <c r="I9" s="345">
        <v>1.7202010000000001</v>
      </c>
      <c r="J9" s="345">
        <v>0.61476662999999998</v>
      </c>
      <c r="K9" s="358">
        <v>512.91705203000004</v>
      </c>
      <c r="L9" s="345" t="s">
        <v>221</v>
      </c>
      <c r="M9" s="345" t="s">
        <v>221</v>
      </c>
      <c r="N9" s="345" t="s">
        <v>221</v>
      </c>
      <c r="O9" s="345" t="s">
        <v>221</v>
      </c>
      <c r="P9" s="345" t="s">
        <v>221</v>
      </c>
    </row>
    <row r="10" spans="1:17" s="360" customFormat="1" ht="18" customHeight="1">
      <c r="A10" s="179">
        <v>45474</v>
      </c>
      <c r="B10" s="345">
        <v>183.09</v>
      </c>
      <c r="C10" s="345">
        <v>1.52</v>
      </c>
      <c r="D10" s="345">
        <v>0.49</v>
      </c>
      <c r="E10" s="345">
        <v>0.08</v>
      </c>
      <c r="F10" s="358">
        <v>185.18</v>
      </c>
      <c r="G10" s="345">
        <v>150.78474476</v>
      </c>
      <c r="H10" s="345">
        <v>1.06736437</v>
      </c>
      <c r="I10" s="345">
        <v>0.96335124999999999</v>
      </c>
      <c r="J10" s="345">
        <v>0.24519189999999999</v>
      </c>
      <c r="K10" s="358">
        <v>153.06065228</v>
      </c>
      <c r="L10" s="345" t="s">
        <v>221</v>
      </c>
      <c r="M10" s="345" t="s">
        <v>221</v>
      </c>
      <c r="N10" s="345" t="s">
        <v>221</v>
      </c>
      <c r="O10" s="345" t="s">
        <v>221</v>
      </c>
      <c r="P10" s="345" t="s">
        <v>221</v>
      </c>
    </row>
    <row r="11" spans="1:17" s="360" customFormat="1">
      <c r="A11" s="136"/>
      <c r="B11" s="145"/>
      <c r="C11" s="145"/>
      <c r="D11" s="145"/>
      <c r="E11" s="145"/>
      <c r="F11" s="362"/>
      <c r="G11" s="145"/>
      <c r="H11" s="145"/>
      <c r="I11" s="145"/>
      <c r="J11" s="145"/>
      <c r="K11" s="362"/>
      <c r="L11" s="145"/>
      <c r="M11" s="145"/>
      <c r="N11" s="145"/>
      <c r="O11" s="145"/>
      <c r="P11" s="145"/>
    </row>
    <row r="12" spans="1:17" s="360" customFormat="1" ht="15" customHeight="1">
      <c r="A12" s="1318" t="s">
        <v>167</v>
      </c>
      <c r="B12" s="1318"/>
      <c r="C12" s="1318"/>
      <c r="D12" s="1318"/>
      <c r="E12" s="1318"/>
      <c r="F12" s="1318"/>
      <c r="G12" s="1318"/>
      <c r="H12" s="1318"/>
      <c r="I12" s="1318"/>
      <c r="J12" s="1318"/>
      <c r="K12" s="1318"/>
      <c r="L12" s="1318"/>
      <c r="M12" s="1318"/>
      <c r="N12" s="1318"/>
      <c r="O12" s="1318"/>
    </row>
    <row r="13" spans="1:17" s="360" customFormat="1" ht="15" customHeight="1">
      <c r="A13" s="97" t="s">
        <v>1258</v>
      </c>
      <c r="B13" s="353"/>
      <c r="C13" s="353"/>
      <c r="D13" s="353"/>
      <c r="E13" s="353"/>
      <c r="F13" s="353"/>
      <c r="G13" s="353"/>
      <c r="H13" s="353"/>
      <c r="I13" s="353"/>
      <c r="J13" s="353"/>
      <c r="K13" s="353"/>
      <c r="L13" s="353"/>
      <c r="M13" s="353"/>
      <c r="N13" s="353"/>
      <c r="O13" s="353"/>
    </row>
    <row r="14" spans="1:17">
      <c r="A14" s="97" t="s">
        <v>1299</v>
      </c>
      <c r="P14" s="353"/>
    </row>
    <row r="15" spans="1:17">
      <c r="B15" s="353"/>
      <c r="C15" s="353"/>
      <c r="D15" s="353"/>
      <c r="E15" s="353"/>
      <c r="F15" s="353"/>
      <c r="G15" s="353"/>
      <c r="H15" s="353"/>
      <c r="I15" s="353"/>
      <c r="J15" s="353"/>
      <c r="K15" s="353"/>
      <c r="L15" s="353"/>
      <c r="M15" s="353"/>
      <c r="N15" s="353"/>
      <c r="O15" s="353"/>
    </row>
    <row r="16" spans="1:17">
      <c r="P16" s="353"/>
      <c r="Q16" s="353"/>
    </row>
  </sheetData>
  <mergeCells count="14">
    <mergeCell ref="A12:O12"/>
    <mergeCell ref="P2:P4"/>
    <mergeCell ref="B3:C3"/>
    <mergeCell ref="D3:E3"/>
    <mergeCell ref="G3:H3"/>
    <mergeCell ref="I3:J3"/>
    <mergeCell ref="L3:M3"/>
    <mergeCell ref="N3:O3"/>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workbookViewId="0">
      <selection activeCell="B6" sqref="B6"/>
    </sheetView>
  </sheetViews>
  <sheetFormatPr defaultColWidth="9.140625" defaultRowHeight="15"/>
  <cols>
    <col min="1" max="9" width="12.140625" style="97" customWidth="1"/>
    <col min="10" max="15" width="12.140625" style="97" bestFit="1" customWidth="1"/>
    <col min="16" max="16" width="4.5703125" style="97" bestFit="1" customWidth="1"/>
    <col min="17" max="16384" width="9.140625" style="97"/>
  </cols>
  <sheetData>
    <row r="1" spans="1:15">
      <c r="A1" s="206" t="s">
        <v>568</v>
      </c>
      <c r="B1" s="206"/>
      <c r="C1" s="206"/>
      <c r="D1" s="206"/>
      <c r="E1" s="206"/>
      <c r="F1" s="206"/>
      <c r="G1" s="206"/>
      <c r="H1" s="206"/>
      <c r="I1" s="206"/>
    </row>
    <row r="2" spans="1:15" s="360" customFormat="1" ht="18" customHeight="1">
      <c r="A2" s="1392" t="s">
        <v>168</v>
      </c>
      <c r="B2" s="1393" t="s">
        <v>564</v>
      </c>
      <c r="C2" s="1394"/>
      <c r="D2" s="1394"/>
      <c r="E2" s="1394"/>
      <c r="F2" s="1394"/>
      <c r="G2" s="1394"/>
      <c r="H2" s="1395"/>
      <c r="I2" s="1393" t="s">
        <v>569</v>
      </c>
      <c r="J2" s="1394"/>
      <c r="K2" s="1394"/>
      <c r="L2" s="1394"/>
      <c r="M2" s="1394"/>
      <c r="N2" s="1394"/>
      <c r="O2" s="1395"/>
    </row>
    <row r="3" spans="1:15" s="360" customFormat="1" ht="18" customHeight="1">
      <c r="A3" s="1325"/>
      <c r="B3" s="909" t="s">
        <v>570</v>
      </c>
      <c r="C3" s="909" t="s">
        <v>571</v>
      </c>
      <c r="D3" s="909" t="s">
        <v>572</v>
      </c>
      <c r="E3" s="909" t="s">
        <v>573</v>
      </c>
      <c r="F3" s="909" t="s">
        <v>574</v>
      </c>
      <c r="G3" s="909" t="s">
        <v>575</v>
      </c>
      <c r="H3" s="909" t="s">
        <v>576</v>
      </c>
      <c r="I3" s="909" t="s">
        <v>570</v>
      </c>
      <c r="J3" s="909" t="s">
        <v>571</v>
      </c>
      <c r="K3" s="909" t="s">
        <v>572</v>
      </c>
      <c r="L3" s="909" t="s">
        <v>573</v>
      </c>
      <c r="M3" s="909" t="s">
        <v>574</v>
      </c>
      <c r="N3" s="909" t="s">
        <v>575</v>
      </c>
      <c r="O3" s="909" t="s">
        <v>576</v>
      </c>
    </row>
    <row r="4" spans="1:15" s="102" customFormat="1" ht="18" customHeight="1">
      <c r="A4" s="876" t="s">
        <v>520</v>
      </c>
      <c r="B4" s="889">
        <v>2288114.5998154995</v>
      </c>
      <c r="C4" s="893">
        <v>14552.657838250001</v>
      </c>
      <c r="D4" s="893">
        <v>34351.92843475</v>
      </c>
      <c r="E4" s="893">
        <v>8795.9715429999997</v>
      </c>
      <c r="F4" s="893">
        <v>8.7103064999999993E-2</v>
      </c>
      <c r="G4" s="893">
        <v>0</v>
      </c>
      <c r="H4" s="893">
        <v>8.4343625000000005E-2</v>
      </c>
      <c r="I4" s="925">
        <v>1146547</v>
      </c>
      <c r="J4" s="926">
        <v>1361</v>
      </c>
      <c r="K4" s="926">
        <v>7470</v>
      </c>
      <c r="L4" s="926">
        <v>3407</v>
      </c>
      <c r="M4" s="927">
        <v>0</v>
      </c>
      <c r="N4" s="927">
        <v>0</v>
      </c>
      <c r="O4" s="927">
        <v>0</v>
      </c>
    </row>
    <row r="5" spans="1:15" s="102" customFormat="1" ht="18" customHeight="1">
      <c r="A5" s="879" t="s">
        <v>1165</v>
      </c>
      <c r="B5" s="928">
        <f>SUM(B6:B9)</f>
        <v>30839.646930499999</v>
      </c>
      <c r="C5" s="928">
        <f t="shared" ref="C5:H5" si="0">SUM(C6:C9)</f>
        <v>109.8955505</v>
      </c>
      <c r="D5" s="928">
        <f t="shared" si="0"/>
        <v>130.21486200000001</v>
      </c>
      <c r="E5" s="928">
        <f t="shared" si="0"/>
        <v>42.435428000000002</v>
      </c>
      <c r="F5" s="252">
        <f t="shared" si="0"/>
        <v>0</v>
      </c>
      <c r="G5" s="252">
        <f t="shared" si="0"/>
        <v>0</v>
      </c>
      <c r="H5" s="252">
        <f t="shared" si="0"/>
        <v>0</v>
      </c>
      <c r="I5" s="252">
        <f t="shared" ref="I5:O5" si="1">INDEX(I6:I9,COUNT(I6:I9))</f>
        <v>535</v>
      </c>
      <c r="J5" s="252">
        <f t="shared" si="1"/>
        <v>0</v>
      </c>
      <c r="K5" s="252">
        <f t="shared" si="1"/>
        <v>0</v>
      </c>
      <c r="L5" s="252">
        <f t="shared" si="1"/>
        <v>0</v>
      </c>
      <c r="M5" s="252">
        <f t="shared" si="1"/>
        <v>0</v>
      </c>
      <c r="N5" s="252">
        <f t="shared" si="1"/>
        <v>0</v>
      </c>
      <c r="O5" s="252">
        <f t="shared" si="1"/>
        <v>0</v>
      </c>
    </row>
    <row r="6" spans="1:15" s="360" customFormat="1">
      <c r="A6" s="179">
        <v>45383</v>
      </c>
      <c r="B6" s="358">
        <v>26383.751637249999</v>
      </c>
      <c r="C6" s="358">
        <v>109.8955505</v>
      </c>
      <c r="D6" s="358">
        <v>130.21486200000001</v>
      </c>
      <c r="E6" s="358">
        <v>42.435428000000002</v>
      </c>
      <c r="F6" s="358">
        <v>0</v>
      </c>
      <c r="G6" s="358">
        <v>0</v>
      </c>
      <c r="H6" s="358">
        <v>0</v>
      </c>
      <c r="I6" s="359">
        <v>252110</v>
      </c>
      <c r="J6" s="358">
        <v>17</v>
      </c>
      <c r="K6" s="358">
        <v>548</v>
      </c>
      <c r="L6" s="358">
        <v>10</v>
      </c>
      <c r="M6" s="346">
        <v>0</v>
      </c>
      <c r="N6" s="346">
        <v>0</v>
      </c>
      <c r="O6" s="346">
        <v>0</v>
      </c>
    </row>
    <row r="7" spans="1:15" s="360" customFormat="1">
      <c r="A7" s="179">
        <v>45413</v>
      </c>
      <c r="B7" s="358">
        <v>2011.5061392499999</v>
      </c>
      <c r="C7" s="358">
        <v>0</v>
      </c>
      <c r="D7" s="358">
        <v>0</v>
      </c>
      <c r="E7" s="358">
        <v>0</v>
      </c>
      <c r="F7" s="358">
        <v>0</v>
      </c>
      <c r="G7" s="358">
        <v>0</v>
      </c>
      <c r="H7" s="358">
        <v>0</v>
      </c>
      <c r="I7" s="358">
        <v>9076</v>
      </c>
      <c r="J7" s="358">
        <v>0</v>
      </c>
      <c r="K7" s="358">
        <v>0</v>
      </c>
      <c r="L7" s="358">
        <v>0</v>
      </c>
      <c r="M7" s="346">
        <v>0</v>
      </c>
      <c r="N7" s="346">
        <v>0</v>
      </c>
      <c r="O7" s="346">
        <v>0</v>
      </c>
    </row>
    <row r="8" spans="1:15" s="360" customFormat="1">
      <c r="A8" s="179">
        <v>45444</v>
      </c>
      <c r="B8" s="358">
        <v>2268.5628320000001</v>
      </c>
      <c r="C8" s="358">
        <v>0</v>
      </c>
      <c r="D8" s="358">
        <v>0</v>
      </c>
      <c r="E8" s="358">
        <v>0</v>
      </c>
      <c r="F8" s="358">
        <v>0</v>
      </c>
      <c r="G8" s="358">
        <v>0</v>
      </c>
      <c r="H8" s="358">
        <v>0</v>
      </c>
      <c r="I8" s="358">
        <v>45810</v>
      </c>
      <c r="J8" s="358">
        <v>0</v>
      </c>
      <c r="K8" s="358">
        <v>0</v>
      </c>
      <c r="L8" s="358">
        <v>0</v>
      </c>
      <c r="M8" s="358">
        <v>0</v>
      </c>
      <c r="N8" s="358">
        <v>0</v>
      </c>
      <c r="O8" s="358">
        <v>0</v>
      </c>
    </row>
    <row r="9" spans="1:15" s="360" customFormat="1">
      <c r="A9" s="179">
        <v>45474</v>
      </c>
      <c r="B9" s="358">
        <v>175.826322</v>
      </c>
      <c r="C9" s="358">
        <v>0</v>
      </c>
      <c r="D9" s="358">
        <v>0</v>
      </c>
      <c r="E9" s="358">
        <v>0</v>
      </c>
      <c r="F9" s="358">
        <v>0</v>
      </c>
      <c r="G9" s="358">
        <v>0</v>
      </c>
      <c r="H9" s="358">
        <v>0</v>
      </c>
      <c r="I9" s="358">
        <v>535</v>
      </c>
      <c r="J9" s="358">
        <v>0</v>
      </c>
      <c r="K9" s="358">
        <v>0</v>
      </c>
      <c r="L9" s="358">
        <v>0</v>
      </c>
      <c r="M9" s="346">
        <v>0</v>
      </c>
      <c r="N9" s="346">
        <v>0</v>
      </c>
      <c r="O9" s="346">
        <v>0</v>
      </c>
    </row>
    <row r="10" spans="1:15" s="360" customFormat="1">
      <c r="A10" s="519"/>
      <c r="B10" s="519"/>
      <c r="C10" s="519"/>
      <c r="D10" s="519"/>
      <c r="E10" s="519"/>
      <c r="F10" s="519"/>
      <c r="G10" s="519"/>
      <c r="H10" s="519"/>
      <c r="I10" s="519"/>
    </row>
    <row r="11" spans="1:15" s="360" customFormat="1" ht="15" customHeight="1">
      <c r="A11" s="1318" t="s">
        <v>258</v>
      </c>
      <c r="B11" s="1318"/>
      <c r="C11" s="1318"/>
      <c r="D11" s="1318"/>
      <c r="E11" s="1318"/>
      <c r="F11" s="1318"/>
      <c r="G11" s="1318"/>
      <c r="H11" s="1318"/>
      <c r="I11" s="1318"/>
    </row>
    <row r="12" spans="1:15" s="360" customFormat="1" ht="15" customHeight="1">
      <c r="A12" s="484" t="s">
        <v>1299</v>
      </c>
      <c r="B12" s="139"/>
      <c r="C12" s="139"/>
      <c r="D12" s="139"/>
      <c r="E12" s="139"/>
      <c r="F12" s="139"/>
      <c r="G12" s="139"/>
      <c r="H12" s="139"/>
      <c r="I12" s="139"/>
    </row>
    <row r="13" spans="1:15" s="360" customFormat="1">
      <c r="A13" s="97"/>
      <c r="B13" s="143"/>
      <c r="C13" s="143"/>
      <c r="D13" s="143"/>
      <c r="E13" s="97"/>
      <c r="F13" s="143"/>
      <c r="G13" s="143"/>
      <c r="H13" s="143"/>
      <c r="I13" s="143"/>
      <c r="J13" s="139"/>
      <c r="K13" s="139"/>
      <c r="L13" s="139"/>
      <c r="M13" s="139"/>
      <c r="N13" s="139"/>
      <c r="O13" s="139"/>
    </row>
    <row r="14" spans="1:15">
      <c r="B14" s="143"/>
      <c r="C14" s="143"/>
      <c r="D14" s="143"/>
      <c r="E14" s="143"/>
      <c r="F14" s="143"/>
      <c r="G14" s="143"/>
      <c r="J14" s="143"/>
      <c r="K14" s="143"/>
      <c r="L14" s="143"/>
      <c r="M14" s="143"/>
      <c r="N14" s="143"/>
      <c r="O14" s="143"/>
    </row>
    <row r="15" spans="1:15">
      <c r="G15" s="143"/>
    </row>
  </sheetData>
  <mergeCells count="4">
    <mergeCell ref="A2:A3"/>
    <mergeCell ref="B2:H2"/>
    <mergeCell ref="I2:O2"/>
    <mergeCell ref="A11:I11"/>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workbookViewId="0">
      <selection activeCell="B5" sqref="B5"/>
    </sheetView>
  </sheetViews>
  <sheetFormatPr defaultColWidth="9.140625" defaultRowHeight="15"/>
  <cols>
    <col min="1" max="15" width="14.5703125" style="97" bestFit="1" customWidth="1"/>
    <col min="16" max="16" width="4.5703125" style="97" bestFit="1" customWidth="1"/>
    <col min="17" max="16384" width="9.140625" style="97"/>
  </cols>
  <sheetData>
    <row r="1" spans="1:15" ht="18.75" customHeight="1">
      <c r="A1" s="206" t="s">
        <v>577</v>
      </c>
      <c r="B1" s="206"/>
      <c r="C1" s="206"/>
      <c r="D1" s="206"/>
      <c r="E1" s="206"/>
      <c r="F1" s="206"/>
      <c r="G1" s="206"/>
    </row>
    <row r="2" spans="1:15" s="360" customFormat="1" ht="18" customHeight="1">
      <c r="A2" s="1392" t="s">
        <v>168</v>
      </c>
      <c r="B2" s="1393" t="s">
        <v>578</v>
      </c>
      <c r="C2" s="1394"/>
      <c r="D2" s="1394"/>
      <c r="E2" s="1394"/>
      <c r="F2" s="1394"/>
      <c r="G2" s="1394"/>
      <c r="H2" s="1395"/>
      <c r="I2" s="1393" t="s">
        <v>579</v>
      </c>
      <c r="J2" s="1394"/>
      <c r="K2" s="1394"/>
      <c r="L2" s="1394"/>
      <c r="M2" s="1394"/>
      <c r="N2" s="1394"/>
      <c r="O2" s="1395"/>
    </row>
    <row r="3" spans="1:15" s="360" customFormat="1" ht="18" customHeight="1">
      <c r="A3" s="1325"/>
      <c r="B3" s="909" t="s">
        <v>570</v>
      </c>
      <c r="C3" s="909" t="s">
        <v>571</v>
      </c>
      <c r="D3" s="909" t="s">
        <v>572</v>
      </c>
      <c r="E3" s="909" t="s">
        <v>573</v>
      </c>
      <c r="F3" s="909" t="s">
        <v>574</v>
      </c>
      <c r="G3" s="909" t="s">
        <v>575</v>
      </c>
      <c r="H3" s="909" t="s">
        <v>576</v>
      </c>
      <c r="I3" s="909" t="s">
        <v>570</v>
      </c>
      <c r="J3" s="909" t="s">
        <v>571</v>
      </c>
      <c r="K3" s="909" t="s">
        <v>572</v>
      </c>
      <c r="L3" s="909" t="s">
        <v>573</v>
      </c>
      <c r="M3" s="909" t="s">
        <v>574</v>
      </c>
      <c r="N3" s="909" t="s">
        <v>575</v>
      </c>
      <c r="O3" s="909" t="s">
        <v>576</v>
      </c>
    </row>
    <row r="4" spans="1:15" s="102" customFormat="1" ht="18" customHeight="1">
      <c r="A4" s="876" t="s">
        <v>520</v>
      </c>
      <c r="B4" s="920">
        <v>33624479.010000005</v>
      </c>
      <c r="C4" s="889">
        <v>482803.10000000003</v>
      </c>
      <c r="D4" s="889">
        <v>887082.6</v>
      </c>
      <c r="E4" s="889">
        <v>142697.10999999999</v>
      </c>
      <c r="F4" s="893">
        <v>3473.4500000000003</v>
      </c>
      <c r="G4" s="893">
        <v>2765.37</v>
      </c>
      <c r="H4" s="893">
        <v>737.5100000000001</v>
      </c>
      <c r="I4" s="920">
        <v>17252112</v>
      </c>
      <c r="J4" s="889">
        <v>158115</v>
      </c>
      <c r="K4" s="889">
        <v>260489</v>
      </c>
      <c r="L4" s="893">
        <v>133270</v>
      </c>
      <c r="M4" s="893">
        <v>306</v>
      </c>
      <c r="N4" s="893">
        <v>373</v>
      </c>
      <c r="O4" s="893">
        <v>38</v>
      </c>
    </row>
    <row r="5" spans="1:15" s="102" customFormat="1" ht="18" customHeight="1">
      <c r="A5" s="879" t="s">
        <v>1165</v>
      </c>
      <c r="B5" s="928">
        <f>SUM(B6:B9)</f>
        <v>618168.13</v>
      </c>
      <c r="C5" s="928">
        <f t="shared" ref="C5:H5" si="0">SUM(C6:C9)</f>
        <v>8266.31</v>
      </c>
      <c r="D5" s="928">
        <f t="shared" si="0"/>
        <v>13090.95</v>
      </c>
      <c r="E5" s="928">
        <f t="shared" si="0"/>
        <v>2375.9</v>
      </c>
      <c r="F5" s="928">
        <f t="shared" si="0"/>
        <v>602.72</v>
      </c>
      <c r="G5" s="928">
        <f t="shared" si="0"/>
        <v>895.34</v>
      </c>
      <c r="H5" s="928">
        <f t="shared" si="0"/>
        <v>63.290000000000006</v>
      </c>
      <c r="I5" s="252">
        <f t="shared" ref="I5:O5" si="1">INDEX(I6:I9,COUNT(I6:I9))</f>
        <v>1261707</v>
      </c>
      <c r="J5" s="252">
        <f t="shared" si="1"/>
        <v>21945</v>
      </c>
      <c r="K5" s="252">
        <f t="shared" si="1"/>
        <v>29722</v>
      </c>
      <c r="L5" s="252">
        <f t="shared" si="1"/>
        <v>16987</v>
      </c>
      <c r="M5" s="252">
        <f t="shared" si="1"/>
        <v>981</v>
      </c>
      <c r="N5" s="252">
        <f t="shared" si="1"/>
        <v>813</v>
      </c>
      <c r="O5" s="252">
        <f t="shared" si="1"/>
        <v>233</v>
      </c>
    </row>
    <row r="6" spans="1:15" s="360" customFormat="1">
      <c r="A6" s="179">
        <v>45383</v>
      </c>
      <c r="B6" s="359">
        <v>354714.26</v>
      </c>
      <c r="C6" s="358">
        <v>5457.25</v>
      </c>
      <c r="D6" s="358">
        <v>9130.51</v>
      </c>
      <c r="E6" s="358">
        <v>1761.07</v>
      </c>
      <c r="F6" s="358">
        <v>120.69</v>
      </c>
      <c r="G6" s="358">
        <v>427.2</v>
      </c>
      <c r="H6" s="358">
        <v>15.61</v>
      </c>
      <c r="I6" s="358">
        <v>4135879</v>
      </c>
      <c r="J6" s="358">
        <v>22073</v>
      </c>
      <c r="K6" s="358">
        <v>15433</v>
      </c>
      <c r="L6" s="358">
        <v>10464</v>
      </c>
      <c r="M6" s="358">
        <v>1904</v>
      </c>
      <c r="N6" s="358">
        <v>19090</v>
      </c>
      <c r="O6" s="358">
        <v>318</v>
      </c>
    </row>
    <row r="7" spans="1:15" s="360" customFormat="1">
      <c r="A7" s="179">
        <v>45413</v>
      </c>
      <c r="B7" s="359">
        <v>108114.93</v>
      </c>
      <c r="C7" s="358">
        <v>1005.53</v>
      </c>
      <c r="D7" s="358">
        <v>1120.0999999999999</v>
      </c>
      <c r="E7" s="358">
        <v>203.68</v>
      </c>
      <c r="F7" s="358">
        <v>125.51</v>
      </c>
      <c r="G7" s="358">
        <v>393.48</v>
      </c>
      <c r="H7" s="358">
        <v>8.3800000000000008</v>
      </c>
      <c r="I7" s="358">
        <v>3018383</v>
      </c>
      <c r="J7" s="358">
        <v>18716</v>
      </c>
      <c r="K7" s="358">
        <v>17914</v>
      </c>
      <c r="L7" s="358">
        <v>5104</v>
      </c>
      <c r="M7" s="358">
        <v>2907</v>
      </c>
      <c r="N7" s="358">
        <v>941</v>
      </c>
      <c r="O7" s="358">
        <v>220</v>
      </c>
    </row>
    <row r="8" spans="1:15" s="360" customFormat="1">
      <c r="A8" s="179">
        <v>45444</v>
      </c>
      <c r="B8" s="359">
        <v>110875.45</v>
      </c>
      <c r="C8" s="358">
        <v>930.84</v>
      </c>
      <c r="D8" s="358">
        <v>1128.03</v>
      </c>
      <c r="E8" s="358">
        <v>83.59</v>
      </c>
      <c r="F8" s="358">
        <v>169.57</v>
      </c>
      <c r="G8" s="358">
        <v>31.06</v>
      </c>
      <c r="H8" s="358">
        <v>21.32</v>
      </c>
      <c r="I8" s="358">
        <v>2858464</v>
      </c>
      <c r="J8" s="358">
        <v>12750</v>
      </c>
      <c r="K8" s="358">
        <v>6616</v>
      </c>
      <c r="L8" s="358">
        <v>2378</v>
      </c>
      <c r="M8" s="358">
        <v>909</v>
      </c>
      <c r="N8" s="358">
        <v>287</v>
      </c>
      <c r="O8" s="358">
        <v>847</v>
      </c>
    </row>
    <row r="9" spans="1:15" s="360" customFormat="1">
      <c r="A9" s="179">
        <v>45474</v>
      </c>
      <c r="B9" s="287">
        <v>44463.49</v>
      </c>
      <c r="C9" s="287">
        <v>872.69</v>
      </c>
      <c r="D9" s="287">
        <v>1712.31</v>
      </c>
      <c r="E9" s="287">
        <v>327.56</v>
      </c>
      <c r="F9" s="287">
        <v>186.95</v>
      </c>
      <c r="G9" s="287">
        <v>43.6</v>
      </c>
      <c r="H9" s="287">
        <v>17.98</v>
      </c>
      <c r="I9" s="287">
        <v>1261707</v>
      </c>
      <c r="J9" s="287">
        <v>21945</v>
      </c>
      <c r="K9" s="287">
        <v>29722</v>
      </c>
      <c r="L9" s="1030">
        <v>16987</v>
      </c>
      <c r="M9" s="358">
        <v>981</v>
      </c>
      <c r="N9" s="358">
        <v>813</v>
      </c>
      <c r="O9" s="358">
        <v>233</v>
      </c>
    </row>
    <row r="10" spans="1:15" s="360" customFormat="1">
      <c r="A10" s="516"/>
      <c r="B10" s="516"/>
      <c r="C10" s="516"/>
      <c r="D10" s="516"/>
      <c r="E10" s="516"/>
      <c r="F10" s="516"/>
      <c r="G10" s="516"/>
      <c r="H10" s="516"/>
      <c r="I10" s="516"/>
    </row>
    <row r="11" spans="1:15" s="360" customFormat="1">
      <c r="A11" s="1283" t="s">
        <v>310</v>
      </c>
      <c r="B11" s="1283"/>
      <c r="C11" s="1283"/>
      <c r="D11" s="1283"/>
      <c r="E11" s="1283"/>
      <c r="F11" s="1283"/>
      <c r="G11" s="1283"/>
      <c r="H11" s="1283"/>
      <c r="I11" s="1283"/>
    </row>
    <row r="12" spans="1:15" s="360" customFormat="1">
      <c r="A12" s="484" t="s">
        <v>1299</v>
      </c>
      <c r="B12" s="143"/>
      <c r="C12" s="143"/>
      <c r="D12" s="143"/>
      <c r="E12" s="143"/>
      <c r="F12" s="143"/>
      <c r="G12" s="143"/>
      <c r="H12" s="143"/>
      <c r="I12" s="97"/>
    </row>
    <row r="17" spans="4:4">
      <c r="D17" s="160"/>
    </row>
  </sheetData>
  <mergeCells count="4">
    <mergeCell ref="A2:A3"/>
    <mergeCell ref="B2:H2"/>
    <mergeCell ref="I2:O2"/>
    <mergeCell ref="A11:I11"/>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workbookViewId="0">
      <selection activeCell="B6" sqref="B6"/>
    </sheetView>
  </sheetViews>
  <sheetFormatPr defaultColWidth="9.140625" defaultRowHeight="15"/>
  <cols>
    <col min="1" max="9" width="14.5703125" style="97" bestFit="1" customWidth="1"/>
    <col min="10" max="16384" width="9.140625" style="97"/>
  </cols>
  <sheetData>
    <row r="1" spans="1:9" ht="18.75" customHeight="1">
      <c r="A1" s="523" t="s">
        <v>580</v>
      </c>
      <c r="B1" s="523"/>
      <c r="C1" s="523"/>
      <c r="D1" s="523"/>
      <c r="E1" s="523"/>
      <c r="F1" s="523"/>
      <c r="G1" s="523"/>
    </row>
    <row r="2" spans="1:9" s="360" customFormat="1" ht="27" customHeight="1">
      <c r="A2" s="1392" t="s">
        <v>168</v>
      </c>
      <c r="B2" s="1385" t="s">
        <v>269</v>
      </c>
      <c r="C2" s="1386"/>
      <c r="D2" s="1386"/>
      <c r="E2" s="1387"/>
      <c r="F2" s="1410" t="s">
        <v>581</v>
      </c>
      <c r="G2" s="1411"/>
      <c r="H2" s="1411"/>
      <c r="I2" s="1412"/>
    </row>
    <row r="3" spans="1:9" s="360" customFormat="1" ht="18" customHeight="1">
      <c r="A3" s="1325"/>
      <c r="B3" s="909" t="s">
        <v>570</v>
      </c>
      <c r="C3" s="909" t="s">
        <v>571</v>
      </c>
      <c r="D3" s="909" t="s">
        <v>572</v>
      </c>
      <c r="E3" s="909" t="s">
        <v>573</v>
      </c>
      <c r="F3" s="909" t="s">
        <v>570</v>
      </c>
      <c r="G3" s="909" t="s">
        <v>571</v>
      </c>
      <c r="H3" s="909" t="s">
        <v>572</v>
      </c>
      <c r="I3" s="909" t="s">
        <v>573</v>
      </c>
    </row>
    <row r="4" spans="1:9" s="102" customFormat="1" ht="18" customHeight="1">
      <c r="A4" s="876" t="s">
        <v>520</v>
      </c>
      <c r="B4" s="893">
        <v>247087.80125950006</v>
      </c>
      <c r="C4" s="893">
        <v>41.063919250000005</v>
      </c>
      <c r="D4" s="893">
        <v>553.48741949999999</v>
      </c>
      <c r="E4" s="893">
        <v>55.695217749999998</v>
      </c>
      <c r="F4" s="893">
        <v>103178</v>
      </c>
      <c r="G4" s="893">
        <v>0</v>
      </c>
      <c r="H4" s="893">
        <v>8</v>
      </c>
      <c r="I4" s="893">
        <v>0</v>
      </c>
    </row>
    <row r="5" spans="1:9" s="102" customFormat="1" ht="18" customHeight="1">
      <c r="A5" s="879" t="s">
        <v>1165</v>
      </c>
      <c r="B5" s="895">
        <f>SUM(B6:B9)</f>
        <v>7141.1350430000002</v>
      </c>
      <c r="C5" s="895">
        <f>SUM(C6:C9)</f>
        <v>0</v>
      </c>
      <c r="D5" s="895">
        <f>SUM(D6:D9)</f>
        <v>0</v>
      </c>
      <c r="E5" s="895">
        <f>SUM(E6:E9)</f>
        <v>0</v>
      </c>
      <c r="F5" s="252">
        <f>INDEX(F6:F9,COUNT(F6:F9))</f>
        <v>0</v>
      </c>
      <c r="G5" s="252">
        <f>IFERROR(INDEX(G6:G9,COUNT(G6:G9)), "0")</f>
        <v>0</v>
      </c>
      <c r="H5" s="252">
        <f>IFERROR(INDEX(H6:H9,COUNT(H6:H9)), "0")</f>
        <v>0</v>
      </c>
      <c r="I5" s="252">
        <f>IFERROR(INDEX(I6:I9,COUNT(I6:I9)), "0")</f>
        <v>0</v>
      </c>
    </row>
    <row r="6" spans="1:9" s="360" customFormat="1">
      <c r="A6" s="179">
        <v>45383</v>
      </c>
      <c r="B6" s="358">
        <v>5312.076293000001</v>
      </c>
      <c r="C6" s="358">
        <v>0</v>
      </c>
      <c r="D6" s="358">
        <v>0</v>
      </c>
      <c r="E6" s="358">
        <v>0</v>
      </c>
      <c r="F6" s="358">
        <v>40175</v>
      </c>
      <c r="G6" s="358" t="s">
        <v>234</v>
      </c>
      <c r="H6" s="358" t="s">
        <v>234</v>
      </c>
      <c r="I6" s="358" t="s">
        <v>234</v>
      </c>
    </row>
    <row r="7" spans="1:9" s="360" customFormat="1">
      <c r="A7" s="179">
        <v>45413</v>
      </c>
      <c r="B7" s="358">
        <v>1001.7</v>
      </c>
      <c r="C7" s="358">
        <v>0</v>
      </c>
      <c r="D7" s="358">
        <v>0</v>
      </c>
      <c r="E7" s="358">
        <v>0</v>
      </c>
      <c r="F7" s="358">
        <v>4</v>
      </c>
      <c r="G7" s="358">
        <v>0</v>
      </c>
      <c r="H7" s="358">
        <v>0</v>
      </c>
      <c r="I7" s="358">
        <v>0</v>
      </c>
    </row>
    <row r="8" spans="1:9" s="360" customFormat="1">
      <c r="A8" s="179">
        <v>45444</v>
      </c>
      <c r="B8" s="358">
        <v>651.57425000000001</v>
      </c>
      <c r="C8" s="358">
        <v>0</v>
      </c>
      <c r="D8" s="358">
        <v>0</v>
      </c>
      <c r="E8" s="358">
        <v>0</v>
      </c>
      <c r="F8" s="358">
        <v>28000</v>
      </c>
      <c r="G8" s="358">
        <v>0</v>
      </c>
      <c r="H8" s="358">
        <v>0</v>
      </c>
      <c r="I8" s="358">
        <v>0</v>
      </c>
    </row>
    <row r="9" spans="1:9" s="360" customFormat="1">
      <c r="A9" s="179">
        <v>45474</v>
      </c>
      <c r="B9" s="358">
        <v>175.78450000000001</v>
      </c>
      <c r="C9" s="358">
        <v>0</v>
      </c>
      <c r="D9" s="358">
        <v>0</v>
      </c>
      <c r="E9" s="358">
        <v>0</v>
      </c>
      <c r="F9" s="358">
        <v>0</v>
      </c>
      <c r="G9" s="358">
        <v>0</v>
      </c>
      <c r="H9" s="358">
        <v>0</v>
      </c>
      <c r="I9" s="358">
        <v>0</v>
      </c>
    </row>
    <row r="10" spans="1:9" s="360" customFormat="1">
      <c r="A10" s="516"/>
      <c r="B10" s="516"/>
      <c r="C10" s="516"/>
      <c r="D10" s="516"/>
      <c r="E10" s="516"/>
      <c r="F10" s="516"/>
      <c r="G10" s="516"/>
      <c r="H10" s="516"/>
      <c r="I10" s="516"/>
    </row>
    <row r="11" spans="1:9" s="360" customFormat="1">
      <c r="A11" s="516" t="s">
        <v>276</v>
      </c>
      <c r="B11" s="516"/>
      <c r="C11" s="516"/>
      <c r="D11" s="516"/>
      <c r="E11" s="516"/>
      <c r="F11" s="516"/>
      <c r="G11" s="516"/>
      <c r="H11" s="516"/>
      <c r="I11" s="516"/>
    </row>
    <row r="12" spans="1:9" s="360" customFormat="1">
      <c r="A12" s="484" t="s">
        <v>1299</v>
      </c>
      <c r="B12" s="516"/>
      <c r="C12" s="516"/>
      <c r="D12" s="516"/>
      <c r="E12" s="516"/>
      <c r="F12" s="516"/>
      <c r="G12" s="516"/>
      <c r="H12" s="516"/>
      <c r="I12" s="516"/>
    </row>
    <row r="13" spans="1:9" s="360" customFormat="1">
      <c r="A13" s="97"/>
      <c r="B13" s="109"/>
      <c r="C13" s="109"/>
      <c r="D13" s="109"/>
      <c r="E13" s="109"/>
      <c r="F13" s="109"/>
      <c r="G13" s="109"/>
      <c r="H13" s="109"/>
      <c r="I13" s="109"/>
    </row>
    <row r="14" spans="1:9">
      <c r="B14" s="110"/>
      <c r="C14" s="110"/>
      <c r="D14" s="110"/>
      <c r="E14" s="110"/>
    </row>
    <row r="15" spans="1:9">
      <c r="B15" s="110"/>
      <c r="C15" s="110"/>
      <c r="D15" s="110"/>
      <c r="E15" s="110"/>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workbookViewId="0">
      <selection activeCell="B6" sqref="B6"/>
    </sheetView>
  </sheetViews>
  <sheetFormatPr defaultColWidth="9.140625" defaultRowHeight="15"/>
  <cols>
    <col min="1" max="1" width="12.140625" style="97" bestFit="1" customWidth="1"/>
    <col min="2" max="2" width="12.140625" style="97" customWidth="1"/>
    <col min="3" max="6" width="12.140625" style="97" bestFit="1" customWidth="1"/>
    <col min="7" max="7" width="12.140625" style="97" customWidth="1"/>
    <col min="8" max="11" width="12.140625" style="97" bestFit="1" customWidth="1"/>
    <col min="12" max="12" width="22.42578125" style="97" bestFit="1" customWidth="1"/>
    <col min="13" max="13" width="4.5703125" style="97" bestFit="1" customWidth="1"/>
    <col min="14" max="16384" width="9.140625" style="97"/>
  </cols>
  <sheetData>
    <row r="1" spans="1:12" ht="15.75" customHeight="1">
      <c r="A1" s="523" t="s">
        <v>582</v>
      </c>
      <c r="B1" s="523"/>
      <c r="C1" s="523"/>
      <c r="D1" s="523"/>
      <c r="E1" s="523"/>
      <c r="F1" s="523"/>
      <c r="G1" s="523"/>
      <c r="H1" s="523"/>
      <c r="I1" s="523"/>
      <c r="J1" s="523"/>
      <c r="K1" s="523"/>
      <c r="L1" s="523"/>
    </row>
    <row r="2" spans="1:12" s="360" customFormat="1" ht="19.5" customHeight="1">
      <c r="A2" s="1398" t="s">
        <v>168</v>
      </c>
      <c r="B2" s="1413" t="s">
        <v>551</v>
      </c>
      <c r="C2" s="1414"/>
      <c r="D2" s="1414"/>
      <c r="E2" s="1414"/>
      <c r="F2" s="1415"/>
      <c r="G2" s="1393" t="s">
        <v>558</v>
      </c>
      <c r="H2" s="1394"/>
      <c r="I2" s="1394"/>
      <c r="J2" s="1394"/>
      <c r="K2" s="1395"/>
    </row>
    <row r="3" spans="1:12" s="360" customFormat="1">
      <c r="A3" s="1305"/>
      <c r="B3" s="526" t="s">
        <v>583</v>
      </c>
      <c r="C3" s="929" t="s">
        <v>584</v>
      </c>
      <c r="D3" s="909" t="s">
        <v>585</v>
      </c>
      <c r="E3" s="909" t="s">
        <v>586</v>
      </c>
      <c r="F3" s="909" t="s">
        <v>587</v>
      </c>
      <c r="G3" s="909" t="s">
        <v>583</v>
      </c>
      <c r="H3" s="909" t="s">
        <v>584</v>
      </c>
      <c r="I3" s="909" t="s">
        <v>585</v>
      </c>
      <c r="J3" s="909" t="s">
        <v>586</v>
      </c>
      <c r="K3" s="909" t="s">
        <v>587</v>
      </c>
    </row>
    <row r="4" spans="1:12" s="102" customFormat="1" ht="17.25" customHeight="1">
      <c r="A4" s="876" t="s">
        <v>520</v>
      </c>
      <c r="B4" s="161">
        <v>265155.58940524998</v>
      </c>
      <c r="C4" s="889">
        <v>1582715.4185500001</v>
      </c>
      <c r="D4" s="889">
        <v>323528.36560299998</v>
      </c>
      <c r="E4" s="893">
        <v>14354.014708000001</v>
      </c>
      <c r="F4" s="893">
        <v>3740.2410360000022</v>
      </c>
      <c r="G4" s="893">
        <v>87232.275318500004</v>
      </c>
      <c r="H4" s="893">
        <v>51139.150599250024</v>
      </c>
      <c r="I4" s="893">
        <v>16606.64022175</v>
      </c>
      <c r="J4" s="893">
        <v>1343.6427497500003</v>
      </c>
      <c r="K4" s="893">
        <v>0</v>
      </c>
    </row>
    <row r="5" spans="1:12" s="102" customFormat="1" ht="17.25" customHeight="1">
      <c r="A5" s="879" t="s">
        <v>1165</v>
      </c>
      <c r="B5" s="895">
        <f>SUM(B6:B9)</f>
        <v>425.11490000000003</v>
      </c>
      <c r="C5" s="895">
        <f t="shared" ref="C5:K5" si="0">SUM(C6:C9)</f>
        <v>223203.35890000002</v>
      </c>
      <c r="D5" s="895">
        <f t="shared" si="0"/>
        <v>5922.6467000000002</v>
      </c>
      <c r="E5" s="895">
        <f t="shared" si="0"/>
        <v>186.8305</v>
      </c>
      <c r="F5" s="895">
        <f t="shared" si="0"/>
        <v>167.45919999999998</v>
      </c>
      <c r="G5" s="895">
        <f t="shared" si="0"/>
        <v>91.471999999999994</v>
      </c>
      <c r="H5" s="895">
        <f t="shared" si="0"/>
        <v>264.4076</v>
      </c>
      <c r="I5" s="895">
        <f t="shared" si="0"/>
        <v>1.6799999999999999E-2</v>
      </c>
      <c r="J5" s="895">
        <f t="shared" si="0"/>
        <v>0</v>
      </c>
      <c r="K5" s="895">
        <f t="shared" si="0"/>
        <v>0</v>
      </c>
      <c r="L5" s="360"/>
    </row>
    <row r="6" spans="1:12" s="360" customFormat="1">
      <c r="A6" s="179">
        <v>45383</v>
      </c>
      <c r="B6" s="358">
        <v>425.11490000000003</v>
      </c>
      <c r="C6" s="358">
        <v>24202.961899999998</v>
      </c>
      <c r="D6" s="358">
        <v>1328.1263000000001</v>
      </c>
      <c r="E6" s="358">
        <v>186.73869999999999</v>
      </c>
      <c r="F6" s="358">
        <v>167.45919999999998</v>
      </c>
      <c r="G6" s="358">
        <v>91.471999999999994</v>
      </c>
      <c r="H6" s="358">
        <v>264.4076</v>
      </c>
      <c r="I6" s="358">
        <v>1.6799999999999999E-2</v>
      </c>
      <c r="J6" s="358">
        <v>0</v>
      </c>
      <c r="K6" s="358">
        <v>0</v>
      </c>
    </row>
    <row r="7" spans="1:12" s="360" customFormat="1">
      <c r="A7" s="179">
        <v>45413</v>
      </c>
      <c r="B7" s="358">
        <v>0</v>
      </c>
      <c r="C7" s="359">
        <v>196923.91000000003</v>
      </c>
      <c r="D7" s="358">
        <v>4226.71</v>
      </c>
      <c r="E7" s="358">
        <v>0</v>
      </c>
      <c r="F7" s="358">
        <v>0</v>
      </c>
      <c r="G7" s="358">
        <v>0</v>
      </c>
      <c r="H7" s="358">
        <v>0</v>
      </c>
      <c r="I7" s="358">
        <v>0</v>
      </c>
      <c r="J7" s="358">
        <v>0</v>
      </c>
      <c r="K7" s="358">
        <v>0</v>
      </c>
    </row>
    <row r="8" spans="1:12" s="360" customFormat="1">
      <c r="A8" s="179">
        <v>45444</v>
      </c>
      <c r="B8" s="358">
        <v>0</v>
      </c>
      <c r="C8" s="358">
        <v>1900.6690999999998</v>
      </c>
      <c r="D8" s="358">
        <v>367.81039999999996</v>
      </c>
      <c r="E8" s="358">
        <v>8.3400000000000002E-2</v>
      </c>
      <c r="F8" s="358">
        <v>0</v>
      </c>
      <c r="G8" s="358">
        <v>0</v>
      </c>
      <c r="H8" s="358">
        <v>0</v>
      </c>
      <c r="I8" s="358">
        <v>0</v>
      </c>
      <c r="J8" s="358">
        <v>0</v>
      </c>
      <c r="K8" s="358">
        <v>0</v>
      </c>
    </row>
    <row r="9" spans="1:12" s="360" customFormat="1">
      <c r="A9" s="179">
        <v>45474</v>
      </c>
      <c r="B9" s="358">
        <v>0</v>
      </c>
      <c r="C9" s="358">
        <v>175.81789999999998</v>
      </c>
      <c r="D9" s="358">
        <v>0</v>
      </c>
      <c r="E9" s="358">
        <v>8.3999999999999995E-3</v>
      </c>
      <c r="F9" s="358">
        <v>0</v>
      </c>
      <c r="G9" s="358">
        <v>0</v>
      </c>
      <c r="H9" s="358">
        <v>0</v>
      </c>
      <c r="I9" s="358">
        <v>0</v>
      </c>
      <c r="J9" s="358">
        <v>0</v>
      </c>
      <c r="K9" s="358">
        <v>0</v>
      </c>
    </row>
    <row r="10" spans="1:12" s="360" customFormat="1">
      <c r="A10" s="136"/>
      <c r="B10" s="362"/>
      <c r="C10" s="137"/>
      <c r="D10" s="362"/>
      <c r="E10" s="362"/>
      <c r="F10" s="362"/>
      <c r="G10" s="362"/>
      <c r="H10" s="362"/>
      <c r="I10" s="362"/>
      <c r="J10" s="362"/>
      <c r="K10" s="362"/>
    </row>
    <row r="11" spans="1:12" s="360" customFormat="1" ht="15" customHeight="1">
      <c r="A11" s="1318" t="s">
        <v>258</v>
      </c>
      <c r="B11" s="1318"/>
      <c r="C11" s="1318"/>
      <c r="D11" s="1318"/>
      <c r="E11" s="1318"/>
      <c r="F11" s="1318"/>
      <c r="G11" s="1318"/>
      <c r="H11" s="1318"/>
      <c r="I11" s="1318"/>
      <c r="J11" s="1318"/>
      <c r="K11" s="1318"/>
    </row>
    <row r="12" spans="1:12" s="360" customFormat="1" ht="15" customHeight="1">
      <c r="A12" s="484" t="s">
        <v>1299</v>
      </c>
      <c r="B12" s="109"/>
      <c r="C12" s="109"/>
      <c r="D12" s="109"/>
      <c r="E12" s="109"/>
      <c r="F12" s="109"/>
      <c r="G12" s="109"/>
      <c r="H12" s="109"/>
      <c r="I12" s="109"/>
      <c r="J12" s="109"/>
      <c r="K12" s="109"/>
    </row>
    <row r="13" spans="1:12">
      <c r="B13" s="110"/>
      <c r="C13" s="110"/>
      <c r="D13" s="110"/>
      <c r="E13" s="110"/>
      <c r="F13" s="110"/>
      <c r="G13" s="110"/>
      <c r="H13" s="110"/>
      <c r="I13" s="110"/>
      <c r="J13" s="110"/>
      <c r="K13" s="110"/>
    </row>
    <row r="14" spans="1:12">
      <c r="B14" s="162"/>
      <c r="C14" s="162"/>
      <c r="F14" s="110"/>
      <c r="K14" s="110"/>
    </row>
    <row r="15" spans="1:12">
      <c r="B15" s="162"/>
      <c r="C15" s="162"/>
      <c r="F15" s="110"/>
      <c r="K15" s="110"/>
    </row>
    <row r="16" spans="1:12">
      <c r="B16" s="162"/>
      <c r="C16" s="162"/>
      <c r="F16" s="110"/>
      <c r="K16" s="110"/>
    </row>
    <row r="17" spans="2:11">
      <c r="B17" s="120"/>
      <c r="C17" s="120"/>
      <c r="F17" s="110"/>
      <c r="K17" s="110"/>
    </row>
    <row r="18" spans="2:11">
      <c r="F18" s="110"/>
      <c r="K18" s="110"/>
    </row>
    <row r="19" spans="2:11">
      <c r="F19" s="110"/>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workbookViewId="0">
      <selection activeCell="B6" sqref="B6"/>
    </sheetView>
  </sheetViews>
  <sheetFormatPr defaultColWidth="9.140625" defaultRowHeight="15"/>
  <cols>
    <col min="1" max="1" width="12.42578125" style="97" bestFit="1" customWidth="1"/>
    <col min="2" max="2" width="12.42578125" style="97" customWidth="1"/>
    <col min="3" max="6" width="12.42578125" style="97" bestFit="1" customWidth="1"/>
    <col min="7" max="7" width="12.42578125" style="97" customWidth="1"/>
    <col min="8" max="10" width="12.140625" style="97" bestFit="1" customWidth="1"/>
    <col min="11" max="11" width="12.42578125" style="97" bestFit="1" customWidth="1"/>
    <col min="12" max="13" width="9.140625" style="97"/>
    <col min="14" max="14" width="10.5703125" style="97" bestFit="1" customWidth="1"/>
    <col min="15" max="15" width="10.28515625" style="97" bestFit="1" customWidth="1"/>
    <col min="16" max="16384" width="9.140625" style="97"/>
  </cols>
  <sheetData>
    <row r="1" spans="1:15" ht="17.25" customHeight="1">
      <c r="A1" s="251" t="s">
        <v>588</v>
      </c>
      <c r="B1" s="261"/>
      <c r="C1" s="261"/>
      <c r="D1" s="261"/>
      <c r="E1" s="261"/>
      <c r="F1" s="261"/>
      <c r="G1" s="261"/>
      <c r="H1" s="261"/>
      <c r="I1" s="261"/>
      <c r="J1" s="261"/>
      <c r="K1" s="261"/>
    </row>
    <row r="2" spans="1:15" s="360" customFormat="1" ht="18" customHeight="1">
      <c r="A2" s="1416" t="s">
        <v>168</v>
      </c>
      <c r="B2" s="1418" t="s">
        <v>551</v>
      </c>
      <c r="C2" s="1419"/>
      <c r="D2" s="1419"/>
      <c r="E2" s="1419"/>
      <c r="F2" s="1420"/>
      <c r="G2" s="1421" t="s">
        <v>558</v>
      </c>
      <c r="H2" s="1422"/>
      <c r="I2" s="1422"/>
      <c r="J2" s="1422"/>
      <c r="K2" s="1423"/>
    </row>
    <row r="3" spans="1:15" s="360" customFormat="1" ht="18" customHeight="1">
      <c r="A3" s="1417"/>
      <c r="B3" s="216" t="s">
        <v>583</v>
      </c>
      <c r="C3" s="930" t="s">
        <v>584</v>
      </c>
      <c r="D3" s="931" t="s">
        <v>589</v>
      </c>
      <c r="E3" s="931" t="s">
        <v>586</v>
      </c>
      <c r="F3" s="931" t="s">
        <v>587</v>
      </c>
      <c r="G3" s="931" t="s">
        <v>583</v>
      </c>
      <c r="H3" s="931" t="s">
        <v>584</v>
      </c>
      <c r="I3" s="931" t="s">
        <v>585</v>
      </c>
      <c r="J3" s="931" t="s">
        <v>586</v>
      </c>
      <c r="K3" s="931" t="s">
        <v>587</v>
      </c>
    </row>
    <row r="4" spans="1:15" s="102" customFormat="1" ht="16.5" customHeight="1">
      <c r="A4" s="876" t="s">
        <v>520</v>
      </c>
      <c r="B4" s="275">
        <v>619188.15919525002</v>
      </c>
      <c r="C4" s="932">
        <v>4685370.8459481057</v>
      </c>
      <c r="D4" s="932">
        <v>1501948.9385291443</v>
      </c>
      <c r="E4" s="932">
        <v>222220.96535619488</v>
      </c>
      <c r="F4" s="932">
        <v>173012.63311431001</v>
      </c>
      <c r="G4" s="204">
        <v>19093760.92444725</v>
      </c>
      <c r="H4" s="932">
        <v>7358692.7990452508</v>
      </c>
      <c r="I4" s="932">
        <v>1360063.1282590001</v>
      </c>
      <c r="J4" s="932">
        <v>122684.10330375</v>
      </c>
      <c r="K4" s="932">
        <v>7094.0754217499998</v>
      </c>
    </row>
    <row r="5" spans="1:15" s="102" customFormat="1" ht="16.5" customHeight="1">
      <c r="A5" s="879" t="s">
        <v>1165</v>
      </c>
      <c r="B5" s="895">
        <f>SUM(B6:B9)</f>
        <v>31836.108092518498</v>
      </c>
      <c r="C5" s="895">
        <f t="shared" ref="C5:K5" si="0">SUM(C6:C9)</f>
        <v>352480.74374293658</v>
      </c>
      <c r="D5" s="895">
        <f t="shared" si="0"/>
        <v>82472.600243471868</v>
      </c>
      <c r="E5" s="895">
        <f t="shared" si="0"/>
        <v>4190.5516092499993</v>
      </c>
      <c r="F5" s="895">
        <f t="shared" si="0"/>
        <v>6527.361843250007</v>
      </c>
      <c r="G5" s="895">
        <f t="shared" si="0"/>
        <v>57217.539015749986</v>
      </c>
      <c r="H5" s="895">
        <f t="shared" si="0"/>
        <v>90327.776322999984</v>
      </c>
      <c r="I5" s="895">
        <f t="shared" si="0"/>
        <v>14459.972864000003</v>
      </c>
      <c r="J5" s="895">
        <f t="shared" si="0"/>
        <v>3543.6504180000006</v>
      </c>
      <c r="K5" s="895">
        <f t="shared" si="0"/>
        <v>406.35107775</v>
      </c>
      <c r="L5" s="103"/>
      <c r="M5" s="103"/>
      <c r="N5" s="163"/>
      <c r="O5" s="164"/>
    </row>
    <row r="6" spans="1:15" s="360" customFormat="1" ht="16.5" customHeight="1">
      <c r="A6" s="179">
        <v>45383</v>
      </c>
      <c r="B6" s="351">
        <v>2881.8392305000002</v>
      </c>
      <c r="C6" s="351">
        <v>160682.56208672433</v>
      </c>
      <c r="D6" s="351">
        <v>45518.748263879817</v>
      </c>
      <c r="E6" s="351">
        <v>2917.7947239999994</v>
      </c>
      <c r="F6" s="351">
        <v>5437.4272440000068</v>
      </c>
      <c r="G6" s="351">
        <v>54900.824904749985</v>
      </c>
      <c r="H6" s="351">
        <v>82105.088391749989</v>
      </c>
      <c r="I6" s="351">
        <v>13265.001724250002</v>
      </c>
      <c r="J6" s="351">
        <v>3541.6720505000003</v>
      </c>
      <c r="K6" s="350">
        <v>375.64347524999999</v>
      </c>
      <c r="L6" s="109"/>
      <c r="M6" s="163"/>
      <c r="N6" s="163"/>
      <c r="O6" s="164"/>
    </row>
    <row r="7" spans="1:15" s="360" customFormat="1" ht="16.5" customHeight="1">
      <c r="A7" s="179">
        <v>45413</v>
      </c>
      <c r="B7" s="351">
        <v>28953.808095518496</v>
      </c>
      <c r="C7" s="351">
        <v>75037.492755135987</v>
      </c>
      <c r="D7" s="351">
        <v>125.46981049999999</v>
      </c>
      <c r="E7" s="351">
        <v>531.01790325000002</v>
      </c>
      <c r="F7" s="351">
        <v>502.71215499999994</v>
      </c>
      <c r="G7" s="351">
        <v>2253.3843769999999</v>
      </c>
      <c r="H7" s="351">
        <v>3540.1047944999996</v>
      </c>
      <c r="I7" s="351">
        <v>0</v>
      </c>
      <c r="J7" s="351">
        <v>0</v>
      </c>
      <c r="K7" s="350">
        <v>27.615787999999998</v>
      </c>
      <c r="L7" s="109"/>
      <c r="M7" s="163"/>
      <c r="N7" s="163"/>
      <c r="O7" s="164"/>
    </row>
    <row r="8" spans="1:15" s="360" customFormat="1" ht="16.5" customHeight="1">
      <c r="A8" s="179">
        <v>45444</v>
      </c>
      <c r="B8" s="351">
        <v>4.1729000000000002E-2</v>
      </c>
      <c r="C8" s="351">
        <v>83575.053086768166</v>
      </c>
      <c r="D8" s="351">
        <v>25076.659561358545</v>
      </c>
      <c r="E8" s="351">
        <v>389.94100775000004</v>
      </c>
      <c r="F8" s="351">
        <v>270.36145599999992</v>
      </c>
      <c r="G8" s="351">
        <v>55.23289900000001</v>
      </c>
      <c r="H8" s="351">
        <v>3220.9740507499992</v>
      </c>
      <c r="I8" s="351">
        <v>647.45904300000007</v>
      </c>
      <c r="J8" s="351">
        <v>1.0430699999999999</v>
      </c>
      <c r="K8" s="350">
        <v>3.0918145000000004</v>
      </c>
      <c r="L8" s="109"/>
      <c r="M8" s="163"/>
      <c r="N8" s="163"/>
      <c r="O8" s="164"/>
    </row>
    <row r="9" spans="1:15" s="360" customFormat="1" ht="16.5" customHeight="1">
      <c r="A9" s="179">
        <v>45474</v>
      </c>
      <c r="B9" s="351">
        <v>0.41903750000000001</v>
      </c>
      <c r="C9" s="351">
        <v>33185.635814308131</v>
      </c>
      <c r="D9" s="351">
        <v>11751.722607733509</v>
      </c>
      <c r="E9" s="351">
        <v>351.79797424999998</v>
      </c>
      <c r="F9" s="351">
        <v>316.86098825000005</v>
      </c>
      <c r="G9" s="351">
        <v>8.0968350000000004</v>
      </c>
      <c r="H9" s="351">
        <v>1461.6090860000004</v>
      </c>
      <c r="I9" s="351">
        <v>547.51209674999996</v>
      </c>
      <c r="J9" s="351">
        <v>0.9352975</v>
      </c>
      <c r="K9" s="350">
        <v>0</v>
      </c>
      <c r="L9" s="109"/>
      <c r="M9" s="163"/>
      <c r="N9" s="163"/>
      <c r="O9" s="164"/>
    </row>
    <row r="10" spans="1:15" s="360" customFormat="1">
      <c r="L10" s="109"/>
      <c r="M10" s="163"/>
      <c r="N10" s="163"/>
      <c r="O10" s="164"/>
    </row>
    <row r="11" spans="1:15" s="360" customFormat="1" ht="15" customHeight="1">
      <c r="A11" s="1424" t="s">
        <v>590</v>
      </c>
      <c r="B11" s="1424"/>
      <c r="C11" s="1424"/>
      <c r="D11" s="1424"/>
      <c r="E11" s="1424"/>
      <c r="F11" s="1424"/>
      <c r="G11" s="1424"/>
      <c r="H11" s="1424"/>
      <c r="I11" s="1424"/>
      <c r="J11" s="1424"/>
      <c r="K11" s="1424"/>
      <c r="L11" s="109"/>
    </row>
    <row r="12" spans="1:15" s="360" customFormat="1">
      <c r="A12" s="484" t="s">
        <v>1299</v>
      </c>
    </row>
    <row r="13" spans="1:15" s="360" customFormat="1">
      <c r="A13" s="360" t="s">
        <v>310</v>
      </c>
    </row>
    <row r="14" spans="1:15">
      <c r="F14" s="120"/>
      <c r="K14" s="120"/>
    </row>
    <row r="15" spans="1:15">
      <c r="F15" s="120"/>
      <c r="K15" s="120"/>
    </row>
    <row r="16" spans="1:15">
      <c r="F16" s="120"/>
      <c r="K16" s="120"/>
    </row>
    <row r="17" spans="5:11">
      <c r="F17" s="120"/>
      <c r="K17" s="120"/>
    </row>
    <row r="18" spans="5:11">
      <c r="E18" s="120"/>
      <c r="F18" s="120"/>
      <c r="K18" s="120"/>
    </row>
    <row r="19" spans="5:11">
      <c r="F19" s="120"/>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workbookViewId="0">
      <selection activeCell="C6" sqref="C6"/>
    </sheetView>
  </sheetViews>
  <sheetFormatPr defaultColWidth="9.140625" defaultRowHeight="15"/>
  <cols>
    <col min="1" max="1" width="12.140625" style="97" bestFit="1" customWidth="1"/>
    <col min="2" max="2" width="12.140625" style="97" customWidth="1"/>
    <col min="3" max="6" width="12.140625" style="97" bestFit="1" customWidth="1"/>
    <col min="7" max="7" width="12.140625" style="97" customWidth="1"/>
    <col min="8" max="11" width="12.140625" style="97" bestFit="1" customWidth="1"/>
    <col min="12" max="12" width="4.5703125" style="97" bestFit="1" customWidth="1"/>
    <col min="13" max="16384" width="9.140625" style="97"/>
  </cols>
  <sheetData>
    <row r="1" spans="1:11" ht="18" customHeight="1">
      <c r="A1" s="251" t="s">
        <v>591</v>
      </c>
      <c r="B1" s="251"/>
      <c r="C1" s="251"/>
      <c r="D1" s="251"/>
      <c r="E1" s="251"/>
      <c r="F1" s="251"/>
      <c r="G1" s="251"/>
      <c r="H1" s="251"/>
      <c r="I1" s="251"/>
      <c r="J1" s="251"/>
      <c r="K1" s="251"/>
    </row>
    <row r="2" spans="1:11" s="360" customFormat="1" ht="18" customHeight="1">
      <c r="A2" s="1416" t="s">
        <v>168</v>
      </c>
      <c r="B2" s="1418" t="s">
        <v>551</v>
      </c>
      <c r="C2" s="1419"/>
      <c r="D2" s="1419"/>
      <c r="E2" s="1419"/>
      <c r="F2" s="1420"/>
      <c r="G2" s="1421" t="s">
        <v>558</v>
      </c>
      <c r="H2" s="1422"/>
      <c r="I2" s="1422"/>
      <c r="J2" s="1422"/>
      <c r="K2" s="1423"/>
    </row>
    <row r="3" spans="1:11" s="360" customFormat="1" ht="18" customHeight="1">
      <c r="A3" s="1417"/>
      <c r="B3" s="216" t="s">
        <v>583</v>
      </c>
      <c r="C3" s="930" t="s">
        <v>584</v>
      </c>
      <c r="D3" s="931" t="s">
        <v>589</v>
      </c>
      <c r="E3" s="931" t="s">
        <v>586</v>
      </c>
      <c r="F3" s="931" t="s">
        <v>587</v>
      </c>
      <c r="G3" s="931" t="s">
        <v>583</v>
      </c>
      <c r="H3" s="931" t="s">
        <v>584</v>
      </c>
      <c r="I3" s="931" t="s">
        <v>585</v>
      </c>
      <c r="J3" s="931" t="s">
        <v>586</v>
      </c>
      <c r="K3" s="931" t="s">
        <v>587</v>
      </c>
    </row>
    <row r="4" spans="1:11" s="102" customFormat="1" ht="17.25" customHeight="1">
      <c r="A4" s="876" t="s">
        <v>520</v>
      </c>
      <c r="B4" s="275">
        <v>14.802290500000003</v>
      </c>
      <c r="C4" s="932">
        <v>145944.96059725003</v>
      </c>
      <c r="D4" s="932">
        <v>72897.092392749997</v>
      </c>
      <c r="E4" s="932">
        <v>28876.607645249998</v>
      </c>
      <c r="F4" s="932">
        <v>4.5848877499999992</v>
      </c>
      <c r="G4" s="204">
        <v>0</v>
      </c>
      <c r="H4" s="932">
        <v>0</v>
      </c>
      <c r="I4" s="932">
        <v>0</v>
      </c>
      <c r="J4" s="932">
        <v>0</v>
      </c>
      <c r="K4" s="932">
        <v>0</v>
      </c>
    </row>
    <row r="5" spans="1:11" s="102" customFormat="1" ht="17.25" customHeight="1">
      <c r="A5" s="879" t="s">
        <v>1165</v>
      </c>
      <c r="B5" s="895">
        <f>SUM(B6:B9)</f>
        <v>0.78358949999999994</v>
      </c>
      <c r="C5" s="895">
        <f>SUM(C6:C9)</f>
        <v>4984.0877375</v>
      </c>
      <c r="D5" s="895">
        <f t="shared" ref="D5:K5" si="0">SUM(D6:D9)</f>
        <v>2156.1633980000001</v>
      </c>
      <c r="E5" s="895">
        <f t="shared" si="0"/>
        <v>0.10031799999999999</v>
      </c>
      <c r="F5" s="895">
        <f t="shared" si="0"/>
        <v>0</v>
      </c>
      <c r="G5" s="895">
        <f t="shared" si="0"/>
        <v>0</v>
      </c>
      <c r="H5" s="895">
        <f t="shared" si="0"/>
        <v>0</v>
      </c>
      <c r="I5" s="895">
        <f t="shared" si="0"/>
        <v>0</v>
      </c>
      <c r="J5" s="895">
        <f t="shared" si="0"/>
        <v>0</v>
      </c>
      <c r="K5" s="895">
        <f t="shared" si="0"/>
        <v>0</v>
      </c>
    </row>
    <row r="6" spans="1:11" s="360" customFormat="1" ht="17.25" customHeight="1">
      <c r="A6" s="179">
        <v>45383</v>
      </c>
      <c r="B6" s="351">
        <v>0.78358949999999994</v>
      </c>
      <c r="C6" s="351">
        <v>3389.2969875000008</v>
      </c>
      <c r="D6" s="351">
        <v>1921.8953980000001</v>
      </c>
      <c r="E6" s="351">
        <v>0.10031799999999999</v>
      </c>
      <c r="F6" s="351">
        <v>0</v>
      </c>
      <c r="G6" s="351">
        <v>0</v>
      </c>
      <c r="H6" s="348">
        <v>0</v>
      </c>
      <c r="I6" s="351">
        <v>0</v>
      </c>
      <c r="J6" s="351">
        <v>0</v>
      </c>
      <c r="K6" s="350">
        <v>0</v>
      </c>
    </row>
    <row r="7" spans="1:11" s="360" customFormat="1" ht="17.25" customHeight="1">
      <c r="A7" s="179">
        <v>45413</v>
      </c>
      <c r="B7" s="351">
        <v>0</v>
      </c>
      <c r="C7" s="351">
        <v>1001.7</v>
      </c>
      <c r="D7" s="351">
        <v>0</v>
      </c>
      <c r="E7" s="351">
        <v>0</v>
      </c>
      <c r="F7" s="351">
        <v>0</v>
      </c>
      <c r="G7" s="351">
        <v>0</v>
      </c>
      <c r="H7" s="348">
        <v>0</v>
      </c>
      <c r="I7" s="351">
        <v>0</v>
      </c>
      <c r="J7" s="351">
        <v>0</v>
      </c>
      <c r="K7" s="350">
        <v>0</v>
      </c>
    </row>
    <row r="8" spans="1:11" s="360" customFormat="1" ht="17.25" customHeight="1">
      <c r="A8" s="179">
        <v>45444</v>
      </c>
      <c r="B8" s="351">
        <v>0</v>
      </c>
      <c r="C8" s="351">
        <v>417.30624999999998</v>
      </c>
      <c r="D8" s="351">
        <v>234.268</v>
      </c>
      <c r="E8" s="351">
        <v>0</v>
      </c>
      <c r="F8" s="351">
        <v>0</v>
      </c>
      <c r="G8" s="351">
        <v>0</v>
      </c>
      <c r="H8" s="348">
        <v>0</v>
      </c>
      <c r="I8" s="351">
        <v>0</v>
      </c>
      <c r="J8" s="351">
        <v>0</v>
      </c>
      <c r="K8" s="350">
        <v>0</v>
      </c>
    </row>
    <row r="9" spans="1:11" s="360" customFormat="1" ht="17.25" customHeight="1">
      <c r="A9" s="179">
        <v>45474</v>
      </c>
      <c r="B9" s="351">
        <v>0</v>
      </c>
      <c r="C9" s="351">
        <v>175.78450000000001</v>
      </c>
      <c r="D9" s="351">
        <v>0</v>
      </c>
      <c r="E9" s="351">
        <v>0</v>
      </c>
      <c r="F9" s="351">
        <v>0</v>
      </c>
      <c r="G9" s="351">
        <v>0</v>
      </c>
      <c r="H9" s="348">
        <v>0</v>
      </c>
      <c r="I9" s="351">
        <v>0</v>
      </c>
      <c r="J9" s="351">
        <v>0</v>
      </c>
      <c r="K9" s="350">
        <v>0</v>
      </c>
    </row>
    <row r="10" spans="1:11" s="360" customFormat="1">
      <c r="A10" s="136"/>
      <c r="B10" s="165"/>
      <c r="C10" s="166"/>
      <c r="D10" s="166"/>
      <c r="E10" s="165"/>
      <c r="F10" s="165"/>
      <c r="G10" s="165"/>
      <c r="H10" s="167"/>
      <c r="I10" s="167"/>
      <c r="J10" s="167"/>
      <c r="K10" s="165"/>
    </row>
    <row r="11" spans="1:11" s="360" customFormat="1" ht="15" customHeight="1">
      <c r="A11" s="1318" t="s">
        <v>276</v>
      </c>
      <c r="B11" s="1318"/>
      <c r="C11" s="1318"/>
      <c r="D11" s="1318"/>
      <c r="E11" s="1318"/>
      <c r="F11" s="1318"/>
      <c r="G11" s="1318"/>
      <c r="H11" s="1318"/>
      <c r="I11" s="1318"/>
      <c r="J11" s="1318"/>
      <c r="K11" s="1318"/>
    </row>
    <row r="12" spans="1:11" s="360" customFormat="1" ht="15" customHeight="1">
      <c r="A12" s="484" t="s">
        <v>1299</v>
      </c>
      <c r="B12" s="164"/>
      <c r="C12" s="164"/>
      <c r="D12" s="164"/>
      <c r="E12" s="164"/>
      <c r="F12" s="164"/>
    </row>
    <row r="13" spans="1:11" s="360" customFormat="1">
      <c r="A13" s="97"/>
      <c r="B13" s="120"/>
      <c r="C13" s="120"/>
      <c r="D13" s="120"/>
      <c r="E13" s="120"/>
      <c r="F13" s="120"/>
      <c r="G13" s="120"/>
      <c r="H13" s="120"/>
      <c r="I13" s="120"/>
      <c r="J13" s="120"/>
      <c r="K13" s="120"/>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4"/>
  <sheetViews>
    <sheetView workbookViewId="0">
      <selection activeCell="G7" sqref="G7"/>
    </sheetView>
  </sheetViews>
  <sheetFormatPr defaultColWidth="9.140625" defaultRowHeight="15"/>
  <cols>
    <col min="1" max="1" width="12.140625" style="97" bestFit="1" customWidth="1"/>
    <col min="2" max="2" width="13.42578125" style="97" customWidth="1"/>
    <col min="3" max="14" width="13.7109375" style="97" customWidth="1"/>
    <col min="15" max="15" width="6.140625" style="97" bestFit="1" customWidth="1"/>
    <col min="16" max="16384" width="9.140625" style="97"/>
  </cols>
  <sheetData>
    <row r="1" spans="1:14">
      <c r="A1" s="251" t="s">
        <v>1460</v>
      </c>
      <c r="B1" s="251"/>
      <c r="C1" s="251"/>
      <c r="D1" s="251"/>
      <c r="E1" s="251"/>
      <c r="F1" s="251"/>
      <c r="G1" s="251"/>
      <c r="H1" s="251"/>
      <c r="I1" s="251"/>
      <c r="J1" s="251"/>
      <c r="K1" s="251"/>
      <c r="L1" s="251"/>
      <c r="M1" s="251"/>
      <c r="N1" s="251"/>
    </row>
    <row r="2" spans="1:14" s="360" customFormat="1">
      <c r="A2" s="1383" t="s">
        <v>139</v>
      </c>
      <c r="B2" s="1383" t="s">
        <v>243</v>
      </c>
      <c r="C2" s="1385" t="s">
        <v>69</v>
      </c>
      <c r="D2" s="1386"/>
      <c r="E2" s="1386"/>
      <c r="F2" s="1387"/>
      <c r="G2" s="1385" t="s">
        <v>70</v>
      </c>
      <c r="H2" s="1386"/>
      <c r="I2" s="1386"/>
      <c r="J2" s="1387"/>
      <c r="K2" s="1385" t="s">
        <v>71</v>
      </c>
      <c r="L2" s="1386"/>
      <c r="M2" s="1386"/>
      <c r="N2" s="1387"/>
    </row>
    <row r="3" spans="1:14" s="360" customFormat="1">
      <c r="A3" s="1384"/>
      <c r="B3" s="1384"/>
      <c r="C3" s="1385" t="s">
        <v>592</v>
      </c>
      <c r="D3" s="1387"/>
      <c r="E3" s="1388" t="s">
        <v>593</v>
      </c>
      <c r="F3" s="1391"/>
      <c r="G3" s="1385" t="s">
        <v>592</v>
      </c>
      <c r="H3" s="1387"/>
      <c r="I3" s="1388" t="s">
        <v>593</v>
      </c>
      <c r="J3" s="1391"/>
      <c r="K3" s="1385" t="s">
        <v>594</v>
      </c>
      <c r="L3" s="1387"/>
      <c r="M3" s="1385" t="s">
        <v>595</v>
      </c>
      <c r="N3" s="1387"/>
    </row>
    <row r="4" spans="1:14" s="360" customFormat="1" ht="30">
      <c r="A4" s="1312"/>
      <c r="B4" s="1312"/>
      <c r="C4" s="887" t="s">
        <v>516</v>
      </c>
      <c r="D4" s="907" t="s">
        <v>1461</v>
      </c>
      <c r="E4" s="887" t="s">
        <v>516</v>
      </c>
      <c r="F4" s="907" t="s">
        <v>1462</v>
      </c>
      <c r="G4" s="887" t="s">
        <v>516</v>
      </c>
      <c r="H4" s="907" t="s">
        <v>1461</v>
      </c>
      <c r="I4" s="887" t="s">
        <v>516</v>
      </c>
      <c r="J4" s="907" t="s">
        <v>1462</v>
      </c>
      <c r="K4" s="887" t="s">
        <v>516</v>
      </c>
      <c r="L4" s="907" t="s">
        <v>1461</v>
      </c>
      <c r="M4" s="887" t="s">
        <v>516</v>
      </c>
      <c r="N4" s="907" t="s">
        <v>1462</v>
      </c>
    </row>
    <row r="5" spans="1:14" s="102" customFormat="1">
      <c r="A5" s="876" t="s">
        <v>520</v>
      </c>
      <c r="B5" s="275">
        <v>240</v>
      </c>
      <c r="C5" s="932">
        <v>1443270</v>
      </c>
      <c r="D5" s="932">
        <v>28700.029499999997</v>
      </c>
      <c r="E5" s="932">
        <v>1000</v>
      </c>
      <c r="F5" s="932">
        <v>20.143139999999999</v>
      </c>
      <c r="G5" s="204">
        <v>1471765</v>
      </c>
      <c r="H5" s="932">
        <v>29570.77</v>
      </c>
      <c r="I5" s="932">
        <v>36097</v>
      </c>
      <c r="J5" s="932">
        <v>720.77629999999999</v>
      </c>
      <c r="K5" s="350" t="s">
        <v>234</v>
      </c>
      <c r="L5" s="350" t="s">
        <v>234</v>
      </c>
      <c r="M5" s="205" t="s">
        <v>234</v>
      </c>
      <c r="N5" s="205" t="s">
        <v>234</v>
      </c>
    </row>
    <row r="6" spans="1:14" s="102" customFormat="1">
      <c r="A6" s="879" t="s">
        <v>1165</v>
      </c>
      <c r="B6" s="895">
        <f>SUM(B7:B10)</f>
        <v>79</v>
      </c>
      <c r="C6" s="895">
        <f>SUM(C7:C10)</f>
        <v>0</v>
      </c>
      <c r="D6" s="895">
        <f>SUM(D7:D10)</f>
        <v>0</v>
      </c>
      <c r="E6" s="895">
        <f>INDEX(E7:E10,COUNT(E7:E10))</f>
        <v>0</v>
      </c>
      <c r="F6" s="895">
        <f>INDEX(F7:F10,COUNT(F7:F10))</f>
        <v>0</v>
      </c>
      <c r="G6" s="895">
        <f>SUM(G7:G10)</f>
        <v>398839</v>
      </c>
      <c r="H6" s="895">
        <f>SUM(H7:H10)</f>
        <v>8028.15</v>
      </c>
      <c r="I6" s="895">
        <f>INDEX(I7:I10,COUNT(I7:I10))</f>
        <v>39082</v>
      </c>
      <c r="J6" s="895">
        <f>INDEX(J7:J10,COUNT(J7:J10))</f>
        <v>784.48360000000002</v>
      </c>
      <c r="K6" s="350" t="s">
        <v>234</v>
      </c>
      <c r="L6" s="350" t="s">
        <v>234</v>
      </c>
      <c r="M6" s="205" t="s">
        <v>234</v>
      </c>
      <c r="N6" s="205" t="s">
        <v>234</v>
      </c>
    </row>
    <row r="7" spans="1:14" s="360" customFormat="1">
      <c r="A7" s="179">
        <v>45383</v>
      </c>
      <c r="B7" s="351">
        <v>18</v>
      </c>
      <c r="C7" s="416">
        <v>0</v>
      </c>
      <c r="D7" s="417">
        <v>0</v>
      </c>
      <c r="E7" s="351">
        <v>0</v>
      </c>
      <c r="F7" s="351">
        <v>0</v>
      </c>
      <c r="G7" s="351">
        <v>88690</v>
      </c>
      <c r="H7" s="351">
        <v>1772.13</v>
      </c>
      <c r="I7" s="351">
        <v>39210</v>
      </c>
      <c r="J7" s="351">
        <v>775.52210000000002</v>
      </c>
      <c r="K7" s="350" t="s">
        <v>234</v>
      </c>
      <c r="L7" s="350" t="s">
        <v>234</v>
      </c>
      <c r="M7" s="205" t="s">
        <v>234</v>
      </c>
      <c r="N7" s="205" t="s">
        <v>234</v>
      </c>
    </row>
    <row r="8" spans="1:14" s="360" customFormat="1">
      <c r="A8" s="179">
        <v>45413</v>
      </c>
      <c r="B8" s="351">
        <v>20</v>
      </c>
      <c r="C8" s="351">
        <v>0</v>
      </c>
      <c r="D8" s="351">
        <v>0</v>
      </c>
      <c r="E8" s="351">
        <v>0</v>
      </c>
      <c r="F8" s="351">
        <v>0</v>
      </c>
      <c r="G8" s="351">
        <v>111208</v>
      </c>
      <c r="H8" s="351">
        <v>2238.9899999999998</v>
      </c>
      <c r="I8" s="351">
        <v>39430</v>
      </c>
      <c r="J8" s="351">
        <v>787.33489999999995</v>
      </c>
      <c r="K8" s="350" t="s">
        <v>234</v>
      </c>
      <c r="L8" s="350" t="s">
        <v>234</v>
      </c>
      <c r="M8" s="205" t="s">
        <v>234</v>
      </c>
      <c r="N8" s="205" t="s">
        <v>234</v>
      </c>
    </row>
    <row r="9" spans="1:14" s="360" customFormat="1">
      <c r="A9" s="179">
        <v>45444</v>
      </c>
      <c r="B9" s="417">
        <v>19</v>
      </c>
      <c r="C9" s="351">
        <v>0</v>
      </c>
      <c r="D9" s="351">
        <v>0</v>
      </c>
      <c r="E9" s="351">
        <v>0</v>
      </c>
      <c r="F9" s="351">
        <v>0</v>
      </c>
      <c r="G9" s="351">
        <v>110642</v>
      </c>
      <c r="H9" s="351">
        <v>2231.21</v>
      </c>
      <c r="I9" s="351">
        <v>39728</v>
      </c>
      <c r="J9" s="351">
        <v>793.4221</v>
      </c>
      <c r="K9" s="350" t="s">
        <v>234</v>
      </c>
      <c r="L9" s="350" t="s">
        <v>234</v>
      </c>
      <c r="M9" s="205" t="s">
        <v>234</v>
      </c>
      <c r="N9" s="205" t="s">
        <v>234</v>
      </c>
    </row>
    <row r="10" spans="1:14" s="360" customFormat="1">
      <c r="A10" s="179">
        <v>45474</v>
      </c>
      <c r="B10" s="351">
        <v>22</v>
      </c>
      <c r="C10" s="351">
        <v>0</v>
      </c>
      <c r="D10" s="351">
        <v>0</v>
      </c>
      <c r="E10" s="351">
        <v>0</v>
      </c>
      <c r="F10" s="351">
        <v>0</v>
      </c>
      <c r="G10" s="351">
        <v>88299</v>
      </c>
      <c r="H10" s="351">
        <v>1785.82</v>
      </c>
      <c r="I10" s="351">
        <v>39082</v>
      </c>
      <c r="J10" s="351">
        <v>784.48360000000002</v>
      </c>
      <c r="K10" s="350" t="s">
        <v>234</v>
      </c>
      <c r="L10" s="350" t="s">
        <v>234</v>
      </c>
      <c r="M10" s="205" t="s">
        <v>234</v>
      </c>
      <c r="N10" s="205" t="s">
        <v>234</v>
      </c>
    </row>
    <row r="11" spans="1:14" s="360" customFormat="1">
      <c r="A11" s="405"/>
      <c r="B11" s="418"/>
      <c r="C11" s="410"/>
      <c r="D11" s="410"/>
      <c r="E11" s="419"/>
      <c r="F11" s="410"/>
      <c r="G11" s="410"/>
      <c r="H11" s="410"/>
      <c r="I11" s="410"/>
      <c r="J11" s="410"/>
      <c r="K11" s="410"/>
      <c r="L11" s="410"/>
      <c r="M11" s="410"/>
      <c r="N11" s="410"/>
    </row>
    <row r="12" spans="1:14" s="360" customFormat="1" ht="15" customHeight="1">
      <c r="A12" s="1318" t="s">
        <v>596</v>
      </c>
      <c r="B12" s="1318"/>
      <c r="C12" s="1318"/>
      <c r="D12" s="1318"/>
      <c r="E12" s="1318"/>
      <c r="F12" s="1318"/>
      <c r="G12" s="1318"/>
      <c r="H12" s="1318"/>
      <c r="I12" s="1318"/>
      <c r="J12" s="1318"/>
      <c r="K12" s="1318"/>
      <c r="L12" s="1318"/>
      <c r="M12" s="1318"/>
      <c r="N12" s="1318"/>
    </row>
    <row r="13" spans="1:14" s="360" customFormat="1" ht="23.25" customHeight="1">
      <c r="A13" s="484" t="s">
        <v>1299</v>
      </c>
      <c r="B13" s="120"/>
      <c r="C13" s="120"/>
      <c r="D13" s="120"/>
      <c r="E13" s="120"/>
      <c r="F13" s="120"/>
      <c r="G13" s="120"/>
      <c r="H13" s="120"/>
      <c r="I13" s="120"/>
      <c r="J13" s="120"/>
      <c r="K13" s="120"/>
      <c r="L13" s="120"/>
      <c r="M13" s="120"/>
      <c r="N13" s="120"/>
    </row>
    <row r="14" spans="1:14">
      <c r="B14" s="120"/>
      <c r="C14" s="120"/>
      <c r="D14" s="120"/>
      <c r="E14" s="120"/>
      <c r="F14" s="120"/>
      <c r="G14" s="120"/>
      <c r="H14" s="120"/>
      <c r="I14" s="120"/>
      <c r="J14" s="120"/>
      <c r="K14" s="120"/>
      <c r="L14" s="120"/>
      <c r="M14" s="120"/>
    </row>
  </sheetData>
  <mergeCells count="12">
    <mergeCell ref="M3:N3"/>
    <mergeCell ref="A12:N12"/>
    <mergeCell ref="A2:A4"/>
    <mergeCell ref="B2:B4"/>
    <mergeCell ref="C2:F2"/>
    <mergeCell ref="G2:J2"/>
    <mergeCell ref="K2:N2"/>
    <mergeCell ref="C3:D3"/>
    <mergeCell ref="E3:F3"/>
    <mergeCell ref="G3:H3"/>
    <mergeCell ref="I3:J3"/>
    <mergeCell ref="K3:L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workbookViewId="0">
      <selection activeCell="B6" sqref="B6"/>
    </sheetView>
  </sheetViews>
  <sheetFormatPr defaultColWidth="9.140625" defaultRowHeight="15"/>
  <cols>
    <col min="1" max="1" width="14.5703125" style="97" bestFit="1" customWidth="1"/>
    <col min="2" max="2" width="16.5703125" style="97" bestFit="1" customWidth="1"/>
    <col min="3" max="6" width="12.140625" style="97" bestFit="1" customWidth="1"/>
    <col min="7" max="7" width="14.5703125" style="97" customWidth="1"/>
    <col min="8" max="8" width="22.140625" style="97" bestFit="1" customWidth="1"/>
    <col min="9" max="9" width="4.5703125" style="97" bestFit="1" customWidth="1"/>
    <col min="10" max="16384" width="9.140625" style="97"/>
  </cols>
  <sheetData>
    <row r="1" spans="1:9" ht="18" customHeight="1">
      <c r="A1" s="836" t="s">
        <v>597</v>
      </c>
      <c r="B1" s="836"/>
      <c r="C1" s="836"/>
      <c r="D1" s="836"/>
      <c r="E1" s="836"/>
      <c r="F1" s="836"/>
      <c r="G1" s="836"/>
      <c r="H1" s="206"/>
    </row>
    <row r="2" spans="1:9" s="360" customFormat="1" ht="18" customHeight="1">
      <c r="A2" s="1392" t="s">
        <v>139</v>
      </c>
      <c r="B2" s="1385" t="s">
        <v>69</v>
      </c>
      <c r="C2" s="1387"/>
      <c r="D2" s="1385" t="s">
        <v>70</v>
      </c>
      <c r="E2" s="1387"/>
      <c r="F2" s="1385" t="s">
        <v>71</v>
      </c>
      <c r="G2" s="1387"/>
    </row>
    <row r="3" spans="1:9" s="360" customFormat="1" ht="43.5" customHeight="1">
      <c r="A3" s="1325"/>
      <c r="B3" s="907" t="s">
        <v>530</v>
      </c>
      <c r="C3" s="933" t="s">
        <v>598</v>
      </c>
      <c r="D3" s="907" t="s">
        <v>530</v>
      </c>
      <c r="E3" s="887" t="s">
        <v>598</v>
      </c>
      <c r="F3" s="887" t="s">
        <v>599</v>
      </c>
      <c r="G3" s="887" t="s">
        <v>598</v>
      </c>
    </row>
    <row r="4" spans="1:9" s="102" customFormat="1" ht="18" customHeight="1">
      <c r="A4" s="876" t="s">
        <v>520</v>
      </c>
      <c r="B4" s="922">
        <v>135.67188899999996</v>
      </c>
      <c r="C4" s="922">
        <v>2.0217879999999999</v>
      </c>
      <c r="D4" s="922">
        <v>388.70098350000001</v>
      </c>
      <c r="E4" s="922">
        <v>5.0480749399999993</v>
      </c>
      <c r="F4" s="934">
        <v>0</v>
      </c>
      <c r="G4" s="934">
        <v>0</v>
      </c>
    </row>
    <row r="5" spans="1:9" s="102" customFormat="1" ht="18" customHeight="1">
      <c r="A5" s="879" t="s">
        <v>1165</v>
      </c>
      <c r="B5" s="895">
        <f>SUM(B6:B9)</f>
        <v>17.158322999999999</v>
      </c>
      <c r="C5" s="895">
        <f t="shared" ref="C5:G5" si="0">SUM(C6:C9)</f>
        <v>3.1310000000000004E-2</v>
      </c>
      <c r="D5" s="895">
        <f t="shared" si="0"/>
        <v>62.503867499999998</v>
      </c>
      <c r="E5" s="895">
        <f t="shared" si="0"/>
        <v>0.29807918</v>
      </c>
      <c r="F5" s="895">
        <f t="shared" si="0"/>
        <v>0</v>
      </c>
      <c r="G5" s="895">
        <f t="shared" si="0"/>
        <v>0</v>
      </c>
      <c r="H5" s="168"/>
      <c r="I5" s="168"/>
    </row>
    <row r="6" spans="1:9" s="360" customFormat="1" ht="18" customHeight="1">
      <c r="A6" s="179">
        <v>45383</v>
      </c>
      <c r="B6" s="345">
        <v>0.51230799999999999</v>
      </c>
      <c r="C6" s="345">
        <v>0</v>
      </c>
      <c r="D6" s="415">
        <v>16.1061415</v>
      </c>
      <c r="E6" s="415">
        <v>9.5859180000000002E-2</v>
      </c>
      <c r="F6" s="262">
        <v>0</v>
      </c>
      <c r="G6" s="262">
        <v>0</v>
      </c>
    </row>
    <row r="7" spans="1:9" s="360" customFormat="1" ht="18" customHeight="1">
      <c r="A7" s="179">
        <v>45413</v>
      </c>
      <c r="B7" s="345">
        <v>2.0300880000000001</v>
      </c>
      <c r="C7" s="345">
        <v>0</v>
      </c>
      <c r="D7" s="345">
        <v>18.2131945</v>
      </c>
      <c r="E7" s="345">
        <v>2.4916799999999999E-2</v>
      </c>
      <c r="F7" s="262">
        <v>0</v>
      </c>
      <c r="G7" s="262">
        <v>0</v>
      </c>
    </row>
    <row r="8" spans="1:9" s="360" customFormat="1" ht="18" customHeight="1">
      <c r="A8" s="179">
        <v>45444</v>
      </c>
      <c r="B8" s="415">
        <v>10.538827</v>
      </c>
      <c r="C8" s="415">
        <v>1.6324999999999999E-2</v>
      </c>
      <c r="D8" s="415">
        <v>19.767966000000001</v>
      </c>
      <c r="E8" s="415">
        <v>1.985234E-2</v>
      </c>
      <c r="F8" s="1153">
        <v>0</v>
      </c>
      <c r="G8" s="262">
        <v>0</v>
      </c>
    </row>
    <row r="9" spans="1:9" s="360" customFormat="1" ht="18" customHeight="1">
      <c r="A9" s="179">
        <v>45474</v>
      </c>
      <c r="B9" s="415">
        <v>4.0770999999999997</v>
      </c>
      <c r="C9" s="415">
        <v>1.4985000000000002E-2</v>
      </c>
      <c r="D9" s="415">
        <v>8.4165655000000008</v>
      </c>
      <c r="E9" s="415">
        <v>0.15745086</v>
      </c>
      <c r="F9" s="1153" t="s">
        <v>221</v>
      </c>
      <c r="G9" s="262" t="s">
        <v>234</v>
      </c>
    </row>
    <row r="10" spans="1:9" s="360" customFormat="1">
      <c r="A10" s="136"/>
      <c r="B10" s="145"/>
      <c r="C10" s="145"/>
      <c r="D10" s="145"/>
      <c r="E10" s="145"/>
      <c r="F10" s="420"/>
      <c r="G10" s="420"/>
    </row>
    <row r="11" spans="1:9" s="360" customFormat="1">
      <c r="A11" s="1283" t="s">
        <v>600</v>
      </c>
      <c r="B11" s="1283"/>
      <c r="C11" s="1283"/>
      <c r="D11" s="1283"/>
      <c r="E11" s="1283"/>
      <c r="F11" s="1283"/>
      <c r="G11" s="1283"/>
    </row>
    <row r="12" spans="1:9" s="360" customFormat="1">
      <c r="A12" s="484" t="s">
        <v>1299</v>
      </c>
      <c r="B12" s="353"/>
      <c r="C12" s="353"/>
      <c r="D12" s="353"/>
      <c r="E12" s="353"/>
      <c r="F12" s="353"/>
      <c r="G12" s="353"/>
    </row>
    <row r="13" spans="1:9">
      <c r="B13" s="353"/>
      <c r="C13" s="353"/>
      <c r="D13" s="353"/>
      <c r="E13" s="353"/>
      <c r="F13" s="353"/>
      <c r="G13" s="353"/>
    </row>
  </sheetData>
  <mergeCells count="5">
    <mergeCell ref="A2:A3"/>
    <mergeCell ref="B2:C2"/>
    <mergeCell ref="D2:E2"/>
    <mergeCell ref="F2:G2"/>
    <mergeCell ref="A11:G11"/>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A9" sqref="A9:F9"/>
    </sheetView>
  </sheetViews>
  <sheetFormatPr defaultRowHeight="15"/>
  <cols>
    <col min="1" max="1" width="14.42578125" style="365" bestFit="1" customWidth="1"/>
    <col min="2" max="3" width="16.28515625" style="365" bestFit="1" customWidth="1"/>
    <col min="4" max="4" width="15.85546875" style="365" bestFit="1" customWidth="1"/>
    <col min="5" max="5" width="13.85546875" style="365" bestFit="1" customWidth="1"/>
    <col min="6" max="6" width="16.28515625" style="365" bestFit="1" customWidth="1"/>
    <col min="7" max="7" width="9.140625" style="365"/>
    <col min="8" max="8" width="9.7109375" style="365" bestFit="1" customWidth="1"/>
    <col min="9" max="9" width="9.85546875" style="365" customWidth="1"/>
    <col min="10" max="16384" width="9.140625" style="365"/>
  </cols>
  <sheetData>
    <row r="1" spans="1:9" s="286" customFormat="1" ht="15" customHeight="1">
      <c r="A1" s="1425" t="s">
        <v>45</v>
      </c>
      <c r="B1" s="1425"/>
      <c r="C1" s="1425"/>
      <c r="D1" s="1425"/>
      <c r="E1" s="1425"/>
      <c r="F1" s="1425"/>
    </row>
    <row r="2" spans="1:9" ht="45">
      <c r="A2" s="935" t="s">
        <v>112</v>
      </c>
      <c r="B2" s="935" t="s">
        <v>896</v>
      </c>
      <c r="C2" s="935" t="s">
        <v>897</v>
      </c>
      <c r="D2" s="935" t="s">
        <v>898</v>
      </c>
      <c r="E2" s="935" t="s">
        <v>899</v>
      </c>
      <c r="F2" s="935" t="s">
        <v>900</v>
      </c>
    </row>
    <row r="3" spans="1:9">
      <c r="A3" s="876" t="s">
        <v>520</v>
      </c>
      <c r="B3" s="936">
        <v>3617496.66</v>
      </c>
      <c r="C3" s="936">
        <v>3278432.04</v>
      </c>
      <c r="D3" s="936">
        <v>339064.62</v>
      </c>
      <c r="E3" s="936">
        <v>41044.090000000004</v>
      </c>
      <c r="F3" s="936">
        <v>300808.43000000005</v>
      </c>
      <c r="G3" s="40"/>
      <c r="H3" s="367"/>
    </row>
    <row r="4" spans="1:9">
      <c r="A4" s="879" t="s">
        <v>1165</v>
      </c>
      <c r="B4" s="937">
        <f>SUM(B5:B8)</f>
        <v>1704170.9100000001</v>
      </c>
      <c r="C4" s="937">
        <f>SUM(C5:C8)</f>
        <v>1642788.31</v>
      </c>
      <c r="D4" s="937">
        <f>SUM(D5:D8)</f>
        <v>61382.600000000006</v>
      </c>
      <c r="E4" s="937">
        <f>SUM(E5:E8)</f>
        <v>7361.3499999999995</v>
      </c>
      <c r="F4" s="937">
        <f>F3+E4</f>
        <v>308169.78000000003</v>
      </c>
      <c r="G4" s="40"/>
      <c r="H4" s="367"/>
      <c r="I4" s="40"/>
    </row>
    <row r="5" spans="1:9">
      <c r="A5" s="938">
        <v>45383</v>
      </c>
      <c r="B5" s="939">
        <v>360879.1</v>
      </c>
      <c r="C5" s="939">
        <v>377139.12</v>
      </c>
      <c r="D5" s="939">
        <v>-16260.02</v>
      </c>
      <c r="E5" s="939">
        <v>-1944.68</v>
      </c>
      <c r="F5" s="939">
        <f>F3+E5</f>
        <v>298863.75000000006</v>
      </c>
      <c r="G5" s="40"/>
      <c r="H5" s="367"/>
    </row>
    <row r="6" spans="1:9">
      <c r="A6" s="938">
        <v>45413</v>
      </c>
      <c r="B6" s="939">
        <v>371456.14</v>
      </c>
      <c r="C6" s="939">
        <v>384367</v>
      </c>
      <c r="D6" s="939">
        <v>-12910.86</v>
      </c>
      <c r="E6" s="939">
        <v>-1540.86</v>
      </c>
      <c r="F6" s="939">
        <v>297322.89</v>
      </c>
      <c r="G6" s="40"/>
      <c r="H6" s="367"/>
      <c r="I6" s="40"/>
    </row>
    <row r="7" spans="1:9" ht="15" customHeight="1">
      <c r="A7" s="938">
        <v>45444</v>
      </c>
      <c r="B7" s="939">
        <v>535577.62000000011</v>
      </c>
      <c r="C7" s="939">
        <v>493820.18</v>
      </c>
      <c r="D7" s="939">
        <v>41757.440000000002</v>
      </c>
      <c r="E7" s="939">
        <v>5007.1799999999994</v>
      </c>
      <c r="F7" s="939">
        <v>302330.07</v>
      </c>
      <c r="G7" s="40"/>
      <c r="H7" s="367"/>
    </row>
    <row r="8" spans="1:9">
      <c r="A8" s="938">
        <v>45474</v>
      </c>
      <c r="B8" s="1031">
        <v>436258.05</v>
      </c>
      <c r="C8" s="1031">
        <v>387462.01</v>
      </c>
      <c r="D8" s="1031">
        <v>48796.04</v>
      </c>
      <c r="E8" s="1031">
        <v>5839.71</v>
      </c>
      <c r="F8" s="1032">
        <f>F7+E8</f>
        <v>308169.78000000003</v>
      </c>
    </row>
    <row r="9" spans="1:9" ht="15" customHeight="1">
      <c r="A9" s="1426" t="s">
        <v>901</v>
      </c>
      <c r="B9" s="1426"/>
      <c r="C9" s="1426"/>
      <c r="D9" s="1426"/>
      <c r="E9" s="1426"/>
      <c r="F9" s="1426"/>
    </row>
    <row r="10" spans="1:9">
      <c r="A10" s="484" t="s">
        <v>1299</v>
      </c>
      <c r="B10" s="39"/>
      <c r="C10" s="39"/>
      <c r="D10" s="39"/>
      <c r="E10" s="39"/>
      <c r="F10" s="39"/>
    </row>
    <row r="13" spans="1:9" s="368" customFormat="1" ht="11.25">
      <c r="B13" s="369"/>
      <c r="C13" s="369"/>
      <c r="D13" s="369"/>
      <c r="E13" s="369"/>
    </row>
  </sheetData>
  <mergeCells count="2">
    <mergeCell ref="A1:F1"/>
    <mergeCell ref="A9:F9"/>
  </mergeCells>
  <printOptions horizontalCentered="1"/>
  <pageMargins left="0.7" right="0.7" top="0.75" bottom="0.75" header="0.3" footer="0.3"/>
  <pageSetup paperSize="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
  <sheetViews>
    <sheetView workbookViewId="0">
      <selection sqref="A1:F1"/>
    </sheetView>
  </sheetViews>
  <sheetFormatPr defaultRowHeight="15"/>
  <cols>
    <col min="1" max="1" width="14.42578125" style="174" bestFit="1" customWidth="1"/>
    <col min="2" max="6" width="23.85546875" style="174" customWidth="1"/>
    <col min="7" max="16384" width="9.140625" style="174"/>
  </cols>
  <sheetData>
    <row r="1" spans="1:11" s="176" customFormat="1" ht="15" customHeight="1">
      <c r="A1" s="1425" t="s">
        <v>902</v>
      </c>
      <c r="B1" s="1425"/>
      <c r="C1" s="1425"/>
      <c r="D1" s="1425"/>
      <c r="E1" s="1425"/>
      <c r="F1" s="1425"/>
      <c r="G1" s="175"/>
      <c r="H1" s="175"/>
      <c r="I1" s="175"/>
      <c r="J1" s="175"/>
      <c r="K1" s="175"/>
    </row>
    <row r="2" spans="1:11" ht="90">
      <c r="A2" s="424" t="s">
        <v>112</v>
      </c>
      <c r="B2" s="424" t="s">
        <v>903</v>
      </c>
      <c r="C2" s="424" t="s">
        <v>904</v>
      </c>
      <c r="D2" s="424" t="s">
        <v>905</v>
      </c>
      <c r="E2" s="424" t="s">
        <v>906</v>
      </c>
      <c r="F2" s="935" t="s">
        <v>907</v>
      </c>
    </row>
    <row r="3" spans="1:11">
      <c r="A3" s="425" t="s">
        <v>520</v>
      </c>
      <c r="B3" s="940">
        <v>149119.91718537293</v>
      </c>
      <c r="C3" s="940">
        <v>149119.91718537293</v>
      </c>
      <c r="D3" s="940">
        <v>6953988</v>
      </c>
      <c r="E3" s="941">
        <v>2.1443798462892505</v>
      </c>
      <c r="F3" s="941">
        <v>2.1443798462892505</v>
      </c>
    </row>
    <row r="4" spans="1:11">
      <c r="A4" s="1154" t="s">
        <v>520</v>
      </c>
      <c r="B4" s="426"/>
      <c r="C4" s="426"/>
      <c r="D4" s="426"/>
      <c r="E4" s="427"/>
      <c r="F4" s="427"/>
    </row>
    <row r="5" spans="1:11">
      <c r="A5" s="422">
        <v>45383</v>
      </c>
      <c r="B5" s="1428" t="s">
        <v>1295</v>
      </c>
      <c r="C5" s="1429"/>
      <c r="D5" s="1429"/>
      <c r="E5" s="1429"/>
      <c r="F5" s="1430"/>
    </row>
    <row r="6" spans="1:11">
      <c r="A6" s="422">
        <v>45443</v>
      </c>
      <c r="B6" s="1431"/>
      <c r="C6" s="1432"/>
      <c r="D6" s="1432"/>
      <c r="E6" s="1432"/>
      <c r="F6" s="1433"/>
    </row>
    <row r="7" spans="1:11">
      <c r="A7" s="422">
        <v>45473</v>
      </c>
      <c r="B7" s="1431"/>
      <c r="C7" s="1432"/>
      <c r="D7" s="1432"/>
      <c r="E7" s="1432"/>
      <c r="F7" s="1433"/>
    </row>
    <row r="8" spans="1:11">
      <c r="A8" s="422">
        <v>45504</v>
      </c>
      <c r="B8" s="1434"/>
      <c r="C8" s="1435"/>
      <c r="D8" s="1435"/>
      <c r="E8" s="1435"/>
      <c r="F8" s="1436"/>
    </row>
    <row r="9" spans="1:11" ht="53.25" customHeight="1">
      <c r="A9" s="1427" t="s">
        <v>1170</v>
      </c>
      <c r="B9" s="1427"/>
      <c r="C9" s="1427"/>
      <c r="D9" s="1427"/>
      <c r="E9" s="1427"/>
      <c r="F9" s="1427"/>
    </row>
    <row r="10" spans="1:11" ht="15" customHeight="1">
      <c r="A10" s="1426" t="s">
        <v>1145</v>
      </c>
      <c r="B10" s="1426"/>
      <c r="C10" s="1426"/>
      <c r="D10" s="1426"/>
      <c r="E10" s="1426"/>
      <c r="F10" s="1426"/>
    </row>
    <row r="11" spans="1:11">
      <c r="A11" s="1426" t="s">
        <v>908</v>
      </c>
      <c r="B11" s="1426"/>
      <c r="C11" s="1426"/>
      <c r="D11" s="1426"/>
      <c r="E11" s="1426"/>
      <c r="F11" s="1426"/>
    </row>
  </sheetData>
  <mergeCells count="5">
    <mergeCell ref="A1:F1"/>
    <mergeCell ref="A9:F9"/>
    <mergeCell ref="A10:F10"/>
    <mergeCell ref="A11:F11"/>
    <mergeCell ref="B5:F8"/>
  </mergeCells>
  <printOptions horizontalCentered="1"/>
  <pageMargins left="0.7" right="0.7" top="0.75" bottom="0.75" header="0.3" footer="0.3"/>
  <pageSetup paperSize="9" scale="98"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workbookViewId="0">
      <selection sqref="A1:Z1"/>
    </sheetView>
  </sheetViews>
  <sheetFormatPr defaultColWidth="9.140625" defaultRowHeight="15"/>
  <cols>
    <col min="1" max="1" width="11.140625" style="361" bestFit="1" customWidth="1"/>
    <col min="2" max="2" width="12.85546875" style="361" customWidth="1"/>
    <col min="3" max="3" width="12.5703125" style="361" customWidth="1"/>
    <col min="4" max="4" width="8.42578125" style="361" bestFit="1" customWidth="1"/>
    <col min="5" max="5" width="13.140625" style="361" customWidth="1"/>
    <col min="6" max="6" width="11.7109375" style="361" bestFit="1" customWidth="1"/>
    <col min="7" max="7" width="13.7109375" style="361" customWidth="1"/>
    <col min="8" max="8" width="9.7109375" style="361" bestFit="1" customWidth="1"/>
    <col min="9" max="9" width="13" style="361" bestFit="1" customWidth="1"/>
    <col min="10" max="10" width="8.42578125" style="361" bestFit="1" customWidth="1"/>
    <col min="11" max="11" width="9.85546875" style="361" customWidth="1"/>
    <col min="12" max="14" width="11.7109375" style="361" bestFit="1" customWidth="1"/>
    <col min="15" max="15" width="16.42578125" style="361" bestFit="1" customWidth="1"/>
    <col min="16" max="16" width="11.7109375" style="361" bestFit="1" customWidth="1"/>
    <col min="17" max="17" width="15.140625" style="361" bestFit="1" customWidth="1"/>
    <col min="18" max="18" width="8.42578125" style="361" bestFit="1" customWidth="1"/>
    <col min="19" max="19" width="15.140625" style="361" bestFit="1" customWidth="1"/>
    <col min="20" max="20" width="9.7109375" style="361" bestFit="1" customWidth="1"/>
    <col min="21" max="21" width="16.42578125" style="361" bestFit="1" customWidth="1"/>
    <col min="22" max="22" width="9.7109375" style="361" bestFit="1" customWidth="1"/>
    <col min="23" max="23" width="16.28515625" style="361" bestFit="1" customWidth="1"/>
    <col min="24" max="24" width="8.42578125" style="361" bestFit="1" customWidth="1"/>
    <col min="25" max="25" width="13" style="361" bestFit="1" customWidth="1"/>
    <col min="26" max="26" width="12.85546875" style="361" customWidth="1"/>
    <col min="27" max="27" width="16.42578125" style="223" bestFit="1" customWidth="1"/>
    <col min="28" max="28" width="13" style="223" bestFit="1" customWidth="1"/>
    <col min="29" max="29" width="18.5703125" style="223" bestFit="1" customWidth="1"/>
    <col min="30" max="30" width="4.5703125" style="223" bestFit="1" customWidth="1"/>
    <col min="31" max="31" width="10" style="223" bestFit="1" customWidth="1"/>
    <col min="32" max="16384" width="9.140625" style="223"/>
  </cols>
  <sheetData>
    <row r="1" spans="1:31" s="217" customFormat="1" ht="15" customHeight="1">
      <c r="A1" s="1447" t="s">
        <v>1457</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row>
    <row r="2" spans="1:31" s="217" customFormat="1" ht="15" customHeight="1">
      <c r="A2" s="1024"/>
      <c r="B2" s="1025"/>
      <c r="C2" s="1025"/>
      <c r="D2" s="1025"/>
      <c r="E2" s="1025"/>
      <c r="F2" s="1025"/>
      <c r="G2" s="1025"/>
      <c r="H2" s="1025"/>
      <c r="I2" s="1025"/>
      <c r="J2" s="1025"/>
      <c r="K2" s="1025"/>
      <c r="L2" s="1025"/>
      <c r="M2" s="1025"/>
      <c r="N2" s="1025"/>
      <c r="O2" s="1025"/>
      <c r="P2" s="1025"/>
      <c r="Q2" s="1025"/>
      <c r="R2" s="1025"/>
      <c r="S2" s="1025"/>
      <c r="T2" s="1025"/>
      <c r="U2" s="1025"/>
      <c r="V2" s="1025"/>
      <c r="W2" s="1025"/>
      <c r="X2" s="1025"/>
      <c r="Y2" s="1025"/>
      <c r="Z2" s="1025"/>
    </row>
    <row r="3" spans="1:31" s="218" customFormat="1" ht="60" customHeight="1">
      <c r="A3" s="1449" t="s">
        <v>919</v>
      </c>
      <c r="B3" s="1450" t="s">
        <v>918</v>
      </c>
      <c r="C3" s="1451"/>
      <c r="D3" s="1452" t="s">
        <v>1158</v>
      </c>
      <c r="E3" s="1452"/>
      <c r="F3" s="1452" t="s">
        <v>917</v>
      </c>
      <c r="G3" s="1452"/>
      <c r="H3" s="1452" t="s">
        <v>916</v>
      </c>
      <c r="I3" s="1452"/>
      <c r="J3" s="1450" t="s">
        <v>915</v>
      </c>
      <c r="K3" s="1451"/>
      <c r="L3" s="1450" t="s">
        <v>914</v>
      </c>
      <c r="M3" s="1451"/>
      <c r="N3" s="1441" t="s">
        <v>76</v>
      </c>
      <c r="O3" s="1441"/>
      <c r="P3" s="1439" t="s">
        <v>913</v>
      </c>
      <c r="Q3" s="1440"/>
      <c r="R3" s="1439" t="s">
        <v>307</v>
      </c>
      <c r="S3" s="1440"/>
      <c r="T3" s="1441" t="s">
        <v>1159</v>
      </c>
      <c r="U3" s="1441"/>
      <c r="V3" s="1442" t="s">
        <v>1160</v>
      </c>
      <c r="W3" s="1443"/>
      <c r="X3" s="1444" t="s">
        <v>912</v>
      </c>
      <c r="Y3" s="1443"/>
      <c r="Z3" s="1445" t="s">
        <v>302</v>
      </c>
      <c r="AA3" s="1446"/>
      <c r="AB3" s="1445" t="s">
        <v>92</v>
      </c>
      <c r="AC3" s="1446"/>
    </row>
    <row r="4" spans="1:31" s="218" customFormat="1">
      <c r="A4" s="1449"/>
      <c r="B4" s="529" t="s">
        <v>911</v>
      </c>
      <c r="C4" s="529" t="s">
        <v>1458</v>
      </c>
      <c r="D4" s="529" t="s">
        <v>911</v>
      </c>
      <c r="E4" s="529" t="s">
        <v>1458</v>
      </c>
      <c r="F4" s="529" t="s">
        <v>911</v>
      </c>
      <c r="G4" s="529" t="s">
        <v>1458</v>
      </c>
      <c r="H4" s="529" t="s">
        <v>911</v>
      </c>
      <c r="I4" s="529" t="s">
        <v>1458</v>
      </c>
      <c r="J4" s="529" t="s">
        <v>911</v>
      </c>
      <c r="K4" s="428" t="s">
        <v>1458</v>
      </c>
      <c r="L4" s="529" t="s">
        <v>911</v>
      </c>
      <c r="M4" s="529" t="s">
        <v>1458</v>
      </c>
      <c r="N4" s="527" t="s">
        <v>911</v>
      </c>
      <c r="O4" s="527" t="s">
        <v>1459</v>
      </c>
      <c r="P4" s="527" t="s">
        <v>911</v>
      </c>
      <c r="Q4" s="527" t="s">
        <v>1458</v>
      </c>
      <c r="R4" s="527" t="s">
        <v>911</v>
      </c>
      <c r="S4" s="527" t="s">
        <v>1459</v>
      </c>
      <c r="T4" s="527" t="s">
        <v>911</v>
      </c>
      <c r="U4" s="527" t="s">
        <v>1458</v>
      </c>
      <c r="V4" s="527" t="s">
        <v>911</v>
      </c>
      <c r="W4" s="527" t="s">
        <v>1458</v>
      </c>
      <c r="X4" s="527" t="s">
        <v>911</v>
      </c>
      <c r="Y4" s="527" t="s">
        <v>1458</v>
      </c>
      <c r="Z4" s="527" t="s">
        <v>911</v>
      </c>
      <c r="AA4" s="527" t="s">
        <v>1458</v>
      </c>
      <c r="AB4" s="527" t="s">
        <v>911</v>
      </c>
      <c r="AC4" s="527" t="s">
        <v>1458</v>
      </c>
    </row>
    <row r="5" spans="1:31" s="219" customFormat="1">
      <c r="A5" s="876" t="s">
        <v>520</v>
      </c>
      <c r="B5" s="942">
        <v>11365</v>
      </c>
      <c r="C5" s="942">
        <v>6953987.6900000004</v>
      </c>
      <c r="D5" s="942">
        <v>9</v>
      </c>
      <c r="E5" s="942">
        <v>526941.28</v>
      </c>
      <c r="F5" s="942">
        <v>3382</v>
      </c>
      <c r="G5" s="942">
        <v>2723152.54</v>
      </c>
      <c r="H5" s="942">
        <v>234</v>
      </c>
      <c r="I5" s="942">
        <v>40878.49</v>
      </c>
      <c r="J5" s="942">
        <v>23</v>
      </c>
      <c r="K5" s="943">
        <v>627.4</v>
      </c>
      <c r="L5" s="942">
        <v>2071</v>
      </c>
      <c r="M5" s="942">
        <v>6760.93</v>
      </c>
      <c r="N5" s="942">
        <v>1563</v>
      </c>
      <c r="O5" s="942">
        <v>4702435.43</v>
      </c>
      <c r="P5" s="942">
        <v>1677</v>
      </c>
      <c r="Q5" s="942">
        <v>315572.77</v>
      </c>
      <c r="R5" s="942">
        <v>88</v>
      </c>
      <c r="S5" s="942">
        <v>786385.51</v>
      </c>
      <c r="T5" s="942">
        <v>811</v>
      </c>
      <c r="U5" s="942">
        <v>3691165.73</v>
      </c>
      <c r="V5" s="942">
        <v>141</v>
      </c>
      <c r="W5" s="942">
        <v>1149735.92</v>
      </c>
      <c r="X5" s="942">
        <v>21</v>
      </c>
      <c r="Y5" s="942">
        <v>47547.05</v>
      </c>
      <c r="Z5" s="942">
        <v>63193</v>
      </c>
      <c r="AA5" s="942">
        <v>2284017.4500000002</v>
      </c>
      <c r="AB5" s="942">
        <v>84578</v>
      </c>
      <c r="AC5" s="942">
        <v>23229208.190000001</v>
      </c>
      <c r="AE5" s="220"/>
    </row>
    <row r="6" spans="1:31" s="219" customFormat="1">
      <c r="A6" s="879" t="s">
        <v>1165</v>
      </c>
      <c r="B6" s="429">
        <f>INDEX(B7:B18,COUNT(B7:B18))</f>
        <v>11667</v>
      </c>
      <c r="C6" s="429">
        <f t="shared" ref="C6:AC6" si="0">INDEX(C7:C18,COUNT(C7:C18))</f>
        <v>8038981.5099999998</v>
      </c>
      <c r="D6" s="429">
        <f t="shared" si="0"/>
        <v>9</v>
      </c>
      <c r="E6" s="429">
        <f t="shared" si="0"/>
        <v>585683.86</v>
      </c>
      <c r="F6" s="429">
        <f t="shared" si="0"/>
        <v>3575</v>
      </c>
      <c r="G6" s="429">
        <f t="shared" si="0"/>
        <v>3099751.25</v>
      </c>
      <c r="H6" s="429">
        <f t="shared" si="0"/>
        <v>236</v>
      </c>
      <c r="I6" s="429">
        <f t="shared" si="0"/>
        <v>44482.11</v>
      </c>
      <c r="J6" s="429">
        <f t="shared" si="0"/>
        <v>23</v>
      </c>
      <c r="K6" s="429">
        <f t="shared" si="0"/>
        <v>793.66</v>
      </c>
      <c r="L6" s="429">
        <f t="shared" si="0"/>
        <v>2596</v>
      </c>
      <c r="M6" s="429">
        <f t="shared" si="0"/>
        <v>8752.2000000000007</v>
      </c>
      <c r="N6" s="429">
        <f t="shared" si="0"/>
        <v>1630</v>
      </c>
      <c r="O6" s="429">
        <f t="shared" si="0"/>
        <v>5689542.2400000002</v>
      </c>
      <c r="P6" s="429">
        <f t="shared" si="0"/>
        <v>2130</v>
      </c>
      <c r="Q6" s="429">
        <f t="shared" si="0"/>
        <v>353510.43</v>
      </c>
      <c r="R6" s="429">
        <f t="shared" si="0"/>
        <v>88</v>
      </c>
      <c r="S6" s="429">
        <f t="shared" si="0"/>
        <v>840458.03</v>
      </c>
      <c r="T6" s="429">
        <f t="shared" si="0"/>
        <v>821</v>
      </c>
      <c r="U6" s="429">
        <f t="shared" si="0"/>
        <v>4124262.93</v>
      </c>
      <c r="V6" s="429">
        <f t="shared" si="0"/>
        <v>141</v>
      </c>
      <c r="W6" s="429">
        <f t="shared" si="0"/>
        <v>1253223.0900000001</v>
      </c>
      <c r="X6" s="429">
        <f t="shared" si="0"/>
        <v>21</v>
      </c>
      <c r="Y6" s="429">
        <f t="shared" si="0"/>
        <v>54323.68</v>
      </c>
      <c r="Z6" s="429">
        <f t="shared" si="0"/>
        <v>80934</v>
      </c>
      <c r="AA6" s="429">
        <f t="shared" si="0"/>
        <v>2571863.39</v>
      </c>
      <c r="AB6" s="430">
        <f t="shared" si="0"/>
        <v>103871</v>
      </c>
      <c r="AC6" s="430">
        <f t="shared" si="0"/>
        <v>26665628.379999999</v>
      </c>
      <c r="AE6" s="220"/>
    </row>
    <row r="7" spans="1:31" s="222" customFormat="1">
      <c r="A7" s="422">
        <v>45383</v>
      </c>
      <c r="B7" s="431">
        <v>11430</v>
      </c>
      <c r="C7" s="431">
        <v>7155781.8899999997</v>
      </c>
      <c r="D7" s="431">
        <v>9</v>
      </c>
      <c r="E7" s="431">
        <v>543626.87</v>
      </c>
      <c r="F7" s="431">
        <v>3429</v>
      </c>
      <c r="G7" s="431">
        <v>2817729.07</v>
      </c>
      <c r="H7" s="431">
        <v>236</v>
      </c>
      <c r="I7" s="432">
        <v>42437.18</v>
      </c>
      <c r="J7" s="433">
        <v>23</v>
      </c>
      <c r="K7" s="434">
        <v>686.7</v>
      </c>
      <c r="L7" s="431">
        <v>2154</v>
      </c>
      <c r="M7" s="431">
        <v>7243.41</v>
      </c>
      <c r="N7" s="431">
        <v>1564</v>
      </c>
      <c r="O7" s="431">
        <v>4960090.78</v>
      </c>
      <c r="P7" s="431">
        <v>1782</v>
      </c>
      <c r="Q7" s="431">
        <v>322224.53000000003</v>
      </c>
      <c r="R7" s="431">
        <v>88</v>
      </c>
      <c r="S7" s="431">
        <v>770469.53</v>
      </c>
      <c r="T7" s="431">
        <v>814</v>
      </c>
      <c r="U7" s="431">
        <v>3784190.55</v>
      </c>
      <c r="V7" s="431">
        <v>141</v>
      </c>
      <c r="W7" s="431">
        <v>1169293.6200000001</v>
      </c>
      <c r="X7" s="431">
        <v>21</v>
      </c>
      <c r="Y7" s="431">
        <v>48302.44</v>
      </c>
      <c r="Z7" s="431">
        <v>66377</v>
      </c>
      <c r="AA7" s="435">
        <v>2340309.33</v>
      </c>
      <c r="AB7" s="435">
        <v>88068</v>
      </c>
      <c r="AC7" s="435">
        <v>23962385.899999999</v>
      </c>
      <c r="AD7" s="221"/>
      <c r="AE7" s="221"/>
    </row>
    <row r="8" spans="1:31" s="222" customFormat="1">
      <c r="A8" s="422">
        <f>EOMONTH(A7,1)</f>
        <v>45443</v>
      </c>
      <c r="B8" s="431">
        <v>11503</v>
      </c>
      <c r="C8" s="431">
        <v>7187455.0999999996</v>
      </c>
      <c r="D8" s="431">
        <v>9</v>
      </c>
      <c r="E8" s="431">
        <v>537469.1</v>
      </c>
      <c r="F8" s="431">
        <v>3487</v>
      </c>
      <c r="G8" s="431">
        <v>2878459.06</v>
      </c>
      <c r="H8" s="431">
        <v>233</v>
      </c>
      <c r="I8" s="431">
        <v>42225.45</v>
      </c>
      <c r="J8" s="431">
        <v>23</v>
      </c>
      <c r="K8" s="431">
        <v>638.35</v>
      </c>
      <c r="L8" s="431">
        <v>2285</v>
      </c>
      <c r="M8" s="431">
        <v>7384.54</v>
      </c>
      <c r="N8" s="431">
        <v>1573</v>
      </c>
      <c r="O8" s="431">
        <v>5052831.16</v>
      </c>
      <c r="P8" s="431">
        <v>1866</v>
      </c>
      <c r="Q8" s="431">
        <v>331318.31</v>
      </c>
      <c r="R8" s="431">
        <v>88</v>
      </c>
      <c r="S8" s="431">
        <v>763526.05</v>
      </c>
      <c r="T8" s="431">
        <v>817</v>
      </c>
      <c r="U8" s="431">
        <v>3809804.16</v>
      </c>
      <c r="V8" s="431">
        <v>141</v>
      </c>
      <c r="W8" s="431">
        <v>1189654.69</v>
      </c>
      <c r="X8" s="431">
        <v>21</v>
      </c>
      <c r="Y8" s="431">
        <v>47610.45</v>
      </c>
      <c r="Z8" s="431">
        <v>70642</v>
      </c>
      <c r="AA8" s="431">
        <v>2366320.3199999998</v>
      </c>
      <c r="AB8" s="431">
        <v>92688</v>
      </c>
      <c r="AC8" s="431">
        <v>24214696.739999998</v>
      </c>
      <c r="AD8" s="221"/>
      <c r="AE8" s="221"/>
    </row>
    <row r="9" spans="1:31" s="222" customFormat="1" ht="15" customHeight="1">
      <c r="A9" s="422">
        <f t="shared" ref="A9:A18" si="1">EOMONTH(A8,1)</f>
        <v>45473</v>
      </c>
      <c r="B9" s="431">
        <v>11619</v>
      </c>
      <c r="C9" s="431">
        <v>7708847.6699999999</v>
      </c>
      <c r="D9" s="431">
        <v>9</v>
      </c>
      <c r="E9" s="431">
        <v>584958.61</v>
      </c>
      <c r="F9" s="431">
        <v>3535</v>
      </c>
      <c r="G9" s="431">
        <v>3001809.38</v>
      </c>
      <c r="H9" s="431">
        <v>233</v>
      </c>
      <c r="I9" s="431">
        <v>44218.74</v>
      </c>
      <c r="J9" s="431">
        <v>23</v>
      </c>
      <c r="K9" s="431">
        <v>711.9</v>
      </c>
      <c r="L9" s="431">
        <v>2390</v>
      </c>
      <c r="M9" s="431">
        <v>8059.06</v>
      </c>
      <c r="N9" s="431">
        <v>1625</v>
      </c>
      <c r="O9" s="431">
        <v>5387836.5499999998</v>
      </c>
      <c r="P9" s="431">
        <v>1984</v>
      </c>
      <c r="Q9" s="431">
        <v>339672.66</v>
      </c>
      <c r="R9" s="431">
        <v>88</v>
      </c>
      <c r="S9" s="431">
        <v>773244.52</v>
      </c>
      <c r="T9" s="431">
        <v>820</v>
      </c>
      <c r="U9" s="431">
        <v>3953336.98</v>
      </c>
      <c r="V9" s="431">
        <v>141</v>
      </c>
      <c r="W9" s="431">
        <v>1220904.6299999999</v>
      </c>
      <c r="X9" s="431">
        <v>21</v>
      </c>
      <c r="Y9" s="431">
        <v>47410.63</v>
      </c>
      <c r="Z9" s="431">
        <v>75335</v>
      </c>
      <c r="AA9" s="431">
        <v>2461801.42</v>
      </c>
      <c r="AB9" s="431">
        <f>SUM(B9,D9,F9,H9,J9,L9,N9,P9,R9,T9,V9,X9,Z9)</f>
        <v>97823</v>
      </c>
      <c r="AC9" s="431">
        <f>SUM(C9,E9,G9,I9,K9,M9,O9,Q9,S9,U9,W9,Y9,AA9)</f>
        <v>25532812.75</v>
      </c>
      <c r="AD9" s="221"/>
      <c r="AE9" s="221"/>
    </row>
    <row r="10" spans="1:31" s="222" customFormat="1" ht="15" customHeight="1">
      <c r="A10" s="422">
        <f t="shared" si="1"/>
        <v>45504</v>
      </c>
      <c r="B10" s="1033">
        <v>11667</v>
      </c>
      <c r="C10" s="1033">
        <v>8038981.5099999998</v>
      </c>
      <c r="D10" s="1033">
        <v>9</v>
      </c>
      <c r="E10" s="1033">
        <v>585683.86</v>
      </c>
      <c r="F10" s="1033">
        <v>3575</v>
      </c>
      <c r="G10" s="1033">
        <v>3099751.25</v>
      </c>
      <c r="H10" s="1033">
        <v>236</v>
      </c>
      <c r="I10" s="1033">
        <v>44482.11</v>
      </c>
      <c r="J10" s="1033">
        <v>23</v>
      </c>
      <c r="K10" s="1033">
        <v>793.66</v>
      </c>
      <c r="L10" s="1033">
        <v>2596</v>
      </c>
      <c r="M10" s="1033">
        <v>8752.2000000000007</v>
      </c>
      <c r="N10" s="1033">
        <v>1630</v>
      </c>
      <c r="O10" s="1033">
        <v>5689542.2400000002</v>
      </c>
      <c r="P10" s="1033">
        <v>2130</v>
      </c>
      <c r="Q10" s="1033">
        <v>353510.43</v>
      </c>
      <c r="R10" s="1033">
        <v>88</v>
      </c>
      <c r="S10" s="1033">
        <v>840458.03</v>
      </c>
      <c r="T10" s="1033">
        <v>821</v>
      </c>
      <c r="U10" s="1033">
        <v>4124262.93</v>
      </c>
      <c r="V10" s="1033">
        <v>141</v>
      </c>
      <c r="W10" s="1033">
        <v>1253223.0900000001</v>
      </c>
      <c r="X10" s="1033">
        <v>21</v>
      </c>
      <c r="Y10" s="1033">
        <v>54323.68</v>
      </c>
      <c r="Z10" s="1033">
        <v>80934</v>
      </c>
      <c r="AA10" s="1033">
        <v>2571863.39</v>
      </c>
      <c r="AB10" s="1033">
        <v>103871</v>
      </c>
      <c r="AC10" s="1033">
        <v>26665628.379999999</v>
      </c>
      <c r="AD10" s="221"/>
      <c r="AE10" s="221"/>
    </row>
    <row r="11" spans="1:31" s="222" customFormat="1" ht="15" customHeight="1">
      <c r="A11" s="422">
        <f t="shared" si="1"/>
        <v>45535</v>
      </c>
      <c r="B11" s="241"/>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1"/>
      <c r="AA11" s="436"/>
      <c r="AB11" s="436"/>
      <c r="AC11" s="436"/>
      <c r="AD11" s="221"/>
      <c r="AE11" s="221"/>
    </row>
    <row r="12" spans="1:31" s="222" customFormat="1" ht="15" customHeight="1">
      <c r="A12" s="422">
        <f t="shared" si="1"/>
        <v>45565</v>
      </c>
      <c r="B12" s="241"/>
      <c r="C12" s="241"/>
      <c r="D12" s="241"/>
      <c r="E12" s="241"/>
      <c r="F12" s="241"/>
      <c r="G12" s="241"/>
      <c r="H12" s="241"/>
      <c r="I12" s="241"/>
      <c r="J12" s="241"/>
      <c r="K12" s="241"/>
      <c r="L12" s="241"/>
      <c r="M12" s="241"/>
      <c r="N12" s="241"/>
      <c r="O12" s="241"/>
      <c r="P12" s="241"/>
      <c r="Q12" s="241"/>
      <c r="R12" s="241"/>
      <c r="S12" s="241"/>
      <c r="T12" s="241"/>
      <c r="U12" s="241"/>
      <c r="V12" s="241"/>
      <c r="W12" s="241"/>
      <c r="X12" s="241"/>
      <c r="Y12" s="241"/>
      <c r="Z12" s="241"/>
      <c r="AA12" s="436"/>
      <c r="AB12" s="436"/>
      <c r="AC12" s="436"/>
    </row>
    <row r="13" spans="1:31" s="222" customFormat="1" ht="15" customHeight="1">
      <c r="A13" s="422">
        <f t="shared" si="1"/>
        <v>45596</v>
      </c>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436"/>
      <c r="AB13" s="436"/>
      <c r="AC13" s="436"/>
      <c r="AE13" s="223"/>
    </row>
    <row r="14" spans="1:31">
      <c r="A14" s="422">
        <f t="shared" si="1"/>
        <v>45626</v>
      </c>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241"/>
      <c r="AA14" s="436"/>
      <c r="AB14" s="437"/>
      <c r="AC14" s="437"/>
    </row>
    <row r="15" spans="1:31">
      <c r="A15" s="422">
        <f t="shared" si="1"/>
        <v>45657</v>
      </c>
      <c r="B15" s="241"/>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c r="AA15" s="437"/>
      <c r="AB15" s="437"/>
      <c r="AC15" s="437"/>
    </row>
    <row r="16" spans="1:31">
      <c r="A16" s="422">
        <f t="shared" si="1"/>
        <v>45688</v>
      </c>
      <c r="B16" s="241"/>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437"/>
      <c r="AB16" s="437"/>
      <c r="AC16" s="437"/>
    </row>
    <row r="17" spans="1:29">
      <c r="A17" s="422">
        <f t="shared" si="1"/>
        <v>45716</v>
      </c>
      <c r="B17" s="241"/>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c r="AA17" s="437"/>
      <c r="AB17" s="437"/>
      <c r="AC17" s="437"/>
    </row>
    <row r="18" spans="1:29">
      <c r="A18" s="422">
        <f t="shared" si="1"/>
        <v>45747</v>
      </c>
      <c r="B18" s="241"/>
      <c r="C18" s="241"/>
      <c r="D18" s="241"/>
      <c r="E18" s="241"/>
      <c r="F18" s="241"/>
      <c r="G18" s="241"/>
      <c r="H18" s="241"/>
      <c r="I18" s="241"/>
      <c r="J18" s="241"/>
      <c r="K18" s="241"/>
      <c r="L18" s="241"/>
      <c r="M18" s="241"/>
      <c r="N18" s="241"/>
      <c r="O18" s="241"/>
      <c r="P18" s="241"/>
      <c r="Q18" s="241"/>
      <c r="R18" s="241"/>
      <c r="S18" s="241"/>
      <c r="T18" s="241"/>
      <c r="U18" s="241"/>
      <c r="V18" s="241"/>
      <c r="W18" s="241"/>
      <c r="X18" s="241"/>
      <c r="Y18" s="241"/>
      <c r="Z18" s="241"/>
      <c r="AA18" s="437"/>
      <c r="AB18" s="437"/>
      <c r="AC18" s="437"/>
    </row>
    <row r="19" spans="1:29">
      <c r="A19" s="1437" t="s">
        <v>1161</v>
      </c>
      <c r="B19" s="1437"/>
      <c r="C19" s="1437"/>
      <c r="D19" s="1437"/>
      <c r="E19" s="1437"/>
      <c r="F19" s="1437"/>
      <c r="G19" s="1437"/>
      <c r="H19" s="1437"/>
      <c r="I19" s="1437"/>
      <c r="J19" s="1437"/>
      <c r="K19" s="1437"/>
      <c r="L19" s="1437"/>
      <c r="M19" s="1437"/>
      <c r="N19" s="1437"/>
      <c r="O19" s="1437"/>
      <c r="P19" s="1437"/>
      <c r="Q19" s="1437"/>
      <c r="R19" s="1437"/>
      <c r="S19" s="1437"/>
      <c r="T19" s="1437"/>
      <c r="U19" s="1437"/>
      <c r="V19" s="1437"/>
      <c r="W19" s="1437"/>
      <c r="X19" s="1437"/>
      <c r="Y19" s="1437"/>
      <c r="Z19" s="1437"/>
    </row>
    <row r="20" spans="1:29">
      <c r="A20" s="1426" t="s">
        <v>910</v>
      </c>
      <c r="B20" s="1426"/>
      <c r="C20" s="1426"/>
      <c r="D20" s="1426"/>
      <c r="E20" s="1426"/>
      <c r="F20" s="1426"/>
      <c r="G20" s="1426"/>
      <c r="H20" s="1426"/>
      <c r="I20" s="1426"/>
      <c r="J20" s="1426"/>
      <c r="K20" s="1426"/>
      <c r="L20" s="1426"/>
      <c r="M20" s="1426"/>
      <c r="N20" s="1426"/>
      <c r="O20" s="1426"/>
      <c r="P20" s="1426"/>
      <c r="Q20" s="1426"/>
      <c r="R20" s="1426"/>
      <c r="S20" s="1426"/>
      <c r="T20" s="1426"/>
      <c r="U20" s="1426"/>
      <c r="V20" s="1426"/>
      <c r="W20" s="1426"/>
      <c r="X20" s="1426"/>
      <c r="Y20" s="1426"/>
      <c r="Z20" s="1426"/>
    </row>
    <row r="21" spans="1:29">
      <c r="A21" s="1438" t="s">
        <v>909</v>
      </c>
      <c r="B21" s="1438"/>
      <c r="C21" s="1438"/>
      <c r="D21" s="1438"/>
      <c r="E21" s="1438"/>
      <c r="F21" s="1438"/>
      <c r="G21" s="1438"/>
      <c r="H21" s="1438"/>
      <c r="I21" s="1438"/>
      <c r="J21" s="1438"/>
      <c r="K21" s="1438"/>
      <c r="L21" s="1438"/>
      <c r="M21" s="1438"/>
      <c r="N21" s="1438"/>
      <c r="O21" s="1438"/>
      <c r="P21" s="1438"/>
      <c r="Q21" s="1438"/>
      <c r="R21" s="1438"/>
      <c r="S21" s="1438"/>
      <c r="T21" s="1438"/>
      <c r="U21" s="1438"/>
      <c r="V21" s="1438"/>
      <c r="W21" s="1438"/>
      <c r="X21" s="1438"/>
      <c r="Y21" s="1438"/>
      <c r="Z21" s="1438"/>
    </row>
    <row r="22" spans="1:29">
      <c r="A22" s="484" t="s">
        <v>1299</v>
      </c>
    </row>
  </sheetData>
  <mergeCells count="19">
    <mergeCell ref="AB3:AC3"/>
    <mergeCell ref="A1:Z1"/>
    <mergeCell ref="A3:A4"/>
    <mergeCell ref="B3:C3"/>
    <mergeCell ref="D3:E3"/>
    <mergeCell ref="F3:G3"/>
    <mergeCell ref="H3:I3"/>
    <mergeCell ref="J3:K3"/>
    <mergeCell ref="L3:M3"/>
    <mergeCell ref="N3:O3"/>
    <mergeCell ref="P3:Q3"/>
    <mergeCell ref="A19:Z19"/>
    <mergeCell ref="A20:Z20"/>
    <mergeCell ref="A21:Z21"/>
    <mergeCell ref="R3:S3"/>
    <mergeCell ref="T3:U3"/>
    <mergeCell ref="V3:W3"/>
    <mergeCell ref="X3:Y3"/>
    <mergeCell ref="Z3:AA3"/>
  </mergeCells>
  <printOptions horizontalCentered="1"/>
  <pageMargins left="0.7" right="0.7" top="0.75" bottom="0.75" header="0.3" footer="0.3"/>
  <pageSetup paperSize="9" fitToHeight="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K4" sqref="K4:K11"/>
    </sheetView>
  </sheetViews>
  <sheetFormatPr defaultRowHeight="15"/>
  <cols>
    <col min="1" max="1" width="20.7109375" style="225" bestFit="1" customWidth="1"/>
    <col min="2" max="9" width="12.140625" style="225" customWidth="1"/>
    <col min="10" max="10" width="10.28515625" style="225" customWidth="1"/>
    <col min="11" max="16384" width="9.140625" style="225"/>
  </cols>
  <sheetData>
    <row r="1" spans="1:11" s="224" customFormat="1" ht="15" customHeight="1">
      <c r="A1" s="1453" t="s">
        <v>927</v>
      </c>
      <c r="B1" s="1454"/>
      <c r="C1" s="1454"/>
      <c r="D1" s="1454"/>
      <c r="E1" s="1454"/>
      <c r="F1" s="1454"/>
      <c r="G1" s="1454"/>
      <c r="H1" s="1454"/>
      <c r="I1" s="1454"/>
      <c r="J1" s="1454"/>
    </row>
    <row r="2" spans="1:11" ht="15" customHeight="1">
      <c r="A2" s="1455" t="s">
        <v>928</v>
      </c>
      <c r="B2" s="1457" t="s">
        <v>929</v>
      </c>
      <c r="C2" s="1457"/>
      <c r="D2" s="1457"/>
      <c r="E2" s="1457"/>
      <c r="F2" s="1457"/>
      <c r="G2" s="1457"/>
      <c r="H2" s="1457"/>
      <c r="I2" s="1457"/>
      <c r="J2" s="1457"/>
      <c r="K2" s="1457"/>
    </row>
    <row r="3" spans="1:11">
      <c r="A3" s="1456"/>
      <c r="B3" s="944">
        <v>44621</v>
      </c>
      <c r="C3" s="944">
        <v>44713</v>
      </c>
      <c r="D3" s="944">
        <v>44805</v>
      </c>
      <c r="E3" s="945">
        <v>44896</v>
      </c>
      <c r="F3" s="945">
        <v>44986</v>
      </c>
      <c r="G3" s="945">
        <v>45078</v>
      </c>
      <c r="H3" s="945">
        <v>45170</v>
      </c>
      <c r="I3" s="945">
        <v>45261</v>
      </c>
      <c r="J3" s="945">
        <v>45352</v>
      </c>
      <c r="K3" s="945">
        <v>45444</v>
      </c>
    </row>
    <row r="4" spans="1:11">
      <c r="A4" s="946" t="s">
        <v>930</v>
      </c>
      <c r="B4" s="981">
        <v>3261</v>
      </c>
      <c r="C4" s="982">
        <v>3110</v>
      </c>
      <c r="D4" s="982">
        <v>3176</v>
      </c>
      <c r="E4" s="982">
        <v>3176</v>
      </c>
      <c r="F4" s="983">
        <v>3448</v>
      </c>
      <c r="G4" s="178">
        <v>2300</v>
      </c>
      <c r="H4" s="981">
        <v>2072</v>
      </c>
      <c r="I4" s="984">
        <v>2138</v>
      </c>
      <c r="J4" s="210">
        <v>2040</v>
      </c>
      <c r="K4" s="210">
        <v>1953</v>
      </c>
    </row>
    <row r="5" spans="1:11">
      <c r="A5" s="946" t="s">
        <v>931</v>
      </c>
      <c r="B5" s="981">
        <v>166</v>
      </c>
      <c r="C5" s="982">
        <v>133</v>
      </c>
      <c r="D5" s="982">
        <v>166</v>
      </c>
      <c r="E5" s="982">
        <v>57</v>
      </c>
      <c r="F5" s="983">
        <v>166</v>
      </c>
      <c r="G5" s="178">
        <v>271</v>
      </c>
      <c r="H5" s="981">
        <v>136</v>
      </c>
      <c r="I5" s="984">
        <v>461</v>
      </c>
      <c r="J5" s="210">
        <v>494</v>
      </c>
      <c r="K5" s="210">
        <v>166</v>
      </c>
    </row>
    <row r="6" spans="1:11">
      <c r="A6" s="946" t="s">
        <v>932</v>
      </c>
      <c r="B6" s="981">
        <v>824</v>
      </c>
      <c r="C6" s="982">
        <v>687</v>
      </c>
      <c r="D6" s="982">
        <v>687</v>
      </c>
      <c r="E6" s="982">
        <v>656</v>
      </c>
      <c r="F6" s="983">
        <v>656</v>
      </c>
      <c r="G6" s="178">
        <v>656</v>
      </c>
      <c r="H6" s="981">
        <v>564</v>
      </c>
      <c r="I6" s="984">
        <v>658</v>
      </c>
      <c r="J6" s="210">
        <v>658</v>
      </c>
      <c r="K6" s="210">
        <v>606</v>
      </c>
    </row>
    <row r="7" spans="1:11">
      <c r="A7" s="946" t="s">
        <v>933</v>
      </c>
      <c r="B7" s="981">
        <v>0</v>
      </c>
      <c r="C7" s="982">
        <v>0</v>
      </c>
      <c r="D7" s="982">
        <v>0</v>
      </c>
      <c r="E7" s="982">
        <v>0</v>
      </c>
      <c r="F7" s="983">
        <v>0</v>
      </c>
      <c r="G7" s="178">
        <v>0</v>
      </c>
      <c r="H7" s="981">
        <v>45</v>
      </c>
      <c r="I7" s="984">
        <v>0</v>
      </c>
      <c r="J7" s="210">
        <v>0</v>
      </c>
      <c r="K7" s="210">
        <v>0</v>
      </c>
    </row>
    <row r="8" spans="1:11">
      <c r="A8" s="946" t="s">
        <v>934</v>
      </c>
      <c r="B8" s="981">
        <v>594</v>
      </c>
      <c r="C8" s="982">
        <v>547</v>
      </c>
      <c r="D8" s="982">
        <v>581</v>
      </c>
      <c r="E8" s="982">
        <v>213</v>
      </c>
      <c r="F8" s="983">
        <v>219</v>
      </c>
      <c r="G8" s="178">
        <v>219</v>
      </c>
      <c r="H8" s="981">
        <v>187</v>
      </c>
      <c r="I8" s="984">
        <v>180</v>
      </c>
      <c r="J8" s="210">
        <v>219</v>
      </c>
      <c r="K8" s="210">
        <v>219</v>
      </c>
    </row>
    <row r="9" spans="1:11">
      <c r="A9" s="946" t="s">
        <v>935</v>
      </c>
      <c r="B9" s="981">
        <v>1505</v>
      </c>
      <c r="C9" s="982">
        <v>213</v>
      </c>
      <c r="D9" s="982">
        <v>206</v>
      </c>
      <c r="E9" s="982">
        <v>197</v>
      </c>
      <c r="F9" s="983">
        <v>1416</v>
      </c>
      <c r="G9" s="178">
        <v>2066</v>
      </c>
      <c r="H9" s="981">
        <v>2106</v>
      </c>
      <c r="I9" s="984">
        <v>1899</v>
      </c>
      <c r="J9" s="210">
        <v>1649</v>
      </c>
      <c r="K9" s="210">
        <v>1355</v>
      </c>
    </row>
    <row r="10" spans="1:11">
      <c r="A10" s="946" t="s">
        <v>936</v>
      </c>
      <c r="B10" s="981">
        <v>42</v>
      </c>
      <c r="C10" s="982">
        <v>12</v>
      </c>
      <c r="D10" s="982">
        <v>42</v>
      </c>
      <c r="E10" s="982">
        <v>12</v>
      </c>
      <c r="F10" s="983">
        <v>12</v>
      </c>
      <c r="G10" s="178">
        <v>632</v>
      </c>
      <c r="H10" s="981">
        <v>316</v>
      </c>
      <c r="I10" s="984">
        <v>188</v>
      </c>
      <c r="J10" s="210">
        <v>188</v>
      </c>
      <c r="K10" s="210">
        <v>44</v>
      </c>
    </row>
    <row r="11" spans="1:11">
      <c r="A11" s="946" t="s">
        <v>302</v>
      </c>
      <c r="B11" s="295">
        <v>39570</v>
      </c>
      <c r="C11" s="982">
        <v>35000</v>
      </c>
      <c r="D11" s="982">
        <v>39239</v>
      </c>
      <c r="E11" s="982">
        <v>37132</v>
      </c>
      <c r="F11" s="983">
        <v>42369</v>
      </c>
      <c r="G11" s="178">
        <v>37055</v>
      </c>
      <c r="H11" s="295">
        <v>42119</v>
      </c>
      <c r="I11" s="984">
        <v>41728</v>
      </c>
      <c r="J11" s="210">
        <v>48673</v>
      </c>
      <c r="K11" s="210">
        <v>48854</v>
      </c>
    </row>
    <row r="12" spans="1:11">
      <c r="A12" s="947" t="s">
        <v>92</v>
      </c>
      <c r="B12" s="985">
        <f>SUM(B4:B11)</f>
        <v>45962</v>
      </c>
      <c r="C12" s="985">
        <f t="shared" ref="C12:K12" si="0">SUM(C4:C11)</f>
        <v>39702</v>
      </c>
      <c r="D12" s="985">
        <f t="shared" si="0"/>
        <v>44097</v>
      </c>
      <c r="E12" s="985">
        <f t="shared" si="0"/>
        <v>41443</v>
      </c>
      <c r="F12" s="985">
        <f t="shared" si="0"/>
        <v>48286</v>
      </c>
      <c r="G12" s="985">
        <f t="shared" si="0"/>
        <v>43199</v>
      </c>
      <c r="H12" s="985">
        <f t="shared" si="0"/>
        <v>47545</v>
      </c>
      <c r="I12" s="985">
        <f t="shared" si="0"/>
        <v>47252</v>
      </c>
      <c r="J12" s="985">
        <f t="shared" si="0"/>
        <v>53921</v>
      </c>
      <c r="K12" s="985">
        <f t="shared" si="0"/>
        <v>53197</v>
      </c>
    </row>
    <row r="13" spans="1:11">
      <c r="A13" s="438" t="s">
        <v>937</v>
      </c>
      <c r="B13" s="439"/>
      <c r="C13" s="439"/>
      <c r="D13" s="226"/>
      <c r="E13" s="226"/>
      <c r="F13" s="226"/>
      <c r="G13" s="226"/>
      <c r="H13" s="226"/>
      <c r="I13" s="226"/>
      <c r="J13" s="226"/>
    </row>
  </sheetData>
  <mergeCells count="3">
    <mergeCell ref="A1:J1"/>
    <mergeCell ref="A2:A3"/>
    <mergeCell ref="B2:K2"/>
  </mergeCells>
  <printOptions horizontalCentered="1"/>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E7" sqref="E7"/>
    </sheetView>
  </sheetViews>
  <sheetFormatPr defaultColWidth="9.140625" defaultRowHeight="15"/>
  <cols>
    <col min="1" max="1" width="14.5703125" style="361" bestFit="1" customWidth="1"/>
    <col min="2" max="3" width="17.7109375" style="361" bestFit="1" customWidth="1"/>
    <col min="4" max="4" width="19.28515625" style="361" bestFit="1" customWidth="1"/>
    <col min="5" max="6" width="17.7109375" style="361" bestFit="1" customWidth="1"/>
    <col min="7" max="7" width="18.5703125" style="361" bestFit="1" customWidth="1"/>
    <col min="8" max="8" width="15.28515625" style="361" bestFit="1" customWidth="1"/>
    <col min="9" max="9" width="13.85546875" style="361" bestFit="1" customWidth="1"/>
    <col min="10" max="10" width="15.42578125" style="361" bestFit="1" customWidth="1"/>
    <col min="11" max="11" width="19.5703125" style="361" bestFit="1" customWidth="1"/>
    <col min="12" max="13" width="13.7109375" style="223" bestFit="1" customWidth="1"/>
    <col min="14" max="16384" width="9.140625" style="223"/>
  </cols>
  <sheetData>
    <row r="1" spans="1:13" ht="15" customHeight="1">
      <c r="A1" s="1459" t="s">
        <v>926</v>
      </c>
      <c r="B1" s="1459"/>
      <c r="C1" s="1459"/>
      <c r="D1" s="1459"/>
      <c r="E1" s="1459"/>
      <c r="F1" s="1459"/>
      <c r="G1" s="1459"/>
      <c r="H1" s="1459"/>
      <c r="I1" s="1459"/>
      <c r="J1" s="1459"/>
      <c r="K1" s="1459"/>
    </row>
    <row r="2" spans="1:13" s="222" customFormat="1" ht="15" customHeight="1">
      <c r="A2" s="1449" t="s">
        <v>112</v>
      </c>
      <c r="B2" s="1449" t="s">
        <v>925</v>
      </c>
      <c r="C2" s="1449"/>
      <c r="D2" s="1449"/>
      <c r="E2" s="1460" t="s">
        <v>924</v>
      </c>
      <c r="F2" s="1460"/>
      <c r="G2" s="1460"/>
      <c r="H2" s="1449" t="s">
        <v>923</v>
      </c>
      <c r="I2" s="1449"/>
      <c r="J2" s="1449"/>
      <c r="K2" s="1461" t="s">
        <v>922</v>
      </c>
    </row>
    <row r="3" spans="1:13" s="222" customFormat="1">
      <c r="A3" s="1460"/>
      <c r="B3" s="528" t="s">
        <v>921</v>
      </c>
      <c r="C3" s="528" t="s">
        <v>920</v>
      </c>
      <c r="D3" s="528" t="s">
        <v>92</v>
      </c>
      <c r="E3" s="528" t="s">
        <v>921</v>
      </c>
      <c r="F3" s="528" t="s">
        <v>920</v>
      </c>
      <c r="G3" s="528" t="s">
        <v>92</v>
      </c>
      <c r="H3" s="528" t="s">
        <v>921</v>
      </c>
      <c r="I3" s="528" t="s">
        <v>920</v>
      </c>
      <c r="J3" s="528" t="s">
        <v>92</v>
      </c>
      <c r="K3" s="1461"/>
    </row>
    <row r="4" spans="1:13" s="227" customFormat="1">
      <c r="A4" s="948" t="s">
        <v>520</v>
      </c>
      <c r="B4" s="949">
        <v>8841564.8542797305</v>
      </c>
      <c r="C4" s="949">
        <v>2606649.9309260407</v>
      </c>
      <c r="D4" s="949">
        <v>11448214.78520577</v>
      </c>
      <c r="E4" s="949">
        <v>8532666.8482885826</v>
      </c>
      <c r="F4" s="949">
        <v>2560846.6137513546</v>
      </c>
      <c r="G4" s="949">
        <v>11093513.462039936</v>
      </c>
      <c r="H4" s="949">
        <v>308898.00599114149</v>
      </c>
      <c r="I4" s="949">
        <v>45803.317174686148</v>
      </c>
      <c r="J4" s="949">
        <v>354701.32316582766</v>
      </c>
      <c r="K4" s="949">
        <v>5340194.6749522863</v>
      </c>
    </row>
    <row r="5" spans="1:13" s="227" customFormat="1">
      <c r="A5" s="948" t="s">
        <v>1165</v>
      </c>
      <c r="B5" s="440">
        <f t="shared" ref="B5:J5" si="0">SUM(B6:B9)</f>
        <v>3499098.13</v>
      </c>
      <c r="C5" s="440">
        <f t="shared" si="0"/>
        <v>896270.39</v>
      </c>
      <c r="D5" s="440">
        <f t="shared" si="0"/>
        <v>4395368.5199999996</v>
      </c>
      <c r="E5" s="440">
        <f t="shared" si="0"/>
        <v>3079448.41</v>
      </c>
      <c r="F5" s="440">
        <f t="shared" si="0"/>
        <v>820763.15</v>
      </c>
      <c r="G5" s="440">
        <f t="shared" si="0"/>
        <v>3900211.56</v>
      </c>
      <c r="H5" s="440">
        <f t="shared" si="0"/>
        <v>419649.72</v>
      </c>
      <c r="I5" s="440">
        <f t="shared" si="0"/>
        <v>75507.240000000005</v>
      </c>
      <c r="J5" s="440">
        <f t="shared" si="0"/>
        <v>495156.96</v>
      </c>
      <c r="K5" s="441">
        <f>INDEX(K6:K9,COUNT(K6:K9))</f>
        <v>6496653.0700000003</v>
      </c>
    </row>
    <row r="6" spans="1:13" s="222" customFormat="1">
      <c r="A6" s="422">
        <v>45383</v>
      </c>
      <c r="B6" s="455">
        <v>881430.02513550152</v>
      </c>
      <c r="C6" s="455">
        <v>233054.31953251455</v>
      </c>
      <c r="D6" s="455">
        <f>B6+C6</f>
        <v>1114484.3446680161</v>
      </c>
      <c r="E6" s="455">
        <v>681885.24491182459</v>
      </c>
      <c r="F6" s="455">
        <v>193366.30208995071</v>
      </c>
      <c r="G6" s="455">
        <f>E6+F6</f>
        <v>875251.54700177535</v>
      </c>
      <c r="H6" s="455">
        <v>199544.78022367728</v>
      </c>
      <c r="I6" s="455">
        <v>39688.017442563738</v>
      </c>
      <c r="J6" s="455">
        <f>H6+I6</f>
        <v>239232.79766624101</v>
      </c>
      <c r="K6" s="456">
        <v>5725898.0232708147</v>
      </c>
    </row>
    <row r="7" spans="1:13" s="222" customFormat="1">
      <c r="A7" s="422">
        <f>EOMONTH(A6,1)</f>
        <v>45443</v>
      </c>
      <c r="B7" s="455">
        <v>792839.22503205109</v>
      </c>
      <c r="C7" s="455">
        <v>195701.39598213934</v>
      </c>
      <c r="D7" s="455">
        <v>988540.6210141906</v>
      </c>
      <c r="E7" s="455">
        <v>690962.66577725741</v>
      </c>
      <c r="F7" s="455">
        <v>187060.94780343864</v>
      </c>
      <c r="G7" s="455">
        <v>878023.61358069605</v>
      </c>
      <c r="H7" s="455">
        <v>101876.5592547931</v>
      </c>
      <c r="I7" s="455">
        <v>8640.4481787007244</v>
      </c>
      <c r="J7" s="455">
        <v>110517.00743349385</v>
      </c>
      <c r="K7" s="455">
        <v>5891160.5167409051</v>
      </c>
    </row>
    <row r="8" spans="1:13" s="222" customFormat="1">
      <c r="A8" s="422">
        <f t="shared" ref="A8:A9" si="1">EOMONTH(A7,1)</f>
        <v>45473</v>
      </c>
      <c r="B8" s="455">
        <v>836611.86083407258</v>
      </c>
      <c r="C8" s="455">
        <v>222192.46142933128</v>
      </c>
      <c r="D8" s="455">
        <v>1058804.3222634038</v>
      </c>
      <c r="E8" s="455">
        <v>878194.62179201376</v>
      </c>
      <c r="F8" s="455">
        <v>224246.28983096097</v>
      </c>
      <c r="G8" s="455">
        <v>1102440.9116229748</v>
      </c>
      <c r="H8" s="455">
        <v>-41582.760957941238</v>
      </c>
      <c r="I8" s="455">
        <v>-2053.8284016295001</v>
      </c>
      <c r="J8" s="455">
        <v>-43636.58935957076</v>
      </c>
      <c r="K8" s="455">
        <v>6115581.8946445212</v>
      </c>
    </row>
    <row r="9" spans="1:13" s="222" customFormat="1">
      <c r="A9" s="422">
        <f t="shared" si="1"/>
        <v>45504</v>
      </c>
      <c r="B9" s="1034">
        <v>988217.0189983747</v>
      </c>
      <c r="C9" s="1034">
        <v>245322.21305601485</v>
      </c>
      <c r="D9" s="1034">
        <v>1233539.2320543891</v>
      </c>
      <c r="E9" s="1034">
        <v>828405.8775189044</v>
      </c>
      <c r="F9" s="1034">
        <v>216089.6102756497</v>
      </c>
      <c r="G9" s="1034">
        <v>1044495.4877945539</v>
      </c>
      <c r="H9" s="1034">
        <v>159811.14147947083</v>
      </c>
      <c r="I9" s="1034">
        <v>29232.602780365043</v>
      </c>
      <c r="J9" s="1034">
        <v>189043.74425983592</v>
      </c>
      <c r="K9" s="1034">
        <v>6496653.0700000003</v>
      </c>
      <c r="L9" s="1035"/>
      <c r="M9" s="228"/>
    </row>
    <row r="10" spans="1:13" ht="15" customHeight="1">
      <c r="A10" s="1462" t="s">
        <v>1299</v>
      </c>
      <c r="B10" s="1462"/>
      <c r="C10" s="1081"/>
      <c r="D10" s="1081"/>
      <c r="E10" s="1081"/>
      <c r="F10" s="1081"/>
      <c r="G10" s="1081"/>
      <c r="H10" s="1081"/>
      <c r="I10" s="1081"/>
      <c r="J10" s="1081"/>
      <c r="K10" s="1081"/>
    </row>
    <row r="11" spans="1:13" ht="15" customHeight="1">
      <c r="A11" s="1458" t="s">
        <v>126</v>
      </c>
      <c r="B11" s="1458"/>
      <c r="C11" s="1458"/>
      <c r="D11" s="1458"/>
      <c r="E11" s="1458"/>
      <c r="F11" s="1458"/>
      <c r="G11" s="1458"/>
      <c r="H11" s="1458"/>
      <c r="I11" s="1458"/>
      <c r="J11" s="1458"/>
      <c r="K11" s="1458"/>
    </row>
    <row r="13" spans="1:13">
      <c r="B13" s="950"/>
      <c r="C13" s="950"/>
      <c r="D13" s="950"/>
      <c r="E13" s="950"/>
      <c r="F13" s="950"/>
      <c r="G13" s="950"/>
      <c r="H13" s="950"/>
      <c r="I13" s="950"/>
      <c r="J13" s="950"/>
      <c r="K13" s="950"/>
    </row>
    <row r="15" spans="1:13">
      <c r="G15" s="950"/>
    </row>
  </sheetData>
  <mergeCells count="8">
    <mergeCell ref="A11:K11"/>
    <mergeCell ref="A1:K1"/>
    <mergeCell ref="A2:A3"/>
    <mergeCell ref="B2:D2"/>
    <mergeCell ref="E2:G2"/>
    <mergeCell ref="H2:J2"/>
    <mergeCell ref="K2:K3"/>
    <mergeCell ref="A10:B10"/>
  </mergeCells>
  <pageMargins left="0.7" right="0.7" top="0.75" bottom="0.75" header="0.3" footer="0.3"/>
  <pageSetup paperSize="9" orientation="landscape"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00"/>
  <sheetViews>
    <sheetView workbookViewId="0">
      <pane xSplit="2" ySplit="3" topLeftCell="G65" activePane="bottomRight" state="frozen"/>
      <selection activeCell="D3" sqref="D3"/>
      <selection pane="topRight" activeCell="D3" sqref="D3"/>
      <selection pane="bottomLeft" activeCell="D3" sqref="D3"/>
      <selection pane="bottomRight" activeCell="J75" sqref="J75"/>
    </sheetView>
  </sheetViews>
  <sheetFormatPr defaultColWidth="8.85546875" defaultRowHeight="15"/>
  <cols>
    <col min="1" max="1" width="8.140625" style="290" bestFit="1" customWidth="1"/>
    <col min="2" max="2" width="43.28515625" style="290" customWidth="1"/>
    <col min="3" max="3" width="12.42578125" style="290" bestFit="1" customWidth="1"/>
    <col min="4" max="4" width="19.5703125" style="290" bestFit="1" customWidth="1"/>
    <col min="5" max="6" width="18.42578125" style="290" bestFit="1" customWidth="1"/>
    <col min="7" max="7" width="16.140625" style="290" bestFit="1" customWidth="1"/>
    <col min="8" max="8" width="16.5703125" style="290" bestFit="1" customWidth="1"/>
    <col min="9" max="9" width="16.42578125" style="446" bestFit="1" customWidth="1"/>
    <col min="10" max="10" width="19.5703125" style="446" bestFit="1" customWidth="1"/>
    <col min="11" max="11" width="15.7109375" style="446" bestFit="1" customWidth="1"/>
    <col min="12" max="12" width="12.42578125" style="446" customWidth="1"/>
    <col min="13" max="13" width="17.28515625" style="446" bestFit="1" customWidth="1"/>
    <col min="14" max="14" width="17" style="446" bestFit="1" customWidth="1"/>
    <col min="15" max="16384" width="8.85546875" style="290"/>
  </cols>
  <sheetData>
    <row r="1" spans="1:14" s="288" customFormat="1" ht="15" customHeight="1">
      <c r="A1" s="1463" t="s">
        <v>50</v>
      </c>
      <c r="B1" s="1463"/>
      <c r="C1" s="1463"/>
      <c r="D1" s="1463"/>
      <c r="I1" s="442"/>
      <c r="J1" s="442"/>
      <c r="K1" s="442"/>
      <c r="L1" s="442"/>
      <c r="M1" s="442"/>
      <c r="N1" s="442"/>
    </row>
    <row r="2" spans="1:14" s="288" customFormat="1">
      <c r="A2" s="1464" t="s">
        <v>938</v>
      </c>
      <c r="B2" s="1464" t="s">
        <v>939</v>
      </c>
      <c r="C2" s="1466" t="s">
        <v>520</v>
      </c>
      <c r="D2" s="1467"/>
      <c r="E2" s="1467"/>
      <c r="F2" s="1467"/>
      <c r="G2" s="1467"/>
      <c r="H2" s="1467"/>
      <c r="I2" s="1466" t="s">
        <v>1165</v>
      </c>
      <c r="J2" s="1467"/>
      <c r="K2" s="1467"/>
      <c r="L2" s="1467"/>
      <c r="M2" s="1467"/>
      <c r="N2" s="1467"/>
    </row>
    <row r="3" spans="1:14" s="289" customFormat="1" ht="101.25" customHeight="1">
      <c r="A3" s="1465"/>
      <c r="B3" s="1464"/>
      <c r="C3" s="475" t="s">
        <v>1450</v>
      </c>
      <c r="D3" s="475" t="s">
        <v>1153</v>
      </c>
      <c r="E3" s="475" t="s">
        <v>1451</v>
      </c>
      <c r="F3" s="475" t="s">
        <v>1154</v>
      </c>
      <c r="G3" s="475" t="s">
        <v>1155</v>
      </c>
      <c r="H3" s="475" t="s">
        <v>1156</v>
      </c>
      <c r="I3" s="475" t="s">
        <v>1452</v>
      </c>
      <c r="J3" s="475" t="s">
        <v>1454</v>
      </c>
      <c r="K3" s="475" t="s">
        <v>1453</v>
      </c>
      <c r="L3" s="475" t="s">
        <v>1455</v>
      </c>
      <c r="M3" s="475" t="s">
        <v>1404</v>
      </c>
      <c r="N3" s="475" t="s">
        <v>1456</v>
      </c>
    </row>
    <row r="4" spans="1:14" s="288" customFormat="1">
      <c r="A4" s="532" t="s">
        <v>940</v>
      </c>
      <c r="B4" s="531" t="s">
        <v>941</v>
      </c>
      <c r="C4" s="476"/>
      <c r="D4" s="476"/>
      <c r="E4" s="477"/>
      <c r="F4" s="476"/>
      <c r="G4" s="476"/>
      <c r="H4" s="476"/>
      <c r="I4" s="476"/>
      <c r="J4" s="476"/>
      <c r="K4" s="477"/>
      <c r="L4" s="476"/>
      <c r="M4" s="476"/>
      <c r="N4" s="476"/>
    </row>
    <row r="5" spans="1:14">
      <c r="A5" s="531" t="s">
        <v>942</v>
      </c>
      <c r="B5" s="531" t="s">
        <v>943</v>
      </c>
      <c r="C5" s="476"/>
      <c r="D5" s="476"/>
      <c r="E5" s="477"/>
      <c r="F5" s="477"/>
      <c r="G5" s="477"/>
      <c r="H5" s="477"/>
      <c r="I5" s="476"/>
      <c r="J5" s="476"/>
      <c r="K5" s="477"/>
      <c r="L5" s="477"/>
      <c r="M5" s="477"/>
      <c r="N5" s="477"/>
    </row>
    <row r="6" spans="1:14">
      <c r="A6" s="478">
        <v>1</v>
      </c>
      <c r="B6" s="479" t="s">
        <v>944</v>
      </c>
      <c r="C6" s="480">
        <v>32</v>
      </c>
      <c r="D6" s="480">
        <v>694136</v>
      </c>
      <c r="E6" s="480">
        <v>1211968.49</v>
      </c>
      <c r="F6" s="480">
        <v>1220143.48</v>
      </c>
      <c r="G6" s="480">
        <v>-8174.98</v>
      </c>
      <c r="H6" s="480">
        <v>89223.42</v>
      </c>
      <c r="I6" s="480">
        <v>35</v>
      </c>
      <c r="J6" s="480">
        <v>873876</v>
      </c>
      <c r="K6" s="480">
        <v>1794412.9048364998</v>
      </c>
      <c r="L6" s="480">
        <v>1787263.9705689822</v>
      </c>
      <c r="M6" s="480">
        <v>7148.9342675175167</v>
      </c>
      <c r="N6" s="480">
        <v>70482.172211894358</v>
      </c>
    </row>
    <row r="7" spans="1:14">
      <c r="A7" s="478">
        <v>2</v>
      </c>
      <c r="B7" s="479" t="s">
        <v>945</v>
      </c>
      <c r="C7" s="480">
        <v>36</v>
      </c>
      <c r="D7" s="480">
        <v>1778066</v>
      </c>
      <c r="E7" s="480">
        <v>999037.64</v>
      </c>
      <c r="F7" s="480">
        <v>919129.54</v>
      </c>
      <c r="G7" s="480">
        <v>79908.100000000006</v>
      </c>
      <c r="H7" s="480">
        <v>419555.59</v>
      </c>
      <c r="I7" s="480">
        <v>36</v>
      </c>
      <c r="J7" s="480">
        <v>1782584</v>
      </c>
      <c r="K7" s="480">
        <v>1559599.6211007976</v>
      </c>
      <c r="L7" s="480">
        <v>1441267.8881939459</v>
      </c>
      <c r="M7" s="480">
        <v>118331.73290685144</v>
      </c>
      <c r="N7" s="480">
        <v>493493.4651810893</v>
      </c>
    </row>
    <row r="8" spans="1:14">
      <c r="A8" s="478">
        <v>3</v>
      </c>
      <c r="B8" s="479" t="s">
        <v>946</v>
      </c>
      <c r="C8" s="480">
        <v>25</v>
      </c>
      <c r="D8" s="480">
        <v>637819</v>
      </c>
      <c r="E8" s="480">
        <v>59136.160000000003</v>
      </c>
      <c r="F8" s="480">
        <v>42774.83</v>
      </c>
      <c r="G8" s="480">
        <v>16361.34</v>
      </c>
      <c r="H8" s="480">
        <v>97161.26</v>
      </c>
      <c r="I8" s="480">
        <v>24</v>
      </c>
      <c r="J8" s="480">
        <v>632446</v>
      </c>
      <c r="K8" s="480">
        <v>96816.273964343549</v>
      </c>
      <c r="L8" s="480">
        <v>78184.264918915782</v>
      </c>
      <c r="M8" s="480">
        <v>18632.009045427749</v>
      </c>
      <c r="N8" s="480">
        <v>104537.9910339389</v>
      </c>
    </row>
    <row r="9" spans="1:14">
      <c r="A9" s="478">
        <v>4</v>
      </c>
      <c r="B9" s="479" t="s">
        <v>947</v>
      </c>
      <c r="C9" s="480">
        <v>21</v>
      </c>
      <c r="D9" s="480">
        <v>930843</v>
      </c>
      <c r="E9" s="480">
        <v>33319.94</v>
      </c>
      <c r="F9" s="480">
        <v>22751.68</v>
      </c>
      <c r="G9" s="480">
        <v>10568.26</v>
      </c>
      <c r="H9" s="480">
        <v>99019.05</v>
      </c>
      <c r="I9" s="480">
        <v>20</v>
      </c>
      <c r="J9" s="480">
        <v>843900</v>
      </c>
      <c r="K9" s="480">
        <v>60225.128552741793</v>
      </c>
      <c r="L9" s="480">
        <v>47905.019437943192</v>
      </c>
      <c r="M9" s="480">
        <v>12320.10911479859</v>
      </c>
      <c r="N9" s="480">
        <v>105025.554417559</v>
      </c>
    </row>
    <row r="10" spans="1:14">
      <c r="A10" s="478">
        <v>5</v>
      </c>
      <c r="B10" s="479" t="s">
        <v>948</v>
      </c>
      <c r="C10" s="480">
        <v>22</v>
      </c>
      <c r="D10" s="480">
        <v>428088</v>
      </c>
      <c r="E10" s="480">
        <v>96873.87</v>
      </c>
      <c r="F10" s="480">
        <v>67354.83</v>
      </c>
      <c r="G10" s="480">
        <v>29519.05</v>
      </c>
      <c r="H10" s="480">
        <v>140034.51999999999</v>
      </c>
      <c r="I10" s="480">
        <v>23</v>
      </c>
      <c r="J10" s="480">
        <v>433155</v>
      </c>
      <c r="K10" s="480">
        <v>230427.4718469129</v>
      </c>
      <c r="L10" s="480">
        <v>149743.29338440529</v>
      </c>
      <c r="M10" s="480">
        <v>80684.178462507625</v>
      </c>
      <c r="N10" s="480">
        <v>234400.74044235324</v>
      </c>
    </row>
    <row r="11" spans="1:14">
      <c r="A11" s="478">
        <v>6</v>
      </c>
      <c r="B11" s="479" t="s">
        <v>949</v>
      </c>
      <c r="C11" s="480">
        <v>25</v>
      </c>
      <c r="D11" s="480">
        <v>502719</v>
      </c>
      <c r="E11" s="480">
        <v>10767.11</v>
      </c>
      <c r="F11" s="480">
        <v>5116.49</v>
      </c>
      <c r="G11" s="480">
        <v>5650.63</v>
      </c>
      <c r="H11" s="480">
        <v>99138.83</v>
      </c>
      <c r="I11" s="480">
        <v>23</v>
      </c>
      <c r="J11" s="480">
        <v>438664</v>
      </c>
      <c r="K11" s="480">
        <v>20988.196419882403</v>
      </c>
      <c r="L11" s="480">
        <v>17019.010907425582</v>
      </c>
      <c r="M11" s="480">
        <v>3969.1855124568197</v>
      </c>
      <c r="N11" s="480">
        <v>105624.04745897716</v>
      </c>
    </row>
    <row r="12" spans="1:14">
      <c r="A12" s="478">
        <v>7</v>
      </c>
      <c r="B12" s="479" t="s">
        <v>950</v>
      </c>
      <c r="C12" s="480">
        <v>15</v>
      </c>
      <c r="D12" s="480">
        <v>254975</v>
      </c>
      <c r="E12" s="480">
        <v>1120.4000000000001</v>
      </c>
      <c r="F12" s="480">
        <v>1451.46</v>
      </c>
      <c r="G12" s="480">
        <v>-331.05</v>
      </c>
      <c r="H12" s="480">
        <v>27349.41</v>
      </c>
      <c r="I12" s="480">
        <v>15</v>
      </c>
      <c r="J12" s="480">
        <v>217360</v>
      </c>
      <c r="K12" s="480">
        <v>736.66989716589126</v>
      </c>
      <c r="L12" s="480">
        <v>2532.6493204563326</v>
      </c>
      <c r="M12" s="480">
        <v>-1795.9794232904421</v>
      </c>
      <c r="N12" s="480">
        <v>24830.584152417257</v>
      </c>
    </row>
    <row r="13" spans="1:14">
      <c r="A13" s="478">
        <v>8</v>
      </c>
      <c r="B13" s="479" t="s">
        <v>951</v>
      </c>
      <c r="C13" s="480">
        <v>12</v>
      </c>
      <c r="D13" s="480">
        <v>106555</v>
      </c>
      <c r="E13" s="480">
        <v>1286.5899999999999</v>
      </c>
      <c r="F13" s="480">
        <v>522.29999999999995</v>
      </c>
      <c r="G13" s="480">
        <v>764.29</v>
      </c>
      <c r="H13" s="480">
        <v>9883.6200000000008</v>
      </c>
      <c r="I13" s="480">
        <v>12</v>
      </c>
      <c r="J13" s="480">
        <v>98618</v>
      </c>
      <c r="K13" s="480">
        <v>709.68827064727941</v>
      </c>
      <c r="L13" s="480">
        <v>437.3540709290001</v>
      </c>
      <c r="M13" s="480">
        <v>272.33419971827931</v>
      </c>
      <c r="N13" s="480">
        <v>11052.023183477151</v>
      </c>
    </row>
    <row r="14" spans="1:14">
      <c r="A14" s="478">
        <v>9</v>
      </c>
      <c r="B14" s="479" t="s">
        <v>952</v>
      </c>
      <c r="C14" s="480">
        <v>7</v>
      </c>
      <c r="D14" s="480">
        <v>47668</v>
      </c>
      <c r="E14" s="480">
        <v>324.97000000000003</v>
      </c>
      <c r="F14" s="480">
        <v>175.95</v>
      </c>
      <c r="G14" s="480">
        <v>149.01</v>
      </c>
      <c r="H14" s="480">
        <v>9183.1299999999992</v>
      </c>
      <c r="I14" s="480">
        <v>9</v>
      </c>
      <c r="J14" s="480">
        <v>69014</v>
      </c>
      <c r="K14" s="480">
        <v>2699.5533300379998</v>
      </c>
      <c r="L14" s="480">
        <v>569.21551653599988</v>
      </c>
      <c r="M14" s="480">
        <v>2130.3378135019998</v>
      </c>
      <c r="N14" s="480">
        <v>15324.769533673305</v>
      </c>
    </row>
    <row r="15" spans="1:14">
      <c r="A15" s="478">
        <v>10</v>
      </c>
      <c r="B15" s="479" t="s">
        <v>953</v>
      </c>
      <c r="C15" s="480">
        <v>22</v>
      </c>
      <c r="D15" s="480">
        <v>232991</v>
      </c>
      <c r="E15" s="480">
        <v>1509.09</v>
      </c>
      <c r="F15" s="480">
        <v>1294.8</v>
      </c>
      <c r="G15" s="480">
        <v>214.29</v>
      </c>
      <c r="H15" s="480">
        <v>30210.27</v>
      </c>
      <c r="I15" s="480">
        <v>22</v>
      </c>
      <c r="J15" s="480">
        <v>216166</v>
      </c>
      <c r="K15" s="480">
        <v>3236.4018627431547</v>
      </c>
      <c r="L15" s="480">
        <v>2667.0004621839994</v>
      </c>
      <c r="M15" s="480">
        <v>569.40140055915481</v>
      </c>
      <c r="N15" s="480">
        <v>33069.712246752519</v>
      </c>
    </row>
    <row r="16" spans="1:14">
      <c r="A16" s="478">
        <v>11</v>
      </c>
      <c r="B16" s="479" t="s">
        <v>954</v>
      </c>
      <c r="C16" s="480">
        <v>21</v>
      </c>
      <c r="D16" s="480">
        <v>610771</v>
      </c>
      <c r="E16" s="480">
        <v>8656.2800000000007</v>
      </c>
      <c r="F16" s="480">
        <v>7429.74</v>
      </c>
      <c r="G16" s="480">
        <v>1226.54</v>
      </c>
      <c r="H16" s="480">
        <v>135476.04</v>
      </c>
      <c r="I16" s="480">
        <v>21</v>
      </c>
      <c r="J16" s="480">
        <v>538313</v>
      </c>
      <c r="K16" s="480">
        <v>21046.39604811044</v>
      </c>
      <c r="L16" s="480">
        <v>18575.501982497</v>
      </c>
      <c r="M16" s="480">
        <v>2470.8940656134373</v>
      </c>
      <c r="N16" s="480">
        <v>154280.1300897006</v>
      </c>
    </row>
    <row r="17" spans="1:14">
      <c r="A17" s="478">
        <v>12</v>
      </c>
      <c r="B17" s="479" t="s">
        <v>955</v>
      </c>
      <c r="C17" s="480">
        <v>15</v>
      </c>
      <c r="D17" s="480">
        <v>238230</v>
      </c>
      <c r="E17" s="480">
        <v>288.98</v>
      </c>
      <c r="F17" s="480">
        <v>1252.67</v>
      </c>
      <c r="G17" s="480">
        <v>-963.68</v>
      </c>
      <c r="H17" s="480">
        <v>24324.52</v>
      </c>
      <c r="I17" s="480">
        <v>14</v>
      </c>
      <c r="J17" s="480">
        <v>193899</v>
      </c>
      <c r="K17" s="480">
        <v>175.49360886506363</v>
      </c>
      <c r="L17" s="480">
        <v>2096.1525196360003</v>
      </c>
      <c r="M17" s="480">
        <v>-1920.6589107709362</v>
      </c>
      <c r="N17" s="480">
        <v>21789.597794432688</v>
      </c>
    </row>
    <row r="18" spans="1:14">
      <c r="A18" s="478">
        <v>13</v>
      </c>
      <c r="B18" s="479" t="s">
        <v>956</v>
      </c>
      <c r="C18" s="480">
        <v>23</v>
      </c>
      <c r="D18" s="480">
        <v>289473</v>
      </c>
      <c r="E18" s="480">
        <v>2726.43</v>
      </c>
      <c r="F18" s="480">
        <v>3551.99</v>
      </c>
      <c r="G18" s="480">
        <v>-825.56</v>
      </c>
      <c r="H18" s="480">
        <v>81815.399999999994</v>
      </c>
      <c r="I18" s="480">
        <v>22</v>
      </c>
      <c r="J18" s="480">
        <v>243634</v>
      </c>
      <c r="K18" s="480">
        <v>5756.6842341481497</v>
      </c>
      <c r="L18" s="480">
        <v>9250.6188160756683</v>
      </c>
      <c r="M18" s="480">
        <v>-3493.9345819275177</v>
      </c>
      <c r="N18" s="480">
        <v>79123.089736052352</v>
      </c>
    </row>
    <row r="19" spans="1:14">
      <c r="A19" s="478">
        <v>14</v>
      </c>
      <c r="B19" s="479" t="s">
        <v>957</v>
      </c>
      <c r="C19" s="480">
        <v>22</v>
      </c>
      <c r="D19" s="480">
        <v>180688</v>
      </c>
      <c r="E19" s="480">
        <v>1771.01</v>
      </c>
      <c r="F19" s="480">
        <v>1067.74</v>
      </c>
      <c r="G19" s="480">
        <v>703.27</v>
      </c>
      <c r="H19" s="480">
        <v>22702.57</v>
      </c>
      <c r="I19" s="480">
        <v>21</v>
      </c>
      <c r="J19" s="480">
        <v>192867</v>
      </c>
      <c r="K19" s="480">
        <v>11150.985897725739</v>
      </c>
      <c r="L19" s="480">
        <v>6063.353572981001</v>
      </c>
      <c r="M19" s="480">
        <v>5087.6323247447399</v>
      </c>
      <c r="N19" s="480">
        <v>33302.059223182448</v>
      </c>
    </row>
    <row r="20" spans="1:14">
      <c r="A20" s="478">
        <v>15</v>
      </c>
      <c r="B20" s="479" t="s">
        <v>958</v>
      </c>
      <c r="C20" s="480">
        <v>5</v>
      </c>
      <c r="D20" s="480">
        <v>42164</v>
      </c>
      <c r="E20" s="480">
        <v>742.58</v>
      </c>
      <c r="F20" s="480">
        <v>391</v>
      </c>
      <c r="G20" s="480">
        <v>351.58</v>
      </c>
      <c r="H20" s="480">
        <v>4230.46</v>
      </c>
      <c r="I20" s="480">
        <v>5</v>
      </c>
      <c r="J20" s="480">
        <v>36301</v>
      </c>
      <c r="K20" s="480">
        <v>767.04645492299994</v>
      </c>
      <c r="L20" s="480">
        <v>1148.3557676866067</v>
      </c>
      <c r="M20" s="480">
        <v>-381.30931276360661</v>
      </c>
      <c r="N20" s="480">
        <v>4496.0627729787711</v>
      </c>
    </row>
    <row r="21" spans="1:14">
      <c r="A21" s="478">
        <v>16</v>
      </c>
      <c r="B21" s="479" t="s">
        <v>959</v>
      </c>
      <c r="C21" s="480">
        <v>13</v>
      </c>
      <c r="D21" s="480">
        <v>232214</v>
      </c>
      <c r="E21" s="480">
        <v>13357.49</v>
      </c>
      <c r="F21" s="480">
        <v>9977.6299999999992</v>
      </c>
      <c r="G21" s="480">
        <v>3379.85</v>
      </c>
      <c r="H21" s="480">
        <v>58174.5</v>
      </c>
      <c r="I21" s="480">
        <v>13</v>
      </c>
      <c r="J21" s="480">
        <v>205947</v>
      </c>
      <c r="K21" s="480">
        <v>7816.8265651969405</v>
      </c>
      <c r="L21" s="480">
        <v>7426.2232466116657</v>
      </c>
      <c r="M21" s="480">
        <v>390.6033185852728</v>
      </c>
      <c r="N21" s="480">
        <v>53349.189049594825</v>
      </c>
    </row>
    <row r="22" spans="1:14">
      <c r="A22" s="478"/>
      <c r="B22" s="531" t="s">
        <v>960</v>
      </c>
      <c r="C22" s="476">
        <v>316</v>
      </c>
      <c r="D22" s="476">
        <v>7207400</v>
      </c>
      <c r="E22" s="476">
        <v>2442887.04</v>
      </c>
      <c r="F22" s="476">
        <v>2304386.11</v>
      </c>
      <c r="G22" s="476">
        <v>138500.92000000001</v>
      </c>
      <c r="H22" s="476">
        <v>1347482.6</v>
      </c>
      <c r="I22" s="476">
        <v>315</v>
      </c>
      <c r="J22" s="476">
        <v>7016744</v>
      </c>
      <c r="K22" s="476">
        <v>3816565.3428907427</v>
      </c>
      <c r="L22" s="476">
        <v>3572149.8726872113</v>
      </c>
      <c r="M22" s="476">
        <v>244415.47020353016</v>
      </c>
      <c r="N22" s="476">
        <v>1544181.1885280742</v>
      </c>
    </row>
    <row r="23" spans="1:14">
      <c r="A23" s="478"/>
      <c r="B23" s="478"/>
      <c r="C23" s="480"/>
      <c r="D23" s="480"/>
      <c r="E23" s="480"/>
      <c r="F23" s="480"/>
      <c r="G23" s="480"/>
      <c r="H23" s="480"/>
      <c r="I23" s="480"/>
      <c r="J23" s="480"/>
      <c r="K23" s="480"/>
      <c r="L23" s="480"/>
      <c r="M23" s="480"/>
      <c r="N23" s="480"/>
    </row>
    <row r="24" spans="1:14">
      <c r="A24" s="531" t="s">
        <v>961</v>
      </c>
      <c r="B24" s="531" t="s">
        <v>962</v>
      </c>
      <c r="C24" s="480"/>
      <c r="D24" s="480"/>
      <c r="E24" s="480"/>
      <c r="F24" s="480"/>
      <c r="G24" s="480"/>
      <c r="H24" s="480"/>
      <c r="I24" s="480"/>
      <c r="J24" s="480"/>
      <c r="K24" s="480"/>
      <c r="L24" s="480"/>
      <c r="M24" s="480"/>
      <c r="N24" s="480"/>
    </row>
    <row r="25" spans="1:14">
      <c r="A25" s="478">
        <v>17</v>
      </c>
      <c r="B25" s="481" t="s">
        <v>963</v>
      </c>
      <c r="C25" s="480">
        <v>19</v>
      </c>
      <c r="D25" s="480">
        <v>4281290</v>
      </c>
      <c r="E25" s="480">
        <v>5316.09</v>
      </c>
      <c r="F25" s="480">
        <v>4270.59</v>
      </c>
      <c r="G25" s="480">
        <v>1045.49</v>
      </c>
      <c r="H25" s="480">
        <v>78415.3</v>
      </c>
      <c r="I25" s="480">
        <v>26</v>
      </c>
      <c r="J25" s="480">
        <v>7364238</v>
      </c>
      <c r="K25" s="480">
        <v>24799.319128381067</v>
      </c>
      <c r="L25" s="480">
        <v>7637.4031617236378</v>
      </c>
      <c r="M25" s="480">
        <v>17161.915966657427</v>
      </c>
      <c r="N25" s="480">
        <v>168365.86235063785</v>
      </c>
    </row>
    <row r="26" spans="1:14">
      <c r="A26" s="478">
        <v>18</v>
      </c>
      <c r="B26" s="481" t="s">
        <v>964</v>
      </c>
      <c r="C26" s="480">
        <v>31</v>
      </c>
      <c r="D26" s="480">
        <v>12937115</v>
      </c>
      <c r="E26" s="480">
        <v>9006.39</v>
      </c>
      <c r="F26" s="480">
        <v>12365.66</v>
      </c>
      <c r="G26" s="480">
        <v>-3359.26</v>
      </c>
      <c r="H26" s="480">
        <v>259583.23</v>
      </c>
      <c r="I26" s="480">
        <v>31</v>
      </c>
      <c r="J26" s="480">
        <v>14357880</v>
      </c>
      <c r="K26" s="480">
        <v>22891.015223900664</v>
      </c>
      <c r="L26" s="480">
        <v>20229.751589684125</v>
      </c>
      <c r="M26" s="480">
        <v>2661.2636342165324</v>
      </c>
      <c r="N26" s="480">
        <v>361031.1380325288</v>
      </c>
    </row>
    <row r="27" spans="1:14">
      <c r="A27" s="478">
        <v>19</v>
      </c>
      <c r="B27" s="481" t="s">
        <v>965</v>
      </c>
      <c r="C27" s="480">
        <v>26</v>
      </c>
      <c r="D27" s="480">
        <v>7986403</v>
      </c>
      <c r="E27" s="480">
        <v>9033.5400000000009</v>
      </c>
      <c r="F27" s="480">
        <v>6014.88</v>
      </c>
      <c r="G27" s="480">
        <v>3018.66</v>
      </c>
      <c r="H27" s="480">
        <v>148217.79999999999</v>
      </c>
      <c r="I27" s="480">
        <v>29</v>
      </c>
      <c r="J27" s="480">
        <v>10077659</v>
      </c>
      <c r="K27" s="480">
        <v>22161.144779582159</v>
      </c>
      <c r="L27" s="480">
        <v>11590.843956722169</v>
      </c>
      <c r="M27" s="480">
        <v>10570.300822859994</v>
      </c>
      <c r="N27" s="480">
        <v>257266.50166094906</v>
      </c>
    </row>
    <row r="28" spans="1:14">
      <c r="A28" s="478">
        <v>20</v>
      </c>
      <c r="B28" s="481" t="s">
        <v>966</v>
      </c>
      <c r="C28" s="480">
        <v>29</v>
      </c>
      <c r="D28" s="480">
        <v>11049628</v>
      </c>
      <c r="E28" s="480">
        <v>12644.72</v>
      </c>
      <c r="F28" s="480">
        <v>7909.58</v>
      </c>
      <c r="G28" s="480">
        <v>4735.1400000000003</v>
      </c>
      <c r="H28" s="480">
        <v>218145.99</v>
      </c>
      <c r="I28" s="480">
        <v>29</v>
      </c>
      <c r="J28" s="480">
        <v>16029834</v>
      </c>
      <c r="K28" s="480">
        <v>27009.275238832215</v>
      </c>
      <c r="L28" s="480">
        <v>18438.447408363816</v>
      </c>
      <c r="M28" s="480">
        <v>8570.8278304683881</v>
      </c>
      <c r="N28" s="480">
        <v>378543.8215797536</v>
      </c>
    </row>
    <row r="29" spans="1:14">
      <c r="A29" s="478">
        <v>21</v>
      </c>
      <c r="B29" s="481" t="s">
        <v>967</v>
      </c>
      <c r="C29" s="480">
        <v>24</v>
      </c>
      <c r="D29" s="480">
        <v>12267299</v>
      </c>
      <c r="E29" s="480">
        <v>16076.07</v>
      </c>
      <c r="F29" s="480">
        <v>5139.37</v>
      </c>
      <c r="G29" s="480">
        <v>10936.69</v>
      </c>
      <c r="H29" s="480">
        <v>168434.34</v>
      </c>
      <c r="I29" s="480">
        <v>28</v>
      </c>
      <c r="J29" s="480">
        <v>20962913</v>
      </c>
      <c r="K29" s="480">
        <v>26886.141132188008</v>
      </c>
      <c r="L29" s="480">
        <v>17580.084597672449</v>
      </c>
      <c r="M29" s="480">
        <v>9306.0565345155592</v>
      </c>
      <c r="N29" s="480">
        <v>313488.16937222343</v>
      </c>
    </row>
    <row r="30" spans="1:14">
      <c r="A30" s="478">
        <v>22</v>
      </c>
      <c r="B30" s="481" t="s">
        <v>968</v>
      </c>
      <c r="C30" s="480">
        <v>9</v>
      </c>
      <c r="D30" s="480">
        <v>752821</v>
      </c>
      <c r="E30" s="480">
        <v>1394.39</v>
      </c>
      <c r="F30" s="480">
        <v>584.84</v>
      </c>
      <c r="G30" s="480">
        <v>809.55</v>
      </c>
      <c r="H30" s="480">
        <v>16236.99</v>
      </c>
      <c r="I30" s="480">
        <v>9</v>
      </c>
      <c r="J30" s="480">
        <v>991819</v>
      </c>
      <c r="K30" s="480">
        <v>3603.9659596949996</v>
      </c>
      <c r="L30" s="480">
        <v>1666.499241535631</v>
      </c>
      <c r="M30" s="480">
        <v>1937.4667181593688</v>
      </c>
      <c r="N30" s="480">
        <v>30683.972137986399</v>
      </c>
    </row>
    <row r="31" spans="1:14">
      <c r="A31" s="478">
        <v>23</v>
      </c>
      <c r="B31" s="481" t="s">
        <v>969</v>
      </c>
      <c r="C31" s="480">
        <v>23</v>
      </c>
      <c r="D31" s="480">
        <v>4936198</v>
      </c>
      <c r="E31" s="480">
        <v>6433.32</v>
      </c>
      <c r="F31" s="480">
        <v>3320.92</v>
      </c>
      <c r="G31" s="480">
        <v>3112.4</v>
      </c>
      <c r="H31" s="480">
        <v>104685.73</v>
      </c>
      <c r="I31" s="480">
        <v>23</v>
      </c>
      <c r="J31" s="480">
        <v>7016092</v>
      </c>
      <c r="K31" s="480">
        <v>15545.8494122914</v>
      </c>
      <c r="L31" s="480">
        <v>7956.9536096304146</v>
      </c>
      <c r="M31" s="480">
        <v>7588.8958026609844</v>
      </c>
      <c r="N31" s="480">
        <v>185631.53577844045</v>
      </c>
    </row>
    <row r="32" spans="1:14">
      <c r="A32" s="478">
        <v>24</v>
      </c>
      <c r="B32" s="481" t="s">
        <v>970</v>
      </c>
      <c r="C32" s="480">
        <v>27</v>
      </c>
      <c r="D32" s="480">
        <v>5232806</v>
      </c>
      <c r="E32" s="480">
        <v>4795.54</v>
      </c>
      <c r="F32" s="480">
        <v>6888.55</v>
      </c>
      <c r="G32" s="480">
        <v>-2093.0100000000002</v>
      </c>
      <c r="H32" s="480">
        <v>109698.37</v>
      </c>
      <c r="I32" s="480">
        <v>28</v>
      </c>
      <c r="J32" s="480">
        <v>5071314</v>
      </c>
      <c r="K32" s="480">
        <v>9019.142863351999</v>
      </c>
      <c r="L32" s="480">
        <v>10560.612056081571</v>
      </c>
      <c r="M32" s="480">
        <v>-1541.4691927295742</v>
      </c>
      <c r="N32" s="480">
        <v>148161.60245433301</v>
      </c>
    </row>
    <row r="33" spans="1:14">
      <c r="A33" s="478">
        <v>25</v>
      </c>
      <c r="B33" s="481" t="s">
        <v>971</v>
      </c>
      <c r="C33" s="480">
        <v>130</v>
      </c>
      <c r="D33" s="480">
        <v>13344178</v>
      </c>
      <c r="E33" s="480">
        <v>13411.02</v>
      </c>
      <c r="F33" s="480">
        <v>12506.16</v>
      </c>
      <c r="G33" s="480">
        <v>904.86</v>
      </c>
      <c r="H33" s="480">
        <v>196178.06</v>
      </c>
      <c r="I33" s="480">
        <v>174</v>
      </c>
      <c r="J33" s="480">
        <v>24786304</v>
      </c>
      <c r="K33" s="480">
        <v>95976.428508710116</v>
      </c>
      <c r="L33" s="480">
        <v>30858.883421751187</v>
      </c>
      <c r="M33" s="480">
        <v>65117.545086958926</v>
      </c>
      <c r="N33" s="480">
        <v>421112.35161991644</v>
      </c>
    </row>
    <row r="34" spans="1:14">
      <c r="A34" s="478">
        <v>26</v>
      </c>
      <c r="B34" s="481" t="s">
        <v>972</v>
      </c>
      <c r="C34" s="480">
        <v>43</v>
      </c>
      <c r="D34" s="480">
        <v>15301801</v>
      </c>
      <c r="E34" s="480">
        <v>4541.6899999999996</v>
      </c>
      <c r="F34" s="480">
        <v>5459.99</v>
      </c>
      <c r="G34" s="480">
        <v>-918.31</v>
      </c>
      <c r="H34" s="480">
        <v>171034.5</v>
      </c>
      <c r="I34" s="480">
        <v>42</v>
      </c>
      <c r="J34" s="480">
        <v>16463700</v>
      </c>
      <c r="K34" s="480">
        <v>8308.0586945320556</v>
      </c>
      <c r="L34" s="480">
        <v>9784.9082150727118</v>
      </c>
      <c r="M34" s="480">
        <v>-1476.849520540653</v>
      </c>
      <c r="N34" s="480">
        <v>249506.98880837776</v>
      </c>
    </row>
    <row r="35" spans="1:14">
      <c r="A35" s="478">
        <v>27</v>
      </c>
      <c r="B35" s="481" t="s">
        <v>973</v>
      </c>
      <c r="C35" s="480">
        <v>36</v>
      </c>
      <c r="D35" s="480">
        <v>12784279</v>
      </c>
      <c r="E35" s="480">
        <v>11599.9</v>
      </c>
      <c r="F35" s="480">
        <v>11434.04</v>
      </c>
      <c r="G35" s="480">
        <v>165.86</v>
      </c>
      <c r="H35" s="480">
        <v>272743.18</v>
      </c>
      <c r="I35" s="480">
        <v>39</v>
      </c>
      <c r="J35" s="480">
        <v>15377119</v>
      </c>
      <c r="K35" s="480">
        <v>32741.431798166326</v>
      </c>
      <c r="L35" s="480">
        <v>21301.684084245386</v>
      </c>
      <c r="M35" s="480">
        <v>11439.74771392094</v>
      </c>
      <c r="N35" s="480">
        <v>420165.96159991663</v>
      </c>
    </row>
    <row r="36" spans="1:14">
      <c r="A36" s="478"/>
      <c r="B36" s="531" t="s">
        <v>974</v>
      </c>
      <c r="C36" s="476">
        <v>397</v>
      </c>
      <c r="D36" s="476">
        <v>100873818</v>
      </c>
      <c r="E36" s="476">
        <v>94252.68</v>
      </c>
      <c r="F36" s="476">
        <v>75894.570000000007</v>
      </c>
      <c r="G36" s="476">
        <v>18358.080000000002</v>
      </c>
      <c r="H36" s="476">
        <v>1743373.48</v>
      </c>
      <c r="I36" s="476">
        <v>458</v>
      </c>
      <c r="J36" s="476">
        <v>138498872</v>
      </c>
      <c r="K36" s="476">
        <v>288941.77273963101</v>
      </c>
      <c r="L36" s="476">
        <v>157606.0713424831</v>
      </c>
      <c r="M36" s="476">
        <v>131335.7013971479</v>
      </c>
      <c r="N36" s="476">
        <v>2933957.9053950636</v>
      </c>
    </row>
    <row r="37" spans="1:14">
      <c r="A37" s="478"/>
      <c r="B37" s="478"/>
      <c r="C37" s="480"/>
      <c r="D37" s="480"/>
      <c r="E37" s="480"/>
      <c r="F37" s="480"/>
      <c r="G37" s="480"/>
      <c r="H37" s="480"/>
      <c r="I37" s="480"/>
      <c r="J37" s="480"/>
      <c r="K37" s="480"/>
      <c r="L37" s="480"/>
      <c r="M37" s="480"/>
      <c r="N37" s="480"/>
    </row>
    <row r="38" spans="1:14">
      <c r="A38" s="531" t="s">
        <v>975</v>
      </c>
      <c r="B38" s="531" t="s">
        <v>976</v>
      </c>
      <c r="C38" s="480"/>
      <c r="D38" s="480"/>
      <c r="E38" s="480"/>
      <c r="F38" s="480"/>
      <c r="G38" s="480"/>
      <c r="H38" s="480"/>
      <c r="I38" s="480"/>
      <c r="J38" s="480"/>
      <c r="K38" s="480"/>
      <c r="L38" s="480"/>
      <c r="M38" s="480"/>
      <c r="N38" s="480"/>
    </row>
    <row r="39" spans="1:14">
      <c r="A39" s="478">
        <v>28</v>
      </c>
      <c r="B39" s="481" t="s">
        <v>977</v>
      </c>
      <c r="C39" s="480">
        <v>20</v>
      </c>
      <c r="D39" s="480">
        <v>519553</v>
      </c>
      <c r="E39" s="480">
        <v>1094.69</v>
      </c>
      <c r="F39" s="480">
        <v>1165.98</v>
      </c>
      <c r="G39" s="480">
        <v>-71.290000000000006</v>
      </c>
      <c r="H39" s="480">
        <v>24158.37</v>
      </c>
      <c r="I39" s="1036">
        <v>19</v>
      </c>
      <c r="J39" s="1036">
        <v>545408</v>
      </c>
      <c r="K39" s="1036">
        <v>1875.8637606387015</v>
      </c>
      <c r="L39" s="1036">
        <v>2087.859353514968</v>
      </c>
      <c r="M39" s="1036">
        <v>-211.99559287626641</v>
      </c>
      <c r="N39" s="1036">
        <v>28307.356201072605</v>
      </c>
    </row>
    <row r="40" spans="1:14">
      <c r="A40" s="478">
        <v>29</v>
      </c>
      <c r="B40" s="481" t="s">
        <v>978</v>
      </c>
      <c r="C40" s="480">
        <v>31</v>
      </c>
      <c r="D40" s="480">
        <v>5291966</v>
      </c>
      <c r="E40" s="480">
        <v>5628.26</v>
      </c>
      <c r="F40" s="480">
        <v>7445.59</v>
      </c>
      <c r="G40" s="480">
        <v>-1817.33</v>
      </c>
      <c r="H40" s="480">
        <v>166686.76</v>
      </c>
      <c r="I40" s="1036">
        <v>31</v>
      </c>
      <c r="J40" s="1036">
        <v>5518271</v>
      </c>
      <c r="K40" s="1036">
        <v>11727.108261537822</v>
      </c>
      <c r="L40" s="1036">
        <v>11423.165683961486</v>
      </c>
      <c r="M40" s="1036">
        <v>303.94257757634136</v>
      </c>
      <c r="N40" s="1036">
        <v>221973.31815990512</v>
      </c>
    </row>
    <row r="41" spans="1:14">
      <c r="A41" s="478">
        <v>30</v>
      </c>
      <c r="B41" s="481" t="s">
        <v>979</v>
      </c>
      <c r="C41" s="480">
        <v>29</v>
      </c>
      <c r="D41" s="480">
        <v>4430919</v>
      </c>
      <c r="E41" s="480">
        <v>9637.68</v>
      </c>
      <c r="F41" s="480">
        <v>10680.04</v>
      </c>
      <c r="G41" s="480">
        <v>-1042.3599999999999</v>
      </c>
      <c r="H41" s="480">
        <v>204997.12</v>
      </c>
      <c r="I41" s="1036">
        <v>33</v>
      </c>
      <c r="J41" s="1036">
        <v>4770961</v>
      </c>
      <c r="K41" s="1036">
        <v>21898.86675668219</v>
      </c>
      <c r="L41" s="1036">
        <v>16833.393543967428</v>
      </c>
      <c r="M41" s="1036">
        <v>5065.473212714769</v>
      </c>
      <c r="N41" s="1036">
        <v>279986.06980271876</v>
      </c>
    </row>
    <row r="42" spans="1:14">
      <c r="A42" s="478">
        <v>31</v>
      </c>
      <c r="B42" s="481" t="s">
        <v>980</v>
      </c>
      <c r="C42" s="480">
        <v>13</v>
      </c>
      <c r="D42" s="480">
        <v>1139849</v>
      </c>
      <c r="E42" s="480">
        <v>3726.78</v>
      </c>
      <c r="F42" s="480">
        <v>1220.27</v>
      </c>
      <c r="G42" s="480">
        <v>2506.52</v>
      </c>
      <c r="H42" s="480">
        <v>31148.94</v>
      </c>
      <c r="I42" s="1036">
        <v>24</v>
      </c>
      <c r="J42" s="1036">
        <v>2426363</v>
      </c>
      <c r="K42" s="1036">
        <v>17225.580536221063</v>
      </c>
      <c r="L42" s="1036">
        <v>4173.7781366805375</v>
      </c>
      <c r="M42" s="1036">
        <v>13051.802399540526</v>
      </c>
      <c r="N42" s="1036">
        <v>89592.734649862075</v>
      </c>
    </row>
    <row r="43" spans="1:14">
      <c r="A43" s="478">
        <v>32</v>
      </c>
      <c r="B43" s="481" t="s">
        <v>981</v>
      </c>
      <c r="C43" s="480">
        <v>26</v>
      </c>
      <c r="D43" s="480">
        <v>435281</v>
      </c>
      <c r="E43" s="480">
        <v>29686.63</v>
      </c>
      <c r="F43" s="480">
        <v>15965.01</v>
      </c>
      <c r="G43" s="480">
        <v>13721.62</v>
      </c>
      <c r="H43" s="480">
        <v>80625.37</v>
      </c>
      <c r="I43" s="1036">
        <v>27</v>
      </c>
      <c r="J43" s="1036">
        <v>532819</v>
      </c>
      <c r="K43" s="1036">
        <v>111423.80286442395</v>
      </c>
      <c r="L43" s="1036">
        <v>69913.110343489607</v>
      </c>
      <c r="M43" s="1036">
        <v>41510.692520934383</v>
      </c>
      <c r="N43" s="1036">
        <v>189349.31225635405</v>
      </c>
    </row>
    <row r="44" spans="1:14">
      <c r="A44" s="478">
        <v>33</v>
      </c>
      <c r="B44" s="481" t="s">
        <v>982</v>
      </c>
      <c r="C44" s="480">
        <v>22</v>
      </c>
      <c r="D44" s="480">
        <v>362326</v>
      </c>
      <c r="E44" s="480">
        <v>2495.87</v>
      </c>
      <c r="F44" s="480">
        <v>1771.98</v>
      </c>
      <c r="G44" s="480">
        <v>723.89</v>
      </c>
      <c r="H44" s="480">
        <v>17888.919999999998</v>
      </c>
      <c r="I44" s="1036">
        <v>22</v>
      </c>
      <c r="J44" s="1036">
        <v>431125</v>
      </c>
      <c r="K44" s="1036">
        <v>10529.556201235544</v>
      </c>
      <c r="L44" s="1036">
        <v>6105.0691678202302</v>
      </c>
      <c r="M44" s="1036">
        <v>4424.4870334153129</v>
      </c>
      <c r="N44" s="1036">
        <v>35571.778994693384</v>
      </c>
    </row>
    <row r="45" spans="1:14">
      <c r="A45" s="478"/>
      <c r="B45" s="531" t="s">
        <v>983</v>
      </c>
      <c r="C45" s="476">
        <v>141</v>
      </c>
      <c r="D45" s="476">
        <v>12179894</v>
      </c>
      <c r="E45" s="476">
        <v>52269.91</v>
      </c>
      <c r="F45" s="476">
        <v>38248.870000000003</v>
      </c>
      <c r="G45" s="476">
        <v>14021.04</v>
      </c>
      <c r="H45" s="476">
        <v>525505.48</v>
      </c>
      <c r="I45" s="1037">
        <v>156</v>
      </c>
      <c r="J45" s="1037">
        <v>14224947</v>
      </c>
      <c r="K45" s="1037">
        <v>174680.77838073927</v>
      </c>
      <c r="L45" s="1037">
        <v>110536.37622943426</v>
      </c>
      <c r="M45" s="1037">
        <v>64144.402151305068</v>
      </c>
      <c r="N45" s="1037">
        <v>844780.57006460591</v>
      </c>
    </row>
    <row r="46" spans="1:14">
      <c r="A46" s="478"/>
      <c r="B46" s="478"/>
      <c r="C46" s="480"/>
      <c r="D46" s="480"/>
      <c r="E46" s="480"/>
      <c r="F46" s="480"/>
      <c r="G46" s="480"/>
      <c r="H46" s="480"/>
      <c r="I46" s="480"/>
      <c r="J46" s="480"/>
      <c r="K46" s="480"/>
      <c r="L46" s="480"/>
      <c r="M46" s="480"/>
      <c r="N46" s="480"/>
    </row>
    <row r="47" spans="1:14">
      <c r="A47" s="531" t="s">
        <v>984</v>
      </c>
      <c r="B47" s="531" t="s">
        <v>985</v>
      </c>
      <c r="C47" s="480"/>
      <c r="D47" s="480"/>
      <c r="E47" s="480"/>
      <c r="F47" s="480"/>
      <c r="G47" s="480"/>
      <c r="H47" s="480"/>
      <c r="I47" s="480"/>
      <c r="J47" s="480"/>
      <c r="K47" s="480"/>
      <c r="L47" s="480"/>
      <c r="M47" s="480"/>
      <c r="N47" s="480"/>
    </row>
    <row r="48" spans="1:14">
      <c r="A48" s="478">
        <v>34</v>
      </c>
      <c r="B48" s="481" t="s">
        <v>986</v>
      </c>
      <c r="C48" s="480">
        <v>26</v>
      </c>
      <c r="D48" s="480">
        <v>2774489</v>
      </c>
      <c r="E48" s="480">
        <v>701.19</v>
      </c>
      <c r="F48" s="480">
        <v>435.96</v>
      </c>
      <c r="G48" s="480">
        <v>265.23</v>
      </c>
      <c r="H48" s="480">
        <v>20199.11</v>
      </c>
      <c r="I48" s="480">
        <v>29</v>
      </c>
      <c r="J48" s="480">
        <v>2936417</v>
      </c>
      <c r="K48" s="480">
        <v>1676.6284143110001</v>
      </c>
      <c r="L48" s="480">
        <v>829.55707182442211</v>
      </c>
      <c r="M48" s="480">
        <v>847.07134248657781</v>
      </c>
      <c r="N48" s="480">
        <v>29903.394340647341</v>
      </c>
    </row>
    <row r="49" spans="1:14">
      <c r="A49" s="478">
        <v>35</v>
      </c>
      <c r="B49" s="481" t="s">
        <v>987</v>
      </c>
      <c r="C49" s="480">
        <v>10</v>
      </c>
      <c r="D49" s="480">
        <v>2933164</v>
      </c>
      <c r="E49" s="480">
        <v>336.48</v>
      </c>
      <c r="F49" s="480">
        <v>182.65</v>
      </c>
      <c r="G49" s="480">
        <v>153.83000000000001</v>
      </c>
      <c r="H49" s="480">
        <v>15887.98</v>
      </c>
      <c r="I49" s="480">
        <v>11</v>
      </c>
      <c r="J49" s="480">
        <v>3002653</v>
      </c>
      <c r="K49" s="480">
        <v>624.31497231399987</v>
      </c>
      <c r="L49" s="480">
        <v>348.62960183285668</v>
      </c>
      <c r="M49" s="480">
        <v>275.68537048114331</v>
      </c>
      <c r="N49" s="480">
        <v>22086.808695195861</v>
      </c>
    </row>
    <row r="50" spans="1:14">
      <c r="A50" s="478"/>
      <c r="B50" s="531" t="s">
        <v>988</v>
      </c>
      <c r="C50" s="476">
        <v>36</v>
      </c>
      <c r="D50" s="476">
        <v>5707653</v>
      </c>
      <c r="E50" s="476">
        <v>1037.67</v>
      </c>
      <c r="F50" s="476">
        <v>618.62</v>
      </c>
      <c r="G50" s="476">
        <v>419.06</v>
      </c>
      <c r="H50" s="476">
        <v>36087.08</v>
      </c>
      <c r="I50" s="476">
        <v>40</v>
      </c>
      <c r="J50" s="476">
        <v>5939070</v>
      </c>
      <c r="K50" s="476">
        <v>2300.9433866250001</v>
      </c>
      <c r="L50" s="476">
        <v>1178.1866736572788</v>
      </c>
      <c r="M50" s="476">
        <v>1122.7567129677211</v>
      </c>
      <c r="N50" s="476">
        <v>51990.203035843202</v>
      </c>
    </row>
    <row r="51" spans="1:14">
      <c r="A51" s="478"/>
      <c r="B51" s="478"/>
      <c r="C51" s="480"/>
      <c r="D51" s="480"/>
      <c r="E51" s="480"/>
      <c r="F51" s="480"/>
      <c r="G51" s="480"/>
      <c r="H51" s="480"/>
      <c r="I51" s="480"/>
      <c r="J51" s="480"/>
      <c r="K51" s="480"/>
      <c r="L51" s="480"/>
      <c r="M51" s="480"/>
      <c r="N51" s="480"/>
    </row>
    <row r="52" spans="1:14">
      <c r="A52" s="531" t="s">
        <v>989</v>
      </c>
      <c r="B52" s="531" t="s">
        <v>990</v>
      </c>
      <c r="C52" s="480"/>
      <c r="D52" s="480"/>
      <c r="E52" s="480"/>
      <c r="F52" s="480"/>
      <c r="G52" s="480"/>
      <c r="H52" s="480"/>
      <c r="I52" s="480"/>
      <c r="J52" s="480"/>
      <c r="K52" s="480"/>
      <c r="L52" s="480"/>
      <c r="M52" s="480"/>
      <c r="N52" s="480"/>
    </row>
    <row r="53" spans="1:14">
      <c r="A53" s="478">
        <v>36</v>
      </c>
      <c r="B53" s="479" t="s">
        <v>991</v>
      </c>
      <c r="C53" s="480">
        <v>185</v>
      </c>
      <c r="D53" s="480">
        <v>4495761</v>
      </c>
      <c r="E53" s="480">
        <v>9475.4699999999993</v>
      </c>
      <c r="F53" s="480">
        <v>10125.17</v>
      </c>
      <c r="G53" s="480">
        <v>-649.69000000000005</v>
      </c>
      <c r="H53" s="480">
        <v>175468.04</v>
      </c>
      <c r="I53" s="480">
        <v>225</v>
      </c>
      <c r="J53" s="480">
        <v>9735676</v>
      </c>
      <c r="K53" s="480">
        <v>40010.160099864377</v>
      </c>
      <c r="L53" s="480">
        <v>15904.248285105572</v>
      </c>
      <c r="M53" s="480">
        <v>24105.911814758805</v>
      </c>
      <c r="N53" s="480">
        <v>258148.49882496652</v>
      </c>
    </row>
    <row r="54" spans="1:14">
      <c r="A54" s="478">
        <v>37</v>
      </c>
      <c r="B54" s="479" t="s">
        <v>992</v>
      </c>
      <c r="C54" s="480">
        <v>13</v>
      </c>
      <c r="D54" s="480">
        <v>4752363</v>
      </c>
      <c r="E54" s="480">
        <v>605.99</v>
      </c>
      <c r="F54" s="480">
        <v>308.01</v>
      </c>
      <c r="G54" s="480">
        <v>297.97000000000003</v>
      </c>
      <c r="H54" s="480">
        <v>22339.39</v>
      </c>
      <c r="I54" s="480">
        <v>17</v>
      </c>
      <c r="J54" s="480">
        <v>5527649</v>
      </c>
      <c r="K54" s="480">
        <v>3757.8824317299996</v>
      </c>
      <c r="L54" s="480">
        <v>1262.625717913</v>
      </c>
      <c r="M54" s="480">
        <v>2495.2567138169998</v>
      </c>
      <c r="N54" s="480">
        <v>34455.147061125936</v>
      </c>
    </row>
    <row r="55" spans="1:14">
      <c r="A55" s="478">
        <v>38</v>
      </c>
      <c r="B55" s="479" t="s">
        <v>993</v>
      </c>
      <c r="C55" s="480">
        <v>161</v>
      </c>
      <c r="D55" s="480">
        <v>12124531</v>
      </c>
      <c r="E55" s="480">
        <v>28829.61</v>
      </c>
      <c r="F55" s="480">
        <v>14113.07</v>
      </c>
      <c r="G55" s="480">
        <v>14716.54</v>
      </c>
      <c r="H55" s="480">
        <v>538872.99</v>
      </c>
      <c r="I55" s="480">
        <v>201</v>
      </c>
      <c r="J55" s="480">
        <v>15490196</v>
      </c>
      <c r="K55" s="480">
        <v>68121.524753845995</v>
      </c>
      <c r="L55" s="480">
        <v>36763.525437371318</v>
      </c>
      <c r="M55" s="480">
        <v>31357.999316474677</v>
      </c>
      <c r="N55" s="480">
        <v>777300.87267712317</v>
      </c>
    </row>
    <row r="56" spans="1:14">
      <c r="A56" s="478">
        <v>39</v>
      </c>
      <c r="B56" s="479" t="s">
        <v>994</v>
      </c>
      <c r="C56" s="480">
        <v>50</v>
      </c>
      <c r="D56" s="480">
        <v>1348079</v>
      </c>
      <c r="E56" s="480">
        <v>781.08</v>
      </c>
      <c r="F56" s="480">
        <v>1656.37</v>
      </c>
      <c r="G56" s="480">
        <v>-875.29</v>
      </c>
      <c r="H56" s="480">
        <v>23869.39</v>
      </c>
      <c r="I56" s="480">
        <v>55</v>
      </c>
      <c r="J56" s="480">
        <v>1427286</v>
      </c>
      <c r="K56" s="480">
        <v>911.06342402899986</v>
      </c>
      <c r="L56" s="480">
        <v>2330.3860690332176</v>
      </c>
      <c r="M56" s="480">
        <v>-1419.3226450042175</v>
      </c>
      <c r="N56" s="480">
        <v>25179.630565592874</v>
      </c>
    </row>
    <row r="57" spans="1:14">
      <c r="A57" s="478"/>
      <c r="B57" s="531" t="s">
        <v>995</v>
      </c>
      <c r="C57" s="476">
        <v>409</v>
      </c>
      <c r="D57" s="476">
        <v>22720734</v>
      </c>
      <c r="E57" s="476">
        <v>39692.15</v>
      </c>
      <c r="F57" s="476">
        <v>26202.62</v>
      </c>
      <c r="G57" s="476">
        <v>13489.53</v>
      </c>
      <c r="H57" s="476">
        <v>760549.8</v>
      </c>
      <c r="I57" s="476">
        <v>498</v>
      </c>
      <c r="J57" s="476">
        <v>32180807</v>
      </c>
      <c r="K57" s="476">
        <v>112800.63070946936</v>
      </c>
      <c r="L57" s="476">
        <v>56260.785509423105</v>
      </c>
      <c r="M57" s="476">
        <v>56539.845200046264</v>
      </c>
      <c r="N57" s="476">
        <v>1095084.1491288084</v>
      </c>
    </row>
    <row r="58" spans="1:14">
      <c r="A58" s="478"/>
      <c r="B58" s="478"/>
      <c r="C58" s="480"/>
      <c r="D58" s="480"/>
      <c r="E58" s="480"/>
      <c r="F58" s="480"/>
      <c r="G58" s="480"/>
      <c r="H58" s="480"/>
      <c r="I58" s="480"/>
      <c r="J58" s="480"/>
      <c r="K58" s="480"/>
      <c r="L58" s="480"/>
      <c r="M58" s="480"/>
      <c r="N58" s="480"/>
    </row>
    <row r="59" spans="1:14">
      <c r="A59" s="478"/>
      <c r="B59" s="531" t="s">
        <v>996</v>
      </c>
      <c r="C59" s="476">
        <v>1299</v>
      </c>
      <c r="D59" s="476">
        <v>148689499</v>
      </c>
      <c r="E59" s="476">
        <v>2630139.44</v>
      </c>
      <c r="F59" s="476">
        <v>2445350.7799999998</v>
      </c>
      <c r="G59" s="476">
        <v>184788.63</v>
      </c>
      <c r="H59" s="476">
        <v>4412998.4400000004</v>
      </c>
      <c r="I59" s="476">
        <v>1467</v>
      </c>
      <c r="J59" s="476">
        <v>197860440</v>
      </c>
      <c r="K59" s="476">
        <v>4395289.4681072067</v>
      </c>
      <c r="L59" s="476">
        <v>3897731.2924422091</v>
      </c>
      <c r="M59" s="476">
        <v>497558.17566499708</v>
      </c>
      <c r="N59" s="476">
        <v>6469994.0161523959</v>
      </c>
    </row>
    <row r="60" spans="1:14">
      <c r="A60" s="478"/>
      <c r="B60" s="478"/>
      <c r="C60" s="480"/>
      <c r="D60" s="480"/>
      <c r="E60" s="480"/>
      <c r="F60" s="480"/>
      <c r="G60" s="480"/>
      <c r="H60" s="480"/>
      <c r="I60" s="480"/>
      <c r="J60" s="480"/>
      <c r="K60" s="480"/>
      <c r="L60" s="480"/>
      <c r="M60" s="480"/>
      <c r="N60" s="480"/>
    </row>
    <row r="61" spans="1:14" s="288" customFormat="1">
      <c r="A61" s="532" t="s">
        <v>997</v>
      </c>
      <c r="B61" s="531" t="s">
        <v>998</v>
      </c>
      <c r="C61" s="480"/>
      <c r="D61" s="480"/>
      <c r="E61" s="480"/>
      <c r="F61" s="480"/>
      <c r="G61" s="480"/>
      <c r="H61" s="480"/>
      <c r="I61" s="480"/>
      <c r="J61" s="480"/>
      <c r="K61" s="480"/>
      <c r="L61" s="480"/>
      <c r="M61" s="480"/>
      <c r="N61" s="480"/>
    </row>
    <row r="62" spans="1:14">
      <c r="A62" s="478" t="s">
        <v>942</v>
      </c>
      <c r="B62" s="479" t="s">
        <v>943</v>
      </c>
      <c r="C62" s="480"/>
      <c r="D62" s="480"/>
      <c r="E62" s="480"/>
      <c r="F62" s="480"/>
      <c r="G62" s="480"/>
      <c r="H62" s="480"/>
      <c r="I62" s="480"/>
      <c r="J62" s="480"/>
      <c r="K62" s="480"/>
      <c r="L62" s="480"/>
      <c r="M62" s="480"/>
      <c r="N62" s="480"/>
    </row>
    <row r="63" spans="1:14">
      <c r="A63" s="478" t="s">
        <v>999</v>
      </c>
      <c r="B63" s="479" t="s">
        <v>1000</v>
      </c>
      <c r="C63" s="480">
        <v>92</v>
      </c>
      <c r="D63" s="480">
        <v>134471</v>
      </c>
      <c r="E63" s="480">
        <v>102.64</v>
      </c>
      <c r="F63" s="480">
        <v>4850.99</v>
      </c>
      <c r="G63" s="480">
        <v>-4748.3500000000004</v>
      </c>
      <c r="H63" s="480">
        <v>19564.330000000002</v>
      </c>
      <c r="I63" s="480">
        <v>79</v>
      </c>
      <c r="J63" s="480">
        <v>67816</v>
      </c>
      <c r="K63" s="480">
        <v>0</v>
      </c>
      <c r="L63" s="480">
        <v>1087.9926700419999</v>
      </c>
      <c r="M63" s="480">
        <v>-1087.9926700419999</v>
      </c>
      <c r="N63" s="480">
        <v>15301.735857935693</v>
      </c>
    </row>
    <row r="64" spans="1:14">
      <c r="A64" s="478" t="s">
        <v>1001</v>
      </c>
      <c r="B64" s="479" t="s">
        <v>1002</v>
      </c>
      <c r="C64" s="480">
        <v>3</v>
      </c>
      <c r="D64" s="480">
        <v>2883</v>
      </c>
      <c r="E64" s="480">
        <v>0</v>
      </c>
      <c r="F64" s="480">
        <v>533.65</v>
      </c>
      <c r="G64" s="480">
        <v>-533.65</v>
      </c>
      <c r="H64" s="480">
        <v>119.12</v>
      </c>
      <c r="I64" s="480">
        <v>0</v>
      </c>
      <c r="J64" s="480">
        <v>0</v>
      </c>
      <c r="K64" s="480">
        <v>0</v>
      </c>
      <c r="L64" s="480">
        <v>0</v>
      </c>
      <c r="M64" s="480">
        <v>0</v>
      </c>
      <c r="N64" s="480">
        <v>0</v>
      </c>
    </row>
    <row r="65" spans="1:14">
      <c r="A65" s="478" t="s">
        <v>1003</v>
      </c>
      <c r="B65" s="479" t="s">
        <v>1004</v>
      </c>
      <c r="C65" s="480">
        <v>7</v>
      </c>
      <c r="D65" s="480">
        <v>52</v>
      </c>
      <c r="E65" s="480">
        <v>0</v>
      </c>
      <c r="F65" s="480">
        <v>0</v>
      </c>
      <c r="G65" s="480">
        <v>0</v>
      </c>
      <c r="H65" s="480">
        <v>2055.17</v>
      </c>
      <c r="I65" s="480">
        <v>4</v>
      </c>
      <c r="J65" s="480">
        <v>30</v>
      </c>
      <c r="K65" s="480">
        <v>0</v>
      </c>
      <c r="L65" s="480">
        <v>606.48123177704792</v>
      </c>
      <c r="M65" s="480">
        <v>-606.48123177704804</v>
      </c>
      <c r="N65" s="480">
        <v>1057.9209979356003</v>
      </c>
    </row>
    <row r="66" spans="1:14">
      <c r="A66" s="478" t="s">
        <v>1005</v>
      </c>
      <c r="B66" s="479" t="s">
        <v>1006</v>
      </c>
      <c r="C66" s="480">
        <v>0</v>
      </c>
      <c r="D66" s="480">
        <v>0</v>
      </c>
      <c r="E66" s="480">
        <v>0</v>
      </c>
      <c r="F66" s="480">
        <v>0</v>
      </c>
      <c r="G66" s="480">
        <v>0</v>
      </c>
      <c r="H66" s="480">
        <v>0</v>
      </c>
      <c r="I66" s="480">
        <v>1</v>
      </c>
      <c r="J66" s="480">
        <v>203433</v>
      </c>
      <c r="K66" s="480">
        <v>79.03</v>
      </c>
      <c r="L66" s="480">
        <v>306.57</v>
      </c>
      <c r="M66" s="480">
        <v>-227.54</v>
      </c>
      <c r="N66" s="480">
        <v>5482.19</v>
      </c>
    </row>
    <row r="67" spans="1:14">
      <c r="A67" s="478"/>
      <c r="B67" s="531" t="s">
        <v>1007</v>
      </c>
      <c r="C67" s="476">
        <v>102</v>
      </c>
      <c r="D67" s="476">
        <v>137406</v>
      </c>
      <c r="E67" s="476">
        <v>102.64</v>
      </c>
      <c r="F67" s="476">
        <v>5384.64</v>
      </c>
      <c r="G67" s="476">
        <v>-5282</v>
      </c>
      <c r="H67" s="476">
        <v>21738.61</v>
      </c>
      <c r="I67" s="476">
        <v>84</v>
      </c>
      <c r="J67" s="476">
        <v>271279</v>
      </c>
      <c r="K67" s="476">
        <v>79.03</v>
      </c>
      <c r="L67" s="476">
        <v>2001.0439018190477</v>
      </c>
      <c r="M67" s="476">
        <v>-1922.013901819048</v>
      </c>
      <c r="N67" s="476">
        <v>21841.846855871292</v>
      </c>
    </row>
    <row r="68" spans="1:14">
      <c r="A68" s="478"/>
      <c r="B68" s="478"/>
      <c r="C68" s="480"/>
      <c r="D68" s="480"/>
      <c r="E68" s="480"/>
      <c r="F68" s="480"/>
      <c r="G68" s="480"/>
      <c r="H68" s="480"/>
      <c r="I68" s="480"/>
      <c r="J68" s="480"/>
      <c r="K68" s="480"/>
      <c r="L68" s="480"/>
      <c r="M68" s="480"/>
      <c r="N68" s="480"/>
    </row>
    <row r="69" spans="1:14">
      <c r="A69" s="478" t="s">
        <v>961</v>
      </c>
      <c r="B69" s="479" t="s">
        <v>962</v>
      </c>
      <c r="C69" s="480"/>
      <c r="D69" s="480"/>
      <c r="E69" s="480"/>
      <c r="F69" s="480"/>
      <c r="G69" s="480"/>
      <c r="H69" s="480"/>
      <c r="I69" s="480"/>
      <c r="J69" s="480"/>
      <c r="K69" s="480"/>
      <c r="L69" s="480"/>
      <c r="M69" s="480"/>
      <c r="N69" s="480"/>
    </row>
    <row r="70" spans="1:14">
      <c r="A70" s="478" t="s">
        <v>999</v>
      </c>
      <c r="B70" s="479" t="s">
        <v>972</v>
      </c>
      <c r="C70" s="480">
        <v>19</v>
      </c>
      <c r="D70" s="480">
        <v>292193</v>
      </c>
      <c r="E70" s="480">
        <v>0</v>
      </c>
      <c r="F70" s="480">
        <v>93.94</v>
      </c>
      <c r="G70" s="480">
        <v>-93.94</v>
      </c>
      <c r="H70" s="480">
        <v>3723.64</v>
      </c>
      <c r="I70" s="480">
        <v>18</v>
      </c>
      <c r="J70" s="480">
        <v>272196</v>
      </c>
      <c r="K70" s="480">
        <v>0</v>
      </c>
      <c r="L70" s="480">
        <v>121.13401812667409</v>
      </c>
      <c r="M70" s="480">
        <v>-121.13401812667409</v>
      </c>
      <c r="N70" s="480">
        <v>4654.9514319658938</v>
      </c>
    </row>
    <row r="71" spans="1:14">
      <c r="A71" s="478" t="s">
        <v>1001</v>
      </c>
      <c r="B71" s="479" t="s">
        <v>302</v>
      </c>
      <c r="C71" s="480">
        <v>5</v>
      </c>
      <c r="D71" s="480">
        <v>9876</v>
      </c>
      <c r="E71" s="480">
        <v>0</v>
      </c>
      <c r="F71" s="480">
        <v>1837.48</v>
      </c>
      <c r="G71" s="480">
        <v>-1837.48</v>
      </c>
      <c r="H71" s="480">
        <v>479.58</v>
      </c>
      <c r="I71" s="480">
        <v>0</v>
      </c>
      <c r="J71" s="480">
        <v>0</v>
      </c>
      <c r="K71" s="480">
        <v>0</v>
      </c>
      <c r="L71" s="480">
        <v>0</v>
      </c>
      <c r="M71" s="480">
        <v>0</v>
      </c>
      <c r="N71" s="480">
        <v>0</v>
      </c>
    </row>
    <row r="72" spans="1:14">
      <c r="A72" s="478"/>
      <c r="B72" s="531" t="s">
        <v>1007</v>
      </c>
      <c r="C72" s="476">
        <v>24</v>
      </c>
      <c r="D72" s="476">
        <v>302069</v>
      </c>
      <c r="E72" s="476">
        <v>0</v>
      </c>
      <c r="F72" s="476">
        <v>1931.42</v>
      </c>
      <c r="G72" s="476">
        <v>-1931.42</v>
      </c>
      <c r="H72" s="476">
        <v>4203.22</v>
      </c>
      <c r="I72" s="476">
        <v>18</v>
      </c>
      <c r="J72" s="476">
        <v>272196</v>
      </c>
      <c r="K72" s="476">
        <v>0</v>
      </c>
      <c r="L72" s="476">
        <v>121.13401812667409</v>
      </c>
      <c r="M72" s="476">
        <v>-121.13401812667409</v>
      </c>
      <c r="N72" s="476">
        <v>4654.9514319658938</v>
      </c>
    </row>
    <row r="73" spans="1:14">
      <c r="A73" s="478"/>
      <c r="B73" s="478"/>
      <c r="C73" s="480"/>
      <c r="D73" s="480"/>
      <c r="E73" s="480"/>
      <c r="F73" s="480"/>
      <c r="G73" s="480"/>
      <c r="H73" s="480"/>
      <c r="I73" s="480"/>
      <c r="J73" s="480"/>
      <c r="K73" s="480"/>
      <c r="L73" s="480"/>
      <c r="M73" s="480"/>
      <c r="N73" s="480"/>
    </row>
    <row r="74" spans="1:14">
      <c r="A74" s="478" t="s">
        <v>975</v>
      </c>
      <c r="B74" s="479" t="s">
        <v>990</v>
      </c>
      <c r="C74" s="476">
        <v>0</v>
      </c>
      <c r="D74" s="476">
        <v>0</v>
      </c>
      <c r="E74" s="476">
        <v>0</v>
      </c>
      <c r="F74" s="476">
        <v>0</v>
      </c>
      <c r="G74" s="476">
        <v>0</v>
      </c>
      <c r="H74" s="476">
        <v>0</v>
      </c>
      <c r="I74" s="476">
        <v>0</v>
      </c>
      <c r="J74" s="476">
        <v>0</v>
      </c>
      <c r="K74" s="476">
        <v>0</v>
      </c>
      <c r="L74" s="476">
        <v>0</v>
      </c>
      <c r="M74" s="476">
        <v>0</v>
      </c>
      <c r="N74" s="476">
        <v>0</v>
      </c>
    </row>
    <row r="75" spans="1:14">
      <c r="A75" s="478"/>
      <c r="B75" s="478"/>
      <c r="C75" s="480"/>
      <c r="D75" s="480"/>
      <c r="E75" s="480"/>
      <c r="F75" s="480"/>
      <c r="G75" s="480"/>
      <c r="H75" s="480"/>
      <c r="I75" s="480"/>
      <c r="J75" s="480"/>
      <c r="K75" s="480"/>
      <c r="L75" s="480"/>
      <c r="M75" s="480"/>
      <c r="N75" s="480"/>
    </row>
    <row r="76" spans="1:14">
      <c r="A76" s="478"/>
      <c r="B76" s="531" t="s">
        <v>1008</v>
      </c>
      <c r="C76" s="476">
        <v>126</v>
      </c>
      <c r="D76" s="476">
        <v>439475</v>
      </c>
      <c r="E76" s="476">
        <v>102.64</v>
      </c>
      <c r="F76" s="476">
        <v>7316.05</v>
      </c>
      <c r="G76" s="476">
        <v>-7213.41</v>
      </c>
      <c r="H76" s="476">
        <v>25941.83</v>
      </c>
      <c r="I76" s="476">
        <v>102</v>
      </c>
      <c r="J76" s="476">
        <v>543475</v>
      </c>
      <c r="K76" s="476">
        <v>79.03</v>
      </c>
      <c r="L76" s="476">
        <v>2122.1779199457219</v>
      </c>
      <c r="M76" s="476">
        <v>-2043.1479199457222</v>
      </c>
      <c r="N76" s="476">
        <v>26496.798287837184</v>
      </c>
    </row>
    <row r="77" spans="1:14">
      <c r="A77" s="478"/>
      <c r="B77" s="478"/>
      <c r="C77" s="480"/>
      <c r="D77" s="480"/>
      <c r="E77" s="480"/>
      <c r="F77" s="480"/>
      <c r="G77" s="480"/>
      <c r="H77" s="480"/>
      <c r="I77" s="480"/>
      <c r="J77" s="480"/>
      <c r="K77" s="480"/>
      <c r="L77" s="480"/>
      <c r="M77" s="480"/>
      <c r="N77" s="480"/>
    </row>
    <row r="78" spans="1:14" s="288" customFormat="1">
      <c r="A78" s="532" t="s">
        <v>1009</v>
      </c>
      <c r="B78" s="531" t="s">
        <v>1010</v>
      </c>
      <c r="C78" s="480"/>
      <c r="D78" s="480"/>
      <c r="E78" s="480"/>
      <c r="F78" s="480"/>
      <c r="G78" s="480"/>
      <c r="H78" s="480"/>
      <c r="I78" s="480"/>
      <c r="J78" s="480"/>
      <c r="K78" s="480"/>
      <c r="L78" s="480"/>
      <c r="M78" s="480"/>
      <c r="N78" s="480"/>
    </row>
    <row r="79" spans="1:14">
      <c r="A79" s="478" t="s">
        <v>942</v>
      </c>
      <c r="B79" s="479" t="s">
        <v>943</v>
      </c>
      <c r="C79" s="476">
        <v>12</v>
      </c>
      <c r="D79" s="476">
        <v>2734</v>
      </c>
      <c r="E79" s="476">
        <v>11.01</v>
      </c>
      <c r="F79" s="476">
        <v>753.31</v>
      </c>
      <c r="G79" s="476">
        <v>-742.3</v>
      </c>
      <c r="H79" s="476">
        <v>246.94</v>
      </c>
      <c r="I79" s="476">
        <v>12</v>
      </c>
      <c r="J79" s="476">
        <v>2379</v>
      </c>
      <c r="K79" s="476">
        <v>2.2348422999999999E-2</v>
      </c>
      <c r="L79" s="476">
        <v>358.08567725099999</v>
      </c>
      <c r="M79" s="476">
        <v>-358.06332882800001</v>
      </c>
      <c r="N79" s="476">
        <v>162.25404829597528</v>
      </c>
    </row>
    <row r="80" spans="1:14">
      <c r="A80" s="478"/>
      <c r="B80" s="478"/>
      <c r="C80" s="480"/>
      <c r="D80" s="480"/>
      <c r="E80" s="480"/>
      <c r="F80" s="480"/>
      <c r="G80" s="480"/>
      <c r="H80" s="480"/>
      <c r="I80" s="480"/>
      <c r="J80" s="480"/>
      <c r="K80" s="480"/>
      <c r="L80" s="480"/>
      <c r="M80" s="480"/>
      <c r="N80" s="480"/>
    </row>
    <row r="81" spans="1:14">
      <c r="A81" s="478" t="s">
        <v>961</v>
      </c>
      <c r="B81" s="479" t="s">
        <v>1011</v>
      </c>
      <c r="C81" s="476">
        <v>0</v>
      </c>
      <c r="D81" s="476">
        <v>0</v>
      </c>
      <c r="E81" s="476">
        <v>0</v>
      </c>
      <c r="F81" s="476">
        <v>0</v>
      </c>
      <c r="G81" s="476">
        <v>0</v>
      </c>
      <c r="H81" s="476">
        <v>0</v>
      </c>
      <c r="I81" s="476">
        <v>0</v>
      </c>
      <c r="J81" s="476">
        <v>0</v>
      </c>
      <c r="K81" s="476">
        <v>0</v>
      </c>
      <c r="L81" s="476">
        <v>0</v>
      </c>
      <c r="M81" s="476">
        <v>0</v>
      </c>
      <c r="N81" s="476">
        <v>0</v>
      </c>
    </row>
    <row r="82" spans="1:14">
      <c r="A82" s="478"/>
      <c r="B82" s="478"/>
      <c r="C82" s="480"/>
      <c r="D82" s="480"/>
      <c r="E82" s="480"/>
      <c r="F82" s="480"/>
      <c r="G82" s="480"/>
      <c r="H82" s="480"/>
      <c r="I82" s="480"/>
      <c r="J82" s="480"/>
      <c r="K82" s="480"/>
      <c r="L82" s="480"/>
      <c r="M82" s="480"/>
      <c r="N82" s="480"/>
    </row>
    <row r="83" spans="1:14">
      <c r="A83" s="478" t="s">
        <v>975</v>
      </c>
      <c r="B83" s="479" t="s">
        <v>990</v>
      </c>
      <c r="C83" s="476">
        <v>0</v>
      </c>
      <c r="D83" s="476">
        <v>0</v>
      </c>
      <c r="E83" s="476">
        <v>0</v>
      </c>
      <c r="F83" s="476">
        <v>0</v>
      </c>
      <c r="G83" s="476">
        <v>0</v>
      </c>
      <c r="H83" s="476">
        <v>0</v>
      </c>
      <c r="I83" s="476">
        <v>0</v>
      </c>
      <c r="J83" s="476">
        <v>0</v>
      </c>
      <c r="K83" s="476">
        <v>0</v>
      </c>
      <c r="L83" s="476">
        <v>0</v>
      </c>
      <c r="M83" s="476">
        <v>0</v>
      </c>
      <c r="N83" s="476">
        <v>0</v>
      </c>
    </row>
    <row r="84" spans="1:14">
      <c r="A84" s="478"/>
      <c r="B84" s="478"/>
      <c r="C84" s="480"/>
      <c r="D84" s="480"/>
      <c r="E84" s="480"/>
      <c r="F84" s="480"/>
      <c r="G84" s="480"/>
      <c r="H84" s="480"/>
      <c r="I84" s="480"/>
      <c r="J84" s="480"/>
      <c r="K84" s="480"/>
      <c r="L84" s="480"/>
      <c r="M84" s="480"/>
      <c r="N84" s="480"/>
    </row>
    <row r="85" spans="1:14">
      <c r="A85" s="478"/>
      <c r="B85" s="531" t="s">
        <v>1012</v>
      </c>
      <c r="C85" s="476">
        <v>12</v>
      </c>
      <c r="D85" s="476">
        <v>2734</v>
      </c>
      <c r="E85" s="476">
        <v>11.01</v>
      </c>
      <c r="F85" s="476">
        <v>753.31</v>
      </c>
      <c r="G85" s="476">
        <v>-742.3</v>
      </c>
      <c r="H85" s="476">
        <v>246.94</v>
      </c>
      <c r="I85" s="476">
        <v>12</v>
      </c>
      <c r="J85" s="476">
        <v>2379</v>
      </c>
      <c r="K85" s="476">
        <v>2.2348422999999999E-2</v>
      </c>
      <c r="L85" s="476">
        <v>358.08567725099999</v>
      </c>
      <c r="M85" s="476">
        <v>-358.06332882800001</v>
      </c>
      <c r="N85" s="476">
        <v>162.25404829597528</v>
      </c>
    </row>
    <row r="86" spans="1:14">
      <c r="A86" s="478"/>
      <c r="B86" s="478"/>
      <c r="C86" s="480"/>
      <c r="D86" s="480"/>
      <c r="E86" s="480"/>
      <c r="F86" s="480"/>
      <c r="G86" s="480"/>
      <c r="H86" s="480"/>
      <c r="I86" s="480"/>
      <c r="J86" s="480"/>
      <c r="K86" s="480"/>
      <c r="L86" s="480"/>
      <c r="M86" s="480"/>
      <c r="N86" s="480"/>
    </row>
    <row r="87" spans="1:14" s="288" customFormat="1">
      <c r="A87" s="951"/>
      <c r="B87" s="951" t="s">
        <v>1013</v>
      </c>
      <c r="C87" s="476">
        <v>1437</v>
      </c>
      <c r="D87" s="476">
        <v>149131708</v>
      </c>
      <c r="E87" s="476">
        <v>2630253.1</v>
      </c>
      <c r="F87" s="476">
        <v>2453420.14</v>
      </c>
      <c r="G87" s="476">
        <v>176832.92</v>
      </c>
      <c r="H87" s="476">
        <v>4439187.21</v>
      </c>
      <c r="I87" s="476">
        <v>1581</v>
      </c>
      <c r="J87" s="476">
        <v>198406294</v>
      </c>
      <c r="K87" s="476">
        <v>4395368.5204556296</v>
      </c>
      <c r="L87" s="476">
        <v>3900211.556039406</v>
      </c>
      <c r="M87" s="476">
        <v>495156.96441622335</v>
      </c>
      <c r="N87" s="476">
        <v>6496653.068488529</v>
      </c>
    </row>
    <row r="88" spans="1:14">
      <c r="A88" s="478"/>
      <c r="B88" s="478"/>
      <c r="C88" s="480"/>
      <c r="D88" s="480"/>
      <c r="E88" s="480"/>
      <c r="F88" s="480"/>
      <c r="G88" s="480"/>
      <c r="H88" s="480"/>
      <c r="I88" s="480"/>
      <c r="J88" s="480"/>
      <c r="K88" s="480"/>
      <c r="L88" s="480"/>
      <c r="M88" s="480"/>
      <c r="N88" s="480"/>
    </row>
    <row r="89" spans="1:14">
      <c r="A89" s="478"/>
      <c r="B89" s="479" t="s">
        <v>1014</v>
      </c>
      <c r="C89" s="477">
        <v>76</v>
      </c>
      <c r="D89" s="477">
        <v>1870167</v>
      </c>
      <c r="E89" s="477">
        <v>2720.01</v>
      </c>
      <c r="F89" s="477">
        <v>4622.68</v>
      </c>
      <c r="G89" s="477">
        <v>-1902.68</v>
      </c>
      <c r="H89" s="477">
        <v>67690.490000000005</v>
      </c>
      <c r="I89" s="477">
        <v>83</v>
      </c>
      <c r="J89" s="477">
        <v>2494316</v>
      </c>
      <c r="K89" s="477">
        <v>5946.2969019273269</v>
      </c>
      <c r="L89" s="477">
        <v>5265.3662863199397</v>
      </c>
      <c r="M89" s="477">
        <v>680.93061560738715</v>
      </c>
      <c r="N89" s="477">
        <v>81929.543283631923</v>
      </c>
    </row>
    <row r="90" spans="1:14">
      <c r="A90" s="443" t="s">
        <v>77</v>
      </c>
      <c r="B90" s="443"/>
      <c r="C90" s="444"/>
      <c r="D90" s="444"/>
      <c r="E90" s="444"/>
      <c r="F90" s="444"/>
      <c r="G90" s="444"/>
      <c r="H90" s="445"/>
    </row>
    <row r="91" spans="1:14" ht="15" customHeight="1">
      <c r="A91" s="1468" t="s">
        <v>1015</v>
      </c>
      <c r="B91" s="1468"/>
      <c r="C91" s="1468"/>
      <c r="D91" s="1468"/>
      <c r="E91" s="444"/>
      <c r="F91" s="445"/>
      <c r="G91" s="445"/>
      <c r="H91" s="445"/>
    </row>
    <row r="92" spans="1:14" ht="15" customHeight="1">
      <c r="A92" s="1469" t="s">
        <v>1466</v>
      </c>
      <c r="B92" s="1469"/>
      <c r="C92" s="530"/>
      <c r="D92" s="530"/>
      <c r="E92" s="530"/>
      <c r="F92" s="530"/>
      <c r="G92" s="530"/>
    </row>
    <row r="93" spans="1:14" ht="15" customHeight="1">
      <c r="A93" s="1469" t="s">
        <v>1016</v>
      </c>
      <c r="B93" s="1470"/>
      <c r="C93" s="1470"/>
      <c r="D93" s="1470"/>
      <c r="E93" s="1470"/>
      <c r="F93" s="1470"/>
      <c r="G93" s="1470"/>
    </row>
    <row r="94" spans="1:14" ht="15" customHeight="1">
      <c r="A94" s="1469" t="s">
        <v>126</v>
      </c>
      <c r="B94" s="1469"/>
      <c r="C94" s="530"/>
      <c r="D94" s="530"/>
      <c r="E94" s="530"/>
      <c r="F94" s="530"/>
      <c r="G94" s="530"/>
    </row>
    <row r="98" spans="3:3">
      <c r="C98" s="447"/>
    </row>
    <row r="99" spans="3:3">
      <c r="C99" s="447"/>
    </row>
    <row r="100" spans="3:3">
      <c r="C100" s="447"/>
    </row>
  </sheetData>
  <mergeCells count="9">
    <mergeCell ref="A91:D91"/>
    <mergeCell ref="A92:B92"/>
    <mergeCell ref="A93:G93"/>
    <mergeCell ref="A94:B94"/>
    <mergeCell ref="A1:D1"/>
    <mergeCell ref="A2:A3"/>
    <mergeCell ref="B2:B3"/>
    <mergeCell ref="C2:H2"/>
    <mergeCell ref="I2:N2"/>
  </mergeCells>
  <pageMargins left="0.7" right="0.7" top="0.75" bottom="0.75" header="0.3" footer="0.3"/>
  <pageSetup paperSize="9" scale="56" fitToHeight="0" orientation="landscape"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
  <sheetViews>
    <sheetView workbookViewId="0">
      <selection activeCell="D6" sqref="D6"/>
    </sheetView>
  </sheetViews>
  <sheetFormatPr defaultColWidth="9.140625" defaultRowHeight="15"/>
  <cols>
    <col min="1" max="1" width="14.42578125" style="226" bestFit="1" customWidth="1"/>
    <col min="2" max="3" width="14.85546875" style="226" bestFit="1" customWidth="1"/>
    <col min="4" max="4" width="13.7109375" style="226" bestFit="1" customWidth="1"/>
    <col min="5" max="6" width="14.85546875" style="226" bestFit="1" customWidth="1"/>
    <col min="7" max="7" width="13.7109375" style="226" bestFit="1" customWidth="1"/>
    <col min="8" max="9" width="12.85546875" style="226" bestFit="1" customWidth="1"/>
    <col min="10" max="10" width="16.140625" style="226" bestFit="1" customWidth="1"/>
    <col min="11" max="11" width="10" style="226" customWidth="1"/>
    <col min="12" max="16384" width="9.140625" style="226"/>
  </cols>
  <sheetData>
    <row r="1" spans="1:18" ht="15" customHeight="1">
      <c r="A1" s="1472" t="s">
        <v>1162</v>
      </c>
      <c r="B1" s="1473"/>
      <c r="C1" s="1473"/>
      <c r="D1" s="1473"/>
      <c r="E1" s="1473"/>
      <c r="F1" s="1473"/>
      <c r="G1" s="1473"/>
      <c r="H1" s="1473"/>
      <c r="I1" s="1473"/>
      <c r="J1" s="1474"/>
    </row>
    <row r="2" spans="1:18" s="229" customFormat="1">
      <c r="A2" s="1475" t="s">
        <v>112</v>
      </c>
      <c r="B2" s="1476" t="s">
        <v>623</v>
      </c>
      <c r="C2" s="1476"/>
      <c r="D2" s="1476"/>
      <c r="E2" s="1476" t="s">
        <v>136</v>
      </c>
      <c r="F2" s="1476"/>
      <c r="G2" s="1476"/>
      <c r="H2" s="1476" t="s">
        <v>92</v>
      </c>
      <c r="I2" s="1476"/>
      <c r="J2" s="1476"/>
      <c r="K2" s="226"/>
      <c r="L2" s="226"/>
      <c r="M2" s="226"/>
      <c r="N2" s="226"/>
      <c r="O2" s="226"/>
      <c r="P2" s="226"/>
      <c r="Q2" s="226"/>
      <c r="R2" s="226"/>
    </row>
    <row r="3" spans="1:18" s="229" customFormat="1" ht="45">
      <c r="A3" s="1475"/>
      <c r="B3" s="952" t="s">
        <v>1017</v>
      </c>
      <c r="C3" s="952" t="s">
        <v>1018</v>
      </c>
      <c r="D3" s="952" t="s">
        <v>1019</v>
      </c>
      <c r="E3" s="952" t="s">
        <v>1017</v>
      </c>
      <c r="F3" s="952" t="s">
        <v>1018</v>
      </c>
      <c r="G3" s="952" t="s">
        <v>1019</v>
      </c>
      <c r="H3" s="952" t="s">
        <v>1017</v>
      </c>
      <c r="I3" s="952" t="s">
        <v>1018</v>
      </c>
      <c r="J3" s="952" t="s">
        <v>1019</v>
      </c>
      <c r="K3" s="226"/>
      <c r="L3" s="226"/>
      <c r="M3" s="226"/>
      <c r="N3" s="226"/>
      <c r="O3" s="226"/>
      <c r="P3" s="226"/>
      <c r="Q3" s="226"/>
      <c r="R3" s="226"/>
    </row>
    <row r="4" spans="1:18" s="230" customFormat="1">
      <c r="A4" s="953" t="s">
        <v>520</v>
      </c>
      <c r="B4" s="954">
        <v>1689869.16</v>
      </c>
      <c r="C4" s="954">
        <v>1489137.0499999998</v>
      </c>
      <c r="D4" s="954">
        <v>200732.11000000004</v>
      </c>
      <c r="E4" s="954">
        <v>1900513.16</v>
      </c>
      <c r="F4" s="954">
        <v>2096290.51</v>
      </c>
      <c r="G4" s="954">
        <v>-195777.35</v>
      </c>
      <c r="H4" s="954">
        <v>3590382.3200000003</v>
      </c>
      <c r="I4" s="954">
        <v>3585427.5599999996</v>
      </c>
      <c r="J4" s="954">
        <v>4954.7600000000239</v>
      </c>
      <c r="K4" s="226"/>
      <c r="L4" s="226"/>
      <c r="M4" s="226"/>
      <c r="N4" s="226"/>
      <c r="O4" s="226"/>
      <c r="P4" s="226"/>
      <c r="Q4" s="226"/>
      <c r="R4" s="226"/>
    </row>
    <row r="5" spans="1:18" s="230" customFormat="1">
      <c r="A5" s="955" t="s">
        <v>1165</v>
      </c>
      <c r="B5" s="457">
        <f t="shared" ref="B5:J5" si="0">SUM(B6:B9)</f>
        <v>969655.52999999991</v>
      </c>
      <c r="C5" s="457">
        <f t="shared" si="0"/>
        <v>835417.80999999994</v>
      </c>
      <c r="D5" s="457">
        <f>SUM(D6:D9)</f>
        <v>134237.72</v>
      </c>
      <c r="E5" s="457">
        <f t="shared" si="0"/>
        <v>599562.47</v>
      </c>
      <c r="F5" s="457">
        <f t="shared" si="0"/>
        <v>644508.75</v>
      </c>
      <c r="G5" s="457">
        <f t="shared" si="0"/>
        <v>-44946.280000000013</v>
      </c>
      <c r="H5" s="457">
        <f t="shared" si="0"/>
        <v>1569218</v>
      </c>
      <c r="I5" s="457">
        <f t="shared" si="0"/>
        <v>1479926.56</v>
      </c>
      <c r="J5" s="457">
        <f t="shared" si="0"/>
        <v>89291.439999999973</v>
      </c>
      <c r="K5" s="231"/>
      <c r="L5" s="231"/>
      <c r="M5" s="231"/>
      <c r="N5" s="231"/>
      <c r="O5" s="231"/>
      <c r="P5" s="231"/>
      <c r="Q5" s="231"/>
      <c r="R5" s="231"/>
    </row>
    <row r="6" spans="1:18" s="229" customFormat="1">
      <c r="A6" s="422">
        <v>45383</v>
      </c>
      <c r="B6" s="448">
        <v>206765.05</v>
      </c>
      <c r="C6" s="448">
        <v>173941.35</v>
      </c>
      <c r="D6" s="449">
        <f t="shared" ref="D6" si="1">B6-C6</f>
        <v>32823.699999999983</v>
      </c>
      <c r="E6" s="448">
        <v>141518.29999999999</v>
      </c>
      <c r="F6" s="450">
        <v>126989.36</v>
      </c>
      <c r="G6" s="449">
        <f t="shared" ref="G6" si="2">E6-F6</f>
        <v>14528.939999999988</v>
      </c>
      <c r="H6" s="449">
        <f>B6+E6</f>
        <v>348283.35</v>
      </c>
      <c r="I6" s="449">
        <f t="shared" ref="I6:J8" si="3">C6+F6</f>
        <v>300930.71000000002</v>
      </c>
      <c r="J6" s="449">
        <f t="shared" si="3"/>
        <v>47352.63999999997</v>
      </c>
      <c r="K6" s="226"/>
      <c r="L6" s="226"/>
      <c r="M6" s="226"/>
      <c r="N6" s="226"/>
      <c r="O6" s="226"/>
      <c r="P6" s="226"/>
      <c r="Q6" s="226"/>
      <c r="R6" s="226"/>
    </row>
    <row r="7" spans="1:18" s="361" customFormat="1" ht="15" customHeight="1">
      <c r="A7" s="422">
        <f>EOMONTH(A6,1)</f>
        <v>45443</v>
      </c>
      <c r="B7" s="482">
        <v>250702.03</v>
      </c>
      <c r="C7" s="482">
        <v>202603.02</v>
      </c>
      <c r="D7" s="482">
        <v>48099.01</v>
      </c>
      <c r="E7" s="482">
        <v>181627.12</v>
      </c>
      <c r="F7" s="482">
        <v>225723.47</v>
      </c>
      <c r="G7" s="482">
        <v>-44096.35</v>
      </c>
      <c r="H7" s="449">
        <f t="shared" ref="H7:H8" si="4">B7+E7</f>
        <v>432329.15</v>
      </c>
      <c r="I7" s="449">
        <f t="shared" si="3"/>
        <v>428326.49</v>
      </c>
      <c r="J7" s="449">
        <f t="shared" si="3"/>
        <v>4002.6600000000035</v>
      </c>
    </row>
    <row r="8" spans="1:18" s="361" customFormat="1" ht="15" customHeight="1">
      <c r="A8" s="422">
        <f t="shared" ref="A8:A9" si="5">EOMONTH(A7,1)</f>
        <v>45473</v>
      </c>
      <c r="B8" s="482">
        <v>286508.09999999998</v>
      </c>
      <c r="C8" s="482">
        <v>258282.46</v>
      </c>
      <c r="D8" s="482">
        <v>28225.64</v>
      </c>
      <c r="E8" s="482">
        <v>177883.69</v>
      </c>
      <c r="F8" s="482">
        <v>182683.28</v>
      </c>
      <c r="G8" s="482">
        <v>-4799.59</v>
      </c>
      <c r="H8" s="482">
        <f t="shared" si="4"/>
        <v>464391.79</v>
      </c>
      <c r="I8" s="482">
        <f t="shared" si="3"/>
        <v>440965.74</v>
      </c>
      <c r="J8" s="482">
        <f t="shared" si="3"/>
        <v>23426.05</v>
      </c>
      <c r="M8" s="365"/>
      <c r="N8" s="365"/>
      <c r="O8" s="365"/>
    </row>
    <row r="9" spans="1:18" s="361" customFormat="1">
      <c r="A9" s="422">
        <f t="shared" si="5"/>
        <v>45504</v>
      </c>
      <c r="B9" s="1038">
        <v>225680.35</v>
      </c>
      <c r="C9" s="1038">
        <v>200590.98</v>
      </c>
      <c r="D9" s="1038">
        <v>25089.37</v>
      </c>
      <c r="E9" s="1038">
        <v>98533.36</v>
      </c>
      <c r="F9" s="1038">
        <v>109112.64</v>
      </c>
      <c r="G9" s="1038">
        <v>-10579.28</v>
      </c>
      <c r="H9" s="1038">
        <v>324213.71000000002</v>
      </c>
      <c r="I9" s="1038">
        <v>309703.62</v>
      </c>
      <c r="J9" s="1038">
        <v>14510.089999999998</v>
      </c>
      <c r="M9" s="365"/>
      <c r="N9" s="365"/>
      <c r="O9" s="365"/>
    </row>
    <row r="10" spans="1:18">
      <c r="A10" s="1471"/>
      <c r="B10" s="1471"/>
      <c r="C10" s="1471"/>
      <c r="D10" s="1471"/>
      <c r="E10" s="1471"/>
      <c r="F10" s="1471"/>
      <c r="G10" s="1471"/>
      <c r="H10" s="1471"/>
      <c r="I10" s="1471"/>
      <c r="J10" s="1471"/>
    </row>
    <row r="11" spans="1:18">
      <c r="A11" s="1471" t="s">
        <v>1020</v>
      </c>
      <c r="B11" s="1471"/>
      <c r="C11" s="1471"/>
      <c r="D11" s="1471"/>
      <c r="E11" s="1471"/>
      <c r="F11" s="1471"/>
      <c r="G11" s="1471"/>
      <c r="H11" s="1471"/>
      <c r="I11" s="1471"/>
      <c r="J11" s="1471"/>
    </row>
    <row r="12" spans="1:18">
      <c r="A12" s="533" t="s">
        <v>141</v>
      </c>
      <c r="B12" s="533"/>
      <c r="C12" s="378"/>
      <c r="D12" s="378"/>
      <c r="E12" s="378"/>
      <c r="F12" s="378"/>
      <c r="G12" s="378"/>
      <c r="H12" s="378"/>
      <c r="I12" s="378"/>
      <c r="J12" s="378"/>
    </row>
    <row r="13" spans="1:18">
      <c r="A13" s="226" t="s">
        <v>1299</v>
      </c>
    </row>
  </sheetData>
  <mergeCells count="7">
    <mergeCell ref="A11:J11"/>
    <mergeCell ref="A1:J1"/>
    <mergeCell ref="A2:A3"/>
    <mergeCell ref="B2:D2"/>
    <mergeCell ref="E2:G2"/>
    <mergeCell ref="H2:J2"/>
    <mergeCell ref="A10:J10"/>
  </mergeCells>
  <pageMargins left="0.7" right="0.7" top="0.75" bottom="0.75" header="0.3" footer="0.3"/>
  <pageSetup paperSize="9" scale="91"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zoomScaleNormal="100" workbookViewId="0">
      <selection activeCell="E4" sqref="E4"/>
    </sheetView>
  </sheetViews>
  <sheetFormatPr defaultColWidth="9.140625" defaultRowHeight="15"/>
  <cols>
    <col min="1" max="1" width="29" style="365" customWidth="1"/>
    <col min="2" max="2" width="18.28515625" style="365" customWidth="1"/>
    <col min="3" max="3" width="14.140625" style="365" customWidth="1"/>
    <col min="4" max="4" width="12.7109375" style="365" customWidth="1"/>
    <col min="5" max="5" width="10.7109375" style="365" customWidth="1"/>
    <col min="6" max="6" width="12.5703125" style="365" bestFit="1" customWidth="1"/>
    <col min="7" max="8" width="14" style="365" customWidth="1"/>
    <col min="9" max="9" width="11.7109375" style="365" customWidth="1"/>
    <col min="10" max="10" width="10.5703125" style="365" bestFit="1" customWidth="1"/>
    <col min="11" max="11" width="11.5703125" style="365" bestFit="1" customWidth="1"/>
    <col min="12" max="12" width="10.5703125" style="365" bestFit="1" customWidth="1"/>
    <col min="13" max="16384" width="9.140625" style="365"/>
  </cols>
  <sheetData>
    <row r="1" spans="1:11">
      <c r="A1" s="1039" t="s">
        <v>52</v>
      </c>
      <c r="B1" s="1039"/>
      <c r="C1" s="1039"/>
      <c r="D1" s="1039"/>
      <c r="E1" s="1039"/>
      <c r="F1" s="1039"/>
      <c r="G1" s="1039"/>
      <c r="H1" s="1039"/>
      <c r="I1" s="1039"/>
      <c r="J1" s="1039"/>
      <c r="K1" s="1039"/>
    </row>
    <row r="2" spans="1:11">
      <c r="A2" s="1040" t="s">
        <v>112</v>
      </c>
      <c r="B2" s="1477" t="s">
        <v>1405</v>
      </c>
      <c r="C2" s="1478"/>
      <c r="D2" s="1478"/>
      <c r="E2" s="1478"/>
      <c r="F2" s="1479"/>
      <c r="G2" s="1480" t="s">
        <v>1406</v>
      </c>
      <c r="H2" s="1478"/>
      <c r="I2" s="1478"/>
      <c r="J2" s="1478"/>
      <c r="K2" s="1481"/>
    </row>
    <row r="3" spans="1:11" ht="30">
      <c r="A3" s="1041" t="s">
        <v>622</v>
      </c>
      <c r="B3" s="1042" t="s">
        <v>1021</v>
      </c>
      <c r="C3" s="1042" t="s">
        <v>1022</v>
      </c>
      <c r="D3" s="1042" t="s">
        <v>1023</v>
      </c>
      <c r="E3" s="1042" t="s">
        <v>1024</v>
      </c>
      <c r="F3" s="1042" t="s">
        <v>92</v>
      </c>
      <c r="G3" s="1042" t="s">
        <v>1157</v>
      </c>
      <c r="H3" s="1042" t="s">
        <v>1022</v>
      </c>
      <c r="I3" s="1042" t="s">
        <v>1023</v>
      </c>
      <c r="J3" s="1042" t="s">
        <v>1025</v>
      </c>
      <c r="K3" s="1043" t="s">
        <v>92</v>
      </c>
    </row>
    <row r="4" spans="1:11">
      <c r="A4" s="1044" t="s">
        <v>1026</v>
      </c>
      <c r="B4" s="451">
        <v>164154</v>
      </c>
      <c r="C4" s="451">
        <v>5518</v>
      </c>
      <c r="D4" s="956">
        <v>326</v>
      </c>
      <c r="E4" s="451">
        <v>1417</v>
      </c>
      <c r="F4" s="1045">
        <v>171415</v>
      </c>
      <c r="G4" s="451">
        <v>137987</v>
      </c>
      <c r="H4" s="451">
        <v>4048</v>
      </c>
      <c r="I4" s="451">
        <v>54</v>
      </c>
      <c r="J4" s="451">
        <v>1786</v>
      </c>
      <c r="K4" s="1046">
        <v>143875</v>
      </c>
    </row>
    <row r="5" spans="1:11">
      <c r="A5" s="1482" t="s">
        <v>1027</v>
      </c>
      <c r="B5" s="1483"/>
      <c r="C5" s="1483"/>
      <c r="D5" s="1483"/>
      <c r="E5" s="1483"/>
      <c r="F5" s="1483"/>
      <c r="G5" s="1483"/>
      <c r="H5" s="1483"/>
      <c r="I5" s="1483"/>
      <c r="J5" s="1483"/>
      <c r="K5" s="1484"/>
    </row>
    <row r="6" spans="1:11">
      <c r="A6" s="1044" t="s">
        <v>1028</v>
      </c>
      <c r="B6" s="974">
        <v>352229.62344999984</v>
      </c>
      <c r="C6" s="974">
        <v>40301.656160000006</v>
      </c>
      <c r="D6" s="974">
        <v>0</v>
      </c>
      <c r="E6" s="974">
        <v>0</v>
      </c>
      <c r="F6" s="976">
        <v>392531.27960999985</v>
      </c>
      <c r="G6" s="451">
        <v>268738.78601000021</v>
      </c>
      <c r="H6" s="451">
        <v>23962.66546</v>
      </c>
      <c r="I6" s="451">
        <v>0</v>
      </c>
      <c r="J6" s="451">
        <v>0</v>
      </c>
      <c r="K6" s="1047">
        <v>292701.4514700002</v>
      </c>
    </row>
    <row r="7" spans="1:11">
      <c r="A7" s="1044" t="s">
        <v>1029</v>
      </c>
      <c r="B7" s="974">
        <v>1059.7136</v>
      </c>
      <c r="C7" s="974">
        <v>604.75524999999993</v>
      </c>
      <c r="D7" s="974">
        <v>1241.04</v>
      </c>
      <c r="E7" s="974">
        <v>0</v>
      </c>
      <c r="F7" s="976">
        <v>2905.5088500000002</v>
      </c>
      <c r="G7" s="451">
        <v>915.69400999999982</v>
      </c>
      <c r="H7" s="451">
        <v>296.93547999999993</v>
      </c>
      <c r="I7" s="451">
        <v>411.02</v>
      </c>
      <c r="J7" s="451">
        <v>0</v>
      </c>
      <c r="K7" s="1047">
        <v>1623.6494899999998</v>
      </c>
    </row>
    <row r="8" spans="1:11">
      <c r="A8" s="1044" t="s">
        <v>1030</v>
      </c>
      <c r="B8" s="974">
        <v>2421783.0953799998</v>
      </c>
      <c r="C8" s="974">
        <v>185803.13995999997</v>
      </c>
      <c r="D8" s="974">
        <v>0</v>
      </c>
      <c r="E8" s="974">
        <v>0</v>
      </c>
      <c r="F8" s="976">
        <v>2607586.2353399997</v>
      </c>
      <c r="G8" s="451">
        <v>2090210.3418299998</v>
      </c>
      <c r="H8" s="451">
        <v>145788.35726999998</v>
      </c>
      <c r="I8" s="451">
        <v>0</v>
      </c>
      <c r="J8" s="451">
        <v>0</v>
      </c>
      <c r="K8" s="1047">
        <v>2235998.6990999999</v>
      </c>
    </row>
    <row r="9" spans="1:11">
      <c r="A9" s="1044" t="s">
        <v>1031</v>
      </c>
      <c r="B9" s="974">
        <v>41309.924549999996</v>
      </c>
      <c r="C9" s="974">
        <v>213.20073000000002</v>
      </c>
      <c r="D9" s="974">
        <v>376.26</v>
      </c>
      <c r="E9" s="974">
        <v>0</v>
      </c>
      <c r="F9" s="976">
        <v>41899.385279999995</v>
      </c>
      <c r="G9" s="451">
        <v>22213.092999999997</v>
      </c>
      <c r="H9" s="451">
        <v>139.47</v>
      </c>
      <c r="I9" s="451">
        <v>86.12</v>
      </c>
      <c r="J9" s="451">
        <v>0</v>
      </c>
      <c r="K9" s="1047">
        <v>22438.682999999997</v>
      </c>
    </row>
    <row r="10" spans="1:11">
      <c r="A10" s="1048" t="s">
        <v>1032</v>
      </c>
      <c r="B10" s="974">
        <v>651.44783999999993</v>
      </c>
      <c r="C10" s="974">
        <v>865.68084999999985</v>
      </c>
      <c r="D10" s="974">
        <v>0</v>
      </c>
      <c r="E10" s="974">
        <v>0</v>
      </c>
      <c r="F10" s="976">
        <v>1517.1286899999998</v>
      </c>
      <c r="G10" s="451">
        <v>1389.5700000000002</v>
      </c>
      <c r="H10" s="451">
        <v>1158.33</v>
      </c>
      <c r="I10" s="451">
        <v>0</v>
      </c>
      <c r="J10" s="451">
        <v>0</v>
      </c>
      <c r="K10" s="1047">
        <v>2547.9</v>
      </c>
    </row>
    <row r="11" spans="1:11">
      <c r="A11" s="1048" t="s">
        <v>1033</v>
      </c>
      <c r="B11" s="974">
        <v>77.97999999999999</v>
      </c>
      <c r="C11" s="974">
        <v>10.9</v>
      </c>
      <c r="D11" s="974">
        <v>577.12</v>
      </c>
      <c r="E11" s="974">
        <v>0</v>
      </c>
      <c r="F11" s="976">
        <v>666</v>
      </c>
      <c r="G11" s="451">
        <v>73.239999999999995</v>
      </c>
      <c r="H11" s="451">
        <v>29.6</v>
      </c>
      <c r="I11" s="451">
        <v>0</v>
      </c>
      <c r="J11" s="451">
        <v>0</v>
      </c>
      <c r="K11" s="1047">
        <v>102.84</v>
      </c>
    </row>
    <row r="12" spans="1:11">
      <c r="A12" s="1044" t="s">
        <v>1034</v>
      </c>
      <c r="B12" s="974">
        <v>283.32000999999997</v>
      </c>
      <c r="C12" s="974">
        <v>0</v>
      </c>
      <c r="D12" s="974">
        <v>0</v>
      </c>
      <c r="E12" s="974">
        <v>0</v>
      </c>
      <c r="F12" s="976">
        <v>283.32000999999997</v>
      </c>
      <c r="G12" s="451">
        <v>232.39242000000002</v>
      </c>
      <c r="H12" s="451">
        <v>0</v>
      </c>
      <c r="I12" s="451">
        <v>0</v>
      </c>
      <c r="J12" s="451">
        <v>0</v>
      </c>
      <c r="K12" s="1047">
        <v>232.39242000000002</v>
      </c>
    </row>
    <row r="13" spans="1:11">
      <c r="A13" s="1048" t="s">
        <v>1035</v>
      </c>
      <c r="B13" s="974">
        <v>-1.69</v>
      </c>
      <c r="C13" s="974">
        <v>0</v>
      </c>
      <c r="D13" s="974">
        <v>0</v>
      </c>
      <c r="E13" s="974">
        <v>0</v>
      </c>
      <c r="F13" s="976">
        <v>-1.69</v>
      </c>
      <c r="G13" s="451">
        <v>-0.04</v>
      </c>
      <c r="H13" s="451">
        <v>0</v>
      </c>
      <c r="I13" s="451">
        <v>0</v>
      </c>
      <c r="J13" s="451">
        <v>0</v>
      </c>
      <c r="K13" s="451">
        <v>0</v>
      </c>
    </row>
    <row r="14" spans="1:11">
      <c r="A14" s="1048" t="s">
        <v>1036</v>
      </c>
      <c r="B14" s="974">
        <v>-0.10999</v>
      </c>
      <c r="C14" s="974">
        <v>2.02928</v>
      </c>
      <c r="D14" s="974">
        <v>0</v>
      </c>
      <c r="E14" s="974">
        <v>0</v>
      </c>
      <c r="F14" s="976">
        <v>1.9192899999999999</v>
      </c>
      <c r="G14" s="451">
        <v>0</v>
      </c>
      <c r="H14" s="451">
        <v>0</v>
      </c>
      <c r="I14" s="451">
        <v>0</v>
      </c>
      <c r="J14" s="451">
        <v>0</v>
      </c>
      <c r="K14" s="451">
        <v>0</v>
      </c>
    </row>
    <row r="15" spans="1:11">
      <c r="A15" s="1044" t="s">
        <v>76</v>
      </c>
      <c r="B15" s="974">
        <v>80240.602619999976</v>
      </c>
      <c r="C15" s="974">
        <v>53649.158110000011</v>
      </c>
      <c r="D15" s="974">
        <v>0</v>
      </c>
      <c r="E15" s="974">
        <v>0</v>
      </c>
      <c r="F15" s="976">
        <v>133889.76072999998</v>
      </c>
      <c r="G15" s="451">
        <v>31063.699040000007</v>
      </c>
      <c r="H15" s="451">
        <v>24571.421430000013</v>
      </c>
      <c r="I15" s="451">
        <v>1.71</v>
      </c>
      <c r="J15" s="451">
        <v>0</v>
      </c>
      <c r="K15" s="1047">
        <v>55636.830470000023</v>
      </c>
    </row>
    <row r="16" spans="1:11">
      <c r="A16" s="1044" t="s">
        <v>302</v>
      </c>
      <c r="B16" s="974">
        <v>16443.601999999999</v>
      </c>
      <c r="C16" s="974">
        <v>5819.7489000000005</v>
      </c>
      <c r="D16" s="974">
        <v>58.61</v>
      </c>
      <c r="E16" s="974">
        <v>0</v>
      </c>
      <c r="F16" s="976">
        <v>22321.960899999998</v>
      </c>
      <c r="G16" s="451">
        <v>12525.718650000006</v>
      </c>
      <c r="H16" s="451">
        <v>23603.676949999994</v>
      </c>
      <c r="I16" s="451">
        <v>0.05</v>
      </c>
      <c r="J16" s="451">
        <v>0</v>
      </c>
      <c r="K16" s="1047">
        <v>36129.445600000006</v>
      </c>
    </row>
    <row r="17" spans="1:12">
      <c r="A17" s="1049" t="s">
        <v>1294</v>
      </c>
      <c r="B17" s="1050">
        <v>2914077.5094599999</v>
      </c>
      <c r="C17" s="1050">
        <v>287270.26923999999</v>
      </c>
      <c r="D17" s="1050">
        <v>2253.0300000000002</v>
      </c>
      <c r="E17" s="1050">
        <v>295168.53648999997</v>
      </c>
      <c r="F17" s="1051">
        <v>3498769.3451899993</v>
      </c>
      <c r="G17" s="1050">
        <v>2427362.4949599998</v>
      </c>
      <c r="H17" s="1050">
        <v>219550.45658999999</v>
      </c>
      <c r="I17" s="1050">
        <v>498.9</v>
      </c>
      <c r="J17" s="1052">
        <v>224298.29999999987</v>
      </c>
      <c r="K17" s="1051">
        <v>2871710.1515500001</v>
      </c>
      <c r="L17" s="975"/>
    </row>
    <row r="18" spans="1:12">
      <c r="A18" s="1053" t="s">
        <v>77</v>
      </c>
      <c r="B18" s="1054"/>
      <c r="C18" s="1055"/>
      <c r="D18" s="1055"/>
      <c r="E18" s="1056"/>
      <c r="F18" s="655"/>
      <c r="G18" s="655"/>
      <c r="H18" s="655"/>
      <c r="I18" s="655"/>
      <c r="J18" s="655"/>
      <c r="K18" s="655"/>
    </row>
    <row r="19" spans="1:12">
      <c r="A19" s="1057" t="s">
        <v>1037</v>
      </c>
      <c r="B19" s="1058"/>
      <c r="C19" s="1058"/>
      <c r="D19" s="1058"/>
      <c r="E19" s="1058"/>
      <c r="F19" s="1175">
        <f>F17/10^5</f>
        <v>34.987693451899993</v>
      </c>
      <c r="G19" s="655"/>
      <c r="H19" s="655"/>
      <c r="I19" s="1059"/>
      <c r="J19" s="655"/>
      <c r="K19" s="1060"/>
    </row>
    <row r="20" spans="1:12">
      <c r="A20" s="1061" t="s">
        <v>1407</v>
      </c>
      <c r="B20" s="655"/>
      <c r="C20" s="655"/>
      <c r="D20" s="655"/>
      <c r="E20" s="655"/>
      <c r="F20" s="655"/>
      <c r="G20" s="655"/>
      <c r="H20" s="655"/>
      <c r="I20" s="655"/>
      <c r="J20" s="655"/>
      <c r="K20" s="655"/>
    </row>
    <row r="21" spans="1:12">
      <c r="A21" s="655" t="s">
        <v>1408</v>
      </c>
      <c r="B21" s="1062"/>
      <c r="C21" s="655"/>
      <c r="D21" s="655"/>
      <c r="E21" s="655"/>
      <c r="F21" s="655"/>
      <c r="G21" s="655"/>
      <c r="H21" s="655"/>
      <c r="I21" s="655"/>
      <c r="J21" s="655"/>
      <c r="K21" s="655"/>
    </row>
    <row r="22" spans="1:12">
      <c r="A22" s="1057" t="s">
        <v>1409</v>
      </c>
      <c r="B22" s="655"/>
      <c r="C22" s="655"/>
      <c r="D22" s="655"/>
      <c r="E22" s="655"/>
      <c r="F22" s="655"/>
      <c r="G22" s="655"/>
      <c r="H22" s="655"/>
      <c r="I22" s="655"/>
      <c r="J22" s="655"/>
      <c r="K22" s="655"/>
    </row>
    <row r="23" spans="1:12">
      <c r="A23" s="655"/>
      <c r="B23" s="1063"/>
      <c r="C23" s="1063"/>
      <c r="D23" s="1063"/>
      <c r="E23" s="1063"/>
      <c r="F23" s="1063"/>
      <c r="G23" s="1063"/>
      <c r="H23" s="1063"/>
      <c r="I23" s="1063"/>
      <c r="J23" s="1063"/>
      <c r="K23" s="1063"/>
    </row>
    <row r="25" spans="1:12">
      <c r="F25" s="40">
        <v>2914078</v>
      </c>
      <c r="G25" s="40">
        <v>287270</v>
      </c>
      <c r="H25" s="40">
        <v>2253</v>
      </c>
      <c r="I25" s="40">
        <v>295169</v>
      </c>
      <c r="J25" s="40">
        <f>SUM(F25:I25)</f>
        <v>3498770</v>
      </c>
      <c r="K25" s="13">
        <f>J25/10^5</f>
        <v>34.987699999999997</v>
      </c>
    </row>
    <row r="26" spans="1:12">
      <c r="F26" s="40">
        <v>2421328</v>
      </c>
      <c r="G26" s="40">
        <v>213929</v>
      </c>
      <c r="H26" s="40">
        <v>499</v>
      </c>
      <c r="I26" s="40">
        <v>214426</v>
      </c>
      <c r="J26" s="40">
        <f>SUM(F26:I26)</f>
        <v>2850182</v>
      </c>
      <c r="K26" s="13">
        <f>J26/10^5</f>
        <v>28.501819999999999</v>
      </c>
    </row>
    <row r="27" spans="1:12">
      <c r="K27" s="1176">
        <f>((K25/K26)-1)*100</f>
        <v>22.756020492726424</v>
      </c>
    </row>
  </sheetData>
  <mergeCells count="3">
    <mergeCell ref="B2:F2"/>
    <mergeCell ref="G2:K2"/>
    <mergeCell ref="A5:K5"/>
  </mergeCells>
  <printOptions horizontalCentered="1"/>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H7" sqref="H7"/>
    </sheetView>
  </sheetViews>
  <sheetFormatPr defaultColWidth="9.140625" defaultRowHeight="15"/>
  <cols>
    <col min="1" max="1" width="54.140625" style="97" customWidth="1"/>
    <col min="2" max="2" width="9.140625" style="97" bestFit="1" customWidth="1"/>
    <col min="3" max="5" width="10.28515625" style="97" bestFit="1" customWidth="1"/>
    <col min="6" max="6" width="14.42578125" style="97" customWidth="1"/>
    <col min="7" max="7" width="17.5703125" style="97" bestFit="1" customWidth="1"/>
    <col min="8" max="8" width="13.5703125" style="97" customWidth="1"/>
    <col min="9" max="9" width="12.85546875" style="97" customWidth="1"/>
    <col min="10" max="10" width="12.28515625" style="97" customWidth="1"/>
    <col min="11" max="11" width="14.7109375" style="97" bestFit="1" customWidth="1"/>
    <col min="12" max="12" width="17.5703125" style="97" bestFit="1" customWidth="1"/>
    <col min="13" max="16384" width="9.140625" style="97"/>
  </cols>
  <sheetData>
    <row r="1" spans="1:12" ht="15.75" customHeight="1">
      <c r="A1" s="1013" t="s">
        <v>601</v>
      </c>
    </row>
    <row r="2" spans="1:12" s="360" customFormat="1" ht="18.75" customHeight="1">
      <c r="A2" s="1486" t="s">
        <v>602</v>
      </c>
      <c r="B2" s="1486" t="s">
        <v>603</v>
      </c>
      <c r="C2" s="1487" t="s">
        <v>604</v>
      </c>
      <c r="D2" s="1488"/>
      <c r="E2" s="1488"/>
      <c r="F2" s="1488"/>
      <c r="G2" s="1488"/>
      <c r="H2" s="1297" t="s">
        <v>605</v>
      </c>
      <c r="I2" s="1297"/>
      <c r="J2" s="1297"/>
      <c r="K2" s="1297"/>
      <c r="L2" s="1297"/>
    </row>
    <row r="3" spans="1:12" s="360" customFormat="1" ht="63.75" customHeight="1">
      <c r="A3" s="1305"/>
      <c r="B3" s="1305"/>
      <c r="C3" s="355">
        <v>45504</v>
      </c>
      <c r="D3" s="355">
        <v>45444</v>
      </c>
      <c r="E3" s="355">
        <v>45138</v>
      </c>
      <c r="F3" s="957" t="s">
        <v>1151</v>
      </c>
      <c r="G3" s="958" t="s">
        <v>1152</v>
      </c>
      <c r="H3" s="959">
        <v>45444</v>
      </c>
      <c r="I3" s="959">
        <v>45413</v>
      </c>
      <c r="J3" s="959">
        <v>45078</v>
      </c>
      <c r="K3" s="958" t="s">
        <v>1151</v>
      </c>
      <c r="L3" s="1014" t="s">
        <v>1152</v>
      </c>
    </row>
    <row r="4" spans="1:12" s="360" customFormat="1" ht="18" customHeight="1">
      <c r="A4" s="960" t="s">
        <v>606</v>
      </c>
      <c r="B4" s="961" t="s">
        <v>607</v>
      </c>
      <c r="C4" s="962">
        <v>6059</v>
      </c>
      <c r="D4" s="962">
        <v>6017</v>
      </c>
      <c r="E4" s="962">
        <v>5861</v>
      </c>
      <c r="F4" s="1126">
        <f t="shared" ref="F4:F17" si="0">IFERROR((C4/E4-1)*100,"-")</f>
        <v>3.3782630950349724</v>
      </c>
      <c r="G4" s="1126">
        <f t="shared" ref="G4:G17" si="1">IFERROR((C4/D4-1)*100,"-")</f>
        <v>0.69802227023434416</v>
      </c>
      <c r="H4" s="962">
        <v>6443</v>
      </c>
      <c r="I4" s="962">
        <v>6409</v>
      </c>
      <c r="J4" s="962">
        <v>6102</v>
      </c>
      <c r="K4" s="1126">
        <f t="shared" ref="K4:K17" si="2">IFERROR((H4/J4-1)*100,"-")</f>
        <v>5.5883316945263939</v>
      </c>
      <c r="L4" s="1126">
        <f t="shared" ref="L4:L17" si="3">IFERROR((H4/I4-1)*100,"-")</f>
        <v>0.53050397877985045</v>
      </c>
    </row>
    <row r="5" spans="1:12" s="360" customFormat="1" ht="18" customHeight="1">
      <c r="A5" s="960" t="s">
        <v>608</v>
      </c>
      <c r="B5" s="961" t="s">
        <v>607</v>
      </c>
      <c r="C5" s="962">
        <v>285</v>
      </c>
      <c r="D5" s="962">
        <v>285</v>
      </c>
      <c r="E5" s="962">
        <v>284</v>
      </c>
      <c r="F5" s="1126">
        <f t="shared" si="0"/>
        <v>0.35211267605634866</v>
      </c>
      <c r="G5" s="1126">
        <f t="shared" si="1"/>
        <v>0</v>
      </c>
      <c r="H5" s="962">
        <v>572</v>
      </c>
      <c r="I5" s="962">
        <v>573</v>
      </c>
      <c r="J5" s="962">
        <v>588</v>
      </c>
      <c r="K5" s="1126">
        <f t="shared" si="2"/>
        <v>-2.7210884353741527</v>
      </c>
      <c r="L5" s="1126">
        <f t="shared" si="3"/>
        <v>-0.17452006980802626</v>
      </c>
    </row>
    <row r="6" spans="1:12" s="360" customFormat="1" ht="18" customHeight="1">
      <c r="A6" s="960" t="s">
        <v>1068</v>
      </c>
      <c r="B6" s="961" t="s">
        <v>607</v>
      </c>
      <c r="C6" s="962">
        <v>5</v>
      </c>
      <c r="D6" s="962">
        <v>5</v>
      </c>
      <c r="E6" s="962">
        <v>4</v>
      </c>
      <c r="F6" s="1126">
        <f t="shared" si="0"/>
        <v>25</v>
      </c>
      <c r="G6" s="1126">
        <f t="shared" si="1"/>
        <v>0</v>
      </c>
      <c r="H6" s="962">
        <v>3</v>
      </c>
      <c r="I6" s="962">
        <v>3</v>
      </c>
      <c r="J6" s="962">
        <v>3</v>
      </c>
      <c r="K6" s="1126">
        <f t="shared" si="2"/>
        <v>0</v>
      </c>
      <c r="L6" s="1126">
        <f t="shared" si="3"/>
        <v>0</v>
      </c>
    </row>
    <row r="7" spans="1:12" s="360" customFormat="1" ht="18" customHeight="1">
      <c r="A7" s="960" t="s">
        <v>609</v>
      </c>
      <c r="B7" s="961" t="s">
        <v>610</v>
      </c>
      <c r="C7" s="962">
        <v>372.03971000000001</v>
      </c>
      <c r="D7" s="962">
        <v>367.93916000000002</v>
      </c>
      <c r="E7" s="962">
        <v>327.63591000000002</v>
      </c>
      <c r="F7" s="1126">
        <f t="shared" si="0"/>
        <v>13.552787910214104</v>
      </c>
      <c r="G7" s="1126">
        <f t="shared" si="1"/>
        <v>1.1144641412998757</v>
      </c>
      <c r="H7" s="962">
        <v>1296.33061</v>
      </c>
      <c r="I7" s="962">
        <v>1254.9440300000001</v>
      </c>
      <c r="J7" s="962">
        <v>907.32</v>
      </c>
      <c r="K7" s="1126">
        <f t="shared" si="2"/>
        <v>42.874686990257004</v>
      </c>
      <c r="L7" s="1126">
        <f t="shared" si="3"/>
        <v>3.2978825358450425</v>
      </c>
    </row>
    <row r="8" spans="1:12" s="360" customFormat="1" ht="18" customHeight="1">
      <c r="A8" s="960" t="s">
        <v>1441</v>
      </c>
      <c r="B8" s="961" t="s">
        <v>611</v>
      </c>
      <c r="C8" s="962">
        <v>75406.8449349</v>
      </c>
      <c r="D8" s="962">
        <v>74579.777717799996</v>
      </c>
      <c r="E8" s="962">
        <v>68795.514818099997</v>
      </c>
      <c r="F8" s="1126">
        <f t="shared" si="0"/>
        <v>9.6101179477772867</v>
      </c>
      <c r="G8" s="1126">
        <f t="shared" si="1"/>
        <v>1.1089698071097942</v>
      </c>
      <c r="H8" s="962">
        <v>36120.661392900001</v>
      </c>
      <c r="I8" s="962">
        <v>35662.527957099999</v>
      </c>
      <c r="J8" s="962">
        <v>31642.73</v>
      </c>
      <c r="K8" s="1126">
        <f t="shared" si="2"/>
        <v>14.151533046927378</v>
      </c>
      <c r="L8" s="1126">
        <f t="shared" si="3"/>
        <v>1.2846353358660023</v>
      </c>
    </row>
    <row r="9" spans="1:12" s="360" customFormat="1" ht="18" customHeight="1">
      <c r="A9" s="960" t="s">
        <v>1442</v>
      </c>
      <c r="B9" s="961" t="s">
        <v>612</v>
      </c>
      <c r="C9" s="963">
        <v>39144211.457219489</v>
      </c>
      <c r="D9" s="963">
        <v>37088785.724403322</v>
      </c>
      <c r="E9" s="963">
        <v>26306307.638717733</v>
      </c>
      <c r="F9" s="1126">
        <f t="shared" si="0"/>
        <v>48.80161820812463</v>
      </c>
      <c r="G9" s="1126">
        <f t="shared" si="1"/>
        <v>5.5419062465120295</v>
      </c>
      <c r="H9" s="962">
        <v>6920262.6282000002</v>
      </c>
      <c r="I9" s="962">
        <v>6564625.6864999998</v>
      </c>
      <c r="J9" s="962">
        <v>4152401.42</v>
      </c>
      <c r="K9" s="1126">
        <f t="shared" si="2"/>
        <v>66.65687943532204</v>
      </c>
      <c r="L9" s="1126">
        <f t="shared" si="3"/>
        <v>5.4174747911577059</v>
      </c>
    </row>
    <row r="10" spans="1:12" s="360" customFormat="1" ht="18" customHeight="1">
      <c r="A10" s="960" t="s">
        <v>1443</v>
      </c>
      <c r="B10" s="961" t="s">
        <v>611</v>
      </c>
      <c r="C10" s="962">
        <v>87328.492749842291</v>
      </c>
      <c r="D10" s="962">
        <v>84892.560518892395</v>
      </c>
      <c r="E10" s="962">
        <v>76150.554506534187</v>
      </c>
      <c r="F10" s="1126">
        <f t="shared" si="0"/>
        <v>14.678735192071347</v>
      </c>
      <c r="G10" s="1126">
        <f t="shared" si="1"/>
        <v>2.8694295661017222</v>
      </c>
      <c r="H10" s="962">
        <v>42288.915809999999</v>
      </c>
      <c r="I10" s="962">
        <v>41552.137340000001</v>
      </c>
      <c r="J10" s="962">
        <v>36215.519999999997</v>
      </c>
      <c r="K10" s="1126">
        <f t="shared" si="2"/>
        <v>16.770146638789129</v>
      </c>
      <c r="L10" s="1126">
        <f t="shared" si="3"/>
        <v>1.7731421706934425</v>
      </c>
    </row>
    <row r="11" spans="1:12" s="360" customFormat="1" ht="18" customHeight="1">
      <c r="A11" s="960" t="s">
        <v>1444</v>
      </c>
      <c r="B11" s="961" t="s">
        <v>612</v>
      </c>
      <c r="C11" s="963">
        <v>43660439.49772501</v>
      </c>
      <c r="D11" s="963">
        <v>41483096.402148195</v>
      </c>
      <c r="E11" s="963">
        <v>30314767.381859425</v>
      </c>
      <c r="F11" s="1126">
        <f t="shared" si="0"/>
        <v>44.023666577272593</v>
      </c>
      <c r="G11" s="1126">
        <f t="shared" si="1"/>
        <v>5.2487477657624071</v>
      </c>
      <c r="H11" s="962">
        <v>7407875.6320000002</v>
      </c>
      <c r="I11" s="962">
        <v>7029966.8899999997</v>
      </c>
      <c r="J11" s="962">
        <v>4478940.5199999996</v>
      </c>
      <c r="K11" s="1126">
        <f t="shared" si="2"/>
        <v>65.393480867211878</v>
      </c>
      <c r="L11" s="1126">
        <f t="shared" si="3"/>
        <v>5.3756830994121652</v>
      </c>
    </row>
    <row r="12" spans="1:12" s="360" customFormat="1" ht="18" customHeight="1">
      <c r="A12" s="960" t="s">
        <v>1445</v>
      </c>
      <c r="B12" s="961" t="s">
        <v>611</v>
      </c>
      <c r="C12" s="962">
        <v>2922.4367756000001</v>
      </c>
      <c r="D12" s="962">
        <v>3121.7198616000001</v>
      </c>
      <c r="E12" s="962">
        <v>2058.8893561999998</v>
      </c>
      <c r="F12" s="1126">
        <f t="shared" si="0"/>
        <v>41.942390774888992</v>
      </c>
      <c r="G12" s="1126">
        <f t="shared" si="1"/>
        <v>-6.3837594286202171</v>
      </c>
      <c r="H12" s="962">
        <v>5439.6241929999997</v>
      </c>
      <c r="I12" s="962">
        <v>4594.1010900000001</v>
      </c>
      <c r="J12" s="962">
        <v>2613.16</v>
      </c>
      <c r="K12" s="1126">
        <f t="shared" si="2"/>
        <v>108.16269164536423</v>
      </c>
      <c r="L12" s="1126">
        <f t="shared" si="3"/>
        <v>18.404538481759868</v>
      </c>
    </row>
    <row r="13" spans="1:12" s="360" customFormat="1" ht="18" customHeight="1">
      <c r="A13" s="960" t="s">
        <v>1446</v>
      </c>
      <c r="B13" s="961" t="s">
        <v>611</v>
      </c>
      <c r="C13" s="962">
        <v>132.83803525454545</v>
      </c>
      <c r="D13" s="962">
        <v>164.30104534736844</v>
      </c>
      <c r="E13" s="962">
        <v>102.94446781000001</v>
      </c>
      <c r="F13" s="1126">
        <f t="shared" si="0"/>
        <v>29.038537068080885</v>
      </c>
      <c r="G13" s="1126">
        <f t="shared" si="1"/>
        <v>-19.149610415626572</v>
      </c>
      <c r="H13" s="962">
        <v>247.25564513636363</v>
      </c>
      <c r="I13" s="962">
        <v>241.79479421052633</v>
      </c>
      <c r="J13" s="962">
        <v>124.44</v>
      </c>
      <c r="K13" s="1126">
        <f t="shared" si="2"/>
        <v>98.694668222728723</v>
      </c>
      <c r="L13" s="1126">
        <f t="shared" si="3"/>
        <v>2.2584650524289707</v>
      </c>
    </row>
    <row r="14" spans="1:12" s="360" customFormat="1" ht="18" customHeight="1">
      <c r="A14" s="960" t="s">
        <v>1447</v>
      </c>
      <c r="B14" s="961" t="s">
        <v>612</v>
      </c>
      <c r="C14" s="962">
        <v>1002766.1049676514</v>
      </c>
      <c r="D14" s="962">
        <v>1135608.0334567099</v>
      </c>
      <c r="E14" s="962">
        <v>673375.32410291606</v>
      </c>
      <c r="F14" s="1126">
        <f t="shared" si="0"/>
        <v>48.91637235200983</v>
      </c>
      <c r="G14" s="1126">
        <f t="shared" si="1"/>
        <v>-11.697867976919563</v>
      </c>
      <c r="H14" s="962">
        <v>683889.96100899996</v>
      </c>
      <c r="I14" s="962">
        <v>588764.28353599994</v>
      </c>
      <c r="J14" s="962">
        <v>294708.2</v>
      </c>
      <c r="K14" s="1126">
        <f t="shared" si="2"/>
        <v>132.05664484700458</v>
      </c>
      <c r="L14" s="1126">
        <f t="shared" si="3"/>
        <v>16.156835618780118</v>
      </c>
    </row>
    <row r="15" spans="1:12" s="360" customFormat="1" ht="18" customHeight="1">
      <c r="A15" s="960" t="s">
        <v>1448</v>
      </c>
      <c r="B15" s="961" t="s">
        <v>612</v>
      </c>
      <c r="C15" s="962">
        <v>45580.277498529606</v>
      </c>
      <c r="D15" s="962">
        <v>59768.843866142626</v>
      </c>
      <c r="E15" s="962">
        <v>33668.76620514581</v>
      </c>
      <c r="F15" s="1126">
        <f t="shared" si="0"/>
        <v>35.378520320008874</v>
      </c>
      <c r="G15" s="1126">
        <f t="shared" si="1"/>
        <v>-23.739067798248726</v>
      </c>
      <c r="H15" s="962">
        <v>31085.907318590907</v>
      </c>
      <c r="I15" s="962">
        <v>30987.593870315788</v>
      </c>
      <c r="J15" s="962">
        <v>14033.72</v>
      </c>
      <c r="K15" s="1126">
        <f t="shared" si="2"/>
        <v>121.5086756654038</v>
      </c>
      <c r="L15" s="1126">
        <f t="shared" si="3"/>
        <v>0.31726712531010559</v>
      </c>
    </row>
    <row r="16" spans="1:12" s="360" customFormat="1" ht="18" customHeight="1">
      <c r="A16" s="960" t="s">
        <v>613</v>
      </c>
      <c r="B16" s="961" t="s">
        <v>607</v>
      </c>
      <c r="C16" s="962">
        <v>1</v>
      </c>
      <c r="D16" s="962">
        <v>0</v>
      </c>
      <c r="E16" s="962">
        <v>0</v>
      </c>
      <c r="F16" s="1126" t="str">
        <f t="shared" si="0"/>
        <v>-</v>
      </c>
      <c r="G16" s="1126" t="str">
        <f t="shared" si="1"/>
        <v>-</v>
      </c>
      <c r="H16" s="962">
        <v>39</v>
      </c>
      <c r="I16" s="962">
        <v>0</v>
      </c>
      <c r="J16" s="962">
        <v>6</v>
      </c>
      <c r="K16" s="1126">
        <f t="shared" si="2"/>
        <v>550</v>
      </c>
      <c r="L16" s="1126" t="str">
        <f t="shared" si="3"/>
        <v>-</v>
      </c>
    </row>
    <row r="17" spans="1:12" s="360" customFormat="1" ht="18" customHeight="1">
      <c r="A17" s="960" t="s">
        <v>1449</v>
      </c>
      <c r="B17" s="961" t="s">
        <v>614</v>
      </c>
      <c r="C17" s="962">
        <v>85.332899999999995</v>
      </c>
      <c r="D17" s="962">
        <v>85.014300000000006</v>
      </c>
      <c r="E17" s="962">
        <v>85.051699999999997</v>
      </c>
      <c r="F17" s="1126">
        <f t="shared" si="0"/>
        <v>0.33062243317887319</v>
      </c>
      <c r="G17" s="1126">
        <f t="shared" si="1"/>
        <v>0.3747604814719363</v>
      </c>
      <c r="H17" s="962">
        <v>15.014396163244699</v>
      </c>
      <c r="I17" s="962">
        <v>15.0210687256413</v>
      </c>
      <c r="J17" s="962">
        <v>13.55</v>
      </c>
      <c r="K17" s="1126">
        <f t="shared" si="2"/>
        <v>10.807351758263462</v>
      </c>
      <c r="L17" s="1126">
        <f t="shared" si="3"/>
        <v>-4.442135588668128E-2</v>
      </c>
    </row>
    <row r="18" spans="1:12" s="360" customFormat="1" ht="18" customHeight="1">
      <c r="A18" s="1064"/>
      <c r="B18" s="1065"/>
      <c r="C18" s="1066"/>
      <c r="D18" s="1066"/>
      <c r="E18" s="1066"/>
      <c r="F18" s="1067"/>
      <c r="G18" s="1067"/>
      <c r="H18" s="362"/>
      <c r="I18" s="362"/>
      <c r="J18" s="362"/>
      <c r="K18" s="354"/>
      <c r="L18" s="354"/>
    </row>
    <row r="19" spans="1:12" s="169" customFormat="1" ht="19.5" customHeight="1">
      <c r="A19" s="1489" t="s">
        <v>1437</v>
      </c>
      <c r="B19" s="1489"/>
      <c r="C19" s="1489"/>
      <c r="D19" s="1489"/>
      <c r="E19" s="1489"/>
      <c r="F19" s="1489"/>
      <c r="G19" s="1489"/>
      <c r="H19" s="1489"/>
      <c r="I19" s="1489"/>
      <c r="J19" s="1489"/>
      <c r="K19" s="1489"/>
      <c r="L19" s="1489"/>
    </row>
    <row r="20" spans="1:12" s="169" customFormat="1" ht="17.25" customHeight="1">
      <c r="A20" s="1485" t="s">
        <v>1438</v>
      </c>
      <c r="B20" s="1485"/>
      <c r="C20" s="1485"/>
      <c r="D20" s="1485"/>
      <c r="E20" s="1485"/>
      <c r="F20" s="1485"/>
      <c r="G20" s="1026"/>
      <c r="H20" s="1026"/>
      <c r="I20" s="1026"/>
      <c r="J20" s="1026"/>
      <c r="K20" s="1026"/>
      <c r="L20" s="1026"/>
    </row>
    <row r="21" spans="1:12" s="169" customFormat="1" ht="18" customHeight="1">
      <c r="A21" s="1485" t="s">
        <v>1439</v>
      </c>
      <c r="B21" s="1485"/>
      <c r="C21" s="1485"/>
      <c r="D21" s="1485"/>
      <c r="E21" s="1485"/>
      <c r="F21" s="1026"/>
      <c r="G21" s="1026"/>
      <c r="H21" s="1026"/>
      <c r="I21" s="1026"/>
      <c r="J21" s="1026"/>
      <c r="K21" s="1026"/>
      <c r="L21" s="1026"/>
    </row>
    <row r="22" spans="1:12" s="169" customFormat="1" ht="23.25" customHeight="1">
      <c r="A22" s="1485" t="s">
        <v>1440</v>
      </c>
      <c r="B22" s="1485"/>
      <c r="C22" s="1485"/>
      <c r="D22" s="1485"/>
      <c r="E22" s="1026"/>
      <c r="F22" s="1026"/>
      <c r="G22" s="1026"/>
      <c r="H22" s="1026"/>
      <c r="I22" s="1026"/>
      <c r="J22" s="1026"/>
      <c r="K22" s="1026"/>
      <c r="L22" s="1026"/>
    </row>
    <row r="23" spans="1:12" s="169" customFormat="1" ht="13.5" customHeight="1">
      <c r="A23" s="1355" t="s">
        <v>615</v>
      </c>
      <c r="B23" s="1355"/>
      <c r="C23" s="1355"/>
      <c r="D23" s="1355"/>
      <c r="E23" s="1355"/>
      <c r="F23" s="1355"/>
      <c r="G23" s="1355"/>
      <c r="H23" s="1355"/>
      <c r="I23" s="1355"/>
      <c r="J23" s="1355"/>
      <c r="K23" s="1355"/>
      <c r="L23" s="1355"/>
    </row>
    <row r="25" spans="1:12">
      <c r="K25" s="276"/>
    </row>
  </sheetData>
  <mergeCells count="9">
    <mergeCell ref="A23:L23"/>
    <mergeCell ref="A20:F20"/>
    <mergeCell ref="A21:E21"/>
    <mergeCell ref="A22:D22"/>
    <mergeCell ref="A2:A3"/>
    <mergeCell ref="B2:B3"/>
    <mergeCell ref="C2:G2"/>
    <mergeCell ref="H2:L2"/>
    <mergeCell ref="A19:L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workbookViewId="0">
      <selection activeCell="A5" sqref="A5"/>
    </sheetView>
  </sheetViews>
  <sheetFormatPr defaultColWidth="9.140625" defaultRowHeight="15"/>
  <cols>
    <col min="1" max="1" width="14.5703125" style="97" bestFit="1" customWidth="1"/>
    <col min="2" max="2" width="16.85546875" style="97" customWidth="1"/>
    <col min="3" max="5" width="14.5703125" style="97" bestFit="1" customWidth="1"/>
    <col min="6" max="6" width="14.140625" style="97" bestFit="1" customWidth="1"/>
    <col min="7" max="7" width="17.42578125" style="97" customWidth="1"/>
    <col min="8" max="9" width="14.5703125" style="97" bestFit="1" customWidth="1"/>
    <col min="10" max="10" width="14.140625" style="97" customWidth="1"/>
    <col min="11" max="11" width="19.5703125" style="97" bestFit="1" customWidth="1"/>
    <col min="12" max="12" width="4.5703125" style="97" bestFit="1" customWidth="1"/>
    <col min="13" max="16384" width="9.140625" style="97"/>
  </cols>
  <sheetData>
    <row r="1" spans="1:11" ht="16.5" customHeight="1">
      <c r="A1" s="836" t="s">
        <v>54</v>
      </c>
      <c r="B1" s="836"/>
      <c r="C1" s="836"/>
      <c r="D1" s="836"/>
      <c r="E1" s="836"/>
      <c r="F1" s="836"/>
      <c r="G1" s="836"/>
      <c r="H1" s="836"/>
      <c r="I1" s="836"/>
      <c r="J1" s="836"/>
      <c r="K1" s="836"/>
    </row>
    <row r="2" spans="1:11" s="360" customFormat="1" ht="18" customHeight="1">
      <c r="A2" s="1490" t="s">
        <v>139</v>
      </c>
      <c r="B2" s="1487" t="s">
        <v>74</v>
      </c>
      <c r="C2" s="1488"/>
      <c r="D2" s="1488"/>
      <c r="E2" s="1488"/>
      <c r="F2" s="1491"/>
      <c r="G2" s="1487" t="s">
        <v>75</v>
      </c>
      <c r="H2" s="1488"/>
      <c r="I2" s="1488"/>
      <c r="J2" s="1488"/>
      <c r="K2" s="1491"/>
    </row>
    <row r="3" spans="1:11" s="360" customFormat="1" ht="67.5" customHeight="1">
      <c r="A3" s="1325"/>
      <c r="B3" s="957" t="s">
        <v>1436</v>
      </c>
      <c r="C3" s="957" t="s">
        <v>616</v>
      </c>
      <c r="D3" s="964" t="s">
        <v>617</v>
      </c>
      <c r="E3" s="964" t="s">
        <v>618</v>
      </c>
      <c r="F3" s="957" t="s">
        <v>619</v>
      </c>
      <c r="G3" s="957" t="s">
        <v>1436</v>
      </c>
      <c r="H3" s="957" t="s">
        <v>616</v>
      </c>
      <c r="I3" s="964" t="s">
        <v>617</v>
      </c>
      <c r="J3" s="964" t="s">
        <v>618</v>
      </c>
      <c r="K3" s="957" t="s">
        <v>620</v>
      </c>
    </row>
    <row r="4" spans="1:11" s="360" customFormat="1" ht="30" customHeight="1">
      <c r="A4" s="953" t="s">
        <v>520</v>
      </c>
      <c r="B4" s="965">
        <v>46015</v>
      </c>
      <c r="C4" s="965">
        <v>281</v>
      </c>
      <c r="D4" s="965">
        <v>61665</v>
      </c>
      <c r="E4" s="966">
        <v>3773299.28</v>
      </c>
      <c r="F4" s="966">
        <v>42344187.609999999</v>
      </c>
      <c r="G4" s="965">
        <v>23060</v>
      </c>
      <c r="H4" s="965">
        <v>580</v>
      </c>
      <c r="I4" s="965">
        <v>17487</v>
      </c>
      <c r="J4" s="966">
        <v>661463.29700000002</v>
      </c>
      <c r="K4" s="966">
        <v>6420627.6279999996</v>
      </c>
    </row>
    <row r="5" spans="1:11" s="360" customFormat="1" ht="18" customHeight="1">
      <c r="A5" s="955" t="s">
        <v>1165</v>
      </c>
      <c r="B5" s="967">
        <f t="shared" ref="B5:K5" si="0">INDEX(B6:B9,COUNTA(B6:B9))</f>
        <v>51301</v>
      </c>
      <c r="C5" s="967">
        <f t="shared" si="0"/>
        <v>285</v>
      </c>
      <c r="D5" s="967">
        <f t="shared" si="0"/>
        <v>62525</v>
      </c>
      <c r="E5" s="967">
        <f t="shared" si="0"/>
        <v>4032001.16</v>
      </c>
      <c r="F5" s="967">
        <f t="shared" si="0"/>
        <v>49073775.344999999</v>
      </c>
      <c r="G5" s="967">
        <f t="shared" si="0"/>
        <v>25718</v>
      </c>
      <c r="H5" s="967">
        <f t="shared" si="0"/>
        <v>572</v>
      </c>
      <c r="I5" s="967">
        <f t="shared" si="0"/>
        <v>17683</v>
      </c>
      <c r="J5" s="967">
        <f t="shared" si="0"/>
        <v>703105.47562186699</v>
      </c>
      <c r="K5" s="967">
        <f t="shared" si="0"/>
        <v>7735271.7120000003</v>
      </c>
    </row>
    <row r="6" spans="1:11" s="360" customFormat="1" ht="18" customHeight="1">
      <c r="A6" s="179">
        <v>45383</v>
      </c>
      <c r="B6" s="358">
        <v>46792</v>
      </c>
      <c r="C6" s="358">
        <v>282</v>
      </c>
      <c r="D6" s="358">
        <v>62763</v>
      </c>
      <c r="E6" s="358">
        <v>3860905.75</v>
      </c>
      <c r="F6" s="358">
        <v>43957388.061999999</v>
      </c>
      <c r="G6" s="358">
        <v>23560</v>
      </c>
      <c r="H6" s="358">
        <v>578</v>
      </c>
      <c r="I6" s="358">
        <v>17644</v>
      </c>
      <c r="J6" s="359">
        <v>670642.35581886093</v>
      </c>
      <c r="K6" s="359">
        <v>6922743.2829000009</v>
      </c>
    </row>
    <row r="7" spans="1:11" s="360" customFormat="1" ht="18" customHeight="1">
      <c r="A7" s="179">
        <v>45413</v>
      </c>
      <c r="B7" s="358">
        <v>48397</v>
      </c>
      <c r="C7" s="358">
        <v>282</v>
      </c>
      <c r="D7" s="358">
        <v>62492</v>
      </c>
      <c r="E7" s="358">
        <v>3927366.21</v>
      </c>
      <c r="F7" s="358">
        <v>44576101.505999997</v>
      </c>
      <c r="G7" s="358">
        <v>24093</v>
      </c>
      <c r="H7" s="358">
        <v>577</v>
      </c>
      <c r="I7" s="358">
        <v>17661</v>
      </c>
      <c r="J7" s="359">
        <v>683554.59368588799</v>
      </c>
      <c r="K7" s="359">
        <v>6973608.2975000003</v>
      </c>
    </row>
    <row r="8" spans="1:11" s="360" customFormat="1" ht="18" customHeight="1">
      <c r="A8" s="179">
        <v>45444</v>
      </c>
      <c r="B8" s="358">
        <v>49661</v>
      </c>
      <c r="C8" s="358">
        <v>285</v>
      </c>
      <c r="D8" s="358">
        <v>62513</v>
      </c>
      <c r="E8" s="358">
        <v>3982690.82</v>
      </c>
      <c r="F8" s="358">
        <v>47074465.240999997</v>
      </c>
      <c r="G8" s="358">
        <v>24858</v>
      </c>
      <c r="H8" s="358">
        <v>573</v>
      </c>
      <c r="I8" s="358">
        <v>17671</v>
      </c>
      <c r="J8" s="359">
        <v>689967</v>
      </c>
      <c r="K8" s="359">
        <v>7350540</v>
      </c>
    </row>
    <row r="9" spans="1:11" s="360" customFormat="1" ht="18" customHeight="1">
      <c r="A9" s="179">
        <v>45474</v>
      </c>
      <c r="B9" s="358">
        <v>51301</v>
      </c>
      <c r="C9" s="358">
        <v>285</v>
      </c>
      <c r="D9" s="358">
        <v>62525</v>
      </c>
      <c r="E9" s="358">
        <v>4032001.16</v>
      </c>
      <c r="F9" s="358">
        <v>49073775.344999999</v>
      </c>
      <c r="G9" s="358">
        <v>25718</v>
      </c>
      <c r="H9" s="358">
        <v>572</v>
      </c>
      <c r="I9" s="358">
        <v>17683</v>
      </c>
      <c r="J9" s="359">
        <v>703105.47562186699</v>
      </c>
      <c r="K9" s="359">
        <v>7735271.7120000003</v>
      </c>
    </row>
    <row r="10" spans="1:11" s="360" customFormat="1">
      <c r="A10" s="136"/>
      <c r="B10" s="362"/>
      <c r="C10" s="362"/>
      <c r="D10" s="362"/>
      <c r="E10" s="362"/>
      <c r="F10" s="362"/>
      <c r="G10" s="362"/>
      <c r="H10" s="362"/>
      <c r="I10" s="362"/>
      <c r="J10" s="362"/>
      <c r="K10" s="137"/>
    </row>
    <row r="11" spans="1:11" s="360" customFormat="1">
      <c r="A11" s="1489" t="s">
        <v>621</v>
      </c>
      <c r="B11" s="1492"/>
      <c r="C11" s="1492"/>
      <c r="D11" s="1492"/>
      <c r="E11" s="1492"/>
      <c r="F11" s="1492"/>
      <c r="G11" s="1492"/>
      <c r="H11" s="1492"/>
      <c r="I11" s="1492"/>
      <c r="J11" s="1492"/>
      <c r="K11" s="1492"/>
    </row>
    <row r="12" spans="1:11" s="360" customFormat="1" ht="15" customHeight="1">
      <c r="A12" s="516" t="s">
        <v>615</v>
      </c>
      <c r="B12" s="516"/>
      <c r="C12" s="516"/>
      <c r="D12" s="524"/>
      <c r="E12" s="524"/>
      <c r="F12" s="524"/>
      <c r="G12" s="524"/>
      <c r="H12" s="524"/>
    </row>
    <row r="13" spans="1:11" s="360" customFormat="1">
      <c r="A13" s="484" t="s">
        <v>1299</v>
      </c>
      <c r="D13" s="516"/>
      <c r="E13" s="516"/>
      <c r="F13" s="516"/>
    </row>
    <row r="14" spans="1:11" s="360" customFormat="1">
      <c r="A14" s="97"/>
      <c r="B14" s="97"/>
      <c r="C14" s="97"/>
      <c r="G14" s="97"/>
      <c r="H14" s="97"/>
    </row>
  </sheetData>
  <mergeCells count="4">
    <mergeCell ref="A2:A3"/>
    <mergeCell ref="B2:F2"/>
    <mergeCell ref="G2:K2"/>
    <mergeCell ref="A11:K11"/>
  </mergeCells>
  <printOptions horizontalCentered="1"/>
  <pageMargins left="0.78431372549019618" right="0.78431372549019618" top="0.98039215686274517" bottom="0.98039215686274517" header="0.50980392156862753" footer="0.50980392156862753"/>
  <pageSetup paperSize="9" scale="76"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topLeftCell="A5" workbookViewId="0">
      <selection activeCell="A20" sqref="A20:J20"/>
    </sheetView>
  </sheetViews>
  <sheetFormatPr defaultColWidth="9.140625" defaultRowHeight="15"/>
  <cols>
    <col min="1" max="1" width="51" style="97" bestFit="1" customWidth="1"/>
    <col min="2" max="2" width="10.140625" style="97" bestFit="1" customWidth="1"/>
    <col min="3" max="4" width="8.85546875" style="97" bestFit="1" customWidth="1"/>
    <col min="5" max="5" width="10.28515625" style="97" bestFit="1" customWidth="1"/>
    <col min="6" max="6" width="12.7109375" style="97" customWidth="1"/>
    <col min="7" max="7" width="8.7109375" style="97" customWidth="1"/>
    <col min="8" max="8" width="11" style="97" customWidth="1"/>
    <col min="9" max="9" width="10.28515625" style="97" bestFit="1" customWidth="1"/>
    <col min="10" max="10" width="14.85546875" style="97" customWidth="1"/>
    <col min="11" max="11" width="10.28515625" style="97" bestFit="1" customWidth="1"/>
    <col min="12" max="16384" width="9.140625" style="97"/>
  </cols>
  <sheetData>
    <row r="1" spans="1:11" ht="15.75" customHeight="1">
      <c r="A1" s="1155" t="s">
        <v>1463</v>
      </c>
    </row>
    <row r="2" spans="1:11" s="360" customFormat="1" ht="18" customHeight="1">
      <c r="A2" s="1490" t="s">
        <v>622</v>
      </c>
      <c r="B2" s="1490" t="s">
        <v>603</v>
      </c>
      <c r="C2" s="1487" t="s">
        <v>136</v>
      </c>
      <c r="D2" s="1491"/>
      <c r="E2" s="1487" t="s">
        <v>623</v>
      </c>
      <c r="F2" s="1491"/>
      <c r="G2" s="1487" t="s">
        <v>302</v>
      </c>
      <c r="H2" s="1491"/>
      <c r="I2" s="1487" t="s">
        <v>92</v>
      </c>
      <c r="J2" s="1491"/>
    </row>
    <row r="3" spans="1:11" s="360" customFormat="1" ht="16.5" customHeight="1">
      <c r="A3" s="1325"/>
      <c r="B3" s="1325"/>
      <c r="C3" s="968" t="s">
        <v>135</v>
      </c>
      <c r="D3" s="968" t="s">
        <v>624</v>
      </c>
      <c r="E3" s="968" t="s">
        <v>135</v>
      </c>
      <c r="F3" s="968" t="s">
        <v>624</v>
      </c>
      <c r="G3" s="968" t="s">
        <v>135</v>
      </c>
      <c r="H3" s="968" t="s">
        <v>624</v>
      </c>
      <c r="I3" s="968" t="s">
        <v>135</v>
      </c>
      <c r="J3" s="968" t="s">
        <v>624</v>
      </c>
    </row>
    <row r="4" spans="1:11" s="360" customFormat="1" ht="18" customHeight="1">
      <c r="A4" s="1487" t="s">
        <v>74</v>
      </c>
      <c r="B4" s="1488"/>
      <c r="C4" s="1488"/>
      <c r="D4" s="1488"/>
      <c r="E4" s="1488"/>
      <c r="F4" s="1488"/>
      <c r="G4" s="1488"/>
      <c r="H4" s="1488"/>
      <c r="I4" s="1488"/>
      <c r="J4" s="1491"/>
    </row>
    <row r="5" spans="1:11" s="360" customFormat="1" ht="27" customHeight="1">
      <c r="A5" s="969" t="s">
        <v>1430</v>
      </c>
      <c r="B5" s="970" t="s">
        <v>625</v>
      </c>
      <c r="C5" s="962">
        <v>803</v>
      </c>
      <c r="D5" s="962">
        <v>3566</v>
      </c>
      <c r="E5" s="962">
        <v>6059</v>
      </c>
      <c r="F5" s="962">
        <v>40148</v>
      </c>
      <c r="G5" s="962">
        <v>404</v>
      </c>
      <c r="H5" s="962">
        <v>7900</v>
      </c>
      <c r="I5" s="971">
        <v>7266</v>
      </c>
      <c r="J5" s="971">
        <v>51614</v>
      </c>
    </row>
    <row r="6" spans="1:11" s="360" customFormat="1">
      <c r="A6" s="969" t="s">
        <v>626</v>
      </c>
      <c r="B6" s="970" t="s">
        <v>625</v>
      </c>
      <c r="C6" s="962">
        <v>8479</v>
      </c>
      <c r="D6" s="962">
        <v>16342</v>
      </c>
      <c r="E6" s="962">
        <v>6308</v>
      </c>
      <c r="F6" s="962">
        <v>49181</v>
      </c>
      <c r="G6" s="962">
        <v>2753</v>
      </c>
      <c r="H6" s="962">
        <v>59814</v>
      </c>
      <c r="I6" s="971">
        <v>17540</v>
      </c>
      <c r="J6" s="971">
        <v>125337</v>
      </c>
    </row>
    <row r="7" spans="1:11" s="360" customFormat="1">
      <c r="A7" s="969" t="s">
        <v>627</v>
      </c>
      <c r="B7" s="970" t="s">
        <v>628</v>
      </c>
      <c r="C7" s="972">
        <v>98987.099140000006</v>
      </c>
      <c r="D7" s="972">
        <v>2914071.9697500002</v>
      </c>
      <c r="E7" s="972">
        <v>7540684.4934900003</v>
      </c>
      <c r="F7" s="963">
        <v>18387153.907189999</v>
      </c>
      <c r="G7" s="972">
        <v>1093177.68235423</v>
      </c>
      <c r="H7" s="972">
        <v>10285931.150757963</v>
      </c>
      <c r="I7" s="971">
        <v>8732849.2749842294</v>
      </c>
      <c r="J7" s="971">
        <v>31587157.027697958</v>
      </c>
      <c r="K7" s="109"/>
    </row>
    <row r="8" spans="1:11" s="360" customFormat="1">
      <c r="A8" s="969" t="s">
        <v>629</v>
      </c>
      <c r="B8" s="970" t="s">
        <v>630</v>
      </c>
      <c r="C8" s="972">
        <v>3266200.893187759</v>
      </c>
      <c r="D8" s="972">
        <v>1464560.9138425002</v>
      </c>
      <c r="E8" s="963">
        <v>39144211.457219489</v>
      </c>
      <c r="F8" s="972">
        <v>1736494.3895380893</v>
      </c>
      <c r="G8" s="972">
        <v>1250027.1473177583</v>
      </c>
      <c r="H8" s="972">
        <v>2212280.542640327</v>
      </c>
      <c r="I8" s="971">
        <v>43660439.49772501</v>
      </c>
      <c r="J8" s="971">
        <v>5413335.8460209165</v>
      </c>
    </row>
    <row r="9" spans="1:11" s="360" customFormat="1">
      <c r="A9" s="969" t="s">
        <v>1431</v>
      </c>
      <c r="B9" s="970" t="s">
        <v>631</v>
      </c>
      <c r="C9" s="962">
        <v>525.47820000000002</v>
      </c>
      <c r="D9" s="962">
        <v>2523.26478</v>
      </c>
      <c r="E9" s="972">
        <v>292243.67755999998</v>
      </c>
      <c r="F9" s="973">
        <v>253.30171999999999</v>
      </c>
      <c r="G9" s="973">
        <v>10028.15628621</v>
      </c>
      <c r="H9" s="973">
        <v>919.14392165999993</v>
      </c>
      <c r="I9" s="971">
        <v>302797.31204620999</v>
      </c>
      <c r="J9" s="971">
        <v>3695.7104216600001</v>
      </c>
      <c r="K9" s="164"/>
    </row>
    <row r="10" spans="1:11" s="360" customFormat="1">
      <c r="A10" s="969" t="s">
        <v>632</v>
      </c>
      <c r="B10" s="970" t="s">
        <v>633</v>
      </c>
      <c r="C10" s="962">
        <v>119305.4090194</v>
      </c>
      <c r="D10" s="962">
        <v>35810.332599000001</v>
      </c>
      <c r="E10" s="972">
        <v>1002766.1049676514</v>
      </c>
      <c r="F10" s="962">
        <v>1873.53545452</v>
      </c>
      <c r="G10" s="962">
        <v>14342.625122819012</v>
      </c>
      <c r="H10" s="962">
        <v>328.92050736700008</v>
      </c>
      <c r="I10" s="971">
        <v>1136414.1391098704</v>
      </c>
      <c r="J10" s="971">
        <v>38012.788560886998</v>
      </c>
      <c r="K10" s="164"/>
    </row>
    <row r="11" spans="1:11" s="360" customFormat="1" ht="18" customHeight="1">
      <c r="A11" s="1487" t="s">
        <v>75</v>
      </c>
      <c r="B11" s="1488"/>
      <c r="C11" s="1488"/>
      <c r="D11" s="1488"/>
      <c r="E11" s="1488"/>
      <c r="F11" s="1488"/>
      <c r="G11" s="1488"/>
      <c r="H11" s="1488"/>
      <c r="I11" s="1488"/>
      <c r="J11" s="1491"/>
    </row>
    <row r="12" spans="1:11" s="360" customFormat="1" ht="27" customHeight="1">
      <c r="A12" s="969" t="s">
        <v>634</v>
      </c>
      <c r="B12" s="970" t="s">
        <v>625</v>
      </c>
      <c r="C12" s="962">
        <v>670</v>
      </c>
      <c r="D12" s="962">
        <v>842</v>
      </c>
      <c r="E12" s="962">
        <v>6443</v>
      </c>
      <c r="F12" s="962">
        <v>16621</v>
      </c>
      <c r="G12" s="962">
        <v>2595</v>
      </c>
      <c r="H12" s="962">
        <v>2249</v>
      </c>
      <c r="I12" s="971">
        <v>9708</v>
      </c>
      <c r="J12" s="971">
        <v>19712</v>
      </c>
    </row>
    <row r="13" spans="1:11" s="360" customFormat="1">
      <c r="A13" s="969" t="s">
        <v>635</v>
      </c>
      <c r="B13" s="970" t="s">
        <v>625</v>
      </c>
      <c r="C13" s="962">
        <v>6997</v>
      </c>
      <c r="D13" s="962">
        <v>7652</v>
      </c>
      <c r="E13" s="962">
        <v>6640</v>
      </c>
      <c r="F13" s="962">
        <v>17120</v>
      </c>
      <c r="G13" s="962">
        <v>21874</v>
      </c>
      <c r="H13" s="962">
        <v>21244</v>
      </c>
      <c r="I13" s="971">
        <v>35511</v>
      </c>
      <c r="J13" s="971">
        <v>46016</v>
      </c>
    </row>
    <row r="14" spans="1:11" s="360" customFormat="1">
      <c r="A14" s="969" t="s">
        <v>627</v>
      </c>
      <c r="B14" s="970" t="s">
        <v>636</v>
      </c>
      <c r="C14" s="962">
        <v>4205.0822200000002</v>
      </c>
      <c r="D14" s="972">
        <v>194855.23376999999</v>
      </c>
      <c r="E14" s="972">
        <v>3612066.1392899998</v>
      </c>
      <c r="F14" s="972">
        <v>2238292.4522199999</v>
      </c>
      <c r="G14" s="972">
        <v>612620.35946079995</v>
      </c>
      <c r="H14" s="972">
        <v>369015.48925789999</v>
      </c>
      <c r="I14" s="971">
        <v>4228891.5809707996</v>
      </c>
      <c r="J14" s="971">
        <v>2802163.1752478997</v>
      </c>
      <c r="K14" s="109"/>
    </row>
    <row r="15" spans="1:11" s="360" customFormat="1">
      <c r="A15" s="969" t="s">
        <v>629</v>
      </c>
      <c r="B15" s="970" t="s">
        <v>637</v>
      </c>
      <c r="C15" s="962">
        <v>76962.433600000004</v>
      </c>
      <c r="D15" s="962">
        <v>71873.732099999994</v>
      </c>
      <c r="E15" s="972">
        <v>6920262.6282000002</v>
      </c>
      <c r="F15" s="972">
        <v>175419.33720000001</v>
      </c>
      <c r="G15" s="972">
        <v>410650.57020000002</v>
      </c>
      <c r="H15" s="962">
        <v>80103.010699999999</v>
      </c>
      <c r="I15" s="971">
        <v>7407875.6320000002</v>
      </c>
      <c r="J15" s="971">
        <v>327396.08</v>
      </c>
    </row>
    <row r="16" spans="1:11" s="360" customFormat="1">
      <c r="A16" s="969" t="s">
        <v>1432</v>
      </c>
      <c r="B16" s="970" t="s">
        <v>636</v>
      </c>
      <c r="C16" s="962">
        <v>54.147090000000006</v>
      </c>
      <c r="D16" s="962">
        <v>0</v>
      </c>
      <c r="E16" s="972">
        <v>543962.35333999991</v>
      </c>
      <c r="F16" s="962">
        <v>0</v>
      </c>
      <c r="G16" s="962">
        <v>78405.852830000003</v>
      </c>
      <c r="H16" s="962">
        <v>0</v>
      </c>
      <c r="I16" s="971">
        <v>622422.35325999989</v>
      </c>
      <c r="J16" s="971">
        <v>0</v>
      </c>
    </row>
    <row r="17" spans="1:10" s="360" customFormat="1">
      <c r="A17" s="969" t="s">
        <v>1433</v>
      </c>
      <c r="B17" s="970" t="s">
        <v>637</v>
      </c>
      <c r="C17" s="962">
        <v>495.14878370000002</v>
      </c>
      <c r="D17" s="962">
        <v>0</v>
      </c>
      <c r="E17" s="972">
        <v>683889.96048899996</v>
      </c>
      <c r="F17" s="962">
        <v>0</v>
      </c>
      <c r="G17" s="962">
        <v>56350.9862555</v>
      </c>
      <c r="H17" s="962">
        <v>0</v>
      </c>
      <c r="I17" s="971">
        <v>740736.09552819992</v>
      </c>
      <c r="J17" s="971">
        <v>0</v>
      </c>
    </row>
    <row r="18" spans="1:10" s="360" customFormat="1">
      <c r="A18" s="1015"/>
      <c r="B18" s="364"/>
      <c r="C18" s="362"/>
      <c r="D18" s="362"/>
      <c r="E18" s="363"/>
      <c r="F18" s="362"/>
      <c r="G18" s="362"/>
      <c r="H18" s="362"/>
      <c r="I18" s="363"/>
      <c r="J18" s="362"/>
    </row>
    <row r="19" spans="1:10" s="360" customFormat="1" ht="33" customHeight="1">
      <c r="A19" s="1340" t="s">
        <v>1434</v>
      </c>
      <c r="B19" s="1340"/>
      <c r="C19" s="1340"/>
      <c r="D19" s="1340"/>
      <c r="E19" s="1340"/>
      <c r="F19" s="1340"/>
      <c r="G19" s="1340"/>
      <c r="H19" s="1340"/>
      <c r="I19" s="1340"/>
      <c r="J19" s="1340"/>
    </row>
    <row r="20" spans="1:10" s="360" customFormat="1" ht="33" customHeight="1">
      <c r="A20" s="1340" t="s">
        <v>1435</v>
      </c>
      <c r="B20" s="1340"/>
      <c r="C20" s="1340"/>
      <c r="D20" s="1340"/>
      <c r="E20" s="1340"/>
      <c r="F20" s="1340"/>
      <c r="G20" s="1340"/>
      <c r="H20" s="1340"/>
      <c r="I20" s="1340"/>
      <c r="J20" s="1340"/>
    </row>
    <row r="21" spans="1:10" s="360" customFormat="1" ht="13.5" customHeight="1">
      <c r="A21" s="1318" t="s">
        <v>615</v>
      </c>
      <c r="B21" s="1318"/>
      <c r="C21" s="1318"/>
      <c r="D21" s="1318"/>
      <c r="E21" s="1318"/>
      <c r="F21" s="1318"/>
      <c r="G21" s="1318"/>
      <c r="H21" s="1318"/>
      <c r="I21" s="1318"/>
      <c r="J21" s="1318"/>
    </row>
  </sheetData>
  <mergeCells count="11">
    <mergeCell ref="A4:J4"/>
    <mergeCell ref="A11:J11"/>
    <mergeCell ref="A19:J19"/>
    <mergeCell ref="A21:J21"/>
    <mergeCell ref="A2:A3"/>
    <mergeCell ref="B2:B3"/>
    <mergeCell ref="C2:D2"/>
    <mergeCell ref="E2:F2"/>
    <mergeCell ref="G2:H2"/>
    <mergeCell ref="I2:J2"/>
    <mergeCell ref="A20:J20"/>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activeCell="H9" sqref="H9"/>
    </sheetView>
  </sheetViews>
  <sheetFormatPr defaultColWidth="9.140625" defaultRowHeight="12.75"/>
  <cols>
    <col min="1" max="1" width="11" style="582" customWidth="1"/>
    <col min="2" max="2" width="20.28515625" style="582" bestFit="1" customWidth="1"/>
    <col min="3" max="3" width="12.7109375" style="582" customWidth="1"/>
    <col min="4" max="4" width="17" style="582" customWidth="1"/>
    <col min="5" max="6" width="9.7109375" style="582" customWidth="1"/>
    <col min="7" max="7" width="18.42578125" style="582" customWidth="1"/>
    <col min="8" max="8" width="9.140625" style="582" customWidth="1"/>
    <col min="9" max="9" width="12.7109375" style="582" customWidth="1"/>
    <col min="10" max="10" width="16.140625" style="582" customWidth="1"/>
    <col min="11" max="12" width="9.7109375" style="582" customWidth="1"/>
    <col min="13" max="16384" width="9.140625" style="582"/>
  </cols>
  <sheetData>
    <row r="1" spans="1:13" ht="15">
      <c r="A1" s="1495" t="s">
        <v>1428</v>
      </c>
      <c r="B1" s="1496"/>
      <c r="C1" s="1496"/>
      <c r="D1" s="1496"/>
      <c r="E1" s="1496"/>
      <c r="F1" s="1496"/>
      <c r="G1" s="1496"/>
      <c r="H1" s="1496"/>
      <c r="I1" s="1496"/>
      <c r="J1" s="1496"/>
      <c r="K1" s="1496"/>
      <c r="L1" s="1496"/>
      <c r="M1" s="581"/>
    </row>
    <row r="2" spans="1:13" ht="15" customHeight="1">
      <c r="A2" s="1497" t="s">
        <v>638</v>
      </c>
      <c r="B2" s="1497" t="s">
        <v>639</v>
      </c>
      <c r="C2" s="1498" t="s">
        <v>640</v>
      </c>
      <c r="D2" s="1498"/>
      <c r="E2" s="1498"/>
      <c r="F2" s="1498"/>
      <c r="G2" s="1498"/>
      <c r="H2" s="1498"/>
      <c r="I2" s="1498" t="s">
        <v>641</v>
      </c>
      <c r="J2" s="1498"/>
      <c r="K2" s="1498"/>
      <c r="L2" s="1498"/>
    </row>
    <row r="3" spans="1:13" s="1125" customFormat="1" ht="45">
      <c r="A3" s="1497"/>
      <c r="B3" s="1497"/>
      <c r="C3" s="1124" t="s">
        <v>642</v>
      </c>
      <c r="D3" s="1124" t="s">
        <v>1429</v>
      </c>
      <c r="E3" s="1124" t="s">
        <v>643</v>
      </c>
      <c r="F3" s="1124" t="s">
        <v>644</v>
      </c>
      <c r="G3" s="1124" t="s">
        <v>645</v>
      </c>
      <c r="H3" s="1124" t="s">
        <v>646</v>
      </c>
      <c r="I3" s="1124" t="s">
        <v>642</v>
      </c>
      <c r="J3" s="1124" t="s">
        <v>1429</v>
      </c>
      <c r="K3" s="1124" t="s">
        <v>643</v>
      </c>
      <c r="L3" s="1124" t="s">
        <v>644</v>
      </c>
    </row>
    <row r="4" spans="1:13" ht="15">
      <c r="A4" s="1497" t="s">
        <v>647</v>
      </c>
      <c r="B4" s="583" t="s">
        <v>648</v>
      </c>
      <c r="C4" s="1068">
        <v>18</v>
      </c>
      <c r="D4" s="1068">
        <v>1</v>
      </c>
      <c r="E4" s="1068">
        <v>0</v>
      </c>
      <c r="F4" s="1068">
        <v>0</v>
      </c>
      <c r="G4" s="1068">
        <v>0</v>
      </c>
      <c r="H4" s="1068">
        <v>0</v>
      </c>
      <c r="I4" s="1068">
        <v>1</v>
      </c>
      <c r="J4" s="1068">
        <v>0</v>
      </c>
      <c r="K4" s="1068">
        <v>0</v>
      </c>
      <c r="L4" s="1069">
        <v>0</v>
      </c>
      <c r="M4" s="483"/>
    </row>
    <row r="5" spans="1:13" ht="15">
      <c r="A5" s="1497"/>
      <c r="B5" s="583" t="s">
        <v>649</v>
      </c>
      <c r="C5" s="1068">
        <v>17</v>
      </c>
      <c r="D5" s="1068">
        <v>1</v>
      </c>
      <c r="E5" s="1068">
        <v>0</v>
      </c>
      <c r="F5" s="1068">
        <v>0</v>
      </c>
      <c r="G5" s="1068">
        <v>0</v>
      </c>
      <c r="H5" s="1068">
        <v>0</v>
      </c>
      <c r="I5" s="1068">
        <v>1</v>
      </c>
      <c r="J5" s="1068">
        <v>0</v>
      </c>
      <c r="K5" s="1068">
        <v>0</v>
      </c>
      <c r="L5" s="1069">
        <v>0</v>
      </c>
      <c r="M5" s="483"/>
    </row>
    <row r="6" spans="1:13" ht="15">
      <c r="A6" s="1497"/>
      <c r="B6" s="583" t="s">
        <v>650</v>
      </c>
      <c r="C6" s="1068">
        <v>9</v>
      </c>
      <c r="D6" s="1068">
        <v>0</v>
      </c>
      <c r="E6" s="1068">
        <v>0</v>
      </c>
      <c r="F6" s="1068">
        <v>0</v>
      </c>
      <c r="G6" s="1068">
        <v>0</v>
      </c>
      <c r="H6" s="1068">
        <v>0</v>
      </c>
      <c r="I6" s="1068">
        <v>0</v>
      </c>
      <c r="J6" s="1068">
        <v>0</v>
      </c>
      <c r="K6" s="1068">
        <v>0</v>
      </c>
      <c r="L6" s="1069">
        <v>0</v>
      </c>
      <c r="M6" s="483"/>
    </row>
    <row r="7" spans="1:13" ht="15">
      <c r="A7" s="1497" t="s">
        <v>651</v>
      </c>
      <c r="B7" s="583" t="s">
        <v>648</v>
      </c>
      <c r="C7" s="584">
        <v>5</v>
      </c>
      <c r="D7" s="584">
        <v>6</v>
      </c>
      <c r="E7" s="584">
        <v>2</v>
      </c>
      <c r="F7" s="584">
        <v>2</v>
      </c>
      <c r="G7" s="584">
        <v>0</v>
      </c>
      <c r="H7" s="584">
        <v>2</v>
      </c>
      <c r="I7" s="584">
        <v>0</v>
      </c>
      <c r="J7" s="584">
        <v>2</v>
      </c>
      <c r="K7" s="584">
        <v>2</v>
      </c>
      <c r="L7" s="584">
        <v>2</v>
      </c>
    </row>
    <row r="8" spans="1:13" ht="15">
      <c r="A8" s="1497"/>
      <c r="B8" s="583" t="s">
        <v>649</v>
      </c>
      <c r="C8" s="584">
        <v>3</v>
      </c>
      <c r="D8" s="584">
        <v>6</v>
      </c>
      <c r="E8" s="584">
        <v>2</v>
      </c>
      <c r="F8" s="584">
        <v>2</v>
      </c>
      <c r="G8" s="584">
        <v>0</v>
      </c>
      <c r="H8" s="584">
        <v>2</v>
      </c>
      <c r="I8" s="584">
        <v>0</v>
      </c>
      <c r="J8" s="584">
        <v>2</v>
      </c>
      <c r="K8" s="584">
        <v>2</v>
      </c>
      <c r="L8" s="584">
        <v>2</v>
      </c>
    </row>
    <row r="9" spans="1:13" ht="15">
      <c r="A9" s="1497"/>
      <c r="B9" s="583" t="s">
        <v>650</v>
      </c>
      <c r="C9" s="584">
        <v>2</v>
      </c>
      <c r="D9" s="584">
        <v>4</v>
      </c>
      <c r="E9" s="584">
        <v>2</v>
      </c>
      <c r="F9" s="584">
        <v>2</v>
      </c>
      <c r="G9" s="584">
        <v>0</v>
      </c>
      <c r="H9" s="584">
        <v>1</v>
      </c>
      <c r="I9" s="584">
        <v>0</v>
      </c>
      <c r="J9" s="584">
        <v>2</v>
      </c>
      <c r="K9" s="584">
        <v>2</v>
      </c>
      <c r="L9" s="584">
        <v>2</v>
      </c>
    </row>
    <row r="10" spans="1:13" ht="15">
      <c r="A10" s="1497" t="s">
        <v>652</v>
      </c>
      <c r="B10" s="583" t="s">
        <v>648</v>
      </c>
      <c r="C10" s="584">
        <v>1</v>
      </c>
      <c r="D10" s="584">
        <v>3</v>
      </c>
      <c r="E10" s="584">
        <v>2</v>
      </c>
      <c r="F10" s="584">
        <v>2</v>
      </c>
      <c r="G10" s="584" t="s">
        <v>234</v>
      </c>
      <c r="H10" s="584" t="s">
        <v>234</v>
      </c>
      <c r="I10" s="584" t="s">
        <v>234</v>
      </c>
      <c r="J10" s="584" t="s">
        <v>234</v>
      </c>
      <c r="K10" s="584">
        <v>2</v>
      </c>
      <c r="L10" s="584">
        <v>2</v>
      </c>
      <c r="M10" s="582" t="s">
        <v>234</v>
      </c>
    </row>
    <row r="11" spans="1:13" ht="15">
      <c r="A11" s="1497"/>
      <c r="B11" s="583" t="s">
        <v>649</v>
      </c>
      <c r="C11" s="584">
        <v>1</v>
      </c>
      <c r="D11" s="584">
        <v>1</v>
      </c>
      <c r="E11" s="584">
        <v>2</v>
      </c>
      <c r="F11" s="584">
        <v>2</v>
      </c>
      <c r="G11" s="584" t="s">
        <v>234</v>
      </c>
      <c r="H11" s="584" t="s">
        <v>234</v>
      </c>
      <c r="I11" s="584">
        <v>0</v>
      </c>
      <c r="J11" s="584">
        <v>0</v>
      </c>
      <c r="K11" s="584">
        <v>2</v>
      </c>
      <c r="L11" s="584">
        <v>2</v>
      </c>
      <c r="M11" s="582" t="s">
        <v>234</v>
      </c>
    </row>
    <row r="12" spans="1:13" ht="15">
      <c r="A12" s="1497"/>
      <c r="B12" s="583" t="s">
        <v>650</v>
      </c>
      <c r="C12" s="584">
        <v>0</v>
      </c>
      <c r="D12" s="584">
        <v>0</v>
      </c>
      <c r="E12" s="584">
        <v>0</v>
      </c>
      <c r="F12" s="584">
        <v>0</v>
      </c>
      <c r="G12" s="584" t="s">
        <v>234</v>
      </c>
      <c r="H12" s="584" t="s">
        <v>234</v>
      </c>
      <c r="I12" s="584">
        <v>0</v>
      </c>
      <c r="J12" s="584">
        <v>0</v>
      </c>
      <c r="K12" s="584">
        <v>0</v>
      </c>
      <c r="L12" s="584">
        <v>1</v>
      </c>
      <c r="M12" s="582" t="s">
        <v>234</v>
      </c>
    </row>
    <row r="13" spans="1:13" ht="15">
      <c r="A13" s="1497" t="s">
        <v>653</v>
      </c>
      <c r="B13" s="583" t="s">
        <v>648</v>
      </c>
      <c r="C13" s="584">
        <v>0</v>
      </c>
      <c r="D13" s="584">
        <v>5</v>
      </c>
      <c r="E13" s="584">
        <v>2</v>
      </c>
      <c r="F13" s="584">
        <v>2</v>
      </c>
      <c r="G13" s="584">
        <v>0</v>
      </c>
      <c r="H13" s="584" t="s">
        <v>221</v>
      </c>
      <c r="I13" s="584">
        <v>0</v>
      </c>
      <c r="J13" s="584">
        <v>2</v>
      </c>
      <c r="K13" s="584">
        <v>2</v>
      </c>
      <c r="L13" s="584">
        <v>2</v>
      </c>
    </row>
    <row r="14" spans="1:13" ht="15">
      <c r="A14" s="1497"/>
      <c r="B14" s="583" t="s">
        <v>649</v>
      </c>
      <c r="C14" s="584">
        <v>0</v>
      </c>
      <c r="D14" s="584">
        <v>5</v>
      </c>
      <c r="E14" s="584">
        <v>2</v>
      </c>
      <c r="F14" s="584">
        <v>2</v>
      </c>
      <c r="G14" s="584">
        <v>0</v>
      </c>
      <c r="H14" s="584" t="s">
        <v>221</v>
      </c>
      <c r="I14" s="584">
        <v>0</v>
      </c>
      <c r="J14" s="584">
        <v>2</v>
      </c>
      <c r="K14" s="584">
        <v>2</v>
      </c>
      <c r="L14" s="584">
        <v>2</v>
      </c>
    </row>
    <row r="15" spans="1:13" ht="15">
      <c r="A15" s="1497"/>
      <c r="B15" s="583" t="s">
        <v>650</v>
      </c>
      <c r="C15" s="584">
        <v>0</v>
      </c>
      <c r="D15" s="584">
        <v>0</v>
      </c>
      <c r="E15" s="584">
        <v>1</v>
      </c>
      <c r="F15" s="584">
        <v>2</v>
      </c>
      <c r="G15" s="584">
        <v>0</v>
      </c>
      <c r="H15" s="584" t="s">
        <v>221</v>
      </c>
      <c r="I15" s="584">
        <v>0</v>
      </c>
      <c r="J15" s="584">
        <v>0</v>
      </c>
      <c r="K15" s="584">
        <v>1</v>
      </c>
      <c r="L15" s="584">
        <v>2</v>
      </c>
    </row>
    <row r="16" spans="1:13" ht="15">
      <c r="A16" s="1499" t="s">
        <v>654</v>
      </c>
      <c r="B16" s="1499"/>
      <c r="C16" s="1499"/>
      <c r="D16" s="1499"/>
      <c r="E16" s="1499"/>
      <c r="F16" s="1499"/>
      <c r="G16" s="585"/>
      <c r="H16" s="585"/>
      <c r="I16" s="585"/>
      <c r="J16" s="585"/>
      <c r="K16" s="585"/>
      <c r="L16" s="585"/>
    </row>
    <row r="17" spans="1:23" ht="15">
      <c r="A17" s="1500" t="s">
        <v>655</v>
      </c>
      <c r="B17" s="1500"/>
      <c r="C17" s="1500"/>
      <c r="D17" s="1500"/>
      <c r="E17" s="1500"/>
      <c r="F17" s="586"/>
      <c r="G17" s="540"/>
      <c r="H17" s="540"/>
      <c r="I17" s="540"/>
      <c r="J17" s="540"/>
      <c r="K17" s="540"/>
      <c r="L17" s="540"/>
    </row>
    <row r="18" spans="1:23" ht="15">
      <c r="A18" s="1493" t="s">
        <v>1074</v>
      </c>
      <c r="B18" s="1494"/>
      <c r="C18" s="1494"/>
      <c r="D18" s="1494"/>
      <c r="E18" s="1016"/>
      <c r="F18" s="1016"/>
      <c r="G18" s="540"/>
      <c r="H18" s="540"/>
      <c r="I18" s="540"/>
      <c r="J18" s="540"/>
      <c r="K18" s="540"/>
      <c r="L18" s="540"/>
    </row>
    <row r="19" spans="1:23" ht="15" customHeight="1">
      <c r="B19" s="587"/>
      <c r="C19" s="587"/>
      <c r="D19" s="587"/>
      <c r="E19" s="587"/>
      <c r="F19" s="587"/>
      <c r="N19" s="483"/>
      <c r="O19" s="483"/>
      <c r="P19" s="483"/>
      <c r="Q19" s="483"/>
      <c r="R19" s="483"/>
      <c r="S19" s="483"/>
      <c r="T19" s="483"/>
      <c r="U19" s="483"/>
      <c r="V19" s="483"/>
      <c r="W19" s="483"/>
    </row>
    <row r="20" spans="1:23">
      <c r="N20" s="483"/>
      <c r="O20" s="483"/>
      <c r="P20" s="483"/>
      <c r="Q20" s="483"/>
      <c r="R20" s="483"/>
      <c r="S20" s="483"/>
      <c r="T20" s="483"/>
      <c r="U20" s="483"/>
      <c r="V20" s="483"/>
      <c r="W20" s="483"/>
    </row>
    <row r="21" spans="1:23">
      <c r="N21" s="483"/>
      <c r="O21" s="483"/>
      <c r="P21" s="483"/>
      <c r="Q21" s="483"/>
      <c r="R21" s="483"/>
      <c r="S21" s="483"/>
      <c r="T21" s="483"/>
      <c r="U21" s="483"/>
      <c r="V21" s="483"/>
      <c r="W21" s="483"/>
    </row>
    <row r="22" spans="1:23">
      <c r="N22" s="483"/>
      <c r="O22" s="483"/>
      <c r="P22" s="483"/>
      <c r="Q22" s="483"/>
      <c r="R22" s="483"/>
      <c r="S22" s="483"/>
      <c r="T22" s="483"/>
      <c r="U22" s="483"/>
      <c r="V22" s="483"/>
      <c r="W22" s="483"/>
    </row>
    <row r="23" spans="1:23">
      <c r="N23" s="483"/>
      <c r="O23" s="483"/>
      <c r="P23" s="483"/>
      <c r="Q23" s="483"/>
      <c r="R23" s="483"/>
      <c r="S23" s="483"/>
      <c r="T23" s="483"/>
      <c r="U23" s="483"/>
      <c r="V23" s="483"/>
      <c r="W23" s="483"/>
    </row>
    <row r="24" spans="1:23">
      <c r="N24" s="483"/>
      <c r="O24" s="483"/>
      <c r="P24" s="483"/>
      <c r="Q24" s="483"/>
      <c r="R24" s="483"/>
      <c r="S24" s="483"/>
      <c r="T24" s="483"/>
      <c r="U24" s="483"/>
      <c r="V24" s="483"/>
      <c r="W24" s="483"/>
    </row>
    <row r="25" spans="1:23">
      <c r="N25" s="483"/>
      <c r="O25" s="483"/>
      <c r="P25" s="483"/>
      <c r="Q25" s="483"/>
      <c r="R25" s="483"/>
      <c r="S25" s="483"/>
      <c r="T25" s="483"/>
      <c r="U25" s="483"/>
      <c r="V25" s="483"/>
      <c r="W25" s="483"/>
    </row>
    <row r="26" spans="1:23">
      <c r="E26" s="582" t="s">
        <v>656</v>
      </c>
      <c r="N26" s="483"/>
      <c r="O26" s="483"/>
      <c r="P26" s="483"/>
      <c r="Q26" s="483"/>
      <c r="R26" s="483"/>
      <c r="S26" s="483"/>
      <c r="T26" s="483"/>
      <c r="U26" s="483"/>
      <c r="V26" s="483"/>
      <c r="W26" s="483"/>
    </row>
    <row r="27" spans="1:23">
      <c r="N27" s="483"/>
      <c r="O27" s="483"/>
      <c r="P27" s="483"/>
      <c r="Q27" s="483"/>
      <c r="R27" s="483"/>
      <c r="S27" s="483"/>
      <c r="T27" s="483"/>
      <c r="U27" s="483"/>
      <c r="V27" s="483"/>
      <c r="W27" s="483"/>
    </row>
    <row r="28" spans="1:23">
      <c r="N28" s="483"/>
      <c r="O28" s="483"/>
      <c r="P28" s="483"/>
      <c r="Q28" s="483"/>
      <c r="R28" s="483"/>
      <c r="S28" s="483"/>
      <c r="T28" s="483"/>
      <c r="U28" s="483"/>
      <c r="V28" s="483"/>
      <c r="W28" s="483"/>
    </row>
    <row r="29" spans="1:23">
      <c r="N29" s="483"/>
      <c r="O29" s="483"/>
      <c r="P29" s="483"/>
      <c r="Q29" s="483"/>
      <c r="R29" s="483"/>
      <c r="S29" s="483"/>
      <c r="T29" s="483"/>
      <c r="U29" s="483"/>
      <c r="V29" s="483"/>
      <c r="W29" s="483"/>
    </row>
    <row r="30" spans="1:23">
      <c r="N30" s="483"/>
      <c r="O30" s="483"/>
      <c r="P30" s="483"/>
      <c r="Q30" s="483"/>
      <c r="R30" s="483"/>
      <c r="S30" s="483"/>
      <c r="T30" s="483"/>
      <c r="U30" s="483"/>
      <c r="V30" s="483"/>
      <c r="W30" s="483"/>
    </row>
    <row r="31" spans="1:23">
      <c r="N31" s="483"/>
      <c r="O31" s="483"/>
      <c r="P31" s="483"/>
      <c r="Q31" s="483"/>
      <c r="R31" s="483"/>
      <c r="S31" s="483"/>
      <c r="T31" s="483"/>
      <c r="U31" s="483"/>
      <c r="V31" s="483"/>
      <c r="W31" s="483"/>
    </row>
    <row r="32" spans="1:23">
      <c r="N32" s="483"/>
      <c r="O32" s="483"/>
      <c r="P32" s="483"/>
      <c r="Q32" s="483"/>
      <c r="R32" s="483"/>
      <c r="S32" s="483"/>
      <c r="T32" s="483"/>
      <c r="U32" s="483"/>
      <c r="V32" s="483"/>
      <c r="W32" s="483"/>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workbookViewId="0">
      <selection activeCell="G9" sqref="G9"/>
    </sheetView>
  </sheetViews>
  <sheetFormatPr defaultColWidth="9.140625" defaultRowHeight="15"/>
  <cols>
    <col min="1" max="1" width="10.5703125" style="588" customWidth="1"/>
    <col min="2" max="2" width="9" style="588" customWidth="1"/>
    <col min="3" max="4" width="10" style="588" customWidth="1"/>
    <col min="5" max="5" width="10.7109375" style="588" customWidth="1"/>
    <col min="6" max="6" width="22.85546875" style="588" customWidth="1"/>
    <col min="7" max="16384" width="9.140625" style="588"/>
  </cols>
  <sheetData>
    <row r="1" spans="1:6">
      <c r="A1" s="1501" t="s">
        <v>1289</v>
      </c>
      <c r="B1" s="1501"/>
      <c r="C1" s="1501"/>
      <c r="D1" s="1501"/>
      <c r="E1" s="1501"/>
      <c r="F1" s="1501"/>
    </row>
    <row r="2" spans="1:6" ht="16.5" customHeight="1">
      <c r="A2" s="1502" t="s">
        <v>112</v>
      </c>
      <c r="B2" s="1504" t="s">
        <v>1166</v>
      </c>
      <c r="C2" s="1505"/>
      <c r="D2" s="1505"/>
      <c r="E2" s="1505"/>
      <c r="F2" s="1506"/>
    </row>
    <row r="3" spans="1:6">
      <c r="A3" s="1503"/>
      <c r="B3" s="589" t="s">
        <v>1259</v>
      </c>
      <c r="C3" s="590" t="s">
        <v>253</v>
      </c>
      <c r="D3" s="590" t="s">
        <v>254</v>
      </c>
      <c r="E3" s="590" t="s">
        <v>255</v>
      </c>
      <c r="F3" s="590" t="s">
        <v>1260</v>
      </c>
    </row>
    <row r="4" spans="1:6" s="593" customFormat="1" ht="14.25" customHeight="1">
      <c r="A4" s="591" t="s">
        <v>520</v>
      </c>
      <c r="B4" s="592">
        <v>13292.54</v>
      </c>
      <c r="C4" s="592">
        <v>13741.67</v>
      </c>
      <c r="D4" s="592">
        <v>12310.21</v>
      </c>
      <c r="E4" s="592">
        <v>13267.91</v>
      </c>
      <c r="F4" s="592">
        <v>12889.677058823536</v>
      </c>
    </row>
    <row r="5" spans="1:6" s="593" customFormat="1" ht="14.25" customHeight="1">
      <c r="A5" s="591" t="s">
        <v>1165</v>
      </c>
      <c r="B5" s="592">
        <f>B6</f>
        <v>13278.55</v>
      </c>
      <c r="C5" s="592">
        <f>MAX(C6:C9)</f>
        <v>15090.4</v>
      </c>
      <c r="D5" s="592">
        <f>MIN(D6:D9)</f>
        <v>13278.55</v>
      </c>
      <c r="E5" s="592">
        <f>INDEX(E6:E9,COUNT(E6:E9))</f>
        <v>13673.63</v>
      </c>
      <c r="F5" s="592">
        <v>14277.177076923077</v>
      </c>
    </row>
    <row r="6" spans="1:6" s="593" customFormat="1" ht="14.25" customHeight="1">
      <c r="A6" s="594">
        <v>45412</v>
      </c>
      <c r="B6" s="595">
        <v>13278.55</v>
      </c>
      <c r="C6" s="595">
        <v>14582.28</v>
      </c>
      <c r="D6" s="595">
        <v>13278.55</v>
      </c>
      <c r="E6" s="595">
        <v>14033.2</v>
      </c>
      <c r="F6" s="595">
        <v>14076.074090909091</v>
      </c>
    </row>
    <row r="7" spans="1:6" s="598" customFormat="1" ht="14.25" customHeight="1">
      <c r="A7" s="596">
        <f>EOMONTH(A6,1)</f>
        <v>45443</v>
      </c>
      <c r="B7" s="597">
        <v>14032.32</v>
      </c>
      <c r="C7" s="597">
        <v>15090.4</v>
      </c>
      <c r="D7" s="597">
        <v>13874.77</v>
      </c>
      <c r="E7" s="597">
        <v>14416.73</v>
      </c>
      <c r="F7" s="597">
        <v>14429.576521739133</v>
      </c>
    </row>
    <row r="8" spans="1:6" s="593" customFormat="1" ht="14.25" customHeight="1">
      <c r="A8" s="596">
        <f t="shared" ref="A8:A9" si="0">EOMONTH(A7,1)</f>
        <v>45473</v>
      </c>
      <c r="B8" s="599">
        <v>14419.53</v>
      </c>
      <c r="C8" s="599">
        <v>14622.21</v>
      </c>
      <c r="D8" s="599">
        <v>14122.52</v>
      </c>
      <c r="E8" s="599">
        <v>14289.95</v>
      </c>
      <c r="F8" s="599">
        <v>14323.131000000003</v>
      </c>
    </row>
    <row r="9" spans="1:6" s="593" customFormat="1">
      <c r="A9" s="596">
        <f t="shared" si="0"/>
        <v>45504</v>
      </c>
      <c r="B9" s="599">
        <v>14288.19</v>
      </c>
      <c r="C9" s="599">
        <v>14718.18</v>
      </c>
      <c r="D9" s="599">
        <v>13339.08</v>
      </c>
      <c r="E9" s="599">
        <v>13673.63</v>
      </c>
      <c r="F9" s="599">
        <v>14208.219565217394</v>
      </c>
    </row>
    <row r="10" spans="1:6" ht="14.25" customHeight="1">
      <c r="A10" s="600"/>
    </row>
    <row r="11" spans="1:6">
      <c r="A11" s="601" t="s">
        <v>1410</v>
      </c>
    </row>
    <row r="12" spans="1:6">
      <c r="A12" s="588" t="s">
        <v>658</v>
      </c>
    </row>
    <row r="13" spans="1:6">
      <c r="A13" s="593" t="s">
        <v>659</v>
      </c>
    </row>
  </sheetData>
  <mergeCells count="3">
    <mergeCell ref="A1:F1"/>
    <mergeCell ref="A2:A3"/>
    <mergeCell ref="B2:F2"/>
  </mergeCells>
  <printOptions horizontalCentered="1"/>
  <pageMargins left="0.7" right="0.7" top="0.75" bottom="0.75" header="0.3" footer="0.3"/>
  <pageSetup fitToWidth="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25"/>
  <sheetViews>
    <sheetView topLeftCell="M1" zoomScaleNormal="100" workbookViewId="0">
      <selection activeCell="R10" sqref="R10"/>
    </sheetView>
  </sheetViews>
  <sheetFormatPr defaultColWidth="9.140625" defaultRowHeight="15"/>
  <cols>
    <col min="1" max="1" width="12.85546875" style="365" customWidth="1"/>
    <col min="2" max="2" width="8.140625" style="365" customWidth="1"/>
    <col min="3" max="3" width="10" style="365" customWidth="1"/>
    <col min="4" max="4" width="11.42578125" style="365" customWidth="1"/>
    <col min="5" max="5" width="11.140625" style="365" customWidth="1"/>
    <col min="6" max="7" width="12.42578125" style="365" customWidth="1"/>
    <col min="8" max="8" width="11.5703125" style="365" customWidth="1"/>
    <col min="9" max="9" width="11.42578125" style="365" customWidth="1"/>
    <col min="10" max="10" width="12" style="365" customWidth="1"/>
    <col min="11" max="11" width="14" style="365" bestFit="1" customWidth="1"/>
    <col min="12" max="12" width="13.140625" style="365" bestFit="1" customWidth="1"/>
    <col min="13" max="13" width="11.42578125" style="365" customWidth="1"/>
    <col min="14" max="14" width="11.7109375" style="365" bestFit="1" customWidth="1"/>
    <col min="15" max="15" width="11.5703125" style="365" customWidth="1"/>
    <col min="16" max="16" width="13.28515625" style="365" bestFit="1" customWidth="1"/>
    <col min="17" max="17" width="11.28515625" style="365" customWidth="1"/>
    <col min="18" max="18" width="11.5703125" style="365" bestFit="1" customWidth="1"/>
    <col min="19" max="19" width="10" style="365" customWidth="1"/>
    <col min="20" max="20" width="9.28515625" style="365" bestFit="1" customWidth="1"/>
    <col min="21" max="21" width="9.140625" style="361"/>
    <col min="22" max="22" width="10.5703125" style="361" bestFit="1" customWidth="1"/>
    <col min="23" max="23" width="9.28515625" style="361" bestFit="1" customWidth="1"/>
    <col min="24" max="24" width="9.140625" style="361"/>
    <col min="25" max="25" width="12" style="361" bestFit="1" customWidth="1"/>
    <col min="26" max="30" width="9.140625" style="361"/>
    <col min="31" max="16384" width="9.140625" style="365"/>
  </cols>
  <sheetData>
    <row r="1" spans="1:30" ht="15" customHeight="1">
      <c r="A1" s="1509" t="s">
        <v>1426</v>
      </c>
      <c r="B1" s="1510"/>
      <c r="C1" s="1510"/>
      <c r="D1" s="1510"/>
      <c r="E1" s="1510"/>
      <c r="F1" s="1510"/>
      <c r="G1" s="1510"/>
      <c r="H1" s="1510"/>
      <c r="I1" s="1510"/>
      <c r="J1" s="1510"/>
      <c r="K1" s="1510"/>
      <c r="L1" s="1510"/>
      <c r="M1" s="1510"/>
      <c r="N1" s="1510"/>
      <c r="O1" s="1510"/>
      <c r="P1" s="1510"/>
      <c r="Q1" s="1510"/>
      <c r="R1" s="1510"/>
      <c r="S1" s="1510"/>
      <c r="T1" s="1510"/>
      <c r="U1" s="1070"/>
      <c r="V1" s="1070"/>
      <c r="W1" s="1070"/>
      <c r="X1" s="365"/>
      <c r="Y1" s="365"/>
      <c r="Z1" s="365"/>
      <c r="AA1" s="365"/>
      <c r="AB1" s="365"/>
      <c r="AC1" s="365"/>
      <c r="AD1" s="365"/>
    </row>
    <row r="2" spans="1:30">
      <c r="A2" s="1511" t="s">
        <v>640</v>
      </c>
      <c r="B2" s="1511"/>
      <c r="C2" s="1511"/>
      <c r="D2" s="1511"/>
      <c r="E2" s="1511"/>
      <c r="F2" s="1511"/>
      <c r="G2" s="1511"/>
      <c r="H2" s="1511"/>
      <c r="I2" s="1511"/>
      <c r="J2" s="1511"/>
      <c r="K2" s="1511"/>
      <c r="L2" s="1511"/>
      <c r="M2" s="1511"/>
      <c r="N2" s="1511"/>
      <c r="O2" s="1511"/>
      <c r="P2" s="1511"/>
      <c r="Q2" s="1511"/>
      <c r="R2" s="1511"/>
      <c r="S2" s="1511"/>
      <c r="T2" s="1511"/>
      <c r="U2" s="1071"/>
      <c r="V2" s="1071"/>
      <c r="W2" s="1071"/>
      <c r="X2" s="365"/>
      <c r="Y2" s="365"/>
      <c r="Z2" s="365"/>
      <c r="AA2" s="365"/>
      <c r="AB2" s="365"/>
      <c r="AC2" s="365"/>
      <c r="AD2" s="365"/>
    </row>
    <row r="3" spans="1:30" s="602" customFormat="1" ht="50.25" customHeight="1">
      <c r="A3" s="1512" t="s">
        <v>657</v>
      </c>
      <c r="B3" s="1514" t="s">
        <v>1424</v>
      </c>
      <c r="C3" s="1515" t="s">
        <v>642</v>
      </c>
      <c r="D3" s="1516"/>
      <c r="E3" s="1515" t="s">
        <v>661</v>
      </c>
      <c r="F3" s="1516"/>
      <c r="G3" s="1515" t="s">
        <v>662</v>
      </c>
      <c r="H3" s="1516"/>
      <c r="I3" s="1515" t="s">
        <v>663</v>
      </c>
      <c r="J3" s="1516"/>
      <c r="K3" s="1515" t="s">
        <v>664</v>
      </c>
      <c r="L3" s="1516"/>
      <c r="M3" s="1515" t="s">
        <v>665</v>
      </c>
      <c r="N3" s="1516"/>
      <c r="O3" s="1515" t="s">
        <v>666</v>
      </c>
      <c r="P3" s="1516"/>
      <c r="Q3" s="1515" t="s">
        <v>667</v>
      </c>
      <c r="R3" s="1516"/>
      <c r="S3" s="1508" t="s">
        <v>1422</v>
      </c>
      <c r="T3" s="1508"/>
      <c r="U3" s="361"/>
      <c r="V3" s="361"/>
      <c r="W3" s="361"/>
      <c r="X3" s="361"/>
      <c r="Y3" s="361"/>
      <c r="Z3" s="361"/>
      <c r="AA3" s="361"/>
      <c r="AB3" s="361"/>
      <c r="AC3" s="361"/>
      <c r="AD3" s="361"/>
    </row>
    <row r="4" spans="1:30" s="602" customFormat="1" ht="68.25" customHeight="1">
      <c r="A4" s="1513"/>
      <c r="B4" s="1508"/>
      <c r="C4" s="1017" t="s">
        <v>778</v>
      </c>
      <c r="D4" s="1072" t="s">
        <v>1274</v>
      </c>
      <c r="E4" s="1017" t="s">
        <v>778</v>
      </c>
      <c r="F4" s="1072" t="s">
        <v>1275</v>
      </c>
      <c r="G4" s="1017" t="s">
        <v>1421</v>
      </c>
      <c r="H4" s="1072" t="s">
        <v>1274</v>
      </c>
      <c r="I4" s="1017" t="s">
        <v>1421</v>
      </c>
      <c r="J4" s="1072" t="s">
        <v>1274</v>
      </c>
      <c r="K4" s="1017" t="s">
        <v>778</v>
      </c>
      <c r="L4" s="1072" t="s">
        <v>1276</v>
      </c>
      <c r="M4" s="1017" t="s">
        <v>1421</v>
      </c>
      <c r="N4" s="1072" t="s">
        <v>1276</v>
      </c>
      <c r="O4" s="1017" t="s">
        <v>778</v>
      </c>
      <c r="P4" s="1072" t="s">
        <v>1274</v>
      </c>
      <c r="Q4" s="1017" t="s">
        <v>778</v>
      </c>
      <c r="R4" s="1072" t="s">
        <v>1274</v>
      </c>
      <c r="S4" s="1017" t="s">
        <v>1421</v>
      </c>
      <c r="T4" s="1017" t="s">
        <v>1277</v>
      </c>
      <c r="U4" s="361"/>
      <c r="V4" s="361"/>
      <c r="W4" s="361"/>
      <c r="X4" s="361"/>
      <c r="Y4" s="361"/>
      <c r="Z4" s="361"/>
      <c r="AA4" s="361"/>
      <c r="AB4" s="361"/>
      <c r="AC4" s="361"/>
      <c r="AD4" s="361"/>
    </row>
    <row r="5" spans="1:30" s="604" customFormat="1">
      <c r="A5" s="603" t="s">
        <v>520</v>
      </c>
      <c r="B5" s="536">
        <v>255</v>
      </c>
      <c r="C5" s="536">
        <v>82469</v>
      </c>
      <c r="D5" s="628">
        <v>5577.2525947999993</v>
      </c>
      <c r="E5" s="536">
        <v>74597044</v>
      </c>
      <c r="F5" s="628">
        <v>3111327.5770087</v>
      </c>
      <c r="G5" s="536">
        <v>4940335</v>
      </c>
      <c r="H5" s="628">
        <v>480373.68108500005</v>
      </c>
      <c r="I5" s="536">
        <v>55598170</v>
      </c>
      <c r="J5" s="628">
        <v>1382227.0077424997</v>
      </c>
      <c r="K5" s="536">
        <v>100063</v>
      </c>
      <c r="L5" s="628">
        <v>8057.9922449999995</v>
      </c>
      <c r="M5" s="536">
        <v>0</v>
      </c>
      <c r="N5" s="628">
        <v>0</v>
      </c>
      <c r="O5" s="536">
        <v>0</v>
      </c>
      <c r="P5" s="628">
        <v>0</v>
      </c>
      <c r="Q5" s="536">
        <v>135318081</v>
      </c>
      <c r="R5" s="628">
        <v>4987563.5106760012</v>
      </c>
      <c r="S5" s="536">
        <v>451907</v>
      </c>
      <c r="T5" s="628">
        <v>31171.6267233</v>
      </c>
      <c r="U5" s="361"/>
      <c r="V5" s="361"/>
      <c r="W5" s="361"/>
      <c r="X5" s="361"/>
      <c r="Y5" s="361"/>
      <c r="Z5" s="361"/>
      <c r="AA5" s="361"/>
      <c r="AB5" s="361"/>
      <c r="AC5" s="361"/>
      <c r="AD5" s="361"/>
    </row>
    <row r="6" spans="1:30" s="604" customFormat="1">
      <c r="A6" s="605" t="s">
        <v>1165</v>
      </c>
      <c r="B6" s="606">
        <f t="shared" ref="B6:R6" si="0">SUM(B7:B10)</f>
        <v>88</v>
      </c>
      <c r="C6" s="606">
        <f t="shared" si="0"/>
        <v>22135</v>
      </c>
      <c r="D6" s="630">
        <f t="shared" si="0"/>
        <v>1458.9583848000002</v>
      </c>
      <c r="E6" s="606">
        <f t="shared" si="0"/>
        <v>29416208</v>
      </c>
      <c r="F6" s="630">
        <f t="shared" si="0"/>
        <v>1556636.6093211002</v>
      </c>
      <c r="G6" s="606">
        <f t="shared" si="0"/>
        <v>2415187</v>
      </c>
      <c r="H6" s="630">
        <f t="shared" si="0"/>
        <v>277895.87888750003</v>
      </c>
      <c r="I6" s="606">
        <f t="shared" si="0"/>
        <v>19744739</v>
      </c>
      <c r="J6" s="630">
        <f t="shared" si="0"/>
        <v>421730.10860450001</v>
      </c>
      <c r="K6" s="606">
        <f t="shared" si="0"/>
        <v>19404</v>
      </c>
      <c r="L6" s="630">
        <f t="shared" si="0"/>
        <v>1778.5940899999998</v>
      </c>
      <c r="M6" s="606">
        <f t="shared" si="0"/>
        <v>0</v>
      </c>
      <c r="N6" s="630">
        <f t="shared" si="0"/>
        <v>0</v>
      </c>
      <c r="O6" s="606">
        <f t="shared" si="0"/>
        <v>0</v>
      </c>
      <c r="P6" s="630">
        <f t="shared" si="0"/>
        <v>0</v>
      </c>
      <c r="Q6" s="606">
        <f t="shared" si="0"/>
        <v>51617673</v>
      </c>
      <c r="R6" s="630">
        <f t="shared" si="0"/>
        <v>2259500.1492879</v>
      </c>
      <c r="S6" s="606">
        <f>INDEX(S7:S10,COUNT(S7:S10))</f>
        <v>590662</v>
      </c>
      <c r="T6" s="630">
        <f>INDEX(T7:T10,COUNT(T7:T10))</f>
        <v>34871.473299999998</v>
      </c>
      <c r="U6" s="361"/>
      <c r="V6" s="361"/>
      <c r="W6" s="361"/>
      <c r="X6" s="361"/>
      <c r="Y6" s="361"/>
      <c r="Z6" s="361"/>
      <c r="AA6" s="361"/>
      <c r="AB6" s="361"/>
      <c r="AC6" s="361"/>
      <c r="AD6" s="361"/>
    </row>
    <row r="7" spans="1:30" s="604" customFormat="1">
      <c r="A7" s="607">
        <v>45412</v>
      </c>
      <c r="B7" s="534">
        <v>22</v>
      </c>
      <c r="C7" s="534">
        <v>4225</v>
      </c>
      <c r="D7" s="631">
        <v>281.39702520000003</v>
      </c>
      <c r="E7" s="534">
        <v>7848413</v>
      </c>
      <c r="F7" s="631">
        <v>394580.82424070005</v>
      </c>
      <c r="G7" s="534">
        <v>617119</v>
      </c>
      <c r="H7" s="631">
        <v>61086.892562499997</v>
      </c>
      <c r="I7" s="534">
        <v>4857825</v>
      </c>
      <c r="J7" s="631">
        <v>94204.633474999995</v>
      </c>
      <c r="K7" s="534">
        <v>6892</v>
      </c>
      <c r="L7" s="631">
        <v>621.72975999999994</v>
      </c>
      <c r="M7" s="534">
        <v>0</v>
      </c>
      <c r="N7" s="631">
        <v>0</v>
      </c>
      <c r="O7" s="534">
        <v>0</v>
      </c>
      <c r="P7" s="631">
        <v>0</v>
      </c>
      <c r="Q7" s="534">
        <f t="shared" ref="Q7:R9" si="1">C7+E7+G7+I7+K7+M7+O7</f>
        <v>13334474</v>
      </c>
      <c r="R7" s="631">
        <f t="shared" si="1"/>
        <v>550775.47706340009</v>
      </c>
      <c r="S7" s="534">
        <v>416142</v>
      </c>
      <c r="T7" s="631">
        <v>32002.226900000001</v>
      </c>
      <c r="U7" s="361"/>
      <c r="V7" s="361"/>
      <c r="W7" s="361"/>
      <c r="X7" s="361"/>
      <c r="Y7" s="361"/>
      <c r="Z7" s="361"/>
      <c r="AA7" s="361"/>
      <c r="AB7" s="361"/>
      <c r="AC7" s="361"/>
      <c r="AD7" s="361"/>
    </row>
    <row r="8" spans="1:30" s="604" customFormat="1">
      <c r="A8" s="607">
        <v>45443</v>
      </c>
      <c r="B8" s="534">
        <v>23</v>
      </c>
      <c r="C8" s="534">
        <v>4228</v>
      </c>
      <c r="D8" s="631">
        <v>425.26852439999999</v>
      </c>
      <c r="E8" s="534">
        <v>7759810</v>
      </c>
      <c r="F8" s="631">
        <v>415417.43641359999</v>
      </c>
      <c r="G8" s="534">
        <v>697917</v>
      </c>
      <c r="H8" s="631">
        <v>82304.671804999991</v>
      </c>
      <c r="I8" s="534">
        <v>5496931</v>
      </c>
      <c r="J8" s="631">
        <v>121120.3109905</v>
      </c>
      <c r="K8" s="534">
        <v>5274</v>
      </c>
      <c r="L8" s="631">
        <v>490.43921999999992</v>
      </c>
      <c r="M8" s="534">
        <v>0</v>
      </c>
      <c r="N8" s="631">
        <v>0</v>
      </c>
      <c r="O8" s="534">
        <v>0</v>
      </c>
      <c r="P8" s="631">
        <v>0</v>
      </c>
      <c r="Q8" s="534">
        <f t="shared" si="1"/>
        <v>13964160</v>
      </c>
      <c r="R8" s="631">
        <f t="shared" si="1"/>
        <v>619758.12695349997</v>
      </c>
      <c r="S8" s="534">
        <v>413302</v>
      </c>
      <c r="T8" s="631">
        <v>29504.701339800005</v>
      </c>
      <c r="U8" s="361"/>
      <c r="V8" s="361"/>
      <c r="W8" s="361"/>
      <c r="X8" s="361"/>
      <c r="Y8" s="361"/>
      <c r="Z8" s="361"/>
      <c r="AA8" s="361"/>
      <c r="AB8" s="361"/>
      <c r="AC8" s="361"/>
      <c r="AD8" s="361"/>
    </row>
    <row r="9" spans="1:30" s="604" customFormat="1">
      <c r="A9" s="607">
        <v>45473</v>
      </c>
      <c r="B9" s="534">
        <v>20</v>
      </c>
      <c r="C9" s="534">
        <v>4738</v>
      </c>
      <c r="D9" s="631">
        <v>265.23962879999999</v>
      </c>
      <c r="E9" s="534">
        <v>6880554</v>
      </c>
      <c r="F9" s="631">
        <v>347004.78149390005</v>
      </c>
      <c r="G9" s="534">
        <v>545473</v>
      </c>
      <c r="H9" s="631">
        <v>63962.230330000006</v>
      </c>
      <c r="I9" s="534">
        <v>4607496</v>
      </c>
      <c r="J9" s="631">
        <v>106903.35044750001</v>
      </c>
      <c r="K9" s="534">
        <v>3944</v>
      </c>
      <c r="L9" s="631">
        <v>365.41082499999999</v>
      </c>
      <c r="M9" s="534">
        <v>0</v>
      </c>
      <c r="N9" s="631">
        <v>0</v>
      </c>
      <c r="O9" s="534">
        <v>0</v>
      </c>
      <c r="P9" s="631">
        <v>0</v>
      </c>
      <c r="Q9" s="534">
        <f t="shared" si="1"/>
        <v>12042205</v>
      </c>
      <c r="R9" s="631">
        <f t="shared" si="1"/>
        <v>518501.0127252001</v>
      </c>
      <c r="S9" s="534">
        <v>423753</v>
      </c>
      <c r="T9" s="631">
        <v>29648.2978754</v>
      </c>
      <c r="U9" s="361"/>
      <c r="V9" s="361"/>
      <c r="W9" s="361"/>
      <c r="X9" s="361"/>
      <c r="Y9" s="361"/>
      <c r="Z9" s="361"/>
      <c r="AA9" s="361"/>
      <c r="AB9" s="361"/>
      <c r="AC9" s="361"/>
      <c r="AD9" s="361"/>
    </row>
    <row r="10" spans="1:30" s="604" customFormat="1">
      <c r="A10" s="607">
        <v>45504</v>
      </c>
      <c r="B10" s="534">
        <v>23</v>
      </c>
      <c r="C10" s="632">
        <v>8944</v>
      </c>
      <c r="D10" s="631">
        <v>487.05320640000014</v>
      </c>
      <c r="E10" s="534">
        <v>6927431</v>
      </c>
      <c r="F10" s="631">
        <v>399633.56717290002</v>
      </c>
      <c r="G10" s="534">
        <v>554678</v>
      </c>
      <c r="H10" s="631">
        <v>70542.084190000009</v>
      </c>
      <c r="I10" s="534">
        <v>4782487</v>
      </c>
      <c r="J10" s="631">
        <v>99501.813691499992</v>
      </c>
      <c r="K10" s="534">
        <v>3294</v>
      </c>
      <c r="L10" s="631">
        <v>301.01428500000003</v>
      </c>
      <c r="M10" s="534">
        <v>0</v>
      </c>
      <c r="N10" s="631">
        <v>0</v>
      </c>
      <c r="O10" s="534">
        <v>0</v>
      </c>
      <c r="P10" s="631">
        <v>0</v>
      </c>
      <c r="Q10" s="534">
        <v>12276834</v>
      </c>
      <c r="R10" s="631">
        <v>570465.53254579997</v>
      </c>
      <c r="S10" s="534">
        <v>590662</v>
      </c>
      <c r="T10" s="631">
        <v>34871.473299999998</v>
      </c>
      <c r="U10" s="361"/>
      <c r="V10" s="361"/>
      <c r="W10" s="361"/>
      <c r="X10" s="361"/>
      <c r="Y10" s="361"/>
      <c r="Z10" s="361"/>
      <c r="AA10" s="361"/>
      <c r="AB10" s="361"/>
      <c r="AC10" s="361"/>
      <c r="AD10" s="361"/>
    </row>
    <row r="11" spans="1:30">
      <c r="A11" s="608"/>
      <c r="B11" s="609"/>
      <c r="C11" s="610"/>
      <c r="D11" s="610"/>
      <c r="E11" s="610"/>
      <c r="F11" s="610">
        <f>E10+G10+I10+K10</f>
        <v>12267890</v>
      </c>
      <c r="G11" s="610"/>
      <c r="H11" s="611"/>
      <c r="I11" s="610"/>
      <c r="J11" s="610"/>
      <c r="K11" s="610"/>
      <c r="L11" s="611"/>
      <c r="M11" s="612"/>
      <c r="N11" s="612"/>
      <c r="O11" s="612"/>
      <c r="P11" s="612"/>
      <c r="Q11" s="612"/>
      <c r="R11" s="612"/>
      <c r="T11" s="40"/>
    </row>
    <row r="12" spans="1:30">
      <c r="A12" s="1519" t="s">
        <v>660</v>
      </c>
      <c r="B12" s="1519"/>
      <c r="C12" s="1519"/>
      <c r="D12" s="1519"/>
      <c r="E12" s="1519"/>
      <c r="F12" s="1519"/>
      <c r="G12" s="1519"/>
      <c r="H12" s="1519"/>
      <c r="I12" s="1519"/>
      <c r="J12" s="1519"/>
      <c r="K12" s="1519"/>
      <c r="L12" s="1519"/>
      <c r="M12" s="1519"/>
      <c r="N12" s="1519"/>
      <c r="O12" s="1519"/>
      <c r="P12" s="1519"/>
      <c r="Q12" s="1519"/>
      <c r="R12" s="1519"/>
    </row>
    <row r="13" spans="1:30" ht="48.75" customHeight="1">
      <c r="A13" s="1517" t="s">
        <v>657</v>
      </c>
      <c r="B13" s="1517" t="s">
        <v>1424</v>
      </c>
      <c r="C13" s="1521" t="s">
        <v>670</v>
      </c>
      <c r="D13" s="1522"/>
      <c r="E13" s="1522"/>
      <c r="F13" s="1523"/>
      <c r="G13" s="1521" t="s">
        <v>662</v>
      </c>
      <c r="H13" s="1522"/>
      <c r="I13" s="1522"/>
      <c r="J13" s="1523"/>
      <c r="K13" s="1521" t="s">
        <v>663</v>
      </c>
      <c r="L13" s="1522"/>
      <c r="M13" s="1522"/>
      <c r="N13" s="1523"/>
      <c r="O13" s="1524" t="s">
        <v>671</v>
      </c>
      <c r="P13" s="1524"/>
      <c r="Q13" s="1525" t="s">
        <v>1422</v>
      </c>
      <c r="R13" s="1525"/>
    </row>
    <row r="14" spans="1:30" ht="20.25" customHeight="1">
      <c r="A14" s="1520"/>
      <c r="B14" s="1520"/>
      <c r="C14" s="1526" t="s">
        <v>672</v>
      </c>
      <c r="D14" s="1527"/>
      <c r="E14" s="1526" t="s">
        <v>673</v>
      </c>
      <c r="F14" s="1527"/>
      <c r="G14" s="1526" t="s">
        <v>672</v>
      </c>
      <c r="H14" s="1527"/>
      <c r="I14" s="1526" t="s">
        <v>673</v>
      </c>
      <c r="J14" s="1527"/>
      <c r="K14" s="1526" t="s">
        <v>672</v>
      </c>
      <c r="L14" s="1527"/>
      <c r="M14" s="1526" t="s">
        <v>673</v>
      </c>
      <c r="N14" s="1527"/>
      <c r="O14" s="1507" t="s">
        <v>778</v>
      </c>
      <c r="P14" s="1517" t="s">
        <v>1278</v>
      </c>
      <c r="Q14" s="1517" t="s">
        <v>778</v>
      </c>
      <c r="R14" s="1517" t="s">
        <v>1278</v>
      </c>
    </row>
    <row r="15" spans="1:30" ht="45">
      <c r="A15" s="1518"/>
      <c r="B15" s="1518"/>
      <c r="C15" s="1017" t="s">
        <v>778</v>
      </c>
      <c r="D15" s="1072" t="s">
        <v>1274</v>
      </c>
      <c r="E15" s="1017" t="s">
        <v>778</v>
      </c>
      <c r="F15" s="1072" t="s">
        <v>1274</v>
      </c>
      <c r="G15" s="1017" t="s">
        <v>778</v>
      </c>
      <c r="H15" s="1072" t="s">
        <v>1274</v>
      </c>
      <c r="I15" s="1017" t="s">
        <v>778</v>
      </c>
      <c r="J15" s="1072" t="s">
        <v>1274</v>
      </c>
      <c r="K15" s="1017" t="s">
        <v>778</v>
      </c>
      <c r="L15" s="1072" t="s">
        <v>1276</v>
      </c>
      <c r="M15" s="1017" t="s">
        <v>778</v>
      </c>
      <c r="N15" s="1072" t="s">
        <v>1276</v>
      </c>
      <c r="O15" s="1508"/>
      <c r="P15" s="1518"/>
      <c r="Q15" s="1518"/>
      <c r="R15" s="1518"/>
    </row>
    <row r="16" spans="1:30">
      <c r="A16" s="1073" t="s">
        <v>520</v>
      </c>
      <c r="B16" s="536">
        <v>255</v>
      </c>
      <c r="C16" s="536">
        <v>6090765</v>
      </c>
      <c r="D16" s="628">
        <v>1250428.80822</v>
      </c>
      <c r="E16" s="536">
        <v>4728746</v>
      </c>
      <c r="F16" s="628">
        <v>1070077.566571</v>
      </c>
      <c r="G16" s="536">
        <v>18061</v>
      </c>
      <c r="H16" s="628">
        <v>3262.0538445000002</v>
      </c>
      <c r="I16" s="536">
        <v>8036</v>
      </c>
      <c r="J16" s="628">
        <v>1432.2481225000001</v>
      </c>
      <c r="K16" s="536">
        <v>195172465</v>
      </c>
      <c r="L16" s="628">
        <v>10858414.0603892</v>
      </c>
      <c r="M16" s="536">
        <v>175391669</v>
      </c>
      <c r="N16" s="628">
        <v>9484301.4309917521</v>
      </c>
      <c r="O16" s="536">
        <v>381409742</v>
      </c>
      <c r="P16" s="628">
        <v>22667916.168139003</v>
      </c>
      <c r="Q16" s="536">
        <v>215961</v>
      </c>
      <c r="R16" s="536">
        <v>13742.384099999999</v>
      </c>
    </row>
    <row r="17" spans="1:18">
      <c r="A17" s="955" t="s">
        <v>1165</v>
      </c>
      <c r="B17" s="606">
        <f t="shared" ref="B17:P17" si="2">SUM(B18:B21)</f>
        <v>88</v>
      </c>
      <c r="C17" s="606">
        <f t="shared" si="2"/>
        <v>5174027</v>
      </c>
      <c r="D17" s="630">
        <f t="shared" si="2"/>
        <v>1040353.4182765002</v>
      </c>
      <c r="E17" s="606">
        <f t="shared" si="2"/>
        <v>4358961</v>
      </c>
      <c r="F17" s="630">
        <f t="shared" si="2"/>
        <v>966938.48021499999</v>
      </c>
      <c r="G17" s="606">
        <f t="shared" si="2"/>
        <v>25954</v>
      </c>
      <c r="H17" s="630">
        <f t="shared" si="2"/>
        <v>5442.3059574999997</v>
      </c>
      <c r="I17" s="606">
        <f t="shared" si="2"/>
        <v>11837</v>
      </c>
      <c r="J17" s="630">
        <f t="shared" si="2"/>
        <v>2487.5508475000001</v>
      </c>
      <c r="K17" s="606">
        <f t="shared" si="2"/>
        <v>108948249</v>
      </c>
      <c r="L17" s="630">
        <f t="shared" si="2"/>
        <v>6058493.8011379</v>
      </c>
      <c r="M17" s="606">
        <f t="shared" si="2"/>
        <v>97416515</v>
      </c>
      <c r="N17" s="630">
        <f t="shared" si="2"/>
        <v>5383982.0804432994</v>
      </c>
      <c r="O17" s="606">
        <f t="shared" si="2"/>
        <v>215935543</v>
      </c>
      <c r="P17" s="630">
        <f t="shared" si="2"/>
        <v>13457697.636877701</v>
      </c>
      <c r="Q17" s="606">
        <f>INDEX(Q18:Q21,COUNT(Q18:Q21))</f>
        <v>325242</v>
      </c>
      <c r="R17" s="606">
        <f>INDEX(R18:R21,COUNT(R18:R21))</f>
        <v>23498.207299999998</v>
      </c>
    </row>
    <row r="18" spans="1:18">
      <c r="A18" s="607">
        <v>45412</v>
      </c>
      <c r="B18" s="534">
        <v>22</v>
      </c>
      <c r="C18" s="534">
        <v>1046002</v>
      </c>
      <c r="D18" s="631">
        <v>184944.92</v>
      </c>
      <c r="E18" s="534">
        <v>1225461</v>
      </c>
      <c r="F18" s="631">
        <v>249899.63</v>
      </c>
      <c r="G18" s="534">
        <v>5313</v>
      </c>
      <c r="H18" s="631">
        <v>985.54</v>
      </c>
      <c r="I18" s="534">
        <v>1681</v>
      </c>
      <c r="J18" s="631">
        <v>332.64</v>
      </c>
      <c r="K18" s="534">
        <v>22498827</v>
      </c>
      <c r="L18" s="631">
        <v>1340705.3500000001</v>
      </c>
      <c r="M18" s="534">
        <v>19469765</v>
      </c>
      <c r="N18" s="631">
        <v>1141877.01</v>
      </c>
      <c r="O18" s="534">
        <f t="shared" ref="O18:P20" si="3">C18+E18+G18+I18+K18+M18</f>
        <v>44247049</v>
      </c>
      <c r="P18" s="631">
        <f t="shared" si="3"/>
        <v>2918745.09</v>
      </c>
      <c r="Q18" s="534">
        <v>231301</v>
      </c>
      <c r="R18" s="534">
        <v>20974.923199999997</v>
      </c>
    </row>
    <row r="19" spans="1:18">
      <c r="A19" s="607">
        <v>45443</v>
      </c>
      <c r="B19" s="534">
        <v>23</v>
      </c>
      <c r="C19" s="534">
        <v>1003905</v>
      </c>
      <c r="D19" s="631">
        <v>262297.64</v>
      </c>
      <c r="E19" s="534">
        <v>918768</v>
      </c>
      <c r="F19" s="631">
        <v>263394.46999999997</v>
      </c>
      <c r="G19" s="534">
        <v>5820</v>
      </c>
      <c r="H19" s="631">
        <v>1285.1300000000001</v>
      </c>
      <c r="I19" s="534">
        <v>3848</v>
      </c>
      <c r="J19" s="631">
        <v>839.34</v>
      </c>
      <c r="K19" s="534">
        <v>29146082</v>
      </c>
      <c r="L19" s="631">
        <v>1547729.23</v>
      </c>
      <c r="M19" s="534">
        <v>26517179</v>
      </c>
      <c r="N19" s="631">
        <v>1403775.64</v>
      </c>
      <c r="O19" s="534">
        <f t="shared" si="3"/>
        <v>57595602</v>
      </c>
      <c r="P19" s="631">
        <f t="shared" si="3"/>
        <v>3479321.45</v>
      </c>
      <c r="Q19" s="534">
        <v>251836</v>
      </c>
      <c r="R19" s="534">
        <v>18997.352500000001</v>
      </c>
    </row>
    <row r="20" spans="1:18">
      <c r="A20" s="607">
        <v>45473</v>
      </c>
      <c r="B20" s="534">
        <v>20</v>
      </c>
      <c r="C20" s="1074">
        <v>1808477</v>
      </c>
      <c r="D20" s="1123">
        <v>280385.33676174999</v>
      </c>
      <c r="E20" s="1074">
        <v>1279742</v>
      </c>
      <c r="F20" s="1123">
        <v>201103.63772375</v>
      </c>
      <c r="G20" s="1074">
        <v>6122</v>
      </c>
      <c r="H20" s="1123">
        <v>1321.61247</v>
      </c>
      <c r="I20" s="1074">
        <v>2158</v>
      </c>
      <c r="J20" s="1123">
        <v>453.29751750000003</v>
      </c>
      <c r="K20" s="1074">
        <v>25989049</v>
      </c>
      <c r="L20" s="1123">
        <v>1405958.7449968499</v>
      </c>
      <c r="M20" s="1074">
        <v>23447060</v>
      </c>
      <c r="N20" s="1123">
        <v>1252851.2542268501</v>
      </c>
      <c r="O20" s="1074">
        <f t="shared" si="3"/>
        <v>52532608</v>
      </c>
      <c r="P20" s="1123">
        <f t="shared" si="3"/>
        <v>3142073.8836967</v>
      </c>
      <c r="Q20" s="1074">
        <v>231910</v>
      </c>
      <c r="R20" s="1074">
        <v>19628.43</v>
      </c>
    </row>
    <row r="21" spans="1:18">
      <c r="A21" s="607">
        <v>45504</v>
      </c>
      <c r="B21" s="534">
        <v>23</v>
      </c>
      <c r="C21" s="534">
        <v>1315643</v>
      </c>
      <c r="D21" s="631">
        <v>312725.52151475003</v>
      </c>
      <c r="E21" s="534">
        <v>934990</v>
      </c>
      <c r="F21" s="631">
        <v>252540.74249125004</v>
      </c>
      <c r="G21" s="534">
        <v>8699</v>
      </c>
      <c r="H21" s="631">
        <v>1850.0234874999996</v>
      </c>
      <c r="I21" s="534">
        <v>4150</v>
      </c>
      <c r="J21" s="631">
        <v>862.2733300000001</v>
      </c>
      <c r="K21" s="534">
        <v>31314291</v>
      </c>
      <c r="L21" s="631">
        <v>1764100.47614105</v>
      </c>
      <c r="M21" s="534">
        <v>27982511</v>
      </c>
      <c r="N21" s="631">
        <v>1585478.1762164498</v>
      </c>
      <c r="O21" s="534">
        <v>61560284</v>
      </c>
      <c r="P21" s="534">
        <v>3917557.2131810002</v>
      </c>
      <c r="Q21" s="534">
        <v>325242</v>
      </c>
      <c r="R21" s="534">
        <v>23498.207299999998</v>
      </c>
    </row>
    <row r="22" spans="1:18">
      <c r="A22" s="593"/>
    </row>
    <row r="23" spans="1:18">
      <c r="A23" s="1156" t="s">
        <v>1299</v>
      </c>
    </row>
    <row r="24" spans="1:18">
      <c r="A24" s="593" t="s">
        <v>659</v>
      </c>
    </row>
    <row r="25" spans="1:18">
      <c r="A25" s="616" t="s">
        <v>1261</v>
      </c>
    </row>
  </sheetData>
  <mergeCells count="31">
    <mergeCell ref="A12:R12"/>
    <mergeCell ref="A13:A15"/>
    <mergeCell ref="B13:B15"/>
    <mergeCell ref="C13:F13"/>
    <mergeCell ref="G13:J13"/>
    <mergeCell ref="K13:N13"/>
    <mergeCell ref="O13:P13"/>
    <mergeCell ref="R14:R15"/>
    <mergeCell ref="Q13:R13"/>
    <mergeCell ref="C14:D14"/>
    <mergeCell ref="E14:F14"/>
    <mergeCell ref="G14:H14"/>
    <mergeCell ref="I14:J14"/>
    <mergeCell ref="K14:L14"/>
    <mergeCell ref="M14:N14"/>
    <mergeCell ref="O14:O15"/>
    <mergeCell ref="A1:T1"/>
    <mergeCell ref="A2:T2"/>
    <mergeCell ref="A3:A4"/>
    <mergeCell ref="B3:B4"/>
    <mergeCell ref="C3:D3"/>
    <mergeCell ref="E3:F3"/>
    <mergeCell ref="G3:H3"/>
    <mergeCell ref="I3:J3"/>
    <mergeCell ref="K3:L3"/>
    <mergeCell ref="M3:N3"/>
    <mergeCell ref="O3:P3"/>
    <mergeCell ref="Q3:R3"/>
    <mergeCell ref="S3:T3"/>
    <mergeCell ref="P14:P15"/>
    <mergeCell ref="Q14:Q15"/>
  </mergeCells>
  <printOptions horizontalCentered="1"/>
  <pageMargins left="0.7" right="0.7" top="0.75" bottom="0.75" header="0.3" footer="0.3"/>
  <pageSetup fitToHeight="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Views>
    <sheetView zoomScaleNormal="100" workbookViewId="0">
      <selection activeCell="D9" sqref="D9"/>
    </sheetView>
  </sheetViews>
  <sheetFormatPr defaultColWidth="9.140625" defaultRowHeight="12.75"/>
  <cols>
    <col min="1" max="1" width="13.140625" style="617" customWidth="1"/>
    <col min="2" max="2" width="7.140625" style="617" customWidth="1"/>
    <col min="3" max="4" width="10.5703125" style="617" customWidth="1"/>
    <col min="5" max="8" width="9.85546875" style="617" customWidth="1"/>
    <col min="9" max="9" width="9.5703125" style="617" customWidth="1"/>
    <col min="10" max="10" width="10.42578125" style="617" bestFit="1" customWidth="1"/>
    <col min="11" max="11" width="10.140625" style="617" customWidth="1"/>
    <col min="12" max="12" width="8.85546875" style="617" customWidth="1"/>
    <col min="13" max="14" width="9.7109375" style="617" customWidth="1"/>
    <col min="15" max="15" width="9.42578125" style="617" customWidth="1"/>
    <col min="16" max="17" width="9.5703125" style="617" customWidth="1"/>
    <col min="18" max="18" width="9.7109375" style="617" customWidth="1"/>
    <col min="19" max="19" width="9.42578125" style="617" customWidth="1"/>
    <col min="20" max="20" width="8.85546875" style="617" customWidth="1"/>
    <col min="21" max="23" width="10.5703125" style="617" customWidth="1"/>
    <col min="24" max="16384" width="9.140625" style="617"/>
  </cols>
  <sheetData>
    <row r="1" spans="1:22" ht="15">
      <c r="A1" s="1532" t="s">
        <v>1427</v>
      </c>
      <c r="B1" s="1533"/>
      <c r="C1" s="1533"/>
      <c r="D1" s="1533"/>
      <c r="E1" s="1533"/>
      <c r="F1" s="1533"/>
      <c r="G1" s="1533"/>
      <c r="H1" s="1533"/>
      <c r="I1" s="1533"/>
      <c r="J1" s="1533"/>
      <c r="K1" s="1533"/>
      <c r="L1" s="1533"/>
      <c r="M1" s="1533"/>
      <c r="N1" s="1533"/>
      <c r="O1" s="1533"/>
      <c r="P1" s="1533"/>
      <c r="Q1" s="1533"/>
      <c r="R1" s="1533"/>
      <c r="S1" s="1533"/>
      <c r="T1" s="1533"/>
      <c r="U1" s="365"/>
      <c r="V1" s="365"/>
    </row>
    <row r="2" spans="1:22" ht="16.5" customHeight="1">
      <c r="A2" s="1517" t="s">
        <v>657</v>
      </c>
      <c r="B2" s="1517" t="s">
        <v>1424</v>
      </c>
      <c r="C2" s="1534" t="s">
        <v>640</v>
      </c>
      <c r="D2" s="1535"/>
      <c r="E2" s="1535"/>
      <c r="F2" s="1535"/>
      <c r="G2" s="1535"/>
      <c r="H2" s="1535"/>
      <c r="I2" s="1535"/>
      <c r="J2" s="1535"/>
      <c r="K2" s="1535"/>
      <c r="L2" s="1536"/>
      <c r="M2" s="1534" t="s">
        <v>660</v>
      </c>
      <c r="N2" s="1535"/>
      <c r="O2" s="1535"/>
      <c r="P2" s="1535"/>
      <c r="Q2" s="1535"/>
      <c r="R2" s="1535"/>
      <c r="S2" s="1535"/>
      <c r="T2" s="1536"/>
      <c r="U2" s="365"/>
      <c r="V2" s="365"/>
    </row>
    <row r="3" spans="1:22" ht="62.25" customHeight="1">
      <c r="A3" s="1520"/>
      <c r="B3" s="1520"/>
      <c r="C3" s="1528" t="s">
        <v>674</v>
      </c>
      <c r="D3" s="1529"/>
      <c r="E3" s="1528" t="s">
        <v>675</v>
      </c>
      <c r="F3" s="1529"/>
      <c r="G3" s="1528" t="s">
        <v>676</v>
      </c>
      <c r="H3" s="1529"/>
      <c r="I3" s="1528" t="s">
        <v>667</v>
      </c>
      <c r="J3" s="1529"/>
      <c r="K3" s="1530" t="s">
        <v>668</v>
      </c>
      <c r="L3" s="1531"/>
      <c r="M3" s="1528" t="s">
        <v>677</v>
      </c>
      <c r="N3" s="1529"/>
      <c r="O3" s="1528" t="s">
        <v>678</v>
      </c>
      <c r="P3" s="1529"/>
      <c r="Q3" s="1528" t="s">
        <v>671</v>
      </c>
      <c r="R3" s="1529"/>
      <c r="S3" s="1530" t="s">
        <v>1422</v>
      </c>
      <c r="T3" s="1531"/>
      <c r="U3" s="361"/>
      <c r="V3" s="361"/>
    </row>
    <row r="4" spans="1:22" s="619" customFormat="1" ht="63.75" customHeight="1">
      <c r="A4" s="1518"/>
      <c r="B4" s="1518"/>
      <c r="C4" s="618" t="s">
        <v>778</v>
      </c>
      <c r="D4" s="1075" t="s">
        <v>1274</v>
      </c>
      <c r="E4" s="618" t="s">
        <v>778</v>
      </c>
      <c r="F4" s="1075" t="s">
        <v>1274</v>
      </c>
      <c r="G4" s="618" t="s">
        <v>778</v>
      </c>
      <c r="H4" s="1075" t="s">
        <v>1274</v>
      </c>
      <c r="I4" s="618" t="s">
        <v>778</v>
      </c>
      <c r="J4" s="1075" t="s">
        <v>1274</v>
      </c>
      <c r="K4" s="618" t="s">
        <v>778</v>
      </c>
      <c r="L4" s="1076" t="s">
        <v>1277</v>
      </c>
      <c r="M4" s="618" t="s">
        <v>778</v>
      </c>
      <c r="N4" s="1075" t="s">
        <v>1274</v>
      </c>
      <c r="O4" s="618" t="s">
        <v>778</v>
      </c>
      <c r="P4" s="1075" t="s">
        <v>1274</v>
      </c>
      <c r="Q4" s="618" t="s">
        <v>778</v>
      </c>
      <c r="R4" s="1075" t="s">
        <v>1274</v>
      </c>
      <c r="S4" s="618" t="s">
        <v>778</v>
      </c>
      <c r="T4" s="1076" t="s">
        <v>679</v>
      </c>
      <c r="U4" s="361"/>
      <c r="V4" s="361"/>
    </row>
    <row r="5" spans="1:22" s="621" customFormat="1" ht="15.75" customHeight="1">
      <c r="A5" s="1073" t="s">
        <v>520</v>
      </c>
      <c r="B5" s="620">
        <v>244</v>
      </c>
      <c r="C5" s="620">
        <v>4987448</v>
      </c>
      <c r="D5" s="1120">
        <v>205162.15</v>
      </c>
      <c r="E5" s="620">
        <v>0</v>
      </c>
      <c r="F5" s="1120">
        <v>0</v>
      </c>
      <c r="G5" s="620">
        <v>20603</v>
      </c>
      <c r="H5" s="1120">
        <v>940.49365</v>
      </c>
      <c r="I5" s="620">
        <v>5008051</v>
      </c>
      <c r="J5" s="1120">
        <v>206101.64578000002</v>
      </c>
      <c r="K5" s="620">
        <v>55916</v>
      </c>
      <c r="L5" s="1120">
        <v>2082</v>
      </c>
      <c r="M5" s="620">
        <v>283</v>
      </c>
      <c r="N5" s="1120">
        <v>9.8859999999999992</v>
      </c>
      <c r="O5" s="620">
        <v>0</v>
      </c>
      <c r="P5" s="1120">
        <v>0</v>
      </c>
      <c r="Q5" s="620">
        <v>283</v>
      </c>
      <c r="R5" s="1120">
        <v>9.8860600000000005</v>
      </c>
      <c r="S5" s="620">
        <v>0</v>
      </c>
      <c r="T5" s="1120">
        <v>0</v>
      </c>
      <c r="U5" s="361"/>
      <c r="V5" s="361"/>
    </row>
    <row r="6" spans="1:22" s="621" customFormat="1" ht="15.75" customHeight="1">
      <c r="A6" s="1157" t="s">
        <v>1165</v>
      </c>
      <c r="B6" s="622">
        <f t="shared" ref="B6:R6" si="0">SUM(B7:B10)</f>
        <v>82</v>
      </c>
      <c r="C6" s="622">
        <f t="shared" si="0"/>
        <v>1294563</v>
      </c>
      <c r="D6" s="1121">
        <f t="shared" si="0"/>
        <v>50437</v>
      </c>
      <c r="E6" s="622">
        <f t="shared" si="0"/>
        <v>0</v>
      </c>
      <c r="F6" s="1121">
        <f t="shared" si="0"/>
        <v>0</v>
      </c>
      <c r="G6" s="622">
        <f t="shared" si="0"/>
        <v>16</v>
      </c>
      <c r="H6" s="1121">
        <f t="shared" si="0"/>
        <v>1</v>
      </c>
      <c r="I6" s="622">
        <f t="shared" si="0"/>
        <v>1294579</v>
      </c>
      <c r="J6" s="1121">
        <f t="shared" si="0"/>
        <v>50438</v>
      </c>
      <c r="K6" s="622">
        <f t="shared" si="0"/>
        <v>207150</v>
      </c>
      <c r="L6" s="1121">
        <f t="shared" si="0"/>
        <v>8558</v>
      </c>
      <c r="M6" s="622">
        <f t="shared" si="0"/>
        <v>10276</v>
      </c>
      <c r="N6" s="1121">
        <f t="shared" si="0"/>
        <v>290.98999999999995</v>
      </c>
      <c r="O6" s="622">
        <f t="shared" si="0"/>
        <v>4547</v>
      </c>
      <c r="P6" s="1121">
        <f t="shared" si="0"/>
        <v>125.399607</v>
      </c>
      <c r="Q6" s="622">
        <f t="shared" si="0"/>
        <v>14823</v>
      </c>
      <c r="R6" s="1121">
        <f t="shared" si="0"/>
        <v>416.39022</v>
      </c>
      <c r="S6" s="622">
        <f ca="1">INDEX(S7:S10,COUNT(S6:S10))</f>
        <v>0</v>
      </c>
      <c r="T6" s="1121">
        <f ca="1">INDEX(T7:T10,COUNT(T6:T10))</f>
        <v>0</v>
      </c>
      <c r="U6" s="361"/>
      <c r="V6" s="361"/>
    </row>
    <row r="7" spans="1:22" s="621" customFormat="1" ht="15.75" customHeight="1">
      <c r="A7" s="607">
        <v>45412</v>
      </c>
      <c r="B7" s="623">
        <v>20</v>
      </c>
      <c r="C7" s="623">
        <v>342777</v>
      </c>
      <c r="D7" s="1122">
        <v>12983</v>
      </c>
      <c r="E7" s="623">
        <v>0</v>
      </c>
      <c r="F7" s="1122">
        <v>0</v>
      </c>
      <c r="G7" s="623">
        <v>16</v>
      </c>
      <c r="H7" s="1122">
        <v>1</v>
      </c>
      <c r="I7" s="623">
        <f t="shared" ref="I7:J9" si="1">C7+E7+G7</f>
        <v>342793</v>
      </c>
      <c r="J7" s="1122">
        <f t="shared" si="1"/>
        <v>12984</v>
      </c>
      <c r="K7" s="623">
        <v>51525</v>
      </c>
      <c r="L7" s="1122">
        <v>2081</v>
      </c>
      <c r="M7" s="623">
        <v>0</v>
      </c>
      <c r="N7" s="1122">
        <v>0</v>
      </c>
      <c r="O7" s="623">
        <v>0</v>
      </c>
      <c r="P7" s="1122">
        <v>0</v>
      </c>
      <c r="Q7" s="623">
        <f t="shared" ref="Q7:R9" si="2">M7+O7</f>
        <v>0</v>
      </c>
      <c r="R7" s="1122">
        <f t="shared" si="2"/>
        <v>0</v>
      </c>
      <c r="S7" s="623">
        <v>0</v>
      </c>
      <c r="T7" s="1122">
        <v>0</v>
      </c>
      <c r="U7" s="361"/>
      <c r="V7" s="361"/>
    </row>
    <row r="8" spans="1:22" s="621" customFormat="1" ht="15.75" customHeight="1">
      <c r="A8" s="607">
        <v>45443</v>
      </c>
      <c r="B8" s="623">
        <v>21</v>
      </c>
      <c r="C8" s="623">
        <v>325130</v>
      </c>
      <c r="D8" s="1122">
        <v>13163</v>
      </c>
      <c r="E8" s="623">
        <v>0</v>
      </c>
      <c r="F8" s="1122">
        <v>0</v>
      </c>
      <c r="G8" s="623">
        <v>0</v>
      </c>
      <c r="H8" s="1122">
        <v>0</v>
      </c>
      <c r="I8" s="623">
        <f t="shared" si="1"/>
        <v>325130</v>
      </c>
      <c r="J8" s="1122">
        <f t="shared" si="1"/>
        <v>13163</v>
      </c>
      <c r="K8" s="623">
        <v>51343</v>
      </c>
      <c r="L8" s="1122">
        <v>2103</v>
      </c>
      <c r="M8" s="623">
        <v>0</v>
      </c>
      <c r="N8" s="1122">
        <v>0</v>
      </c>
      <c r="O8" s="623">
        <v>0</v>
      </c>
      <c r="P8" s="1122">
        <v>0</v>
      </c>
      <c r="Q8" s="623">
        <f t="shared" si="2"/>
        <v>0</v>
      </c>
      <c r="R8" s="1122">
        <f t="shared" si="2"/>
        <v>0</v>
      </c>
      <c r="S8" s="623">
        <v>0</v>
      </c>
      <c r="T8" s="1122">
        <v>0</v>
      </c>
      <c r="U8" s="361"/>
      <c r="V8" s="361"/>
    </row>
    <row r="9" spans="1:22" s="621" customFormat="1" ht="15.75" customHeight="1">
      <c r="A9" s="607">
        <v>45473</v>
      </c>
      <c r="B9" s="623">
        <v>19</v>
      </c>
      <c r="C9" s="623">
        <v>274301</v>
      </c>
      <c r="D9" s="1122">
        <v>11020</v>
      </c>
      <c r="E9" s="623">
        <v>0</v>
      </c>
      <c r="F9" s="1122">
        <v>0</v>
      </c>
      <c r="G9" s="623">
        <v>0</v>
      </c>
      <c r="H9" s="1122">
        <v>0</v>
      </c>
      <c r="I9" s="623">
        <f t="shared" si="1"/>
        <v>274301</v>
      </c>
      <c r="J9" s="1122">
        <f t="shared" si="1"/>
        <v>11020</v>
      </c>
      <c r="K9" s="623">
        <v>50660</v>
      </c>
      <c r="L9" s="1122">
        <v>2093</v>
      </c>
      <c r="M9" s="623">
        <v>81</v>
      </c>
      <c r="N9" s="1122">
        <v>2.2559999999999998</v>
      </c>
      <c r="O9" s="623">
        <v>48</v>
      </c>
      <c r="P9" s="1122">
        <v>1.2592699999999999</v>
      </c>
      <c r="Q9" s="623">
        <f t="shared" si="2"/>
        <v>129</v>
      </c>
      <c r="R9" s="1122">
        <f t="shared" si="2"/>
        <v>3.5152699999999997</v>
      </c>
      <c r="S9" s="623">
        <v>79</v>
      </c>
      <c r="T9" s="1122">
        <v>2.16</v>
      </c>
      <c r="U9" s="361"/>
      <c r="V9" s="361"/>
    </row>
    <row r="10" spans="1:22" s="621" customFormat="1" ht="15.75" customHeight="1">
      <c r="A10" s="607">
        <v>45504</v>
      </c>
      <c r="B10" s="623">
        <v>22</v>
      </c>
      <c r="C10" s="623">
        <v>352355</v>
      </c>
      <c r="D10" s="1122">
        <v>13271</v>
      </c>
      <c r="E10" s="623">
        <v>0</v>
      </c>
      <c r="F10" s="1122">
        <v>0</v>
      </c>
      <c r="G10" s="623">
        <v>0</v>
      </c>
      <c r="H10" s="1122">
        <v>0</v>
      </c>
      <c r="I10" s="623">
        <v>352355</v>
      </c>
      <c r="J10" s="1122">
        <v>13271</v>
      </c>
      <c r="K10" s="623">
        <v>53622</v>
      </c>
      <c r="L10" s="1122">
        <v>2281</v>
      </c>
      <c r="M10" s="623">
        <v>10195</v>
      </c>
      <c r="N10" s="1122">
        <v>288.73399999999998</v>
      </c>
      <c r="O10" s="623">
        <v>4499</v>
      </c>
      <c r="P10" s="1122">
        <v>124.140337</v>
      </c>
      <c r="Q10" s="623">
        <v>14694</v>
      </c>
      <c r="R10" s="1122">
        <v>412.87495000000001</v>
      </c>
      <c r="S10" s="623">
        <v>1057</v>
      </c>
      <c r="T10" s="1122">
        <v>30.56</v>
      </c>
      <c r="U10" s="361"/>
      <c r="V10" s="361"/>
    </row>
    <row r="11" spans="1:22" ht="18.75" customHeight="1">
      <c r="A11" s="604" t="s">
        <v>680</v>
      </c>
      <c r="B11" s="365"/>
      <c r="C11" s="365"/>
      <c r="D11" s="365"/>
      <c r="E11" s="365"/>
      <c r="F11" s="365"/>
      <c r="G11" s="365"/>
      <c r="H11" s="365"/>
      <c r="I11" s="365"/>
      <c r="J11" s="365"/>
      <c r="K11" s="365"/>
      <c r="L11" s="365"/>
      <c r="M11" s="365"/>
      <c r="N11" s="365"/>
      <c r="O11" s="365"/>
      <c r="P11" s="365"/>
      <c r="Q11" s="365"/>
      <c r="R11" s="365"/>
      <c r="S11" s="365"/>
      <c r="T11" s="365"/>
      <c r="U11" s="365"/>
      <c r="V11" s="365"/>
    </row>
    <row r="12" spans="1:22" ht="15">
      <c r="A12" s="1158" t="s">
        <v>1299</v>
      </c>
      <c r="B12" s="365"/>
      <c r="C12" s="365"/>
      <c r="D12" s="365"/>
      <c r="E12" s="365"/>
      <c r="F12" s="365"/>
      <c r="G12" s="365"/>
      <c r="H12" s="365"/>
      <c r="I12" s="365"/>
      <c r="J12" s="365"/>
      <c r="K12" s="365"/>
      <c r="L12" s="365"/>
      <c r="M12" s="365"/>
      <c r="N12" s="365"/>
      <c r="O12" s="365"/>
      <c r="P12" s="365"/>
      <c r="Q12" s="365"/>
      <c r="R12" s="365"/>
      <c r="S12" s="365"/>
      <c r="T12" s="365"/>
      <c r="U12" s="365"/>
      <c r="V12" s="365"/>
    </row>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6"/>
  <sheetViews>
    <sheetView workbookViewId="0">
      <selection sqref="A1:F1"/>
    </sheetView>
  </sheetViews>
  <sheetFormatPr defaultColWidth="8.85546875" defaultRowHeight="15"/>
  <cols>
    <col min="1" max="1" width="9.5703125" style="365" customWidth="1"/>
    <col min="2" max="2" width="12" style="365" customWidth="1"/>
    <col min="3" max="3" width="10.28515625" style="365" customWidth="1"/>
    <col min="4" max="4" width="9.85546875" style="365" customWidth="1"/>
    <col min="5" max="5" width="10.140625" style="365" customWidth="1"/>
    <col min="6" max="6" width="9.140625" style="365" customWidth="1"/>
    <col min="7" max="7" width="11" style="365" customWidth="1"/>
    <col min="8" max="8" width="10.42578125" style="365" customWidth="1"/>
    <col min="9" max="9" width="9.7109375" style="365" customWidth="1"/>
    <col min="10" max="10" width="10.140625" style="365" customWidth="1"/>
    <col min="11" max="11" width="9.5703125" style="365" customWidth="1"/>
    <col min="12" max="12" width="10.42578125" style="365" customWidth="1"/>
    <col min="13" max="13" width="14.42578125" style="365" customWidth="1"/>
    <col min="14" max="14" width="19.7109375" style="365" customWidth="1"/>
    <col min="15" max="15" width="10.85546875" style="365" bestFit="1" customWidth="1"/>
    <col min="16" max="16" width="11.28515625" style="365" customWidth="1"/>
    <col min="17" max="17" width="9.140625" style="365" customWidth="1"/>
    <col min="18" max="16384" width="8.85546875" style="365"/>
  </cols>
  <sheetData>
    <row r="1" spans="1:25" ht="29.25" customHeight="1">
      <c r="A1" s="1537" t="s">
        <v>1423</v>
      </c>
      <c r="B1" s="1537"/>
      <c r="C1" s="1537"/>
      <c r="D1" s="1537"/>
      <c r="E1" s="1537"/>
      <c r="F1" s="1537"/>
      <c r="G1" s="624"/>
      <c r="H1" s="624"/>
      <c r="I1" s="624"/>
      <c r="J1" s="624"/>
      <c r="K1" s="624"/>
      <c r="L1" s="624"/>
      <c r="M1" s="624"/>
      <c r="N1" s="624"/>
      <c r="O1" s="624"/>
      <c r="P1" s="624"/>
      <c r="Q1" s="624"/>
    </row>
    <row r="2" spans="1:25">
      <c r="A2" s="1538" t="s">
        <v>640</v>
      </c>
      <c r="B2" s="1538"/>
      <c r="C2" s="1538"/>
      <c r="D2" s="1538"/>
      <c r="E2" s="1538"/>
      <c r="F2" s="1538"/>
      <c r="G2" s="1538"/>
      <c r="H2" s="1538"/>
      <c r="I2" s="1538"/>
      <c r="J2" s="1538"/>
      <c r="K2" s="1538"/>
      <c r="L2" s="1538"/>
      <c r="M2" s="1538"/>
      <c r="N2" s="1538"/>
    </row>
    <row r="3" spans="1:25" ht="31.5" customHeight="1">
      <c r="A3" s="1539" t="s">
        <v>657</v>
      </c>
      <c r="B3" s="1541" t="s">
        <v>1424</v>
      </c>
      <c r="C3" s="1543" t="s">
        <v>681</v>
      </c>
      <c r="D3" s="1544"/>
      <c r="E3" s="1543" t="s">
        <v>682</v>
      </c>
      <c r="F3" s="1544"/>
      <c r="G3" s="1543" t="s">
        <v>683</v>
      </c>
      <c r="H3" s="1544"/>
      <c r="I3" s="1543" t="s">
        <v>684</v>
      </c>
      <c r="J3" s="1544"/>
      <c r="K3" s="1543" t="s">
        <v>92</v>
      </c>
      <c r="L3" s="1544"/>
      <c r="M3" s="1545" t="s">
        <v>1425</v>
      </c>
      <c r="N3" s="1545"/>
      <c r="O3"/>
      <c r="P3"/>
    </row>
    <row r="4" spans="1:25" ht="30" customHeight="1">
      <c r="A4" s="1540"/>
      <c r="B4" s="1542"/>
      <c r="C4" s="625" t="s">
        <v>516</v>
      </c>
      <c r="D4" s="626" t="s">
        <v>1279</v>
      </c>
      <c r="E4" s="625" t="s">
        <v>516</v>
      </c>
      <c r="F4" s="626" t="s">
        <v>1279</v>
      </c>
      <c r="G4" s="625" t="s">
        <v>516</v>
      </c>
      <c r="H4" s="626" t="s">
        <v>1279</v>
      </c>
      <c r="I4" s="625" t="s">
        <v>516</v>
      </c>
      <c r="J4" s="626" t="s">
        <v>1279</v>
      </c>
      <c r="K4" s="625" t="s">
        <v>516</v>
      </c>
      <c r="L4" s="626" t="s">
        <v>1279</v>
      </c>
      <c r="M4" s="625" t="s">
        <v>516</v>
      </c>
      <c r="N4" s="626" t="s">
        <v>1279</v>
      </c>
      <c r="O4"/>
      <c r="P4"/>
    </row>
    <row r="5" spans="1:25">
      <c r="A5" s="627" t="s">
        <v>520</v>
      </c>
      <c r="B5" s="536">
        <v>254</v>
      </c>
      <c r="C5" s="536">
        <v>75</v>
      </c>
      <c r="D5" s="628">
        <v>3.7293500000000002</v>
      </c>
      <c r="E5" s="536">
        <v>0</v>
      </c>
      <c r="F5" s="628">
        <v>0</v>
      </c>
      <c r="G5" s="536">
        <v>21</v>
      </c>
      <c r="H5" s="628">
        <v>1.0297099999999999</v>
      </c>
      <c r="I5" s="536">
        <v>4</v>
      </c>
      <c r="J5" s="628">
        <v>0.26</v>
      </c>
      <c r="K5" s="536">
        <v>100</v>
      </c>
      <c r="L5" s="628">
        <v>5.0190599999999996</v>
      </c>
      <c r="M5" s="536" t="s">
        <v>234</v>
      </c>
      <c r="N5" s="628" t="s">
        <v>234</v>
      </c>
      <c r="O5"/>
      <c r="P5"/>
    </row>
    <row r="6" spans="1:25" s="604" customFormat="1">
      <c r="A6" s="629" t="s">
        <v>1165</v>
      </c>
      <c r="B6" s="606">
        <f t="shared" ref="B6:L6" si="0">SUM(B7:B10)</f>
        <v>88</v>
      </c>
      <c r="C6" s="606">
        <f t="shared" si="0"/>
        <v>0</v>
      </c>
      <c r="D6" s="630">
        <f t="shared" si="0"/>
        <v>0</v>
      </c>
      <c r="E6" s="606">
        <f t="shared" si="0"/>
        <v>0</v>
      </c>
      <c r="F6" s="630">
        <f t="shared" si="0"/>
        <v>0</v>
      </c>
      <c r="G6" s="606">
        <f t="shared" si="0"/>
        <v>0</v>
      </c>
      <c r="H6" s="630">
        <f t="shared" si="0"/>
        <v>0</v>
      </c>
      <c r="I6" s="606">
        <f t="shared" si="0"/>
        <v>0</v>
      </c>
      <c r="J6" s="630">
        <f t="shared" si="0"/>
        <v>0</v>
      </c>
      <c r="K6" s="606">
        <f t="shared" si="0"/>
        <v>0</v>
      </c>
      <c r="L6" s="630">
        <f t="shared" si="0"/>
        <v>0</v>
      </c>
      <c r="M6" s="606">
        <f>INDEX(M7:M10,COUNT(M7:M10))</f>
        <v>0</v>
      </c>
      <c r="N6" s="630">
        <f>INDEX(N7:N10,COUNT(N7:N10))</f>
        <v>0</v>
      </c>
      <c r="O6"/>
      <c r="P6"/>
    </row>
    <row r="7" spans="1:25" s="604" customFormat="1">
      <c r="A7" s="607">
        <v>45412</v>
      </c>
      <c r="B7" s="534">
        <v>22</v>
      </c>
      <c r="C7" s="534">
        <v>0</v>
      </c>
      <c r="D7" s="631">
        <v>0</v>
      </c>
      <c r="E7" s="534">
        <v>0</v>
      </c>
      <c r="F7" s="631">
        <v>0</v>
      </c>
      <c r="G7" s="534">
        <v>0</v>
      </c>
      <c r="H7" s="631">
        <v>0</v>
      </c>
      <c r="I7" s="534">
        <v>0</v>
      </c>
      <c r="J7" s="631">
        <v>0</v>
      </c>
      <c r="K7" s="534">
        <f>C7+E7+G7+I7</f>
        <v>0</v>
      </c>
      <c r="L7" s="631">
        <f>D7+F7+H7+J7</f>
        <v>0</v>
      </c>
      <c r="M7" s="534">
        <v>0</v>
      </c>
      <c r="N7" s="631">
        <v>0</v>
      </c>
      <c r="O7"/>
      <c r="P7"/>
    </row>
    <row r="8" spans="1:25" s="604" customFormat="1">
      <c r="A8" s="607">
        <v>45443</v>
      </c>
      <c r="B8" s="534">
        <v>23</v>
      </c>
      <c r="C8" s="534">
        <v>0</v>
      </c>
      <c r="D8" s="631">
        <v>0</v>
      </c>
      <c r="E8" s="534">
        <v>0</v>
      </c>
      <c r="F8" s="631">
        <v>0</v>
      </c>
      <c r="G8" s="534">
        <v>0</v>
      </c>
      <c r="H8" s="631">
        <v>0</v>
      </c>
      <c r="I8" s="534">
        <v>0</v>
      </c>
      <c r="J8" s="631">
        <v>0</v>
      </c>
      <c r="K8" s="534">
        <f t="shared" ref="K8:L9" si="1">C8+E8+G8+I8</f>
        <v>0</v>
      </c>
      <c r="L8" s="631">
        <f t="shared" si="1"/>
        <v>0</v>
      </c>
      <c r="M8" s="534">
        <v>0</v>
      </c>
      <c r="N8" s="631">
        <v>0</v>
      </c>
      <c r="O8"/>
      <c r="P8"/>
    </row>
    <row r="9" spans="1:25" s="604" customFormat="1">
      <c r="A9" s="607">
        <v>45473</v>
      </c>
      <c r="B9" s="534">
        <v>20</v>
      </c>
      <c r="C9" s="534">
        <v>0</v>
      </c>
      <c r="D9" s="535">
        <v>0</v>
      </c>
      <c r="E9" s="534">
        <v>0</v>
      </c>
      <c r="F9" s="535">
        <v>0</v>
      </c>
      <c r="G9" s="534">
        <v>0</v>
      </c>
      <c r="H9" s="535">
        <v>0</v>
      </c>
      <c r="I9" s="534">
        <v>0</v>
      </c>
      <c r="J9" s="535">
        <v>0</v>
      </c>
      <c r="K9" s="534">
        <f t="shared" si="1"/>
        <v>0</v>
      </c>
      <c r="L9" s="631">
        <f t="shared" si="1"/>
        <v>0</v>
      </c>
      <c r="M9" s="632">
        <v>0</v>
      </c>
      <c r="N9" s="1119">
        <v>0</v>
      </c>
      <c r="O9"/>
      <c r="P9"/>
    </row>
    <row r="10" spans="1:25" s="604" customFormat="1">
      <c r="A10" s="607">
        <v>45504</v>
      </c>
      <c r="B10" s="534">
        <v>23</v>
      </c>
      <c r="C10" s="534">
        <v>0</v>
      </c>
      <c r="D10" s="631">
        <v>0</v>
      </c>
      <c r="E10" s="534">
        <v>0</v>
      </c>
      <c r="F10" s="631">
        <v>0</v>
      </c>
      <c r="G10" s="534">
        <v>0</v>
      </c>
      <c r="H10" s="631">
        <v>0</v>
      </c>
      <c r="I10" s="534">
        <v>0</v>
      </c>
      <c r="J10" s="631">
        <v>0</v>
      </c>
      <c r="K10" s="534">
        <v>0</v>
      </c>
      <c r="L10" s="631">
        <v>0</v>
      </c>
      <c r="M10" s="534">
        <v>0</v>
      </c>
      <c r="N10" s="631">
        <v>0</v>
      </c>
      <c r="O10"/>
      <c r="P10"/>
    </row>
    <row r="11" spans="1:25">
      <c r="A11" s="633"/>
      <c r="B11" s="634"/>
      <c r="C11" s="634"/>
      <c r="D11" s="634"/>
      <c r="E11" s="634"/>
      <c r="F11" s="634"/>
      <c r="G11" s="634"/>
      <c r="H11" s="634"/>
      <c r="I11" s="634"/>
      <c r="J11" s="634"/>
      <c r="K11" s="634"/>
      <c r="L11" s="634"/>
      <c r="M11" s="634"/>
      <c r="N11" s="634"/>
    </row>
    <row r="12" spans="1:25">
      <c r="A12" s="634"/>
      <c r="B12" s="634"/>
      <c r="C12" s="634"/>
      <c r="D12" s="634"/>
      <c r="E12" s="634"/>
      <c r="F12" s="634"/>
      <c r="G12" s="634"/>
      <c r="H12" s="634"/>
      <c r="I12" s="634"/>
      <c r="J12" s="634"/>
      <c r="K12" s="634"/>
      <c r="L12" s="634"/>
      <c r="M12" s="634"/>
      <c r="N12" s="634"/>
    </row>
    <row r="13" spans="1:25">
      <c r="A13" s="1546" t="s">
        <v>660</v>
      </c>
      <c r="B13" s="1547"/>
      <c r="C13" s="1547"/>
      <c r="D13" s="1547"/>
      <c r="E13" s="1547"/>
      <c r="F13" s="1547"/>
      <c r="G13" s="1547"/>
      <c r="H13" s="1547"/>
      <c r="I13" s="1547"/>
      <c r="J13" s="1547"/>
      <c r="K13" s="1547"/>
      <c r="L13" s="1547"/>
      <c r="M13" s="1547"/>
      <c r="N13" s="1548"/>
      <c r="O13" s="635"/>
      <c r="Y13" s="636"/>
    </row>
    <row r="14" spans="1:25" ht="27.75" customHeight="1">
      <c r="A14" s="1549" t="s">
        <v>112</v>
      </c>
      <c r="B14" s="1549" t="s">
        <v>1424</v>
      </c>
      <c r="C14" s="1551" t="s">
        <v>685</v>
      </c>
      <c r="D14" s="1551"/>
      <c r="E14" s="1551"/>
      <c r="F14" s="1551"/>
      <c r="G14" s="1552" t="s">
        <v>686</v>
      </c>
      <c r="H14" s="1552"/>
      <c r="I14" s="1552"/>
      <c r="J14" s="1552"/>
      <c r="K14" s="1551" t="s">
        <v>92</v>
      </c>
      <c r="L14" s="1553"/>
      <c r="M14" s="1545" t="s">
        <v>1425</v>
      </c>
      <c r="N14" s="1545"/>
      <c r="O14" s="635"/>
      <c r="Y14" s="615"/>
    </row>
    <row r="15" spans="1:25" ht="17.25" customHeight="1">
      <c r="A15" s="1520"/>
      <c r="B15" s="1520"/>
      <c r="C15" s="1554" t="s">
        <v>672</v>
      </c>
      <c r="D15" s="1554"/>
      <c r="E15" s="1554" t="s">
        <v>673</v>
      </c>
      <c r="F15" s="1554"/>
      <c r="G15" s="1554" t="s">
        <v>672</v>
      </c>
      <c r="H15" s="1554"/>
      <c r="I15" s="1554" t="s">
        <v>673</v>
      </c>
      <c r="J15" s="1554"/>
      <c r="K15" s="1545" t="s">
        <v>516</v>
      </c>
      <c r="L15" s="1545" t="s">
        <v>1279</v>
      </c>
      <c r="M15" s="1545" t="s">
        <v>516</v>
      </c>
      <c r="N15" s="1545" t="s">
        <v>1279</v>
      </c>
      <c r="O15" s="612"/>
      <c r="Y15" s="365" t="s">
        <v>656</v>
      </c>
    </row>
    <row r="16" spans="1:25" ht="46.5" customHeight="1">
      <c r="A16" s="1520"/>
      <c r="B16" s="1550"/>
      <c r="C16" s="625" t="s">
        <v>516</v>
      </c>
      <c r="D16" s="625" t="s">
        <v>1279</v>
      </c>
      <c r="E16" s="625" t="s">
        <v>516</v>
      </c>
      <c r="F16" s="625" t="s">
        <v>1279</v>
      </c>
      <c r="G16" s="625" t="s">
        <v>516</v>
      </c>
      <c r="H16" s="625" t="s">
        <v>1279</v>
      </c>
      <c r="I16" s="625" t="s">
        <v>516</v>
      </c>
      <c r="J16" s="625" t="s">
        <v>1279</v>
      </c>
      <c r="K16" s="1545"/>
      <c r="L16" s="1545"/>
      <c r="M16" s="1545"/>
      <c r="N16" s="1545"/>
      <c r="O16" s="612"/>
    </row>
    <row r="17" spans="1:17">
      <c r="A17" s="637" t="s">
        <v>520</v>
      </c>
      <c r="B17" s="638">
        <v>254</v>
      </c>
      <c r="C17" s="638">
        <v>0</v>
      </c>
      <c r="D17" s="639">
        <v>0</v>
      </c>
      <c r="E17" s="638">
        <v>0</v>
      </c>
      <c r="F17" s="639">
        <v>0</v>
      </c>
      <c r="G17" s="638">
        <v>409</v>
      </c>
      <c r="H17" s="639">
        <v>30.18703</v>
      </c>
      <c r="I17" s="638">
        <v>8</v>
      </c>
      <c r="J17" s="639">
        <v>0.56455</v>
      </c>
      <c r="K17" s="638">
        <v>417</v>
      </c>
      <c r="L17" s="639">
        <v>30.751579999999997</v>
      </c>
      <c r="M17" s="640">
        <v>3</v>
      </c>
      <c r="N17" s="641">
        <v>0.23070599999999999</v>
      </c>
      <c r="O17" s="612"/>
    </row>
    <row r="18" spans="1:17" s="604" customFormat="1">
      <c r="A18" s="642" t="s">
        <v>1165</v>
      </c>
      <c r="B18" s="606">
        <f t="shared" ref="B18:L18" si="2">SUM(B19:B22)</f>
        <v>88</v>
      </c>
      <c r="C18" s="606">
        <f t="shared" si="2"/>
        <v>0</v>
      </c>
      <c r="D18" s="630">
        <f t="shared" si="2"/>
        <v>0</v>
      </c>
      <c r="E18" s="606">
        <f t="shared" si="2"/>
        <v>0</v>
      </c>
      <c r="F18" s="630">
        <f t="shared" si="2"/>
        <v>0</v>
      </c>
      <c r="G18" s="606">
        <f t="shared" si="2"/>
        <v>139</v>
      </c>
      <c r="H18" s="630">
        <f t="shared" si="2"/>
        <v>10.19294</v>
      </c>
      <c r="I18" s="606">
        <f t="shared" si="2"/>
        <v>52</v>
      </c>
      <c r="J18" s="630">
        <f t="shared" si="2"/>
        <v>3.57796</v>
      </c>
      <c r="K18" s="606">
        <f t="shared" si="2"/>
        <v>191</v>
      </c>
      <c r="L18" s="630">
        <f t="shared" si="2"/>
        <v>13.770900000000001</v>
      </c>
      <c r="M18" s="606">
        <f>INDEX(M19:M22,COUNT(M19:M22))</f>
        <v>0</v>
      </c>
      <c r="N18" s="630">
        <f>INDEX(N19:N22,COUNT(N19:N22))</f>
        <v>0</v>
      </c>
      <c r="O18" s="612"/>
      <c r="P18" s="612"/>
      <c r="Q18" s="612"/>
    </row>
    <row r="19" spans="1:17" s="604" customFormat="1">
      <c r="A19" s="607">
        <v>45412</v>
      </c>
      <c r="B19" s="539">
        <v>22</v>
      </c>
      <c r="C19" s="539">
        <v>0</v>
      </c>
      <c r="D19" s="643">
        <v>0</v>
      </c>
      <c r="E19" s="295">
        <v>0</v>
      </c>
      <c r="F19" s="644">
        <v>0</v>
      </c>
      <c r="G19" s="538">
        <v>29</v>
      </c>
      <c r="H19" s="645">
        <v>2.2349999999999999</v>
      </c>
      <c r="I19" s="538">
        <v>20</v>
      </c>
      <c r="J19" s="645">
        <v>1.4279999999999999</v>
      </c>
      <c r="K19" s="295">
        <f>C19+E19+G19+I19</f>
        <v>49</v>
      </c>
      <c r="L19" s="645">
        <f>D19+F19+H19+J19</f>
        <v>3.6629999999999998</v>
      </c>
      <c r="M19" s="534">
        <v>4</v>
      </c>
      <c r="N19" s="631">
        <v>0.31</v>
      </c>
      <c r="O19" s="612"/>
      <c r="P19" s="612"/>
      <c r="Q19" s="612"/>
    </row>
    <row r="20" spans="1:17" s="604" customFormat="1">
      <c r="A20" s="607">
        <v>45443</v>
      </c>
      <c r="B20" s="539">
        <v>23</v>
      </c>
      <c r="C20" s="539">
        <v>0</v>
      </c>
      <c r="D20" s="643">
        <v>0</v>
      </c>
      <c r="E20" s="539">
        <v>0</v>
      </c>
      <c r="F20" s="643">
        <v>0</v>
      </c>
      <c r="G20" s="539">
        <v>40</v>
      </c>
      <c r="H20" s="643">
        <v>2.9</v>
      </c>
      <c r="I20" s="539">
        <v>10</v>
      </c>
      <c r="J20" s="643">
        <v>0.67</v>
      </c>
      <c r="K20" s="295">
        <f t="shared" ref="K20:L21" si="3">C20+E20+G20+I20</f>
        <v>50</v>
      </c>
      <c r="L20" s="645">
        <f t="shared" si="3"/>
        <v>3.57</v>
      </c>
      <c r="M20" s="534">
        <v>2</v>
      </c>
      <c r="N20" s="631">
        <v>0.14000000000000001</v>
      </c>
      <c r="O20" s="612"/>
      <c r="P20" s="612"/>
      <c r="Q20" s="612"/>
    </row>
    <row r="21" spans="1:17" s="604" customFormat="1">
      <c r="A21" s="607">
        <v>45473</v>
      </c>
      <c r="B21" s="539">
        <v>20</v>
      </c>
      <c r="C21" s="539">
        <v>0</v>
      </c>
      <c r="D21" s="1117">
        <v>0</v>
      </c>
      <c r="E21" s="539">
        <v>0</v>
      </c>
      <c r="F21" s="1117">
        <v>0</v>
      </c>
      <c r="G21" s="646">
        <v>42</v>
      </c>
      <c r="H21" s="643">
        <v>2.9660899999999999</v>
      </c>
      <c r="I21" s="646">
        <v>4</v>
      </c>
      <c r="J21" s="647">
        <v>0.28510000000000002</v>
      </c>
      <c r="K21" s="295">
        <f t="shared" si="3"/>
        <v>46</v>
      </c>
      <c r="L21" s="1118">
        <f t="shared" si="3"/>
        <v>3.2511899999999998</v>
      </c>
      <c r="M21" s="534">
        <v>0</v>
      </c>
      <c r="N21" s="1159">
        <v>0</v>
      </c>
      <c r="O21" s="612"/>
      <c r="P21" s="612"/>
      <c r="Q21" s="612"/>
    </row>
    <row r="22" spans="1:17" s="604" customFormat="1">
      <c r="A22" s="607">
        <v>45504</v>
      </c>
      <c r="B22" s="539">
        <v>23</v>
      </c>
      <c r="C22" s="539">
        <v>0</v>
      </c>
      <c r="D22" s="1117">
        <v>0</v>
      </c>
      <c r="E22" s="539">
        <v>0</v>
      </c>
      <c r="F22" s="1117">
        <v>0</v>
      </c>
      <c r="G22" s="646">
        <v>28</v>
      </c>
      <c r="H22" s="647">
        <v>2.09185</v>
      </c>
      <c r="I22" s="646">
        <v>18</v>
      </c>
      <c r="J22" s="647">
        <v>1.19486</v>
      </c>
      <c r="K22" s="539">
        <v>46</v>
      </c>
      <c r="L22" s="1117">
        <v>3.2867100000000002</v>
      </c>
      <c r="M22" s="534">
        <v>0</v>
      </c>
      <c r="N22" s="1159">
        <v>0</v>
      </c>
      <c r="O22" s="612"/>
      <c r="P22" s="612"/>
      <c r="Q22" s="612"/>
    </row>
    <row r="23" spans="1:17">
      <c r="A23" s="648"/>
      <c r="B23" s="649"/>
      <c r="C23" s="649"/>
      <c r="D23" s="649"/>
      <c r="E23" s="650"/>
      <c r="F23" s="650"/>
      <c r="G23" s="650"/>
      <c r="H23" s="651"/>
      <c r="I23" s="650"/>
      <c r="J23" s="651"/>
      <c r="K23" s="650"/>
      <c r="L23" s="650"/>
      <c r="M23" s="634"/>
      <c r="N23" s="634"/>
      <c r="O23" s="612"/>
      <c r="P23" s="612"/>
      <c r="Q23" s="612"/>
    </row>
    <row r="24" spans="1:17">
      <c r="A24" s="601" t="s">
        <v>1299</v>
      </c>
      <c r="B24" s="649"/>
      <c r="C24" s="649"/>
      <c r="D24" s="649"/>
      <c r="E24" s="650"/>
      <c r="F24" s="650"/>
      <c r="G24" s="650"/>
      <c r="H24" s="651"/>
      <c r="I24" s="650"/>
      <c r="J24" s="651"/>
      <c r="K24" s="650"/>
      <c r="L24" s="650"/>
      <c r="M24" s="634"/>
      <c r="N24" s="634"/>
      <c r="O24" s="612"/>
      <c r="P24" s="612"/>
      <c r="Q24" s="612"/>
    </row>
    <row r="25" spans="1:17">
      <c r="A25" s="633" t="s">
        <v>1262</v>
      </c>
      <c r="B25" s="649"/>
      <c r="C25" s="649"/>
      <c r="D25" s="649"/>
      <c r="E25" s="650"/>
      <c r="F25" s="650"/>
      <c r="G25" s="650"/>
      <c r="H25" s="651"/>
      <c r="I25" s="650"/>
      <c r="J25" s="651"/>
      <c r="K25" s="650"/>
      <c r="L25" s="650"/>
      <c r="M25" s="634"/>
      <c r="N25" s="634"/>
      <c r="O25" s="612"/>
      <c r="P25" s="612"/>
      <c r="Q25" s="612"/>
    </row>
    <row r="26" spans="1:17">
      <c r="A26" s="604" t="s">
        <v>258</v>
      </c>
      <c r="B26" s="609"/>
      <c r="C26" s="609"/>
      <c r="D26" s="609"/>
      <c r="E26" s="609"/>
      <c r="F26" s="609"/>
    </row>
  </sheetData>
  <mergeCells count="25">
    <mergeCell ref="N15:N16"/>
    <mergeCell ref="A13:N13"/>
    <mergeCell ref="A14:A16"/>
    <mergeCell ref="B14:B16"/>
    <mergeCell ref="C14:F14"/>
    <mergeCell ref="G14:J14"/>
    <mergeCell ref="K14:L14"/>
    <mergeCell ref="M14:N14"/>
    <mergeCell ref="C15:D15"/>
    <mergeCell ref="E15:F15"/>
    <mergeCell ref="G15:H15"/>
    <mergeCell ref="I15:J15"/>
    <mergeCell ref="K15:K16"/>
    <mergeCell ref="L15:L16"/>
    <mergeCell ref="M15:M16"/>
    <mergeCell ref="A1:F1"/>
    <mergeCell ref="A2:N2"/>
    <mergeCell ref="A3:A4"/>
    <mergeCell ref="B3:B4"/>
    <mergeCell ref="C3:D3"/>
    <mergeCell ref="E3:F3"/>
    <mergeCell ref="G3:H3"/>
    <mergeCell ref="I3:J3"/>
    <mergeCell ref="K3:L3"/>
    <mergeCell ref="M3:N3"/>
  </mergeCells>
  <printOptions horizontalCentered="1"/>
  <pageMargins left="0.7" right="0.7" top="0.75" bottom="0.75" header="0.3" footer="0.3"/>
  <pageSetup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
  <sheetViews>
    <sheetView zoomScaleNormal="100" workbookViewId="0">
      <selection sqref="A1:F1"/>
    </sheetView>
  </sheetViews>
  <sheetFormatPr defaultColWidth="9.140625" defaultRowHeight="15"/>
  <cols>
    <col min="1" max="1" width="12.28515625" style="365" customWidth="1"/>
    <col min="2" max="2" width="8.7109375" style="365" customWidth="1"/>
    <col min="3" max="3" width="15.140625" style="365" customWidth="1"/>
    <col min="4" max="4" width="10.42578125" style="365" customWidth="1"/>
    <col min="5" max="5" width="12.7109375" style="365" customWidth="1"/>
    <col min="6" max="8" width="11.7109375" style="365" customWidth="1"/>
    <col min="9" max="9" width="11.28515625" style="365" customWidth="1"/>
    <col min="10" max="10" width="11.5703125" style="365" customWidth="1"/>
    <col min="11" max="11" width="10.7109375" style="365" customWidth="1"/>
    <col min="12" max="12" width="11.5703125" style="365" customWidth="1"/>
    <col min="13" max="13" width="10.140625" style="365" customWidth="1"/>
    <col min="14" max="14" width="10.7109375" style="365" customWidth="1"/>
    <col min="15" max="16384" width="9.140625" style="365"/>
  </cols>
  <sheetData>
    <row r="1" spans="1:14" ht="27.75" customHeight="1">
      <c r="A1" s="1555" t="s">
        <v>1419</v>
      </c>
      <c r="B1" s="1555"/>
      <c r="C1" s="1555"/>
      <c r="D1" s="1555"/>
      <c r="E1" s="1555"/>
      <c r="F1" s="1555"/>
      <c r="G1" s="1110"/>
      <c r="H1" s="1110"/>
      <c r="I1" s="1110"/>
      <c r="J1" s="1110"/>
      <c r="K1" s="1110"/>
      <c r="L1" s="1110"/>
      <c r="M1" s="1110"/>
      <c r="N1" s="1111"/>
    </row>
    <row r="2" spans="1:14">
      <c r="A2" s="1556" t="s">
        <v>640</v>
      </c>
      <c r="B2" s="1556"/>
      <c r="C2" s="1556"/>
      <c r="D2" s="1556"/>
      <c r="E2" s="1556"/>
      <c r="F2" s="1556"/>
      <c r="G2" s="1556"/>
      <c r="H2" s="1556"/>
      <c r="I2" s="1556"/>
      <c r="J2" s="1556"/>
      <c r="K2" s="1556"/>
      <c r="L2" s="1556"/>
      <c r="M2" s="1556"/>
      <c r="N2" s="1556"/>
    </row>
    <row r="3" spans="1:14" ht="69" customHeight="1">
      <c r="A3" s="1557" t="s">
        <v>657</v>
      </c>
      <c r="B3" s="1558" t="s">
        <v>1424</v>
      </c>
      <c r="C3" s="1560" t="s">
        <v>681</v>
      </c>
      <c r="D3" s="1561"/>
      <c r="E3" s="1560" t="s">
        <v>682</v>
      </c>
      <c r="F3" s="1561"/>
      <c r="G3" s="1560" t="s">
        <v>686</v>
      </c>
      <c r="H3" s="1561"/>
      <c r="I3" s="1560" t="s">
        <v>687</v>
      </c>
      <c r="J3" s="1561"/>
      <c r="K3" s="1560" t="s">
        <v>92</v>
      </c>
      <c r="L3" s="1561"/>
      <c r="M3" s="1557" t="s">
        <v>1422</v>
      </c>
      <c r="N3" s="1557"/>
    </row>
    <row r="4" spans="1:14" ht="45">
      <c r="A4" s="1557"/>
      <c r="B4" s="1559"/>
      <c r="C4" s="652" t="s">
        <v>778</v>
      </c>
      <c r="D4" s="652" t="s">
        <v>1280</v>
      </c>
      <c r="E4" s="652" t="s">
        <v>778</v>
      </c>
      <c r="F4" s="652" t="s">
        <v>1280</v>
      </c>
      <c r="G4" s="652" t="s">
        <v>778</v>
      </c>
      <c r="H4" s="652" t="s">
        <v>1280</v>
      </c>
      <c r="I4" s="652" t="s">
        <v>778</v>
      </c>
      <c r="J4" s="652" t="s">
        <v>1280</v>
      </c>
      <c r="K4" s="652" t="s">
        <v>778</v>
      </c>
      <c r="L4" s="652" t="s">
        <v>1280</v>
      </c>
      <c r="M4" s="652" t="s">
        <v>778</v>
      </c>
      <c r="N4" s="652" t="s">
        <v>1281</v>
      </c>
    </row>
    <row r="5" spans="1:14" s="653" customFormat="1" ht="15" customHeight="1">
      <c r="A5" s="613" t="s">
        <v>520</v>
      </c>
      <c r="B5" s="536">
        <v>254</v>
      </c>
      <c r="C5" s="536">
        <v>0</v>
      </c>
      <c r="D5" s="628">
        <v>0</v>
      </c>
      <c r="E5" s="536">
        <v>101</v>
      </c>
      <c r="F5" s="628">
        <v>10.066040000000001</v>
      </c>
      <c r="G5" s="536">
        <v>111127</v>
      </c>
      <c r="H5" s="628">
        <v>5419.6783786000015</v>
      </c>
      <c r="I5" s="536">
        <v>0</v>
      </c>
      <c r="J5" s="628">
        <v>0</v>
      </c>
      <c r="K5" s="536">
        <v>111228</v>
      </c>
      <c r="L5" s="628">
        <v>5429.2207350000008</v>
      </c>
      <c r="M5" s="536">
        <v>58</v>
      </c>
      <c r="N5" s="628">
        <v>2.4700000000000002</v>
      </c>
    </row>
    <row r="6" spans="1:14" s="654" customFormat="1">
      <c r="A6" s="1165" t="s">
        <v>1165</v>
      </c>
      <c r="B6" s="606">
        <f t="shared" ref="B6:L6" si="0">SUM(B7:B10)</f>
        <v>88</v>
      </c>
      <c r="C6" s="606">
        <f t="shared" si="0"/>
        <v>0</v>
      </c>
      <c r="D6" s="630">
        <f t="shared" si="0"/>
        <v>0</v>
      </c>
      <c r="E6" s="606">
        <f t="shared" si="0"/>
        <v>49</v>
      </c>
      <c r="F6" s="630">
        <f t="shared" si="0"/>
        <v>12.937352000000001</v>
      </c>
      <c r="G6" s="606">
        <f t="shared" si="0"/>
        <v>541</v>
      </c>
      <c r="H6" s="630">
        <f t="shared" si="0"/>
        <v>33.497637500000003</v>
      </c>
      <c r="I6" s="606">
        <f t="shared" si="0"/>
        <v>0</v>
      </c>
      <c r="J6" s="630">
        <f t="shared" si="0"/>
        <v>0</v>
      </c>
      <c r="K6" s="606">
        <f t="shared" si="0"/>
        <v>590</v>
      </c>
      <c r="L6" s="630">
        <f t="shared" si="0"/>
        <v>46.4349895</v>
      </c>
      <c r="M6" s="606">
        <f>INDEX(M7:M10,COUNT(M7:M10))</f>
        <v>54</v>
      </c>
      <c r="N6" s="630">
        <f>INDEX(N7:N10,COUNT(N7:N10))</f>
        <v>2.39</v>
      </c>
    </row>
    <row r="7" spans="1:14" s="654" customFormat="1">
      <c r="A7" s="607">
        <v>45412</v>
      </c>
      <c r="B7" s="534">
        <v>22</v>
      </c>
      <c r="C7" s="534">
        <v>0</v>
      </c>
      <c r="D7" s="631">
        <v>0</v>
      </c>
      <c r="E7" s="534">
        <v>11</v>
      </c>
      <c r="F7" s="631">
        <v>2.6928329999999998</v>
      </c>
      <c r="G7" s="534">
        <v>150</v>
      </c>
      <c r="H7" s="631">
        <v>8.9870374999999996</v>
      </c>
      <c r="I7" s="534">
        <v>0</v>
      </c>
      <c r="J7" s="631">
        <v>0</v>
      </c>
      <c r="K7" s="534">
        <v>161</v>
      </c>
      <c r="L7" s="631">
        <v>11.6798705</v>
      </c>
      <c r="M7" s="534">
        <v>13</v>
      </c>
      <c r="N7" s="631">
        <v>1.06</v>
      </c>
    </row>
    <row r="8" spans="1:14" s="654" customFormat="1">
      <c r="A8" s="607">
        <v>45443</v>
      </c>
      <c r="B8" s="534">
        <v>23</v>
      </c>
      <c r="C8" s="534">
        <v>0</v>
      </c>
      <c r="D8" s="631">
        <v>0</v>
      </c>
      <c r="E8" s="534">
        <v>14</v>
      </c>
      <c r="F8" s="631">
        <v>3.802629</v>
      </c>
      <c r="G8" s="534">
        <v>134</v>
      </c>
      <c r="H8" s="631">
        <v>8.8337300000000027</v>
      </c>
      <c r="I8" s="534">
        <v>0</v>
      </c>
      <c r="J8" s="631">
        <v>0</v>
      </c>
      <c r="K8" s="534">
        <v>148</v>
      </c>
      <c r="L8" s="631">
        <v>12.636359000000002</v>
      </c>
      <c r="M8" s="534">
        <v>25</v>
      </c>
      <c r="N8" s="631">
        <v>1.8155399999999999</v>
      </c>
    </row>
    <row r="9" spans="1:14" s="654" customFormat="1">
      <c r="A9" s="607">
        <v>45473</v>
      </c>
      <c r="B9" s="534">
        <v>20</v>
      </c>
      <c r="C9" s="534">
        <v>0</v>
      </c>
      <c r="D9" s="631">
        <v>0</v>
      </c>
      <c r="E9" s="534">
        <v>10</v>
      </c>
      <c r="F9" s="631">
        <v>2.7018900000000001</v>
      </c>
      <c r="G9" s="534">
        <v>127</v>
      </c>
      <c r="H9" s="631">
        <v>8.2868699999999986</v>
      </c>
      <c r="I9" s="534">
        <v>0</v>
      </c>
      <c r="J9" s="631">
        <v>0</v>
      </c>
      <c r="K9" s="534">
        <v>137</v>
      </c>
      <c r="L9" s="631">
        <v>10.988759999999999</v>
      </c>
      <c r="M9" s="534">
        <v>16</v>
      </c>
      <c r="N9" s="631">
        <v>1.2877529999999999</v>
      </c>
    </row>
    <row r="10" spans="1:14" s="654" customFormat="1">
      <c r="A10" s="607">
        <v>45504</v>
      </c>
      <c r="B10" s="1077">
        <v>23</v>
      </c>
      <c r="C10" s="1078">
        <v>0</v>
      </c>
      <c r="D10" s="1078">
        <v>0</v>
      </c>
      <c r="E10" s="1080">
        <v>14</v>
      </c>
      <c r="F10" s="1112">
        <v>3.74</v>
      </c>
      <c r="G10" s="1080">
        <v>130</v>
      </c>
      <c r="H10" s="1112">
        <v>7.39</v>
      </c>
      <c r="I10" s="1080">
        <v>0</v>
      </c>
      <c r="J10" s="1112">
        <v>0</v>
      </c>
      <c r="K10" s="1080">
        <f t="shared" ref="K10:L10" si="1">C10+E10+G10+I10</f>
        <v>144</v>
      </c>
      <c r="L10" s="1112">
        <f t="shared" si="1"/>
        <v>11.129999999999999</v>
      </c>
      <c r="M10" s="1080">
        <v>54</v>
      </c>
      <c r="N10" s="1113">
        <v>2.39</v>
      </c>
    </row>
    <row r="12" spans="1:14">
      <c r="A12" s="1562" t="s">
        <v>660</v>
      </c>
      <c r="B12" s="1563"/>
      <c r="C12" s="1563"/>
      <c r="D12" s="1563"/>
      <c r="E12" s="1563"/>
      <c r="F12" s="1563"/>
      <c r="G12" s="1563"/>
      <c r="H12" s="1563"/>
      <c r="I12" s="1563"/>
      <c r="J12" s="1563"/>
      <c r="K12" s="1563"/>
      <c r="L12" s="1563"/>
      <c r="M12" s="1563"/>
      <c r="N12" s="1563"/>
    </row>
    <row r="13" spans="1:14" ht="81" customHeight="1">
      <c r="A13" s="1549" t="s">
        <v>657</v>
      </c>
      <c r="B13" s="1549" t="s">
        <v>1424</v>
      </c>
      <c r="C13" s="1564" t="s">
        <v>670</v>
      </c>
      <c r="D13" s="1565"/>
      <c r="E13" s="1565"/>
      <c r="F13" s="1566"/>
      <c r="G13" s="1552" t="s">
        <v>686</v>
      </c>
      <c r="H13" s="1552"/>
      <c r="I13" s="1552"/>
      <c r="J13" s="1552"/>
      <c r="K13" s="1564" t="s">
        <v>92</v>
      </c>
      <c r="L13" s="1566"/>
      <c r="M13" s="1564" t="s">
        <v>1422</v>
      </c>
      <c r="N13" s="1566"/>
    </row>
    <row r="14" spans="1:14" ht="21" customHeight="1">
      <c r="A14" s="1520"/>
      <c r="B14" s="1520"/>
      <c r="C14" s="1526" t="s">
        <v>672</v>
      </c>
      <c r="D14" s="1567"/>
      <c r="E14" s="1526" t="s">
        <v>673</v>
      </c>
      <c r="F14" s="1567"/>
      <c r="G14" s="1554" t="s">
        <v>672</v>
      </c>
      <c r="H14" s="1554"/>
      <c r="I14" s="1554" t="s">
        <v>673</v>
      </c>
      <c r="J14" s="1554"/>
      <c r="K14" s="1558" t="s">
        <v>778</v>
      </c>
      <c r="L14" s="1558" t="s">
        <v>1282</v>
      </c>
      <c r="M14" s="1549" t="s">
        <v>1421</v>
      </c>
      <c r="N14" s="1549" t="s">
        <v>1278</v>
      </c>
    </row>
    <row r="15" spans="1:14" ht="69.75" customHeight="1">
      <c r="A15" s="1550"/>
      <c r="B15" s="1550"/>
      <c r="C15" s="652" t="s">
        <v>778</v>
      </c>
      <c r="D15" s="652" t="s">
        <v>1280</v>
      </c>
      <c r="E15" s="652" t="s">
        <v>778</v>
      </c>
      <c r="F15" s="652" t="s">
        <v>1280</v>
      </c>
      <c r="G15" s="652" t="s">
        <v>1420</v>
      </c>
      <c r="H15" s="652" t="s">
        <v>1279</v>
      </c>
      <c r="I15" s="652" t="s">
        <v>1420</v>
      </c>
      <c r="J15" s="652" t="s">
        <v>1279</v>
      </c>
      <c r="K15" s="1559"/>
      <c r="L15" s="1559"/>
      <c r="M15" s="1550"/>
      <c r="N15" s="1550"/>
    </row>
    <row r="16" spans="1:14">
      <c r="A16" s="656" t="s">
        <v>520</v>
      </c>
      <c r="B16" s="537">
        <v>254</v>
      </c>
      <c r="C16" s="537">
        <v>32528</v>
      </c>
      <c r="D16" s="1114">
        <v>3319.1884190000005</v>
      </c>
      <c r="E16" s="537">
        <v>29940</v>
      </c>
      <c r="F16" s="1114">
        <v>2809.4286369999995</v>
      </c>
      <c r="G16" s="537">
        <v>1367980</v>
      </c>
      <c r="H16" s="1114">
        <v>97565.700477249979</v>
      </c>
      <c r="I16" s="537">
        <v>1668686</v>
      </c>
      <c r="J16" s="1114">
        <v>92575.582914250001</v>
      </c>
      <c r="K16" s="537">
        <v>3099134</v>
      </c>
      <c r="L16" s="1114">
        <v>196270.16888349998</v>
      </c>
      <c r="M16" s="537">
        <v>439</v>
      </c>
      <c r="N16" s="1114">
        <v>33.009750000000004</v>
      </c>
    </row>
    <row r="17" spans="1:14" s="655" customFormat="1">
      <c r="A17" s="1162" t="s">
        <v>1165</v>
      </c>
      <c r="B17" s="606">
        <f t="shared" ref="B17:L17" si="2">SUM(B18:B21)</f>
        <v>88</v>
      </c>
      <c r="C17" s="606">
        <f t="shared" si="2"/>
        <v>8123</v>
      </c>
      <c r="D17" s="630">
        <f t="shared" si="2"/>
        <v>2204.0892634999996</v>
      </c>
      <c r="E17" s="606">
        <f t="shared" si="2"/>
        <v>6047</v>
      </c>
      <c r="F17" s="630">
        <f t="shared" si="2"/>
        <v>1547.9136949999997</v>
      </c>
      <c r="G17" s="606">
        <f>SUM(G18:G21)</f>
        <v>2814860</v>
      </c>
      <c r="H17" s="630">
        <f>SUM(H18:H21)</f>
        <v>213361.60575899997</v>
      </c>
      <c r="I17" s="606">
        <f>SUM(I18:I21)</f>
        <v>2502338</v>
      </c>
      <c r="J17" s="630">
        <f>SUM(J18:J21)</f>
        <v>149373.06512200003</v>
      </c>
      <c r="K17" s="606">
        <f t="shared" si="2"/>
        <v>5331368</v>
      </c>
      <c r="L17" s="630">
        <f t="shared" si="2"/>
        <v>366486.6738395</v>
      </c>
      <c r="M17" s="606">
        <f>INDEX(M18:M21,COUNT(M18:M21))</f>
        <v>937</v>
      </c>
      <c r="N17" s="630">
        <f>INDEX(N18:N21,COUNT(N18:N21))</f>
        <v>63.04</v>
      </c>
    </row>
    <row r="18" spans="1:14">
      <c r="A18" s="607">
        <v>45412</v>
      </c>
      <c r="B18" s="539">
        <v>22</v>
      </c>
      <c r="C18" s="539">
        <v>4206</v>
      </c>
      <c r="D18" s="643">
        <v>1093.7545334999998</v>
      </c>
      <c r="E18" s="539">
        <v>2232</v>
      </c>
      <c r="F18" s="643">
        <v>533.39063399999986</v>
      </c>
      <c r="G18" s="539">
        <v>469918</v>
      </c>
      <c r="H18" s="643">
        <v>38033.995651250014</v>
      </c>
      <c r="I18" s="539">
        <v>1253338</v>
      </c>
      <c r="J18" s="643">
        <v>75683.183141000016</v>
      </c>
      <c r="K18" s="539">
        <v>1729694</v>
      </c>
      <c r="L18" s="643">
        <v>115344.32395975004</v>
      </c>
      <c r="M18" s="539">
        <v>407</v>
      </c>
      <c r="N18" s="643">
        <v>28.34</v>
      </c>
    </row>
    <row r="19" spans="1:14">
      <c r="A19" s="607">
        <v>45443</v>
      </c>
      <c r="B19" s="539">
        <v>23</v>
      </c>
      <c r="C19" s="539">
        <v>2462</v>
      </c>
      <c r="D19" s="643">
        <v>701.78770499999973</v>
      </c>
      <c r="E19" s="539">
        <v>933</v>
      </c>
      <c r="F19" s="643">
        <v>243.88474349999993</v>
      </c>
      <c r="G19" s="539">
        <v>1267891</v>
      </c>
      <c r="H19" s="643">
        <v>95694.799223999958</v>
      </c>
      <c r="I19" s="539">
        <v>296748</v>
      </c>
      <c r="J19" s="643">
        <v>17266.392479000016</v>
      </c>
      <c r="K19" s="539">
        <v>1568034</v>
      </c>
      <c r="L19" s="643">
        <v>113906.86415149998</v>
      </c>
      <c r="M19" s="539">
        <v>799</v>
      </c>
      <c r="N19" s="643">
        <v>51.811</v>
      </c>
    </row>
    <row r="20" spans="1:14">
      <c r="A20" s="607">
        <v>45473</v>
      </c>
      <c r="B20" s="657">
        <v>20</v>
      </c>
      <c r="C20" s="658">
        <v>449</v>
      </c>
      <c r="D20" s="643">
        <v>124.547025</v>
      </c>
      <c r="E20" s="658">
        <v>995</v>
      </c>
      <c r="F20" s="643">
        <v>261.63831749999997</v>
      </c>
      <c r="G20" s="658">
        <v>444730</v>
      </c>
      <c r="H20" s="643">
        <v>31976.810883750004</v>
      </c>
      <c r="I20" s="658">
        <v>430453</v>
      </c>
      <c r="J20" s="643">
        <v>25100.489501999993</v>
      </c>
      <c r="K20" s="658">
        <v>876627</v>
      </c>
      <c r="L20" s="643">
        <v>57463.485728250002</v>
      </c>
      <c r="M20" s="658">
        <v>790</v>
      </c>
      <c r="N20" s="643">
        <v>53.170999999999992</v>
      </c>
    </row>
    <row r="21" spans="1:14">
      <c r="A21" s="607">
        <v>45504</v>
      </c>
      <c r="B21" s="1077">
        <v>23</v>
      </c>
      <c r="C21" s="1079">
        <v>1006</v>
      </c>
      <c r="D21" s="1115">
        <v>284</v>
      </c>
      <c r="E21" s="1079">
        <v>1887</v>
      </c>
      <c r="F21" s="1116">
        <v>509</v>
      </c>
      <c r="G21" s="1160">
        <v>632321</v>
      </c>
      <c r="H21" s="1161">
        <v>47656</v>
      </c>
      <c r="I21" s="1160">
        <v>521799</v>
      </c>
      <c r="J21" s="1161">
        <v>31323</v>
      </c>
      <c r="K21" s="1160">
        <v>1157013</v>
      </c>
      <c r="L21" s="1161">
        <v>79772</v>
      </c>
      <c r="M21" s="1160">
        <v>937</v>
      </c>
      <c r="N21" s="1161">
        <v>63.04</v>
      </c>
    </row>
    <row r="22" spans="1:14">
      <c r="A22" s="604" t="s">
        <v>266</v>
      </c>
      <c r="B22" s="659"/>
      <c r="C22" s="659"/>
      <c r="D22" s="659"/>
      <c r="E22" s="660"/>
      <c r="M22" s="661"/>
      <c r="N22" s="661"/>
    </row>
    <row r="23" spans="1:14">
      <c r="A23" s="1163" t="s">
        <v>1299</v>
      </c>
    </row>
  </sheetData>
  <mergeCells count="25">
    <mergeCell ref="N14:N15"/>
    <mergeCell ref="A12:N12"/>
    <mergeCell ref="A13:A15"/>
    <mergeCell ref="B13:B15"/>
    <mergeCell ref="C13:F13"/>
    <mergeCell ref="G13:J13"/>
    <mergeCell ref="K13:L13"/>
    <mergeCell ref="M13:N13"/>
    <mergeCell ref="C14:D14"/>
    <mergeCell ref="E14:F14"/>
    <mergeCell ref="G14:H14"/>
    <mergeCell ref="I14:J14"/>
    <mergeCell ref="K14:K15"/>
    <mergeCell ref="L14:L15"/>
    <mergeCell ref="M14:M15"/>
    <mergeCell ref="A1:F1"/>
    <mergeCell ref="A2:N2"/>
    <mergeCell ref="A3:A4"/>
    <mergeCell ref="B3:B4"/>
    <mergeCell ref="C3:D3"/>
    <mergeCell ref="E3:F3"/>
    <mergeCell ref="G3:H3"/>
    <mergeCell ref="I3:J3"/>
    <mergeCell ref="K3:L3"/>
    <mergeCell ref="M3:N3"/>
  </mergeCells>
  <printOptions horizontalCentered="1"/>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5"/>
  <sheetViews>
    <sheetView workbookViewId="0"/>
  </sheetViews>
  <sheetFormatPr defaultColWidth="9.140625" defaultRowHeight="15"/>
  <cols>
    <col min="1" max="1" width="13.140625" style="361" customWidth="1"/>
    <col min="2" max="4" width="8.7109375" style="361" customWidth="1"/>
    <col min="5" max="5" width="13.28515625" style="361" customWidth="1"/>
    <col min="6" max="7" width="8.7109375" style="361" customWidth="1"/>
    <col min="8" max="11" width="9.28515625" style="361" bestFit="1" customWidth="1"/>
    <col min="12" max="12" width="9.7109375" style="361" bestFit="1" customWidth="1"/>
    <col min="13" max="13" width="9.28515625" style="361" bestFit="1" customWidth="1"/>
    <col min="14" max="14" width="9.5703125" style="361" bestFit="1" customWidth="1"/>
    <col min="15" max="16384" width="9.140625" style="361"/>
  </cols>
  <sheetData>
    <row r="1" spans="1:10" ht="25.5" customHeight="1">
      <c r="A1" s="662" t="s">
        <v>1416</v>
      </c>
      <c r="B1" s="663"/>
      <c r="C1" s="663"/>
      <c r="D1" s="663"/>
      <c r="E1" s="663"/>
      <c r="F1" s="663"/>
      <c r="G1" s="663"/>
      <c r="H1" s="663"/>
      <c r="I1" s="663"/>
      <c r="J1" s="664"/>
    </row>
    <row r="2" spans="1:10" ht="96.75" customHeight="1">
      <c r="A2" s="665" t="s">
        <v>688</v>
      </c>
      <c r="B2" s="666" t="s">
        <v>689</v>
      </c>
      <c r="C2" s="666" t="s">
        <v>690</v>
      </c>
      <c r="D2" s="666" t="s">
        <v>1417</v>
      </c>
      <c r="E2" s="666" t="s">
        <v>1418</v>
      </c>
      <c r="F2" s="666" t="s">
        <v>691</v>
      </c>
      <c r="G2" s="666" t="s">
        <v>302</v>
      </c>
      <c r="H2" s="667"/>
      <c r="I2" s="365"/>
    </row>
    <row r="3" spans="1:10">
      <c r="A3" s="1570" t="s">
        <v>72</v>
      </c>
      <c r="B3" s="1571"/>
      <c r="C3" s="1571"/>
      <c r="D3" s="1571"/>
      <c r="E3" s="1571"/>
      <c r="F3" s="1571"/>
      <c r="G3" s="1571"/>
      <c r="H3" s="667"/>
      <c r="I3" s="365"/>
    </row>
    <row r="4" spans="1:10">
      <c r="A4" s="613" t="s">
        <v>520</v>
      </c>
      <c r="B4" s="668">
        <v>1.5620775180048118E-5</v>
      </c>
      <c r="C4" s="668">
        <v>1.8583842689575554</v>
      </c>
      <c r="D4" s="668">
        <v>52.098543558254619</v>
      </c>
      <c r="E4" s="668">
        <v>0.12731865583125868</v>
      </c>
      <c r="F4" s="668">
        <v>0.83925304899422848</v>
      </c>
      <c r="G4" s="668">
        <v>45.077417482594498</v>
      </c>
      <c r="H4" s="667"/>
      <c r="I4" s="365"/>
    </row>
    <row r="5" spans="1:10">
      <c r="A5" s="614" t="s">
        <v>1165</v>
      </c>
      <c r="B5" s="668">
        <v>2.04639223657122E-5</v>
      </c>
      <c r="C5" s="668">
        <v>1.4985911929694009</v>
      </c>
      <c r="D5" s="668">
        <v>53.987148120657181</v>
      </c>
      <c r="E5" s="668">
        <v>6.1374041305228277E-2</v>
      </c>
      <c r="F5" s="668">
        <v>1.0688517055320308</v>
      </c>
      <c r="G5" s="668">
        <v>43.384012458043955</v>
      </c>
      <c r="H5" s="667"/>
      <c r="I5" s="365"/>
    </row>
    <row r="6" spans="1:10">
      <c r="A6" s="669">
        <v>45383</v>
      </c>
      <c r="B6" s="670">
        <v>2.04639223657122E-5</v>
      </c>
      <c r="C6" s="671">
        <v>1.4985911929694009</v>
      </c>
      <c r="D6" s="671">
        <v>53.987148120657181</v>
      </c>
      <c r="E6" s="671">
        <v>6.1374041305228277E-2</v>
      </c>
      <c r="F6" s="672">
        <v>1.0688517055320308</v>
      </c>
      <c r="G6" s="671">
        <v>43.384012458043955</v>
      </c>
      <c r="H6" s="667"/>
      <c r="I6" s="365"/>
    </row>
    <row r="7" spans="1:10">
      <c r="A7" s="669">
        <v>45413</v>
      </c>
      <c r="B7" s="671">
        <v>2.0736362352250552E-6</v>
      </c>
      <c r="C7" s="671">
        <v>1.1974089241918995</v>
      </c>
      <c r="D7" s="671">
        <v>54.182427008513812</v>
      </c>
      <c r="E7" s="671">
        <v>8.8129783954268973E-2</v>
      </c>
      <c r="F7" s="671">
        <v>1.0387463553540826</v>
      </c>
      <c r="G7" s="671">
        <v>43.493286586221387</v>
      </c>
      <c r="H7" s="667"/>
      <c r="I7" s="365"/>
    </row>
    <row r="8" spans="1:10">
      <c r="A8" s="669">
        <v>45444</v>
      </c>
      <c r="B8" s="671">
        <v>1.7483593801933231E-5</v>
      </c>
      <c r="C8" s="671">
        <v>1.2142828498837597</v>
      </c>
      <c r="D8" s="671">
        <v>53.77768837651363</v>
      </c>
      <c r="E8" s="671">
        <v>5.789268656722802E-2</v>
      </c>
      <c r="F8" s="671">
        <v>1.1848478538124383</v>
      </c>
      <c r="G8" s="671">
        <v>43.765270613038616</v>
      </c>
      <c r="H8" s="667"/>
      <c r="I8" s="365"/>
    </row>
    <row r="9" spans="1:10">
      <c r="A9" s="669">
        <v>45474</v>
      </c>
      <c r="B9" s="671">
        <v>2.0387597233965888E-5</v>
      </c>
      <c r="C9" s="671">
        <v>1.3796145560528066</v>
      </c>
      <c r="D9" s="671">
        <v>53.012699864350566</v>
      </c>
      <c r="E9" s="671">
        <v>9.8134418097890475E-2</v>
      </c>
      <c r="F9" s="671">
        <v>1.5492222082635885</v>
      </c>
      <c r="G9" s="671">
        <v>43.960307005931064</v>
      </c>
      <c r="H9" s="667"/>
      <c r="I9" s="365"/>
    </row>
    <row r="10" spans="1:10" s="673" customFormat="1">
      <c r="A10" s="1572" t="s">
        <v>73</v>
      </c>
      <c r="B10" s="1573"/>
      <c r="C10" s="1573"/>
      <c r="D10" s="1573"/>
      <c r="E10" s="1573"/>
      <c r="F10" s="1573"/>
      <c r="G10" s="1573"/>
      <c r="H10" s="667"/>
      <c r="I10" s="604"/>
    </row>
    <row r="11" spans="1:10" s="673" customFormat="1">
      <c r="A11" s="674" t="s">
        <v>520</v>
      </c>
      <c r="B11" s="675">
        <v>0.40935803287414579</v>
      </c>
      <c r="C11" s="675">
        <v>5.3006490727428925</v>
      </c>
      <c r="D11" s="675">
        <v>36.346196744198778</v>
      </c>
      <c r="E11" s="675">
        <v>7.3856189843789735E-2</v>
      </c>
      <c r="F11" s="675">
        <v>7.8131563951853273E-4</v>
      </c>
      <c r="G11" s="675">
        <v>57.869158644700846</v>
      </c>
      <c r="H11" s="676"/>
      <c r="I11" s="604"/>
    </row>
    <row r="12" spans="1:10" s="673" customFormat="1">
      <c r="A12" s="677" t="s">
        <v>1165</v>
      </c>
      <c r="B12" s="678">
        <v>0.1409267907744709</v>
      </c>
      <c r="C12" s="678">
        <v>5.9441994742813273</v>
      </c>
      <c r="D12" s="678">
        <v>31.467299620865809</v>
      </c>
      <c r="E12" s="678">
        <v>6.2808510569292902E-2</v>
      </c>
      <c r="F12" s="678">
        <v>0</v>
      </c>
      <c r="G12" s="678">
        <v>62.384765603509088</v>
      </c>
      <c r="H12" s="676"/>
      <c r="I12" s="604"/>
    </row>
    <row r="13" spans="1:10" s="673" customFormat="1">
      <c r="A13" s="669">
        <v>45383</v>
      </c>
      <c r="B13" s="670">
        <v>0.19280189841118459</v>
      </c>
      <c r="C13" s="670">
        <v>8.0141967175694155</v>
      </c>
      <c r="D13" s="678">
        <v>42.517111837456682</v>
      </c>
      <c r="E13" s="678">
        <v>0.12402962931060434</v>
      </c>
      <c r="F13" s="672">
        <v>0</v>
      </c>
      <c r="G13" s="678">
        <v>49.151859917252118</v>
      </c>
      <c r="H13" s="676"/>
      <c r="I13" s="604"/>
    </row>
    <row r="14" spans="1:10" s="673" customFormat="1">
      <c r="A14" s="669">
        <v>45413</v>
      </c>
      <c r="B14" s="678">
        <v>8.9757197212749579E-2</v>
      </c>
      <c r="C14" s="678">
        <v>3.9023546967300344</v>
      </c>
      <c r="D14" s="678">
        <v>20.567767536692642</v>
      </c>
      <c r="E14" s="678">
        <v>2.4200139260646858E-3</v>
      </c>
      <c r="F14" s="678">
        <v>0</v>
      </c>
      <c r="G14" s="678">
        <v>75.437700555438497</v>
      </c>
      <c r="H14" s="676"/>
      <c r="I14" s="604"/>
    </row>
    <row r="15" spans="1:10" s="673" customFormat="1">
      <c r="A15" s="669">
        <v>45444</v>
      </c>
      <c r="B15" s="678">
        <v>0.17309022387291059</v>
      </c>
      <c r="C15" s="678">
        <v>8.5190441784481159</v>
      </c>
      <c r="D15" s="678">
        <v>42.345400449539909</v>
      </c>
      <c r="E15" s="678">
        <v>0</v>
      </c>
      <c r="F15" s="678">
        <v>0</v>
      </c>
      <c r="G15" s="678">
        <v>48.962465148139067</v>
      </c>
      <c r="H15" s="676"/>
      <c r="I15" s="604"/>
    </row>
    <row r="16" spans="1:10" s="673" customFormat="1">
      <c r="A16" s="669">
        <v>45474</v>
      </c>
      <c r="B16" s="678">
        <v>0.13690595229412184</v>
      </c>
      <c r="C16" s="678">
        <v>7.7833382761724357</v>
      </c>
      <c r="D16" s="678">
        <v>43.974285475768532</v>
      </c>
      <c r="E16" s="678">
        <v>0</v>
      </c>
      <c r="F16" s="678">
        <v>0</v>
      </c>
      <c r="G16" s="678">
        <v>48.105470295764903</v>
      </c>
      <c r="H16" s="676"/>
      <c r="I16" s="604"/>
    </row>
    <row r="17" spans="1:18" s="673" customFormat="1">
      <c r="A17" s="1574" t="s">
        <v>69</v>
      </c>
      <c r="B17" s="1575"/>
      <c r="C17" s="1575"/>
      <c r="D17" s="1575"/>
      <c r="E17" s="1575"/>
      <c r="F17" s="1575"/>
      <c r="G17" s="1575"/>
      <c r="H17" s="676"/>
      <c r="I17" s="604"/>
    </row>
    <row r="18" spans="1:18" s="673" customFormat="1">
      <c r="A18" s="679" t="s">
        <v>520</v>
      </c>
      <c r="B18" s="675">
        <v>0</v>
      </c>
      <c r="C18" s="675">
        <v>1.5405191424264499</v>
      </c>
      <c r="D18" s="675">
        <v>6.0151927214496297</v>
      </c>
      <c r="E18" s="675">
        <v>0</v>
      </c>
      <c r="F18" s="675">
        <v>0</v>
      </c>
      <c r="G18" s="675">
        <v>92.444288136123902</v>
      </c>
      <c r="H18" s="676"/>
      <c r="I18" s="604"/>
    </row>
    <row r="19" spans="1:18" s="673" customFormat="1">
      <c r="A19" s="680" t="s">
        <v>1165</v>
      </c>
      <c r="B19" s="675">
        <v>0</v>
      </c>
      <c r="C19" s="675">
        <v>0</v>
      </c>
      <c r="D19" s="675">
        <v>50</v>
      </c>
      <c r="E19" s="675">
        <v>0</v>
      </c>
      <c r="F19" s="675">
        <v>0</v>
      </c>
      <c r="G19" s="675">
        <v>50</v>
      </c>
      <c r="H19" s="676"/>
      <c r="I19" s="604"/>
    </row>
    <row r="20" spans="1:18" s="673" customFormat="1">
      <c r="A20" s="669">
        <v>45383</v>
      </c>
      <c r="B20" s="670">
        <v>0</v>
      </c>
      <c r="C20" s="670">
        <v>0</v>
      </c>
      <c r="D20" s="681">
        <v>50</v>
      </c>
      <c r="E20" s="678">
        <v>0</v>
      </c>
      <c r="F20" s="672">
        <v>0</v>
      </c>
      <c r="G20" s="678">
        <v>50</v>
      </c>
      <c r="H20" s="676"/>
      <c r="I20" s="604"/>
    </row>
    <row r="21" spans="1:18" s="673" customFormat="1">
      <c r="A21" s="669">
        <v>45413</v>
      </c>
      <c r="B21" s="678">
        <v>0</v>
      </c>
      <c r="C21" s="678">
        <v>0</v>
      </c>
      <c r="D21" s="678">
        <v>50</v>
      </c>
      <c r="E21" s="678">
        <v>0</v>
      </c>
      <c r="F21" s="678">
        <v>0</v>
      </c>
      <c r="G21" s="678">
        <v>50</v>
      </c>
      <c r="H21" s="676"/>
      <c r="I21" s="604"/>
    </row>
    <row r="22" spans="1:18" s="673" customFormat="1">
      <c r="A22" s="669">
        <v>45444</v>
      </c>
      <c r="B22" s="678">
        <v>0</v>
      </c>
      <c r="C22" s="678">
        <v>0</v>
      </c>
      <c r="D22" s="678">
        <v>50</v>
      </c>
      <c r="E22" s="678">
        <v>0</v>
      </c>
      <c r="F22" s="678">
        <v>0</v>
      </c>
      <c r="G22" s="678">
        <v>50</v>
      </c>
      <c r="H22" s="676"/>
      <c r="I22" s="604"/>
    </row>
    <row r="23" spans="1:18" s="673" customFormat="1">
      <c r="A23" s="669">
        <v>45474</v>
      </c>
      <c r="B23" s="678">
        <v>0</v>
      </c>
      <c r="C23" s="678">
        <v>0</v>
      </c>
      <c r="D23" s="678">
        <v>50</v>
      </c>
      <c r="E23" s="678">
        <v>0</v>
      </c>
      <c r="F23" s="678">
        <v>0</v>
      </c>
      <c r="G23" s="678">
        <v>50</v>
      </c>
      <c r="H23" s="676"/>
      <c r="I23" s="604"/>
    </row>
    <row r="24" spans="1:18">
      <c r="A24" s="1576" t="s">
        <v>70</v>
      </c>
      <c r="B24" s="1577"/>
      <c r="C24" s="1577"/>
      <c r="D24" s="1577"/>
      <c r="E24" s="1577"/>
      <c r="F24" s="1577"/>
      <c r="G24" s="1577"/>
      <c r="H24" s="676"/>
      <c r="I24" s="604"/>
      <c r="J24" s="673"/>
      <c r="K24" s="673"/>
      <c r="L24" s="673"/>
      <c r="M24" s="673"/>
      <c r="N24" s="673"/>
      <c r="O24" s="673"/>
      <c r="P24" s="673"/>
      <c r="Q24" s="673"/>
      <c r="R24" s="673"/>
    </row>
    <row r="25" spans="1:18">
      <c r="A25" s="682" t="s">
        <v>520</v>
      </c>
      <c r="B25" s="683" t="s">
        <v>234</v>
      </c>
      <c r="C25" s="683">
        <v>5.2353496573370835E-3</v>
      </c>
      <c r="D25" s="683">
        <v>88.170176257583691</v>
      </c>
      <c r="E25" s="683" t="s">
        <v>234</v>
      </c>
      <c r="F25" s="683">
        <v>1.1997863184195538E-2</v>
      </c>
      <c r="G25" s="683">
        <v>11.809894146159598</v>
      </c>
      <c r="H25" s="676"/>
      <c r="I25" s="604"/>
      <c r="J25" s="673"/>
      <c r="K25" s="673"/>
      <c r="L25" s="673"/>
      <c r="M25" s="673"/>
      <c r="N25" s="673"/>
      <c r="O25" s="673"/>
      <c r="P25" s="673"/>
      <c r="Q25" s="673"/>
      <c r="R25" s="673"/>
    </row>
    <row r="26" spans="1:18">
      <c r="A26" s="684" t="s">
        <v>1165</v>
      </c>
      <c r="B26" s="683" t="s">
        <v>234</v>
      </c>
      <c r="C26" s="683" t="s">
        <v>234</v>
      </c>
      <c r="D26" s="685">
        <v>87.9</v>
      </c>
      <c r="E26" s="685" t="s">
        <v>234</v>
      </c>
      <c r="F26" s="685">
        <v>0.04</v>
      </c>
      <c r="G26" s="685">
        <v>12.06</v>
      </c>
      <c r="H26" s="676"/>
      <c r="I26" s="604"/>
      <c r="J26" s="673"/>
      <c r="K26" s="673"/>
      <c r="L26" s="673"/>
      <c r="M26" s="673"/>
      <c r="N26" s="673"/>
      <c r="O26" s="673"/>
      <c r="P26" s="673"/>
      <c r="Q26" s="673"/>
      <c r="R26" s="673"/>
    </row>
    <row r="27" spans="1:18">
      <c r="A27" s="669">
        <v>45383</v>
      </c>
      <c r="B27" s="678" t="s">
        <v>234</v>
      </c>
      <c r="C27" s="678" t="s">
        <v>234</v>
      </c>
      <c r="D27" s="681">
        <v>87.3</v>
      </c>
      <c r="E27" s="672" t="s">
        <v>234</v>
      </c>
      <c r="F27" s="672">
        <v>0.02</v>
      </c>
      <c r="G27" s="672">
        <v>12.69</v>
      </c>
      <c r="H27" s="667"/>
      <c r="I27" s="604"/>
      <c r="J27" s="673"/>
      <c r="K27" s="673"/>
      <c r="L27" s="673"/>
      <c r="M27" s="673"/>
      <c r="N27" s="673"/>
      <c r="O27" s="673"/>
      <c r="P27" s="673"/>
      <c r="Q27" s="673"/>
      <c r="R27" s="673"/>
    </row>
    <row r="28" spans="1:18">
      <c r="A28" s="669">
        <v>45413</v>
      </c>
      <c r="B28" s="672" t="s">
        <v>234</v>
      </c>
      <c r="C28" s="672" t="s">
        <v>234</v>
      </c>
      <c r="D28" s="672">
        <v>88.52</v>
      </c>
      <c r="E28" s="672" t="s">
        <v>234</v>
      </c>
      <c r="F28" s="672">
        <v>0.06</v>
      </c>
      <c r="G28" s="672">
        <v>11.42</v>
      </c>
      <c r="H28" s="667"/>
      <c r="I28" s="604"/>
      <c r="J28" s="673"/>
      <c r="K28" s="673"/>
      <c r="L28" s="673"/>
      <c r="M28" s="673"/>
      <c r="N28" s="673"/>
      <c r="O28" s="673"/>
      <c r="P28" s="673"/>
      <c r="Q28" s="673"/>
      <c r="R28" s="673"/>
    </row>
    <row r="29" spans="1:18">
      <c r="A29" s="669">
        <v>45444</v>
      </c>
      <c r="B29" s="672" t="s">
        <v>234</v>
      </c>
      <c r="C29" s="672" t="s">
        <v>234</v>
      </c>
      <c r="D29" s="672">
        <v>88.55</v>
      </c>
      <c r="E29" s="672" t="s">
        <v>234</v>
      </c>
      <c r="F29" s="672">
        <v>0</v>
      </c>
      <c r="G29" s="672">
        <v>11.45</v>
      </c>
      <c r="H29" s="667"/>
      <c r="I29" s="604"/>
      <c r="J29" s="673"/>
      <c r="K29" s="673"/>
      <c r="L29" s="673"/>
      <c r="M29" s="673"/>
      <c r="N29" s="673"/>
      <c r="O29" s="673"/>
      <c r="P29" s="673"/>
      <c r="Q29" s="673"/>
      <c r="R29" s="673"/>
    </row>
    <row r="30" spans="1:18">
      <c r="A30" s="669">
        <v>45474</v>
      </c>
      <c r="B30" s="672" t="s">
        <v>234</v>
      </c>
      <c r="C30" s="672" t="s">
        <v>234</v>
      </c>
      <c r="D30" s="672">
        <v>88.55</v>
      </c>
      <c r="E30" s="672" t="s">
        <v>234</v>
      </c>
      <c r="F30" s="672">
        <v>0</v>
      </c>
      <c r="G30" s="672">
        <v>11.45</v>
      </c>
      <c r="H30" s="667"/>
      <c r="I30" s="604"/>
      <c r="J30" s="673"/>
      <c r="K30" s="673"/>
      <c r="L30" s="673"/>
      <c r="M30" s="673"/>
      <c r="N30" s="673"/>
      <c r="O30" s="673"/>
      <c r="P30" s="673"/>
      <c r="Q30" s="673"/>
      <c r="R30" s="673"/>
    </row>
    <row r="31" spans="1:18">
      <c r="A31" s="1578" t="s">
        <v>692</v>
      </c>
      <c r="B31" s="1579"/>
      <c r="C31" s="1579"/>
      <c r="D31" s="1579"/>
      <c r="E31" s="1579"/>
      <c r="F31" s="1579"/>
      <c r="G31" s="1579"/>
      <c r="H31" s="686"/>
      <c r="I31" s="365"/>
    </row>
    <row r="32" spans="1:18">
      <c r="A32" s="1580" t="s">
        <v>693</v>
      </c>
      <c r="B32" s="1580"/>
      <c r="C32" s="1580"/>
      <c r="D32" s="1580"/>
      <c r="E32" s="1580"/>
      <c r="F32" s="1580"/>
      <c r="G32" s="1580"/>
      <c r="H32" s="1581"/>
      <c r="I32" s="365"/>
    </row>
    <row r="33" spans="1:9">
      <c r="A33" s="1568" t="s">
        <v>1075</v>
      </c>
      <c r="B33" s="1569"/>
      <c r="C33" s="1569"/>
      <c r="D33" s="1569"/>
      <c r="E33" s="1569"/>
      <c r="F33" s="1569"/>
      <c r="G33" s="1569"/>
      <c r="H33" s="686"/>
      <c r="I33" s="365"/>
    </row>
    <row r="34" spans="1:9">
      <c r="A34" s="601" t="s">
        <v>1299</v>
      </c>
      <c r="B34" s="365"/>
      <c r="C34" s="365"/>
      <c r="D34" s="365"/>
      <c r="E34" s="365"/>
      <c r="F34" s="365"/>
      <c r="G34" s="365"/>
      <c r="H34" s="365"/>
      <c r="I34" s="365"/>
    </row>
    <row r="35" spans="1:9">
      <c r="A35" s="16"/>
    </row>
  </sheetData>
  <mergeCells count="7">
    <mergeCell ref="A33:G33"/>
    <mergeCell ref="A3:G3"/>
    <mergeCell ref="A10:G10"/>
    <mergeCell ref="A17:G17"/>
    <mergeCell ref="A24:G24"/>
    <mergeCell ref="A31:G31"/>
    <mergeCell ref="A32:H32"/>
  </mergeCells>
  <printOptions horizontalCentered="1"/>
  <pageMargins left="0.45" right="0.45" top="0.75" bottom="0.75" header="0.3" footer="0.3"/>
  <pageSetup paperSize="9" fitToHeight="0"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0"/>
  <sheetViews>
    <sheetView zoomScale="98" zoomScaleNormal="98" workbookViewId="0">
      <selection sqref="A1:O1"/>
    </sheetView>
  </sheetViews>
  <sheetFormatPr defaultColWidth="9.140625" defaultRowHeight="15"/>
  <cols>
    <col min="1" max="1" width="14" style="180" customWidth="1"/>
    <col min="2" max="2" width="13.140625" style="180" customWidth="1"/>
    <col min="3" max="3" width="21.28515625" style="180" customWidth="1"/>
    <col min="4" max="4" width="18.5703125" style="181" customWidth="1"/>
    <col min="5" max="5" width="13.7109375" style="180" customWidth="1"/>
    <col min="6" max="7" width="12.7109375" style="180" bestFit="1" customWidth="1"/>
    <col min="8" max="8" width="11.140625" style="180" bestFit="1" customWidth="1"/>
    <col min="9" max="9" width="11" style="180" customWidth="1"/>
    <col min="10" max="10" width="11" style="180" bestFit="1" customWidth="1"/>
    <col min="11" max="11" width="15.140625" style="180" customWidth="1"/>
    <col min="12" max="13" width="8.7109375" style="180" customWidth="1"/>
    <col min="14" max="14" width="9.5703125" style="180" customWidth="1"/>
    <col min="15" max="15" width="12.7109375" style="180" customWidth="1"/>
    <col min="16" max="19" width="9.140625" style="361"/>
    <col min="20" max="20" width="26.28515625" style="361" customWidth="1"/>
    <col min="21" max="22" width="9.85546875" style="361" bestFit="1" customWidth="1"/>
    <col min="23" max="16384" width="9.140625" style="361"/>
  </cols>
  <sheetData>
    <row r="1" spans="1:16" s="180" customFormat="1">
      <c r="A1" s="1582" t="s">
        <v>1415</v>
      </c>
      <c r="B1" s="1582"/>
      <c r="C1" s="1582"/>
      <c r="D1" s="1582"/>
      <c r="E1" s="1582"/>
      <c r="F1" s="1582"/>
      <c r="G1" s="1582"/>
      <c r="H1" s="1582"/>
      <c r="I1" s="1582"/>
      <c r="J1" s="1582"/>
      <c r="K1" s="1582"/>
      <c r="L1" s="1582"/>
      <c r="M1" s="1582"/>
      <c r="N1" s="1582"/>
      <c r="O1" s="1582"/>
      <c r="P1" s="365"/>
    </row>
    <row r="2" spans="1:16" ht="63.75" customHeight="1">
      <c r="A2" s="1583" t="s">
        <v>694</v>
      </c>
      <c r="B2" s="1583" t="s">
        <v>695</v>
      </c>
      <c r="C2" s="1583" t="s">
        <v>696</v>
      </c>
      <c r="D2" s="1584" t="s">
        <v>697</v>
      </c>
      <c r="E2" s="1586" t="s">
        <v>669</v>
      </c>
      <c r="F2" s="1587"/>
      <c r="G2" s="1588"/>
      <c r="H2" s="1583" t="s">
        <v>698</v>
      </c>
      <c r="I2" s="1583"/>
      <c r="J2" s="1583"/>
      <c r="K2" s="1589" t="s">
        <v>699</v>
      </c>
      <c r="L2" s="1583" t="s">
        <v>700</v>
      </c>
      <c r="M2" s="1583"/>
      <c r="N2" s="1583" t="s">
        <v>1464</v>
      </c>
      <c r="O2" s="1583"/>
    </row>
    <row r="3" spans="1:16" ht="79.5" customHeight="1">
      <c r="A3" s="1583"/>
      <c r="B3" s="1583"/>
      <c r="C3" s="1583"/>
      <c r="D3" s="1585"/>
      <c r="E3" s="687" t="s">
        <v>1165</v>
      </c>
      <c r="F3" s="687">
        <v>45444</v>
      </c>
      <c r="G3" s="687">
        <v>45474</v>
      </c>
      <c r="H3" s="687" t="s">
        <v>1165</v>
      </c>
      <c r="I3" s="687">
        <v>45413</v>
      </c>
      <c r="J3" s="687">
        <v>45444</v>
      </c>
      <c r="K3" s="1590"/>
      <c r="L3" s="687">
        <v>45413</v>
      </c>
      <c r="M3" s="687">
        <v>45444</v>
      </c>
      <c r="N3" s="1018" t="s">
        <v>669</v>
      </c>
      <c r="O3" s="687" t="s">
        <v>701</v>
      </c>
    </row>
    <row r="4" spans="1:16" ht="12.6" customHeight="1">
      <c r="A4" s="1594" t="s">
        <v>702</v>
      </c>
      <c r="B4" s="1594" t="s">
        <v>703</v>
      </c>
      <c r="C4" s="688" t="s">
        <v>704</v>
      </c>
      <c r="D4" s="689" t="s">
        <v>705</v>
      </c>
      <c r="E4" s="690">
        <v>750679</v>
      </c>
      <c r="F4" s="690">
        <v>127922</v>
      </c>
      <c r="G4" s="690">
        <v>221258</v>
      </c>
      <c r="H4" s="690">
        <v>537074.50803000003</v>
      </c>
      <c r="I4" s="690">
        <v>91850.436710000009</v>
      </c>
      <c r="J4" s="690">
        <v>157303.92452999999</v>
      </c>
      <c r="K4" s="691" t="s">
        <v>706</v>
      </c>
      <c r="L4" s="692">
        <v>71582</v>
      </c>
      <c r="M4" s="692">
        <v>69655</v>
      </c>
      <c r="N4" s="693">
        <v>21492.043478260868</v>
      </c>
      <c r="O4" s="693">
        <v>15415.100550869569</v>
      </c>
    </row>
    <row r="5" spans="1:16" ht="12.6" customHeight="1">
      <c r="A5" s="1595"/>
      <c r="B5" s="1595"/>
      <c r="C5" s="694" t="s">
        <v>707</v>
      </c>
      <c r="D5" s="689" t="s">
        <v>708</v>
      </c>
      <c r="E5" s="690">
        <v>1993972</v>
      </c>
      <c r="F5" s="690">
        <v>415306</v>
      </c>
      <c r="G5" s="690">
        <v>506058</v>
      </c>
      <c r="H5" s="690">
        <v>142621.042953</v>
      </c>
      <c r="I5" s="690">
        <v>29767.704699999998</v>
      </c>
      <c r="J5" s="690">
        <v>35989.987015999999</v>
      </c>
      <c r="K5" s="691" t="s">
        <v>706</v>
      </c>
      <c r="L5" s="692">
        <v>71602</v>
      </c>
      <c r="M5" s="692">
        <v>69375</v>
      </c>
      <c r="N5" s="693">
        <v>26098.434782608696</v>
      </c>
      <c r="O5" s="693">
        <v>1858.7226837826086</v>
      </c>
    </row>
    <row r="6" spans="1:16" ht="12.6" customHeight="1">
      <c r="A6" s="1595"/>
      <c r="B6" s="1595"/>
      <c r="C6" s="694" t="s">
        <v>709</v>
      </c>
      <c r="D6" s="689" t="s">
        <v>710</v>
      </c>
      <c r="E6" s="690">
        <v>252244</v>
      </c>
      <c r="F6" s="690">
        <v>47052</v>
      </c>
      <c r="G6" s="690">
        <v>64179</v>
      </c>
      <c r="H6" s="690">
        <v>1462.6063019000001</v>
      </c>
      <c r="I6" s="690">
        <v>275.12318190000002</v>
      </c>
      <c r="J6" s="690">
        <v>370.71389550000004</v>
      </c>
      <c r="K6" s="691" t="s">
        <v>711</v>
      </c>
      <c r="L6" s="692">
        <v>58196</v>
      </c>
      <c r="M6" s="692">
        <v>56176</v>
      </c>
      <c r="N6" s="693">
        <v>5446.565217391304</v>
      </c>
      <c r="O6" s="693">
        <v>31.40374615217392</v>
      </c>
    </row>
    <row r="7" spans="1:16" ht="12.6" customHeight="1">
      <c r="A7" s="1595"/>
      <c r="B7" s="1595"/>
      <c r="C7" s="694" t="s">
        <v>712</v>
      </c>
      <c r="D7" s="689" t="s">
        <v>713</v>
      </c>
      <c r="E7" s="690">
        <v>3175380</v>
      </c>
      <c r="F7" s="690">
        <v>630668</v>
      </c>
      <c r="G7" s="690">
        <v>809909</v>
      </c>
      <c r="H7" s="690">
        <v>2250.1130027999998</v>
      </c>
      <c r="I7" s="690">
        <v>449.92681579999999</v>
      </c>
      <c r="J7" s="690">
        <v>571.26620000000003</v>
      </c>
      <c r="K7" s="691" t="s">
        <v>714</v>
      </c>
      <c r="L7" s="692">
        <v>7114</v>
      </c>
      <c r="M7" s="692">
        <v>6866</v>
      </c>
      <c r="N7" s="693">
        <v>76535.65217391304</v>
      </c>
      <c r="O7" s="693">
        <v>53.9642572347826</v>
      </c>
    </row>
    <row r="8" spans="1:16" ht="12.6" customHeight="1">
      <c r="A8" s="1595"/>
      <c r="B8" s="1595"/>
      <c r="C8" s="694" t="s">
        <v>715</v>
      </c>
      <c r="D8" s="689" t="s">
        <v>716</v>
      </c>
      <c r="E8" s="690">
        <v>1963205</v>
      </c>
      <c r="F8" s="690">
        <v>494560</v>
      </c>
      <c r="G8" s="690">
        <v>460908</v>
      </c>
      <c r="H8" s="690">
        <v>515198.61106799997</v>
      </c>
      <c r="I8" s="690">
        <v>133579.399512</v>
      </c>
      <c r="J8" s="690">
        <v>123218.22358800001</v>
      </c>
      <c r="K8" s="691" t="s">
        <v>717</v>
      </c>
      <c r="L8" s="692">
        <v>89540</v>
      </c>
      <c r="M8" s="692">
        <v>83596</v>
      </c>
      <c r="N8" s="693">
        <v>28094.608695652172</v>
      </c>
      <c r="O8" s="693">
        <v>7489.2160904347829</v>
      </c>
    </row>
    <row r="9" spans="1:16" ht="12.6" customHeight="1">
      <c r="A9" s="1595"/>
      <c r="B9" s="1595"/>
      <c r="C9" s="694" t="s">
        <v>718</v>
      </c>
      <c r="D9" s="689" t="s">
        <v>719</v>
      </c>
      <c r="E9" s="690">
        <v>4856107</v>
      </c>
      <c r="F9" s="690">
        <v>1219814</v>
      </c>
      <c r="G9" s="690">
        <v>1073916</v>
      </c>
      <c r="H9" s="690">
        <v>213460.59033799998</v>
      </c>
      <c r="I9" s="690">
        <v>55246.605897000001</v>
      </c>
      <c r="J9" s="690">
        <v>48126.972896000007</v>
      </c>
      <c r="K9" s="691" t="s">
        <v>717</v>
      </c>
      <c r="L9" s="692">
        <v>89582</v>
      </c>
      <c r="M9" s="692">
        <v>83659</v>
      </c>
      <c r="N9" s="693">
        <v>47569</v>
      </c>
      <c r="O9" s="693">
        <v>2117.2708025652169</v>
      </c>
    </row>
    <row r="10" spans="1:16" ht="13.5" customHeight="1">
      <c r="A10" s="1595"/>
      <c r="B10" s="1595"/>
      <c r="C10" s="694" t="s">
        <v>720</v>
      </c>
      <c r="D10" s="689" t="s">
        <v>721</v>
      </c>
      <c r="E10" s="690">
        <v>16424621</v>
      </c>
      <c r="F10" s="690">
        <v>3945232</v>
      </c>
      <c r="G10" s="690">
        <v>3791203</v>
      </c>
      <c r="H10" s="690">
        <v>144569.13762739999</v>
      </c>
      <c r="I10" s="690">
        <v>35835.584677199993</v>
      </c>
      <c r="J10" s="690">
        <v>34052.479047400004</v>
      </c>
      <c r="K10" s="691" t="s">
        <v>717</v>
      </c>
      <c r="L10" s="692">
        <v>89584</v>
      </c>
      <c r="M10" s="692">
        <v>83634</v>
      </c>
      <c r="N10" s="693">
        <v>162369.73913043478</v>
      </c>
      <c r="O10" s="693">
        <v>1453.845496004348</v>
      </c>
    </row>
    <row r="11" spans="1:16">
      <c r="A11" s="1595"/>
      <c r="B11" s="1596"/>
      <c r="C11" s="695" t="s">
        <v>864</v>
      </c>
      <c r="D11" s="696"/>
      <c r="E11" s="697">
        <f t="shared" ref="E11:J11" si="0">SUM(E4:E10)</f>
        <v>29416208</v>
      </c>
      <c r="F11" s="697">
        <f t="shared" si="0"/>
        <v>6880554</v>
      </c>
      <c r="G11" s="697">
        <f t="shared" si="0"/>
        <v>6927431</v>
      </c>
      <c r="H11" s="697">
        <f t="shared" si="0"/>
        <v>1556636.6093211002</v>
      </c>
      <c r="I11" s="697">
        <f t="shared" si="0"/>
        <v>347004.78149390005</v>
      </c>
      <c r="J11" s="697">
        <f t="shared" si="0"/>
        <v>399633.56717290002</v>
      </c>
      <c r="K11" s="698"/>
      <c r="L11" s="699"/>
      <c r="M11" s="699"/>
      <c r="N11" s="700"/>
      <c r="O11" s="700"/>
    </row>
    <row r="12" spans="1:16" ht="12.6" customHeight="1">
      <c r="A12" s="1595"/>
      <c r="B12" s="1591" t="s">
        <v>722</v>
      </c>
      <c r="C12" s="688" t="s">
        <v>723</v>
      </c>
      <c r="D12" s="701" t="s">
        <v>724</v>
      </c>
      <c r="E12" s="702">
        <v>211206</v>
      </c>
      <c r="F12" s="690">
        <v>46999</v>
      </c>
      <c r="G12" s="690">
        <v>45781</v>
      </c>
      <c r="H12" s="690">
        <v>24539.276624999999</v>
      </c>
      <c r="I12" s="690">
        <v>5487.8781250000002</v>
      </c>
      <c r="J12" s="690">
        <v>5072.2925500000001</v>
      </c>
      <c r="K12" s="691" t="s">
        <v>717</v>
      </c>
      <c r="L12" s="692">
        <v>230.4</v>
      </c>
      <c r="M12" s="692">
        <v>214.55</v>
      </c>
      <c r="N12" s="693">
        <v>4786.391304347826</v>
      </c>
      <c r="O12" s="693">
        <v>531.70700108695644</v>
      </c>
    </row>
    <row r="13" spans="1:16" ht="12.6" customHeight="1">
      <c r="A13" s="1595"/>
      <c r="B13" s="1592"/>
      <c r="C13" s="703" t="s">
        <v>725</v>
      </c>
      <c r="D13" s="701" t="s">
        <v>726</v>
      </c>
      <c r="E13" s="690">
        <v>260674</v>
      </c>
      <c r="F13" s="690">
        <v>55227</v>
      </c>
      <c r="G13" s="690">
        <v>49457</v>
      </c>
      <c r="H13" s="690">
        <v>6088.5986549999998</v>
      </c>
      <c r="I13" s="690">
        <v>1297.9448299999997</v>
      </c>
      <c r="J13" s="690">
        <v>1099.3672349999997</v>
      </c>
      <c r="K13" s="691" t="s">
        <v>717</v>
      </c>
      <c r="L13" s="692">
        <v>231.85</v>
      </c>
      <c r="M13" s="692">
        <v>215.45</v>
      </c>
      <c r="N13" s="693">
        <v>2675.391304347826</v>
      </c>
      <c r="O13" s="693">
        <v>59.6150052173913</v>
      </c>
    </row>
    <row r="14" spans="1:16" ht="12.6" customHeight="1">
      <c r="A14" s="1595"/>
      <c r="B14" s="1592"/>
      <c r="C14" s="694" t="s">
        <v>727</v>
      </c>
      <c r="D14" s="701" t="s">
        <v>728</v>
      </c>
      <c r="E14" s="690">
        <v>799095</v>
      </c>
      <c r="F14" s="690">
        <v>184993</v>
      </c>
      <c r="G14" s="690">
        <v>234185</v>
      </c>
      <c r="H14" s="690">
        <v>170735.06588750001</v>
      </c>
      <c r="I14" s="690">
        <v>39628.063824999997</v>
      </c>
      <c r="J14" s="690">
        <v>48822.928699999997</v>
      </c>
      <c r="K14" s="691" t="s">
        <v>717</v>
      </c>
      <c r="L14" s="692">
        <v>840.5</v>
      </c>
      <c r="M14" s="692">
        <v>807.4</v>
      </c>
      <c r="N14" s="693">
        <v>11443.521739130434</v>
      </c>
      <c r="O14" s="693">
        <v>2371.8460657608694</v>
      </c>
    </row>
    <row r="15" spans="1:16" ht="12.6" customHeight="1">
      <c r="A15" s="1595"/>
      <c r="B15" s="1592"/>
      <c r="C15" s="694" t="s">
        <v>729</v>
      </c>
      <c r="D15" s="701" t="s">
        <v>724</v>
      </c>
      <c r="E15" s="690">
        <v>62798</v>
      </c>
      <c r="F15" s="690">
        <v>14627</v>
      </c>
      <c r="G15" s="690">
        <v>15119</v>
      </c>
      <c r="H15" s="690">
        <v>5951.407475</v>
      </c>
      <c r="I15" s="690">
        <v>1381.0423000000001</v>
      </c>
      <c r="J15" s="690">
        <v>1422.6587</v>
      </c>
      <c r="K15" s="691" t="s">
        <v>717</v>
      </c>
      <c r="L15" s="692">
        <v>189.6</v>
      </c>
      <c r="M15" s="692">
        <v>188.7</v>
      </c>
      <c r="N15" s="693">
        <v>673.73913043478262</v>
      </c>
      <c r="O15" s="693">
        <v>63.443459782608699</v>
      </c>
    </row>
    <row r="16" spans="1:16" ht="12.6" customHeight="1">
      <c r="A16" s="1595"/>
      <c r="B16" s="1592"/>
      <c r="C16" s="703" t="s">
        <v>730</v>
      </c>
      <c r="D16" s="701" t="s">
        <v>726</v>
      </c>
      <c r="E16" s="690">
        <v>62488</v>
      </c>
      <c r="F16" s="690">
        <v>14332</v>
      </c>
      <c r="G16" s="690">
        <v>12358</v>
      </c>
      <c r="H16" s="690">
        <v>1185.051105</v>
      </c>
      <c r="I16" s="690">
        <v>270.92668000000003</v>
      </c>
      <c r="J16" s="690">
        <v>232.86635999999996</v>
      </c>
      <c r="K16" s="691" t="s">
        <v>717</v>
      </c>
      <c r="L16" s="692">
        <v>189.75</v>
      </c>
      <c r="M16" s="692">
        <v>188.55</v>
      </c>
      <c r="N16" s="693">
        <v>414.95652173913044</v>
      </c>
      <c r="O16" s="693">
        <v>7.823817173913044</v>
      </c>
    </row>
    <row r="17" spans="1:15" ht="12.6" customHeight="1">
      <c r="A17" s="1595"/>
      <c r="B17" s="1592"/>
      <c r="C17" s="694" t="s">
        <v>731</v>
      </c>
      <c r="D17" s="701" t="s">
        <v>732</v>
      </c>
      <c r="E17" s="690">
        <v>0</v>
      </c>
      <c r="F17" s="690">
        <v>0</v>
      </c>
      <c r="G17" s="690">
        <v>0</v>
      </c>
      <c r="H17" s="690">
        <v>0</v>
      </c>
      <c r="I17" s="690">
        <v>0</v>
      </c>
      <c r="J17" s="690">
        <v>0</v>
      </c>
      <c r="K17" s="691" t="s">
        <v>717</v>
      </c>
      <c r="L17" s="692">
        <v>1464.3</v>
      </c>
      <c r="M17" s="692">
        <v>1380.3</v>
      </c>
      <c r="N17" s="704">
        <v>0</v>
      </c>
      <c r="O17" s="704">
        <v>0</v>
      </c>
    </row>
    <row r="18" spans="1:15" ht="12.6" customHeight="1">
      <c r="A18" s="1595"/>
      <c r="B18" s="1592"/>
      <c r="C18" s="705" t="s">
        <v>1084</v>
      </c>
      <c r="D18" s="701" t="s">
        <v>724</v>
      </c>
      <c r="E18" s="690">
        <v>0</v>
      </c>
      <c r="F18" s="690">
        <v>0</v>
      </c>
      <c r="G18" s="690">
        <v>0</v>
      </c>
      <c r="H18" s="690">
        <v>0</v>
      </c>
      <c r="I18" s="690">
        <v>0</v>
      </c>
      <c r="J18" s="706">
        <v>0</v>
      </c>
      <c r="K18" s="707" t="s">
        <v>832</v>
      </c>
      <c r="L18" s="708">
        <v>57930</v>
      </c>
      <c r="M18" s="692">
        <v>60670</v>
      </c>
      <c r="N18" s="704">
        <v>0</v>
      </c>
      <c r="O18" s="709">
        <v>0</v>
      </c>
    </row>
    <row r="19" spans="1:15" ht="12.6" customHeight="1">
      <c r="A19" s="1595"/>
      <c r="B19" s="1592"/>
      <c r="C19" s="694" t="s">
        <v>733</v>
      </c>
      <c r="D19" s="701" t="s">
        <v>724</v>
      </c>
      <c r="E19" s="690">
        <v>418948</v>
      </c>
      <c r="F19" s="690">
        <v>96276</v>
      </c>
      <c r="G19" s="690">
        <v>81684</v>
      </c>
      <c r="H19" s="690">
        <v>53948.846774999998</v>
      </c>
      <c r="I19" s="690">
        <v>12454.941075000001</v>
      </c>
      <c r="J19" s="690">
        <v>10819.19795</v>
      </c>
      <c r="K19" s="691" t="s">
        <v>717</v>
      </c>
      <c r="L19" s="692">
        <v>265.35000000000002</v>
      </c>
      <c r="M19" s="692">
        <v>254.15</v>
      </c>
      <c r="N19" s="693">
        <v>2753.0434782608695</v>
      </c>
      <c r="O19" s="693">
        <v>365.61185326086962</v>
      </c>
    </row>
    <row r="20" spans="1:15" ht="12.6" customHeight="1">
      <c r="A20" s="1595"/>
      <c r="B20" s="1592"/>
      <c r="C20" s="703" t="s">
        <v>734</v>
      </c>
      <c r="D20" s="701" t="s">
        <v>726</v>
      </c>
      <c r="E20" s="690">
        <v>599978</v>
      </c>
      <c r="F20" s="690">
        <v>133019</v>
      </c>
      <c r="G20" s="690">
        <v>116094</v>
      </c>
      <c r="H20" s="690">
        <v>15447.632364999999</v>
      </c>
      <c r="I20" s="690">
        <v>3441.4334950000002</v>
      </c>
      <c r="J20" s="690">
        <v>3072.7726950000001</v>
      </c>
      <c r="K20" s="691" t="s">
        <v>717</v>
      </c>
      <c r="L20" s="692">
        <v>265.3</v>
      </c>
      <c r="M20" s="692">
        <v>254.15</v>
      </c>
      <c r="N20" s="692">
        <v>2704.782608695652</v>
      </c>
      <c r="O20" s="692">
        <v>71.633489565217374</v>
      </c>
    </row>
    <row r="21" spans="1:15">
      <c r="A21" s="1595"/>
      <c r="B21" s="1593"/>
      <c r="C21" s="695" t="s">
        <v>1283</v>
      </c>
      <c r="D21" s="710"/>
      <c r="E21" s="697">
        <f t="shared" ref="E21:J21" si="1">SUM(E12:E20)</f>
        <v>2415187</v>
      </c>
      <c r="F21" s="697">
        <f>SUM(F12:F20)</f>
        <v>545473</v>
      </c>
      <c r="G21" s="697">
        <f>SUM(G12:G20)</f>
        <v>554678</v>
      </c>
      <c r="H21" s="697">
        <f t="shared" si="1"/>
        <v>277895.87888750003</v>
      </c>
      <c r="I21" s="697">
        <f t="shared" si="1"/>
        <v>63962.230329999999</v>
      </c>
      <c r="J21" s="697">
        <f t="shared" si="1"/>
        <v>70542.084190000009</v>
      </c>
      <c r="K21" s="696"/>
      <c r="L21" s="699"/>
      <c r="M21" s="699"/>
      <c r="N21" s="700"/>
      <c r="O21" s="700"/>
    </row>
    <row r="22" spans="1:15" ht="12.6" customHeight="1">
      <c r="A22" s="1595"/>
      <c r="B22" s="1591" t="s">
        <v>735</v>
      </c>
      <c r="C22" s="694" t="s">
        <v>736</v>
      </c>
      <c r="D22" s="689" t="s">
        <v>737</v>
      </c>
      <c r="E22" s="711" t="s">
        <v>234</v>
      </c>
      <c r="F22" s="712" t="s">
        <v>234</v>
      </c>
      <c r="G22" s="712"/>
      <c r="H22" s="712" t="s">
        <v>234</v>
      </c>
      <c r="I22" s="712" t="s">
        <v>234</v>
      </c>
      <c r="J22" s="712" t="s">
        <v>234</v>
      </c>
      <c r="K22" s="691" t="s">
        <v>738</v>
      </c>
      <c r="L22" s="708" t="s">
        <v>221</v>
      </c>
      <c r="M22" s="708" t="s">
        <v>221</v>
      </c>
      <c r="N22" s="712">
        <v>0</v>
      </c>
      <c r="O22" s="712">
        <v>0</v>
      </c>
    </row>
    <row r="23" spans="1:15" ht="12.6" customHeight="1">
      <c r="A23" s="1595"/>
      <c r="B23" s="1592"/>
      <c r="C23" s="688" t="s">
        <v>739</v>
      </c>
      <c r="D23" s="713" t="s">
        <v>740</v>
      </c>
      <c r="E23" s="702"/>
      <c r="F23" s="690"/>
      <c r="G23" s="690"/>
      <c r="H23" s="690">
        <v>810.75085200000001</v>
      </c>
      <c r="I23" s="690">
        <v>123.78465600000001</v>
      </c>
      <c r="J23" s="690">
        <v>203.61205200000006</v>
      </c>
      <c r="K23" s="714" t="s">
        <v>741</v>
      </c>
      <c r="L23" s="692">
        <v>58800</v>
      </c>
      <c r="M23" s="692">
        <v>56860</v>
      </c>
      <c r="N23" s="693">
        <v>316.6521739130435</v>
      </c>
      <c r="O23" s="693">
        <v>87.532824521739116</v>
      </c>
    </row>
    <row r="24" spans="1:15" ht="12.6" customHeight="1">
      <c r="A24" s="1595"/>
      <c r="B24" s="1592"/>
      <c r="C24" s="694" t="s">
        <v>742</v>
      </c>
      <c r="D24" s="689" t="s">
        <v>743</v>
      </c>
      <c r="E24" s="715">
        <v>2942</v>
      </c>
      <c r="F24" s="715">
        <v>450</v>
      </c>
      <c r="G24" s="715">
        <v>756</v>
      </c>
      <c r="H24" s="715">
        <v>648.20753280000008</v>
      </c>
      <c r="I24" s="715">
        <v>141.45497279999998</v>
      </c>
      <c r="J24" s="715">
        <v>283.44115440000002</v>
      </c>
      <c r="K24" s="691" t="s">
        <v>744</v>
      </c>
      <c r="L24" s="180">
        <v>0</v>
      </c>
      <c r="M24" s="180">
        <v>0</v>
      </c>
      <c r="N24" s="180">
        <v>0</v>
      </c>
      <c r="O24" s="180">
        <v>0</v>
      </c>
    </row>
    <row r="25" spans="1:15" ht="12.6" customHeight="1">
      <c r="A25" s="1595"/>
      <c r="B25" s="1592"/>
      <c r="C25" s="716" t="s">
        <v>745</v>
      </c>
      <c r="D25" s="689" t="s">
        <v>746</v>
      </c>
      <c r="E25" s="690">
        <v>19193</v>
      </c>
      <c r="F25" s="690">
        <v>4288</v>
      </c>
      <c r="G25" s="690">
        <v>8188</v>
      </c>
      <c r="H25" s="690">
        <v>0</v>
      </c>
      <c r="I25" s="690">
        <v>0</v>
      </c>
      <c r="J25" s="690">
        <v>0</v>
      </c>
      <c r="K25" s="691" t="s">
        <v>717</v>
      </c>
      <c r="L25" s="708">
        <v>916.5</v>
      </c>
      <c r="M25" s="708">
        <v>976.3</v>
      </c>
      <c r="N25" s="693">
        <v>821.60869565217388</v>
      </c>
      <c r="O25" s="693">
        <v>28.425346747826094</v>
      </c>
    </row>
    <row r="26" spans="1:15" ht="12.6" customHeight="1">
      <c r="A26" s="1595"/>
      <c r="B26" s="1592"/>
      <c r="C26" s="694" t="s">
        <v>747</v>
      </c>
      <c r="D26" s="689" t="s">
        <v>748</v>
      </c>
      <c r="E26" s="712">
        <v>0</v>
      </c>
      <c r="F26" s="715">
        <v>0</v>
      </c>
      <c r="G26" s="715">
        <v>0</v>
      </c>
      <c r="H26" s="712">
        <v>0</v>
      </c>
      <c r="I26" s="715">
        <v>3.3110000000000001E-2</v>
      </c>
      <c r="J26" s="715">
        <v>0</v>
      </c>
      <c r="K26" s="691" t="s">
        <v>749</v>
      </c>
      <c r="L26" s="692">
        <v>1440</v>
      </c>
      <c r="M26" s="692">
        <v>1440</v>
      </c>
      <c r="N26" s="693">
        <v>0</v>
      </c>
      <c r="O26" s="693">
        <v>0</v>
      </c>
    </row>
    <row r="27" spans="1:15" ht="12.6" customHeight="1">
      <c r="A27" s="1595"/>
      <c r="B27" s="1592"/>
      <c r="C27" s="694" t="s">
        <v>750</v>
      </c>
      <c r="D27" s="689" t="s">
        <v>726</v>
      </c>
      <c r="E27" s="712" t="s">
        <v>234</v>
      </c>
      <c r="F27" s="715" t="s">
        <v>234</v>
      </c>
      <c r="G27" s="715"/>
      <c r="H27" s="712" t="s">
        <v>234</v>
      </c>
      <c r="I27" s="715" t="s">
        <v>234</v>
      </c>
      <c r="J27" s="715" t="s">
        <v>234</v>
      </c>
      <c r="K27" s="691" t="s">
        <v>751</v>
      </c>
      <c r="L27" s="708" t="s">
        <v>221</v>
      </c>
      <c r="M27" s="708" t="s">
        <v>221</v>
      </c>
      <c r="N27" s="712">
        <v>0</v>
      </c>
      <c r="O27" s="712">
        <v>0</v>
      </c>
    </row>
    <row r="28" spans="1:15" ht="15" customHeight="1">
      <c r="A28" s="1595"/>
      <c r="B28" s="1593"/>
      <c r="C28" s="698" t="s">
        <v>837</v>
      </c>
      <c r="D28" s="710"/>
      <c r="E28" s="697">
        <f t="shared" ref="E28:J28" si="2">SUM(E22:E27)</f>
        <v>22135</v>
      </c>
      <c r="F28" s="697">
        <f t="shared" si="2"/>
        <v>4738</v>
      </c>
      <c r="G28" s="697">
        <f t="shared" si="2"/>
        <v>8944</v>
      </c>
      <c r="H28" s="697">
        <f t="shared" si="2"/>
        <v>1458.9583848000002</v>
      </c>
      <c r="I28" s="697">
        <f t="shared" si="2"/>
        <v>265.27273880000001</v>
      </c>
      <c r="J28" s="697">
        <f t="shared" si="2"/>
        <v>487.05320640000008</v>
      </c>
      <c r="K28" s="696"/>
      <c r="L28" s="699"/>
      <c r="M28" s="699"/>
      <c r="N28" s="700"/>
      <c r="O28" s="700"/>
    </row>
    <row r="29" spans="1:15" ht="12.6" customHeight="1">
      <c r="A29" s="1595"/>
      <c r="B29" s="1591" t="s">
        <v>663</v>
      </c>
      <c r="C29" s="688" t="s">
        <v>752</v>
      </c>
      <c r="D29" s="701" t="s">
        <v>753</v>
      </c>
      <c r="E29" s="690">
        <v>1760950</v>
      </c>
      <c r="F29" s="690">
        <v>341711</v>
      </c>
      <c r="G29" s="690">
        <v>489524</v>
      </c>
      <c r="H29" s="690">
        <v>118385.00345000002</v>
      </c>
      <c r="I29" s="690">
        <v>22219.66102</v>
      </c>
      <c r="J29" s="690">
        <v>32929.234000000004</v>
      </c>
      <c r="K29" s="691" t="s">
        <v>754</v>
      </c>
      <c r="L29" s="692">
        <v>6805</v>
      </c>
      <c r="M29" s="692">
        <v>6524</v>
      </c>
      <c r="N29" s="693">
        <v>8281.652173913044</v>
      </c>
      <c r="O29" s="693">
        <v>554.07892217391316</v>
      </c>
    </row>
    <row r="30" spans="1:15" ht="12.6" customHeight="1">
      <c r="A30" s="1595"/>
      <c r="B30" s="1592"/>
      <c r="C30" s="688" t="s">
        <v>755</v>
      </c>
      <c r="D30" s="717" t="s">
        <v>756</v>
      </c>
      <c r="E30" s="690">
        <v>1918481</v>
      </c>
      <c r="F30" s="690">
        <v>418737</v>
      </c>
      <c r="G30" s="690">
        <v>507168</v>
      </c>
      <c r="H30" s="690">
        <v>12872.403822</v>
      </c>
      <c r="I30" s="690">
        <v>2733.1498899999997</v>
      </c>
      <c r="J30" s="690">
        <v>3398.2502890000001</v>
      </c>
      <c r="K30" s="691" t="s">
        <v>754</v>
      </c>
      <c r="L30" s="692">
        <v>6806</v>
      </c>
      <c r="M30" s="692">
        <v>6521</v>
      </c>
      <c r="N30" s="693">
        <v>7071.217391304348</v>
      </c>
      <c r="O30" s="693">
        <v>47.442252260869559</v>
      </c>
    </row>
    <row r="31" spans="1:15" ht="12.6" customHeight="1">
      <c r="A31" s="1595"/>
      <c r="B31" s="1592"/>
      <c r="C31" s="694" t="s">
        <v>757</v>
      </c>
      <c r="D31" s="701" t="s">
        <v>758</v>
      </c>
      <c r="E31" s="690">
        <v>10690315</v>
      </c>
      <c r="F31" s="690">
        <v>2460635</v>
      </c>
      <c r="G31" s="690">
        <v>2425416</v>
      </c>
      <c r="H31" s="690">
        <v>263522.34167499997</v>
      </c>
      <c r="I31" s="690">
        <v>73643.192200000005</v>
      </c>
      <c r="J31" s="690">
        <v>56769.623449999999</v>
      </c>
      <c r="K31" s="691" t="s">
        <v>759</v>
      </c>
      <c r="L31" s="692">
        <v>217.8</v>
      </c>
      <c r="M31" s="692">
        <v>172.5</v>
      </c>
      <c r="N31" s="693">
        <v>48558.043478260872</v>
      </c>
      <c r="O31" s="693">
        <v>1137.7525331521738</v>
      </c>
    </row>
    <row r="32" spans="1:15" ht="12.6" customHeight="1">
      <c r="A32" s="1595"/>
      <c r="B32" s="1592"/>
      <c r="C32" s="688" t="s">
        <v>760</v>
      </c>
      <c r="D32" s="717" t="s">
        <v>761</v>
      </c>
      <c r="E32" s="690">
        <v>5374993</v>
      </c>
      <c r="F32" s="690">
        <v>1386413</v>
      </c>
      <c r="G32" s="690">
        <v>1360379</v>
      </c>
      <c r="H32" s="690">
        <v>26950.359657500001</v>
      </c>
      <c r="I32" s="690">
        <v>8307.3473374999994</v>
      </c>
      <c r="J32" s="690">
        <v>6404.7059524999995</v>
      </c>
      <c r="K32" s="691" t="s">
        <v>759</v>
      </c>
      <c r="L32" s="692">
        <v>218</v>
      </c>
      <c r="M32" s="692">
        <v>172.6</v>
      </c>
      <c r="N32" s="693">
        <v>33564.217391304344</v>
      </c>
      <c r="O32" s="693">
        <v>157.75939010869567</v>
      </c>
    </row>
    <row r="33" spans="1:15" ht="15" customHeight="1">
      <c r="A33" s="1595"/>
      <c r="B33" s="1593"/>
      <c r="C33" s="698" t="s">
        <v>871</v>
      </c>
      <c r="D33" s="710"/>
      <c r="E33" s="697">
        <f t="shared" ref="E33:J33" si="3">SUM(E29:E32)</f>
        <v>19744739</v>
      </c>
      <c r="F33" s="697">
        <f t="shared" si="3"/>
        <v>4607496</v>
      </c>
      <c r="G33" s="697">
        <f t="shared" si="3"/>
        <v>4782487</v>
      </c>
      <c r="H33" s="697">
        <f t="shared" si="3"/>
        <v>421730.10860450001</v>
      </c>
      <c r="I33" s="697">
        <f t="shared" si="3"/>
        <v>106903.35044750001</v>
      </c>
      <c r="J33" s="697">
        <f t="shared" si="3"/>
        <v>99501.813691499992</v>
      </c>
      <c r="K33" s="696"/>
      <c r="L33" s="699"/>
      <c r="M33" s="699"/>
      <c r="N33" s="700"/>
      <c r="O33" s="700"/>
    </row>
    <row r="34" spans="1:15">
      <c r="A34" s="1595"/>
      <c r="B34" s="1591" t="s">
        <v>762</v>
      </c>
      <c r="C34" s="694" t="s">
        <v>763</v>
      </c>
      <c r="D34" s="718">
        <v>50</v>
      </c>
      <c r="E34" s="702">
        <v>19404</v>
      </c>
      <c r="F34" s="690">
        <v>3944</v>
      </c>
      <c r="G34" s="690">
        <v>3294</v>
      </c>
      <c r="H34" s="690">
        <v>1778.5940900000001</v>
      </c>
      <c r="I34" s="690">
        <v>365.41082499999999</v>
      </c>
      <c r="J34" s="690">
        <v>301.01428500000003</v>
      </c>
      <c r="K34" s="691" t="s">
        <v>764</v>
      </c>
      <c r="L34" s="692">
        <v>18389</v>
      </c>
      <c r="M34" s="692">
        <v>17588</v>
      </c>
      <c r="N34" s="693">
        <v>178.65217391304347</v>
      </c>
      <c r="O34" s="693">
        <v>16.441197826086956</v>
      </c>
    </row>
    <row r="35" spans="1:15">
      <c r="A35" s="1595"/>
      <c r="B35" s="1592"/>
      <c r="C35" s="694" t="s">
        <v>665</v>
      </c>
      <c r="D35" s="718">
        <v>125</v>
      </c>
      <c r="E35" s="690">
        <v>0</v>
      </c>
      <c r="F35" s="690">
        <v>0</v>
      </c>
      <c r="G35" s="690">
        <v>0</v>
      </c>
      <c r="H35" s="690">
        <v>0</v>
      </c>
      <c r="I35" s="690">
        <v>0</v>
      </c>
      <c r="J35" s="690">
        <v>0</v>
      </c>
      <c r="K35" s="691" t="s">
        <v>764</v>
      </c>
    </row>
    <row r="36" spans="1:15">
      <c r="A36" s="1595"/>
      <c r="B36" s="1592"/>
      <c r="C36" s="694" t="s">
        <v>1284</v>
      </c>
      <c r="D36" s="718">
        <v>50</v>
      </c>
      <c r="E36" s="690">
        <v>0</v>
      </c>
      <c r="F36" s="690">
        <v>0</v>
      </c>
      <c r="G36" s="690">
        <v>0</v>
      </c>
      <c r="H36" s="690">
        <v>0</v>
      </c>
      <c r="I36" s="690">
        <v>0</v>
      </c>
      <c r="J36" s="690">
        <v>0</v>
      </c>
      <c r="K36" s="691" t="s">
        <v>764</v>
      </c>
      <c r="L36" s="708">
        <v>17486</v>
      </c>
      <c r="M36" s="708">
        <v>16779</v>
      </c>
      <c r="N36" s="719">
        <v>0</v>
      </c>
      <c r="O36" s="719">
        <v>0</v>
      </c>
    </row>
    <row r="37" spans="1:15" ht="29.25" customHeight="1">
      <c r="A37" s="1595"/>
      <c r="B37" s="1593"/>
      <c r="C37" s="695" t="s">
        <v>1285</v>
      </c>
      <c r="D37" s="696"/>
      <c r="E37" s="697">
        <f t="shared" ref="E37:J37" si="4">SUM(E34:E36)</f>
        <v>19404</v>
      </c>
      <c r="F37" s="697">
        <f t="shared" si="4"/>
        <v>3944</v>
      </c>
      <c r="G37" s="697">
        <f t="shared" si="4"/>
        <v>3294</v>
      </c>
      <c r="H37" s="697">
        <f t="shared" si="4"/>
        <v>1778.5940900000001</v>
      </c>
      <c r="I37" s="697">
        <f t="shared" si="4"/>
        <v>365.41082499999999</v>
      </c>
      <c r="J37" s="697">
        <f t="shared" si="4"/>
        <v>301.01428500000003</v>
      </c>
      <c r="K37" s="696"/>
      <c r="L37" s="699"/>
      <c r="M37" s="699"/>
      <c r="N37" s="700"/>
      <c r="O37" s="700"/>
    </row>
    <row r="38" spans="1:15" ht="50.25" customHeight="1">
      <c r="A38" s="1596"/>
      <c r="B38" s="720" t="s">
        <v>765</v>
      </c>
      <c r="C38" s="721" t="s">
        <v>765</v>
      </c>
      <c r="D38" s="722"/>
      <c r="E38" s="723">
        <f>E11+E21+E28+E33+E37</f>
        <v>51617673</v>
      </c>
      <c r="F38" s="723">
        <f t="shared" ref="F38:G38" si="5">F11+F21+F28+F33+F37</f>
        <v>12042205</v>
      </c>
      <c r="G38" s="723">
        <f t="shared" si="5"/>
        <v>12276834</v>
      </c>
      <c r="H38" s="723">
        <f t="shared" ref="H38:J38" si="6">H11+H21+H28+H33</f>
        <v>2257721.5551979002</v>
      </c>
      <c r="I38" s="723">
        <f t="shared" si="6"/>
        <v>518135.63501020003</v>
      </c>
      <c r="J38" s="723">
        <f t="shared" si="6"/>
        <v>570164.51826080005</v>
      </c>
      <c r="K38" s="724"/>
      <c r="L38" s="725"/>
      <c r="M38" s="725"/>
      <c r="N38" s="726"/>
      <c r="O38" s="726"/>
    </row>
    <row r="39" spans="1:15" ht="12.6" customHeight="1">
      <c r="A39" s="1591" t="s">
        <v>766</v>
      </c>
      <c r="B39" s="1594" t="s">
        <v>661</v>
      </c>
      <c r="C39" s="694" t="s">
        <v>704</v>
      </c>
      <c r="D39" s="689" t="s">
        <v>705</v>
      </c>
      <c r="E39" s="727">
        <v>1466013</v>
      </c>
      <c r="F39" s="728">
        <v>162943</v>
      </c>
      <c r="G39" s="728">
        <v>558215</v>
      </c>
      <c r="H39" s="728">
        <v>1057612.50257</v>
      </c>
      <c r="I39" s="728">
        <v>118434.800325</v>
      </c>
      <c r="J39" s="728">
        <v>402335.77149499999</v>
      </c>
      <c r="K39" s="691" t="s">
        <v>706</v>
      </c>
      <c r="L39" s="729" t="s">
        <v>221</v>
      </c>
      <c r="M39" s="729" t="s">
        <v>221</v>
      </c>
      <c r="N39" s="693">
        <v>10314.04347826087</v>
      </c>
      <c r="O39" s="693">
        <v>7478.3882280434782</v>
      </c>
    </row>
    <row r="40" spans="1:15" ht="12.6" customHeight="1">
      <c r="A40" s="1592"/>
      <c r="B40" s="1595"/>
      <c r="C40" s="694" t="s">
        <v>707</v>
      </c>
      <c r="D40" s="689" t="s">
        <v>708</v>
      </c>
      <c r="E40" s="728">
        <v>3552115</v>
      </c>
      <c r="F40" s="728">
        <v>1180655</v>
      </c>
      <c r="G40" s="728">
        <v>1035211</v>
      </c>
      <c r="H40" s="728">
        <v>256209.38594750001</v>
      </c>
      <c r="I40" s="728">
        <v>85093.273019499989</v>
      </c>
      <c r="J40" s="728">
        <v>74567.746954500006</v>
      </c>
      <c r="K40" s="691" t="s">
        <v>706</v>
      </c>
      <c r="L40" s="729" t="s">
        <v>221</v>
      </c>
      <c r="M40" s="729" t="s">
        <v>221</v>
      </c>
      <c r="N40" s="693">
        <v>14096</v>
      </c>
      <c r="O40" s="693">
        <v>1022.1487006739128</v>
      </c>
    </row>
    <row r="41" spans="1:15" ht="12.6" customHeight="1">
      <c r="A41" s="1592"/>
      <c r="B41" s="1595"/>
      <c r="C41" s="694" t="s">
        <v>767</v>
      </c>
      <c r="D41" s="689" t="s">
        <v>716</v>
      </c>
      <c r="E41" s="728">
        <v>2270279</v>
      </c>
      <c r="F41" s="728">
        <v>879494</v>
      </c>
      <c r="G41" s="728">
        <v>257150</v>
      </c>
      <c r="H41" s="728">
        <v>593470.88757899997</v>
      </c>
      <c r="I41" s="728">
        <v>238485.01683899993</v>
      </c>
      <c r="J41" s="728">
        <v>70043.044954500001</v>
      </c>
      <c r="K41" s="691" t="s">
        <v>768</v>
      </c>
      <c r="L41" s="729" t="s">
        <v>221</v>
      </c>
      <c r="M41" s="729" t="s">
        <v>221</v>
      </c>
      <c r="N41" s="693">
        <v>11565.304347826086</v>
      </c>
      <c r="O41" s="693">
        <v>3228.0977103260871</v>
      </c>
    </row>
    <row r="42" spans="1:15" ht="12.6" customHeight="1">
      <c r="A42" s="1592"/>
      <c r="B42" s="1595"/>
      <c r="C42" s="694" t="s">
        <v>718</v>
      </c>
      <c r="D42" s="689" t="s">
        <v>719</v>
      </c>
      <c r="E42" s="728">
        <v>2244581</v>
      </c>
      <c r="F42" s="728">
        <v>865127</v>
      </c>
      <c r="G42" s="728">
        <v>400057</v>
      </c>
      <c r="H42" s="728">
        <v>99999.124268999993</v>
      </c>
      <c r="I42" s="728">
        <v>39475.884301999991</v>
      </c>
      <c r="J42" s="728">
        <v>18319.700601999997</v>
      </c>
      <c r="K42" s="691" t="s">
        <v>768</v>
      </c>
      <c r="L42" s="729" t="s">
        <v>221</v>
      </c>
      <c r="M42" s="729" t="s">
        <v>221</v>
      </c>
      <c r="N42" s="693">
        <v>16359.478260869566</v>
      </c>
      <c r="O42" s="693">
        <v>759.44926970652193</v>
      </c>
    </row>
    <row r="43" spans="1:15" ht="27.75" customHeight="1">
      <c r="A43" s="1592"/>
      <c r="B43" s="1596"/>
      <c r="C43" s="695" t="s">
        <v>864</v>
      </c>
      <c r="D43" s="710"/>
      <c r="E43" s="697">
        <f t="shared" ref="E43:J43" si="7">SUM(E39:E42)</f>
        <v>9532988</v>
      </c>
      <c r="F43" s="697">
        <f t="shared" si="7"/>
        <v>3088219</v>
      </c>
      <c r="G43" s="697">
        <f t="shared" si="7"/>
        <v>2250633</v>
      </c>
      <c r="H43" s="697">
        <f t="shared" si="7"/>
        <v>2007291.9003655</v>
      </c>
      <c r="I43" s="697">
        <f t="shared" si="7"/>
        <v>481488.9744854999</v>
      </c>
      <c r="J43" s="697">
        <f t="shared" si="7"/>
        <v>565266.26400600001</v>
      </c>
      <c r="K43" s="696"/>
      <c r="L43" s="699"/>
      <c r="M43" s="699"/>
      <c r="N43" s="730"/>
      <c r="O43" s="730"/>
    </row>
    <row r="44" spans="1:15" ht="12.6" customHeight="1">
      <c r="A44" s="1592"/>
      <c r="B44" s="1591" t="s">
        <v>722</v>
      </c>
      <c r="C44" s="731" t="s">
        <v>727</v>
      </c>
      <c r="D44" s="701" t="s">
        <v>728</v>
      </c>
      <c r="E44" s="690">
        <v>34708</v>
      </c>
      <c r="F44" s="690">
        <v>7672</v>
      </c>
      <c r="G44" s="690">
        <v>12446</v>
      </c>
      <c r="H44" s="690">
        <v>7534.9533524999997</v>
      </c>
      <c r="I44" s="690">
        <v>1694.7769324999999</v>
      </c>
      <c r="J44" s="690">
        <v>2658.3407724999997</v>
      </c>
      <c r="K44" s="691" t="s">
        <v>768</v>
      </c>
      <c r="L44" s="729" t="s">
        <v>221</v>
      </c>
      <c r="M44" s="729" t="s">
        <v>221</v>
      </c>
      <c r="N44" s="693">
        <v>710.3478260869565</v>
      </c>
      <c r="O44" s="693">
        <v>152.53924586956521</v>
      </c>
    </row>
    <row r="45" spans="1:15" ht="12.6" customHeight="1">
      <c r="A45" s="1592"/>
      <c r="B45" s="1592"/>
      <c r="C45" s="694" t="s">
        <v>731</v>
      </c>
      <c r="D45" s="701" t="s">
        <v>732</v>
      </c>
      <c r="E45" s="690">
        <v>0</v>
      </c>
      <c r="F45" s="690">
        <v>0</v>
      </c>
      <c r="G45" s="690">
        <v>0</v>
      </c>
      <c r="H45" s="690">
        <v>0</v>
      </c>
      <c r="I45" s="690">
        <v>0</v>
      </c>
      <c r="J45" s="690">
        <v>0</v>
      </c>
      <c r="K45" s="691" t="s">
        <v>768</v>
      </c>
      <c r="L45" s="729" t="s">
        <v>221</v>
      </c>
      <c r="M45" s="729" t="s">
        <v>221</v>
      </c>
      <c r="N45" s="693">
        <v>0</v>
      </c>
      <c r="O45" s="693">
        <v>0</v>
      </c>
    </row>
    <row r="46" spans="1:15" ht="12.6" customHeight="1">
      <c r="A46" s="1592"/>
      <c r="B46" s="1592"/>
      <c r="C46" s="731" t="s">
        <v>733</v>
      </c>
      <c r="D46" s="701" t="s">
        <v>724</v>
      </c>
      <c r="E46" s="690">
        <v>3083</v>
      </c>
      <c r="F46" s="690">
        <v>608</v>
      </c>
      <c r="G46" s="690">
        <v>403</v>
      </c>
      <c r="H46" s="690">
        <v>394.89940000000001</v>
      </c>
      <c r="I46" s="690">
        <v>80.133054999999999</v>
      </c>
      <c r="J46" s="690">
        <v>53.956044999999996</v>
      </c>
      <c r="K46" s="691" t="s">
        <v>768</v>
      </c>
      <c r="L46" s="729" t="s">
        <v>221</v>
      </c>
      <c r="M46" s="729" t="s">
        <v>221</v>
      </c>
      <c r="N46" s="693">
        <v>31</v>
      </c>
      <c r="O46" s="693">
        <v>4.1492689130434783</v>
      </c>
    </row>
    <row r="47" spans="1:15" ht="27" customHeight="1">
      <c r="A47" s="1592"/>
      <c r="B47" s="1593"/>
      <c r="C47" s="695" t="s">
        <v>1286</v>
      </c>
      <c r="D47" s="710"/>
      <c r="E47" s="697">
        <f t="shared" ref="E47:J47" si="8">SUM(E44:E46)</f>
        <v>37791</v>
      </c>
      <c r="F47" s="697">
        <f t="shared" si="8"/>
        <v>8280</v>
      </c>
      <c r="G47" s="697">
        <f t="shared" si="8"/>
        <v>12849</v>
      </c>
      <c r="H47" s="697">
        <f t="shared" si="8"/>
        <v>7929.8527525</v>
      </c>
      <c r="I47" s="697">
        <f t="shared" si="8"/>
        <v>1774.9099874999999</v>
      </c>
      <c r="J47" s="697">
        <f t="shared" si="8"/>
        <v>2712.2968174999996</v>
      </c>
      <c r="K47" s="696"/>
      <c r="L47" s="699"/>
      <c r="M47" s="699"/>
      <c r="N47" s="730"/>
      <c r="O47" s="730"/>
    </row>
    <row r="48" spans="1:15">
      <c r="A48" s="1592"/>
      <c r="B48" s="1591" t="s">
        <v>663</v>
      </c>
      <c r="C48" s="731" t="s">
        <v>752</v>
      </c>
      <c r="D48" s="701" t="s">
        <v>753</v>
      </c>
      <c r="E48" s="728">
        <v>145548657</v>
      </c>
      <c r="F48" s="728">
        <v>33147105</v>
      </c>
      <c r="G48" s="728">
        <v>44018215</v>
      </c>
      <c r="H48" s="728">
        <v>9923793.5745619982</v>
      </c>
      <c r="I48" s="728">
        <v>2186417.7287830007</v>
      </c>
      <c r="J48" s="728">
        <v>3015457.3232259993</v>
      </c>
      <c r="K48" s="691" t="s">
        <v>754</v>
      </c>
      <c r="L48" s="729" t="s">
        <v>221</v>
      </c>
      <c r="M48" s="729" t="s">
        <v>221</v>
      </c>
      <c r="N48" s="732">
        <v>154397.91304347827</v>
      </c>
      <c r="O48" s="732">
        <v>10566.701334652174</v>
      </c>
    </row>
    <row r="49" spans="1:15" ht="12.6" customHeight="1">
      <c r="A49" s="1592"/>
      <c r="B49" s="1592"/>
      <c r="C49" s="731" t="s">
        <v>755</v>
      </c>
      <c r="D49" s="701" t="s">
        <v>756</v>
      </c>
      <c r="E49" s="728">
        <v>2701511</v>
      </c>
      <c r="F49" s="728">
        <v>875057</v>
      </c>
      <c r="G49" s="728">
        <v>1638381</v>
      </c>
      <c r="H49" s="728">
        <v>18333.475567599999</v>
      </c>
      <c r="I49" s="728">
        <v>5829.4738957000018</v>
      </c>
      <c r="J49" s="728">
        <v>11237.422345249999</v>
      </c>
      <c r="K49" s="691"/>
      <c r="L49" s="729" t="s">
        <v>221</v>
      </c>
      <c r="M49" s="729" t="s">
        <v>221</v>
      </c>
      <c r="N49" s="732">
        <v>11380.08695652174</v>
      </c>
      <c r="O49" s="732">
        <v>78.153914345652183</v>
      </c>
    </row>
    <row r="50" spans="1:15" ht="12.6" customHeight="1">
      <c r="A50" s="1592"/>
      <c r="B50" s="1592"/>
      <c r="C50" s="694" t="s">
        <v>757</v>
      </c>
      <c r="D50" s="701" t="s">
        <v>758</v>
      </c>
      <c r="E50" s="728">
        <v>56845888</v>
      </c>
      <c r="F50" s="728">
        <v>14971998</v>
      </c>
      <c r="G50" s="728">
        <v>13143625</v>
      </c>
      <c r="H50" s="728">
        <v>1493446.4436249998</v>
      </c>
      <c r="I50" s="728">
        <v>463842.01265624998</v>
      </c>
      <c r="J50" s="728">
        <v>320455.85176250001</v>
      </c>
      <c r="K50" s="691" t="s">
        <v>759</v>
      </c>
      <c r="L50" s="729" t="s">
        <v>221</v>
      </c>
      <c r="M50" s="729" t="s">
        <v>221</v>
      </c>
      <c r="N50" s="732">
        <v>150324.17391304349</v>
      </c>
      <c r="O50" s="732">
        <v>4088.685638043477</v>
      </c>
    </row>
    <row r="51" spans="1:15" ht="12.6" customHeight="1">
      <c r="A51" s="1592"/>
      <c r="B51" s="1592"/>
      <c r="C51" s="694" t="s">
        <v>1167</v>
      </c>
      <c r="D51" s="701" t="s">
        <v>761</v>
      </c>
      <c r="E51" s="728">
        <v>1268708</v>
      </c>
      <c r="F51" s="728">
        <v>441949</v>
      </c>
      <c r="G51" s="728">
        <v>496581</v>
      </c>
      <c r="H51" s="728">
        <v>6902.3989162500002</v>
      </c>
      <c r="I51" s="728">
        <v>2720.7838887499997</v>
      </c>
      <c r="J51" s="728">
        <v>2428.0550237500006</v>
      </c>
      <c r="K51" s="691"/>
      <c r="L51" s="729" t="s">
        <v>221</v>
      </c>
      <c r="M51" s="729" t="s">
        <v>221</v>
      </c>
      <c r="N51" s="732">
        <v>9234.782608695652</v>
      </c>
      <c r="O51" s="732">
        <v>49.99871907608695</v>
      </c>
    </row>
    <row r="52" spans="1:15">
      <c r="A52" s="1592"/>
      <c r="B52" s="1593"/>
      <c r="C52" s="695" t="s">
        <v>871</v>
      </c>
      <c r="D52" s="710"/>
      <c r="E52" s="697">
        <f t="shared" ref="E52:J52" si="9">SUM(E48:E51)</f>
        <v>206364764</v>
      </c>
      <c r="F52" s="697">
        <f t="shared" si="9"/>
        <v>49436109</v>
      </c>
      <c r="G52" s="697">
        <f t="shared" si="9"/>
        <v>59296802</v>
      </c>
      <c r="H52" s="697">
        <f t="shared" si="9"/>
        <v>11442475.892670847</v>
      </c>
      <c r="I52" s="697">
        <f t="shared" si="9"/>
        <v>2658809.9992237007</v>
      </c>
      <c r="J52" s="697">
        <f t="shared" si="9"/>
        <v>3349578.6523574991</v>
      </c>
      <c r="K52" s="696"/>
      <c r="L52" s="733"/>
      <c r="M52" s="733"/>
      <c r="N52" s="733"/>
      <c r="O52" s="733"/>
    </row>
    <row r="53" spans="1:15" ht="21.75" customHeight="1">
      <c r="A53" s="1593"/>
      <c r="B53" s="721" t="s">
        <v>769</v>
      </c>
      <c r="C53" s="721" t="s">
        <v>1296</v>
      </c>
      <c r="D53" s="734"/>
      <c r="E53" s="723">
        <f t="shared" ref="E53:J53" si="10">E43+E47+E52</f>
        <v>215935543</v>
      </c>
      <c r="F53" s="723">
        <f t="shared" si="10"/>
        <v>52532608</v>
      </c>
      <c r="G53" s="723">
        <f t="shared" si="10"/>
        <v>61560284</v>
      </c>
      <c r="H53" s="723">
        <f t="shared" si="10"/>
        <v>13457697.645788848</v>
      </c>
      <c r="I53" s="723">
        <f t="shared" si="10"/>
        <v>3142073.8836967004</v>
      </c>
      <c r="J53" s="723">
        <f t="shared" si="10"/>
        <v>3917557.2131809993</v>
      </c>
      <c r="K53" s="724"/>
      <c r="L53" s="735"/>
      <c r="M53" s="735"/>
      <c r="N53" s="735"/>
      <c r="O53" s="735"/>
    </row>
    <row r="54" spans="1:15">
      <c r="A54" s="601" t="s">
        <v>1299</v>
      </c>
      <c r="B54" s="365"/>
      <c r="C54" s="736"/>
      <c r="D54" s="737"/>
      <c r="E54" s="736"/>
      <c r="F54" s="736"/>
      <c r="G54" s="736"/>
      <c r="H54" s="736"/>
      <c r="I54" s="736"/>
      <c r="J54" s="736"/>
      <c r="K54" s="736"/>
      <c r="L54" s="736"/>
      <c r="M54" s="736"/>
      <c r="N54" s="736"/>
      <c r="O54" s="736"/>
    </row>
    <row r="55" spans="1:15">
      <c r="A55" s="738" t="s">
        <v>524</v>
      </c>
      <c r="B55" s="739"/>
      <c r="C55" s="739"/>
      <c r="D55" s="740"/>
      <c r="E55" s="739"/>
      <c r="F55" s="739"/>
      <c r="G55" s="739"/>
      <c r="H55" s="739"/>
      <c r="I55" s="739"/>
      <c r="J55" s="739"/>
      <c r="K55" s="739"/>
      <c r="L55" s="739"/>
      <c r="M55" s="739"/>
      <c r="N55" s="739"/>
      <c r="O55" s="739"/>
    </row>
    <row r="56" spans="1:15">
      <c r="A56" s="739" t="s">
        <v>770</v>
      </c>
      <c r="B56" s="739"/>
      <c r="C56" s="739"/>
      <c r="D56" s="740"/>
      <c r="E56" s="739"/>
      <c r="F56" s="739"/>
      <c r="G56" s="739"/>
      <c r="H56" s="739"/>
      <c r="I56" s="739"/>
      <c r="J56" s="741"/>
      <c r="K56" s="739"/>
      <c r="L56" s="739"/>
      <c r="M56" s="739"/>
      <c r="N56" s="739"/>
      <c r="O56" s="739"/>
    </row>
    <row r="57" spans="1:15">
      <c r="A57" s="739" t="s">
        <v>771</v>
      </c>
      <c r="B57" s="739"/>
      <c r="C57" s="739"/>
      <c r="D57" s="740"/>
      <c r="E57" s="739"/>
      <c r="F57" s="739"/>
      <c r="G57" s="739"/>
      <c r="H57" s="739"/>
      <c r="I57" s="739"/>
      <c r="J57" s="739"/>
      <c r="K57" s="739"/>
      <c r="L57" s="739"/>
      <c r="M57" s="739"/>
      <c r="N57" s="739"/>
      <c r="O57" s="739"/>
    </row>
    <row r="58" spans="1:15">
      <c r="A58" s="739" t="s">
        <v>772</v>
      </c>
      <c r="B58" s="739"/>
      <c r="C58" s="739"/>
      <c r="D58" s="740"/>
      <c r="E58" s="739"/>
      <c r="F58" s="739"/>
      <c r="G58" s="739"/>
      <c r="H58" s="739"/>
      <c r="I58" s="739"/>
      <c r="J58" s="739"/>
      <c r="K58" s="739"/>
      <c r="L58" s="739"/>
      <c r="M58" s="739"/>
      <c r="N58" s="739"/>
      <c r="O58" s="739"/>
    </row>
    <row r="59" spans="1:15">
      <c r="A59" s="742" t="s">
        <v>1085</v>
      </c>
      <c r="B59" s="739"/>
      <c r="C59" s="739"/>
      <c r="D59" s="740"/>
      <c r="E59" s="739"/>
      <c r="F59" s="739"/>
      <c r="G59" s="739"/>
      <c r="H59" s="739"/>
      <c r="I59" s="739"/>
      <c r="J59" s="739"/>
      <c r="K59" s="739"/>
      <c r="L59" s="739"/>
      <c r="M59" s="739"/>
      <c r="N59" s="739"/>
      <c r="O59" s="739"/>
    </row>
    <row r="60" spans="1:15">
      <c r="A60" s="604" t="s">
        <v>773</v>
      </c>
      <c r="B60" s="604"/>
      <c r="C60" s="365"/>
      <c r="D60" s="740"/>
      <c r="E60" s="365"/>
      <c r="F60" s="365"/>
      <c r="G60" s="365"/>
      <c r="H60" s="365"/>
      <c r="I60" s="365"/>
      <c r="J60" s="365"/>
      <c r="K60" s="365"/>
      <c r="L60" s="365"/>
      <c r="M60" s="365"/>
      <c r="N60" s="365"/>
      <c r="O60" s="365"/>
    </row>
  </sheetData>
  <mergeCells count="20">
    <mergeCell ref="A39:A53"/>
    <mergeCell ref="B39:B43"/>
    <mergeCell ref="B44:B47"/>
    <mergeCell ref="B48:B52"/>
    <mergeCell ref="A4:A38"/>
    <mergeCell ref="B4:B11"/>
    <mergeCell ref="B12:B21"/>
    <mergeCell ref="B22:B28"/>
    <mergeCell ref="B29:B33"/>
    <mergeCell ref="B34:B37"/>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3"/>
  <sheetViews>
    <sheetView zoomScaleNormal="100" workbookViewId="0">
      <selection sqref="A1:P1"/>
    </sheetView>
  </sheetViews>
  <sheetFormatPr defaultColWidth="9.140625" defaultRowHeight="15"/>
  <cols>
    <col min="1" max="1" width="9.28515625" style="743" customWidth="1"/>
    <col min="2" max="2" width="11.85546875" style="743" customWidth="1"/>
    <col min="3" max="3" width="21.28515625" style="743" customWidth="1"/>
    <col min="4" max="4" width="11" style="743" bestFit="1" customWidth="1"/>
    <col min="5" max="5" width="8.140625" style="743" customWidth="1"/>
    <col min="6" max="6" width="10.7109375" style="743" customWidth="1"/>
    <col min="7" max="8" width="10.5703125" style="743" customWidth="1"/>
    <col min="9" max="11" width="10.140625" style="743" bestFit="1" customWidth="1"/>
    <col min="12" max="12" width="14.140625" style="743" customWidth="1"/>
    <col min="13" max="14" width="9" style="743" customWidth="1"/>
    <col min="15" max="15" width="10.42578125" style="743" customWidth="1"/>
    <col min="16" max="16" width="14.7109375" style="743" customWidth="1"/>
    <col min="17" max="19" width="9.140625" style="361"/>
    <col min="20" max="20" width="10.7109375" style="361" bestFit="1" customWidth="1"/>
    <col min="21" max="16384" width="9.140625" style="361"/>
  </cols>
  <sheetData>
    <row r="1" spans="1:16" s="743" customFormat="1" ht="18" customHeight="1">
      <c r="A1" s="1597" t="s">
        <v>1414</v>
      </c>
      <c r="B1" s="1597"/>
      <c r="C1" s="1597"/>
      <c r="D1" s="1597"/>
      <c r="E1" s="1597"/>
      <c r="F1" s="1597"/>
      <c r="G1" s="1597"/>
      <c r="H1" s="1597"/>
      <c r="I1" s="1597"/>
      <c r="J1" s="1597"/>
      <c r="K1" s="1597"/>
      <c r="L1" s="1597"/>
      <c r="M1" s="1597"/>
      <c r="N1" s="1597"/>
      <c r="O1" s="1597"/>
      <c r="P1" s="1597"/>
    </row>
    <row r="2" spans="1:16" ht="51" customHeight="1">
      <c r="A2" s="1598" t="s">
        <v>694</v>
      </c>
      <c r="B2" s="1598" t="s">
        <v>774</v>
      </c>
      <c r="C2" s="1598" t="s">
        <v>696</v>
      </c>
      <c r="D2" s="1599" t="s">
        <v>775</v>
      </c>
      <c r="E2" s="1599" t="s">
        <v>776</v>
      </c>
      <c r="F2" s="1601" t="s">
        <v>517</v>
      </c>
      <c r="G2" s="1602"/>
      <c r="H2" s="1603"/>
      <c r="I2" s="1598" t="s">
        <v>233</v>
      </c>
      <c r="J2" s="1598"/>
      <c r="K2" s="1598"/>
      <c r="L2" s="1599" t="s">
        <v>699</v>
      </c>
      <c r="M2" s="1602"/>
      <c r="N2" s="1603"/>
      <c r="O2" s="1602" t="s">
        <v>1465</v>
      </c>
      <c r="P2" s="1603"/>
    </row>
    <row r="3" spans="1:16" ht="76.5" customHeight="1">
      <c r="A3" s="1598"/>
      <c r="B3" s="1598"/>
      <c r="C3" s="1598"/>
      <c r="D3" s="1600" t="s">
        <v>777</v>
      </c>
      <c r="E3" s="1600"/>
      <c r="F3" s="277" t="s">
        <v>1165</v>
      </c>
      <c r="G3" s="1082">
        <v>45444</v>
      </c>
      <c r="H3" s="1082">
        <v>45474</v>
      </c>
      <c r="I3" s="277" t="s">
        <v>1165</v>
      </c>
      <c r="J3" s="1082">
        <v>45444</v>
      </c>
      <c r="K3" s="1082">
        <v>45474</v>
      </c>
      <c r="L3" s="1600"/>
      <c r="M3" s="1082">
        <v>45444</v>
      </c>
      <c r="N3" s="1082">
        <v>45474</v>
      </c>
      <c r="O3" s="277" t="s">
        <v>778</v>
      </c>
      <c r="P3" s="277" t="s">
        <v>1411</v>
      </c>
    </row>
    <row r="4" spans="1:16" ht="12" customHeight="1">
      <c r="A4" s="1604" t="s">
        <v>779</v>
      </c>
      <c r="B4" s="1604" t="s">
        <v>780</v>
      </c>
      <c r="C4" s="1083" t="s">
        <v>781</v>
      </c>
      <c r="D4" s="1084" t="s">
        <v>782</v>
      </c>
      <c r="E4" s="1085" t="s">
        <v>743</v>
      </c>
      <c r="F4" s="1086">
        <v>0</v>
      </c>
      <c r="G4" s="1087">
        <v>0</v>
      </c>
      <c r="H4" s="1087">
        <v>0</v>
      </c>
      <c r="I4" s="1086">
        <v>0</v>
      </c>
      <c r="J4" s="1086">
        <v>0</v>
      </c>
      <c r="K4" s="1086">
        <v>0</v>
      </c>
      <c r="L4" s="1086" t="s">
        <v>783</v>
      </c>
      <c r="M4" s="1088">
        <v>2305</v>
      </c>
      <c r="N4" s="1088">
        <v>2435</v>
      </c>
      <c r="O4" s="1089">
        <v>0</v>
      </c>
      <c r="P4" s="1089">
        <v>0</v>
      </c>
    </row>
    <row r="5" spans="1:16" ht="12" customHeight="1">
      <c r="A5" s="1604"/>
      <c r="B5" s="1604"/>
      <c r="C5" s="1083" t="s">
        <v>784</v>
      </c>
      <c r="D5" s="1084" t="s">
        <v>785</v>
      </c>
      <c r="E5" s="1085" t="s">
        <v>743</v>
      </c>
      <c r="F5" s="1086">
        <v>3</v>
      </c>
      <c r="G5" s="1087">
        <v>0</v>
      </c>
      <c r="H5" s="1087">
        <v>0</v>
      </c>
      <c r="I5" s="1086">
        <v>0.06</v>
      </c>
      <c r="J5" s="1086">
        <v>0</v>
      </c>
      <c r="K5" s="1086">
        <v>0</v>
      </c>
      <c r="L5" s="1086" t="s">
        <v>783</v>
      </c>
      <c r="M5" s="1088">
        <v>2128</v>
      </c>
      <c r="N5" s="1088">
        <v>2168</v>
      </c>
      <c r="O5" s="1088">
        <v>0</v>
      </c>
      <c r="P5" s="1088">
        <v>0</v>
      </c>
    </row>
    <row r="6" spans="1:16" ht="12" customHeight="1">
      <c r="A6" s="1604"/>
      <c r="B6" s="1604"/>
      <c r="C6" s="1083" t="s">
        <v>786</v>
      </c>
      <c r="D6" s="1084" t="s">
        <v>786</v>
      </c>
      <c r="E6" s="1085" t="s">
        <v>787</v>
      </c>
      <c r="F6" s="1086">
        <v>0</v>
      </c>
      <c r="G6" s="1087">
        <v>0</v>
      </c>
      <c r="H6" s="1087">
        <v>0</v>
      </c>
      <c r="I6" s="1086">
        <v>0</v>
      </c>
      <c r="J6" s="1086">
        <v>0</v>
      </c>
      <c r="K6" s="1086">
        <v>0</v>
      </c>
      <c r="L6" s="1086" t="s">
        <v>788</v>
      </c>
      <c r="M6" s="1088">
        <v>1175</v>
      </c>
      <c r="N6" s="1088">
        <v>1245</v>
      </c>
      <c r="O6" s="1089">
        <v>0</v>
      </c>
      <c r="P6" s="1089">
        <v>0</v>
      </c>
    </row>
    <row r="7" spans="1:16" ht="12" customHeight="1">
      <c r="A7" s="1604"/>
      <c r="B7" s="1604"/>
      <c r="C7" s="1083" t="s">
        <v>789</v>
      </c>
      <c r="D7" s="1084" t="s">
        <v>790</v>
      </c>
      <c r="E7" s="1085" t="s">
        <v>724</v>
      </c>
      <c r="F7" s="1086">
        <v>150141</v>
      </c>
      <c r="G7" s="1086">
        <v>25137</v>
      </c>
      <c r="H7" s="1086">
        <v>49126</v>
      </c>
      <c r="I7" s="1086">
        <v>4405.82</v>
      </c>
      <c r="J7" s="1086">
        <v>724.18</v>
      </c>
      <c r="K7" s="1086">
        <v>1491.14</v>
      </c>
      <c r="L7" s="1086" t="s">
        <v>783</v>
      </c>
      <c r="M7" s="1088">
        <v>5754</v>
      </c>
      <c r="N7" s="1088">
        <v>6167</v>
      </c>
      <c r="O7" s="1088">
        <v>8640</v>
      </c>
      <c r="P7" s="1088">
        <v>263</v>
      </c>
    </row>
    <row r="8" spans="1:16" ht="12" customHeight="1">
      <c r="A8" s="1604"/>
      <c r="B8" s="1604"/>
      <c r="C8" s="1090" t="s">
        <v>791</v>
      </c>
      <c r="D8" s="1084" t="s">
        <v>792</v>
      </c>
      <c r="E8" s="1085" t="s">
        <v>743</v>
      </c>
      <c r="F8" s="1086">
        <v>0</v>
      </c>
      <c r="G8" s="1086">
        <v>0</v>
      </c>
      <c r="H8" s="1086">
        <v>0</v>
      </c>
      <c r="I8" s="1086">
        <v>0</v>
      </c>
      <c r="J8" s="1086">
        <v>0</v>
      </c>
      <c r="K8" s="1086">
        <v>0</v>
      </c>
      <c r="L8" s="1086" t="s">
        <v>783</v>
      </c>
      <c r="M8" s="1091" t="s">
        <v>234</v>
      </c>
      <c r="N8" s="1091" t="s">
        <v>234</v>
      </c>
      <c r="O8" s="1089" t="s">
        <v>234</v>
      </c>
      <c r="P8" s="1089" t="s">
        <v>234</v>
      </c>
    </row>
    <row r="9" spans="1:16" ht="12" customHeight="1">
      <c r="A9" s="1604"/>
      <c r="B9" s="1604"/>
      <c r="C9" s="1083" t="s">
        <v>793</v>
      </c>
      <c r="D9" s="1084" t="s">
        <v>794</v>
      </c>
      <c r="E9" s="1085" t="s">
        <v>795</v>
      </c>
      <c r="F9" s="1086">
        <v>0</v>
      </c>
      <c r="G9" s="1086">
        <v>0</v>
      </c>
      <c r="H9" s="1086">
        <v>0</v>
      </c>
      <c r="I9" s="1086">
        <v>0</v>
      </c>
      <c r="J9" s="1086">
        <v>0</v>
      </c>
      <c r="K9" s="1086">
        <v>0</v>
      </c>
      <c r="L9" s="1086" t="s">
        <v>783</v>
      </c>
      <c r="M9" s="1091" t="s">
        <v>234</v>
      </c>
      <c r="N9" s="1091" t="s">
        <v>234</v>
      </c>
      <c r="O9" s="1089" t="s">
        <v>234</v>
      </c>
      <c r="P9" s="1089" t="s">
        <v>234</v>
      </c>
    </row>
    <row r="10" spans="1:16" ht="12" customHeight="1">
      <c r="A10" s="1604"/>
      <c r="B10" s="1604"/>
      <c r="C10" s="1083" t="s">
        <v>796</v>
      </c>
      <c r="D10" s="1084" t="s">
        <v>797</v>
      </c>
      <c r="E10" s="1085" t="s">
        <v>724</v>
      </c>
      <c r="F10" s="1086">
        <v>98639</v>
      </c>
      <c r="G10" s="1086">
        <v>22644</v>
      </c>
      <c r="H10" s="1086">
        <v>24649</v>
      </c>
      <c r="I10" s="1086">
        <v>3666.4700000000003</v>
      </c>
      <c r="J10" s="1086">
        <v>842.34</v>
      </c>
      <c r="K10" s="1086">
        <v>892.4</v>
      </c>
      <c r="L10" s="1086" t="s">
        <v>783</v>
      </c>
      <c r="M10" s="1091">
        <v>7380</v>
      </c>
      <c r="N10" s="1091">
        <v>7254</v>
      </c>
      <c r="O10" s="1089">
        <v>6387</v>
      </c>
      <c r="P10" s="1089">
        <v>231</v>
      </c>
    </row>
    <row r="11" spans="1:16">
      <c r="A11" s="1604"/>
      <c r="B11" s="1604"/>
      <c r="C11" s="1083" t="s">
        <v>798</v>
      </c>
      <c r="D11" s="1084" t="s">
        <v>799</v>
      </c>
      <c r="E11" s="1085" t="s">
        <v>795</v>
      </c>
      <c r="F11" s="1086">
        <v>0</v>
      </c>
      <c r="G11" s="1086">
        <v>0</v>
      </c>
      <c r="H11" s="1086">
        <v>0</v>
      </c>
      <c r="I11" s="1086">
        <v>0</v>
      </c>
      <c r="J11" s="1086">
        <v>0</v>
      </c>
      <c r="K11" s="1086">
        <v>0</v>
      </c>
      <c r="L11" s="1086" t="s">
        <v>800</v>
      </c>
      <c r="M11" s="1091">
        <v>27830</v>
      </c>
      <c r="N11" s="1091">
        <v>27680</v>
      </c>
      <c r="O11" s="1089">
        <v>0</v>
      </c>
      <c r="P11" s="1089">
        <v>0</v>
      </c>
    </row>
    <row r="12" spans="1:16" ht="12" customHeight="1">
      <c r="A12" s="1604"/>
      <c r="B12" s="1604"/>
      <c r="C12" s="1083" t="s">
        <v>801</v>
      </c>
      <c r="D12" s="1084" t="s">
        <v>802</v>
      </c>
      <c r="E12" s="1085" t="s">
        <v>743</v>
      </c>
      <c r="F12" s="1086">
        <v>271519</v>
      </c>
      <c r="G12" s="1086">
        <v>64698</v>
      </c>
      <c r="H12" s="1086">
        <v>73747</v>
      </c>
      <c r="I12" s="1086">
        <v>7444.27</v>
      </c>
      <c r="J12" s="1086">
        <v>1780.1</v>
      </c>
      <c r="K12" s="1086">
        <v>2169.85</v>
      </c>
      <c r="L12" s="1086" t="s">
        <v>783</v>
      </c>
      <c r="M12" s="1091">
        <v>2854</v>
      </c>
      <c r="N12" s="1091">
        <v>2889</v>
      </c>
      <c r="O12" s="1089">
        <v>6884</v>
      </c>
      <c r="P12" s="1089">
        <v>202</v>
      </c>
    </row>
    <row r="13" spans="1:16" ht="12" customHeight="1">
      <c r="A13" s="1604"/>
      <c r="B13" s="1604"/>
      <c r="C13" s="1083" t="s">
        <v>742</v>
      </c>
      <c r="D13" s="1084" t="s">
        <v>742</v>
      </c>
      <c r="E13" s="1085" t="s">
        <v>743</v>
      </c>
      <c r="F13" s="1086">
        <v>0</v>
      </c>
      <c r="G13" s="1086">
        <v>0</v>
      </c>
      <c r="H13" s="1086">
        <v>0</v>
      </c>
      <c r="I13" s="1086">
        <v>0</v>
      </c>
      <c r="J13" s="1086">
        <v>0</v>
      </c>
      <c r="K13" s="1086">
        <v>0</v>
      </c>
      <c r="L13" s="1086" t="s">
        <v>788</v>
      </c>
      <c r="M13" s="1091" t="s">
        <v>234</v>
      </c>
      <c r="N13" s="1091" t="s">
        <v>234</v>
      </c>
      <c r="O13" s="1089" t="s">
        <v>234</v>
      </c>
      <c r="P13" s="1089" t="s">
        <v>234</v>
      </c>
    </row>
    <row r="14" spans="1:16" ht="12" customHeight="1">
      <c r="A14" s="1604"/>
      <c r="B14" s="1604"/>
      <c r="C14" s="1083" t="s">
        <v>803</v>
      </c>
      <c r="D14" s="1084" t="s">
        <v>804</v>
      </c>
      <c r="E14" s="1085" t="s">
        <v>743</v>
      </c>
      <c r="F14" s="1086">
        <v>414604</v>
      </c>
      <c r="G14" s="1086">
        <v>79806</v>
      </c>
      <c r="H14" s="1086">
        <v>115804</v>
      </c>
      <c r="I14" s="1086">
        <v>11313.419999999998</v>
      </c>
      <c r="J14" s="1086">
        <v>2159.66</v>
      </c>
      <c r="K14" s="1086">
        <v>3176.13</v>
      </c>
      <c r="L14" s="1086" t="s">
        <v>783</v>
      </c>
      <c r="M14" s="1088">
        <v>5346</v>
      </c>
      <c r="N14" s="1088">
        <v>5661</v>
      </c>
      <c r="O14" s="1089">
        <v>11895</v>
      </c>
      <c r="P14" s="1089">
        <v>325</v>
      </c>
    </row>
    <row r="15" spans="1:16" ht="12" customHeight="1">
      <c r="A15" s="1604"/>
      <c r="B15" s="1604"/>
      <c r="C15" s="1083" t="s">
        <v>805</v>
      </c>
      <c r="D15" s="1084" t="s">
        <v>806</v>
      </c>
      <c r="E15" s="1085" t="s">
        <v>724</v>
      </c>
      <c r="F15" s="1086">
        <v>204182</v>
      </c>
      <c r="G15" s="1086">
        <v>43837</v>
      </c>
      <c r="H15" s="1086">
        <v>56183</v>
      </c>
      <c r="I15" s="1086">
        <v>10988.88</v>
      </c>
      <c r="J15" s="1086">
        <v>2320.59</v>
      </c>
      <c r="K15" s="1086">
        <v>3026.91</v>
      </c>
      <c r="L15" s="1086" t="s">
        <v>783</v>
      </c>
      <c r="M15" s="1088">
        <v>10378</v>
      </c>
      <c r="N15" s="1088">
        <v>11217</v>
      </c>
      <c r="O15" s="1089">
        <v>10763</v>
      </c>
      <c r="P15" s="1089">
        <v>577</v>
      </c>
    </row>
    <row r="16" spans="1:16" ht="12" customHeight="1">
      <c r="A16" s="1604"/>
      <c r="B16" s="1604"/>
      <c r="C16" s="1083" t="s">
        <v>807</v>
      </c>
      <c r="D16" s="1084" t="s">
        <v>808</v>
      </c>
      <c r="E16" s="1085" t="s">
        <v>809</v>
      </c>
      <c r="F16" s="1086">
        <v>0</v>
      </c>
      <c r="G16" s="1086">
        <v>0</v>
      </c>
      <c r="H16" s="1086">
        <v>0</v>
      </c>
      <c r="I16" s="1086">
        <v>0</v>
      </c>
      <c r="J16" s="1086">
        <v>0</v>
      </c>
      <c r="K16" s="1086">
        <v>0</v>
      </c>
      <c r="L16" s="1086" t="s">
        <v>783</v>
      </c>
      <c r="M16" s="1088">
        <v>6137</v>
      </c>
      <c r="N16" s="1088">
        <v>5876</v>
      </c>
      <c r="O16" s="1089">
        <v>0</v>
      </c>
      <c r="P16" s="1089">
        <v>0</v>
      </c>
    </row>
    <row r="17" spans="1:16" ht="12" customHeight="1">
      <c r="A17" s="1604"/>
      <c r="B17" s="1604"/>
      <c r="C17" s="1083" t="s">
        <v>810</v>
      </c>
      <c r="D17" s="1084" t="s">
        <v>811</v>
      </c>
      <c r="E17" s="1085" t="s">
        <v>743</v>
      </c>
      <c r="F17" s="1086">
        <v>0</v>
      </c>
      <c r="G17" s="1086">
        <v>0</v>
      </c>
      <c r="H17" s="1086">
        <v>0</v>
      </c>
      <c r="I17" s="1086">
        <v>0</v>
      </c>
      <c r="J17" s="1086">
        <v>0</v>
      </c>
      <c r="K17" s="1086">
        <v>0</v>
      </c>
      <c r="L17" s="1086" t="s">
        <v>812</v>
      </c>
      <c r="M17" s="1091" t="s">
        <v>234</v>
      </c>
      <c r="N17" s="1091" t="s">
        <v>234</v>
      </c>
      <c r="O17" s="1089">
        <v>0</v>
      </c>
      <c r="P17" s="1089" t="s">
        <v>234</v>
      </c>
    </row>
    <row r="18" spans="1:16" ht="12" customHeight="1">
      <c r="A18" s="1604"/>
      <c r="B18" s="1604"/>
      <c r="C18" s="1083" t="s">
        <v>813</v>
      </c>
      <c r="D18" s="1084" t="s">
        <v>814</v>
      </c>
      <c r="E18" s="1085" t="s">
        <v>815</v>
      </c>
      <c r="F18" s="1086">
        <v>0</v>
      </c>
      <c r="G18" s="1086">
        <v>0</v>
      </c>
      <c r="H18" s="1086">
        <v>0</v>
      </c>
      <c r="I18" s="1086">
        <v>0</v>
      </c>
      <c r="J18" s="1086">
        <v>0</v>
      </c>
      <c r="K18" s="1086">
        <v>0</v>
      </c>
      <c r="L18" s="1086" t="s">
        <v>783</v>
      </c>
      <c r="M18" s="1091">
        <v>14560</v>
      </c>
      <c r="N18" s="1091">
        <v>13980</v>
      </c>
      <c r="O18" s="1089">
        <v>0</v>
      </c>
      <c r="P18" s="1089">
        <v>0</v>
      </c>
    </row>
    <row r="19" spans="1:16" ht="12" customHeight="1">
      <c r="A19" s="1604"/>
      <c r="B19" s="1604"/>
      <c r="C19" s="1083" t="s">
        <v>816</v>
      </c>
      <c r="D19" s="1084" t="s">
        <v>1080</v>
      </c>
      <c r="E19" s="1085"/>
      <c r="F19" s="1086">
        <v>21</v>
      </c>
      <c r="G19" s="1086">
        <v>0</v>
      </c>
      <c r="H19" s="1086">
        <v>0</v>
      </c>
      <c r="I19" s="1086">
        <v>0.49</v>
      </c>
      <c r="J19" s="1086">
        <v>0</v>
      </c>
      <c r="K19" s="1086">
        <v>0</v>
      </c>
      <c r="L19" s="1086"/>
      <c r="M19" s="1091">
        <v>29125</v>
      </c>
      <c r="N19" s="1091">
        <v>26880</v>
      </c>
      <c r="O19" s="1089">
        <v>0</v>
      </c>
      <c r="P19" s="1089">
        <v>0</v>
      </c>
    </row>
    <row r="20" spans="1:16" ht="12" customHeight="1">
      <c r="A20" s="1604"/>
      <c r="B20" s="1604"/>
      <c r="C20" s="1090" t="s">
        <v>816</v>
      </c>
      <c r="D20" s="1084" t="s">
        <v>817</v>
      </c>
      <c r="E20" s="1085" t="s">
        <v>815</v>
      </c>
      <c r="F20" s="1086">
        <v>52681</v>
      </c>
      <c r="G20" s="1086">
        <v>12987</v>
      </c>
      <c r="H20" s="1086">
        <v>10706</v>
      </c>
      <c r="I20" s="1086">
        <v>4200.9400000000005</v>
      </c>
      <c r="J20" s="1086">
        <v>1106.79</v>
      </c>
      <c r="K20" s="1086">
        <v>882.43</v>
      </c>
      <c r="L20" s="1086" t="s">
        <v>783</v>
      </c>
      <c r="M20" s="1088">
        <v>29075</v>
      </c>
      <c r="N20" s="1088">
        <v>26835</v>
      </c>
      <c r="O20" s="1089">
        <v>1237</v>
      </c>
      <c r="P20" s="1089">
        <v>102</v>
      </c>
    </row>
    <row r="21" spans="1:16" ht="12" customHeight="1">
      <c r="A21" s="1604"/>
      <c r="B21" s="1604"/>
      <c r="C21" s="1083" t="s">
        <v>747</v>
      </c>
      <c r="D21" s="1084" t="s">
        <v>818</v>
      </c>
      <c r="E21" s="1085" t="s">
        <v>748</v>
      </c>
      <c r="F21" s="1086">
        <v>9694</v>
      </c>
      <c r="G21" s="1086">
        <v>2046</v>
      </c>
      <c r="H21" s="1086">
        <v>2704</v>
      </c>
      <c r="I21" s="1086">
        <v>301.99</v>
      </c>
      <c r="J21" s="1086">
        <v>65.37</v>
      </c>
      <c r="K21" s="1086">
        <v>86.74</v>
      </c>
      <c r="L21" s="1086" t="s">
        <v>819</v>
      </c>
      <c r="M21" s="1091">
        <v>1555</v>
      </c>
      <c r="N21" s="1091">
        <v>1531</v>
      </c>
      <c r="O21" s="1089">
        <v>900</v>
      </c>
      <c r="P21" s="1089">
        <v>29</v>
      </c>
    </row>
    <row r="22" spans="1:16" ht="12" customHeight="1">
      <c r="A22" s="1604"/>
      <c r="B22" s="1604"/>
      <c r="C22" s="1083" t="s">
        <v>820</v>
      </c>
      <c r="D22" s="1084" t="s">
        <v>821</v>
      </c>
      <c r="E22" s="1085" t="s">
        <v>743</v>
      </c>
      <c r="F22" s="1086">
        <v>0</v>
      </c>
      <c r="G22" s="1086">
        <v>0</v>
      </c>
      <c r="H22" s="1086">
        <v>0</v>
      </c>
      <c r="I22" s="1086">
        <v>0</v>
      </c>
      <c r="J22" s="1086">
        <v>0</v>
      </c>
      <c r="K22" s="1086">
        <v>0</v>
      </c>
      <c r="L22" s="1086" t="s">
        <v>783</v>
      </c>
      <c r="M22" s="1088">
        <v>2410</v>
      </c>
      <c r="N22" s="1088">
        <v>2510</v>
      </c>
      <c r="O22" s="1089">
        <v>0</v>
      </c>
      <c r="P22" s="1089">
        <v>0</v>
      </c>
    </row>
    <row r="23" spans="1:16" ht="12" customHeight="1">
      <c r="A23" s="1604"/>
      <c r="B23" s="1604"/>
      <c r="C23" s="1083" t="s">
        <v>822</v>
      </c>
      <c r="D23" s="1084" t="s">
        <v>823</v>
      </c>
      <c r="E23" s="1085" t="s">
        <v>724</v>
      </c>
      <c r="F23" s="1086">
        <v>0</v>
      </c>
      <c r="G23" s="1086">
        <v>0</v>
      </c>
      <c r="H23" s="1086">
        <v>0</v>
      </c>
      <c r="I23" s="1086">
        <v>0</v>
      </c>
      <c r="J23" s="1086">
        <v>0</v>
      </c>
      <c r="K23" s="1086">
        <v>0</v>
      </c>
      <c r="L23" s="1086" t="s">
        <v>788</v>
      </c>
      <c r="M23" s="1091" t="s">
        <v>234</v>
      </c>
      <c r="N23" s="1091" t="s">
        <v>234</v>
      </c>
      <c r="O23" s="1089">
        <v>0</v>
      </c>
      <c r="P23" s="1089">
        <v>0</v>
      </c>
    </row>
    <row r="24" spans="1:16" ht="12" customHeight="1">
      <c r="A24" s="1604"/>
      <c r="B24" s="1604"/>
      <c r="C24" s="1083" t="s">
        <v>824</v>
      </c>
      <c r="D24" s="1084" t="s">
        <v>825</v>
      </c>
      <c r="E24" s="1085" t="s">
        <v>743</v>
      </c>
      <c r="F24" s="1086">
        <v>0</v>
      </c>
      <c r="G24" s="1086">
        <v>0</v>
      </c>
      <c r="H24" s="1086">
        <v>0</v>
      </c>
      <c r="I24" s="1086">
        <v>0</v>
      </c>
      <c r="J24" s="1086">
        <v>0</v>
      </c>
      <c r="K24" s="1086">
        <v>0</v>
      </c>
      <c r="L24" s="1086" t="s">
        <v>783</v>
      </c>
      <c r="M24" s="1091" t="s">
        <v>234</v>
      </c>
      <c r="N24" s="1091" t="s">
        <v>234</v>
      </c>
      <c r="O24" s="1089">
        <v>0</v>
      </c>
      <c r="P24" s="1089">
        <v>0</v>
      </c>
    </row>
    <row r="25" spans="1:16" ht="12" customHeight="1">
      <c r="A25" s="1604"/>
      <c r="B25" s="1604"/>
      <c r="C25" s="1090" t="s">
        <v>826</v>
      </c>
      <c r="D25" s="1084" t="s">
        <v>827</v>
      </c>
      <c r="E25" s="1085" t="s">
        <v>724</v>
      </c>
      <c r="F25" s="1086">
        <v>0</v>
      </c>
      <c r="G25" s="1086">
        <v>0</v>
      </c>
      <c r="H25" s="1086">
        <v>0</v>
      </c>
      <c r="I25" s="1086">
        <v>0</v>
      </c>
      <c r="J25" s="1086">
        <v>0</v>
      </c>
      <c r="K25" s="1086">
        <v>0</v>
      </c>
      <c r="L25" s="1086" t="s">
        <v>783</v>
      </c>
      <c r="M25" s="1091">
        <v>14360</v>
      </c>
      <c r="N25" s="1091">
        <v>14005</v>
      </c>
      <c r="O25" s="1089">
        <v>0</v>
      </c>
      <c r="P25" s="1089">
        <v>0</v>
      </c>
    </row>
    <row r="26" spans="1:16" ht="12" customHeight="1">
      <c r="A26" s="1604"/>
      <c r="B26" s="1604"/>
      <c r="C26" s="1083" t="s">
        <v>828</v>
      </c>
      <c r="D26" s="1084" t="s">
        <v>829</v>
      </c>
      <c r="E26" s="1085" t="s">
        <v>724</v>
      </c>
      <c r="F26" s="1086">
        <v>0</v>
      </c>
      <c r="G26" s="1086">
        <v>0</v>
      </c>
      <c r="H26" s="1086">
        <v>0</v>
      </c>
      <c r="I26" s="1086">
        <v>0</v>
      </c>
      <c r="J26" s="1086">
        <v>0</v>
      </c>
      <c r="K26" s="1086">
        <v>0</v>
      </c>
      <c r="L26" s="1086" t="s">
        <v>783</v>
      </c>
      <c r="M26" s="1091" t="s">
        <v>234</v>
      </c>
      <c r="N26" s="1091" t="s">
        <v>234</v>
      </c>
      <c r="O26" s="1089">
        <v>0</v>
      </c>
      <c r="P26" s="1089">
        <v>0</v>
      </c>
    </row>
    <row r="27" spans="1:16" ht="12" customHeight="1">
      <c r="A27" s="1604"/>
      <c r="B27" s="1604"/>
      <c r="C27" s="1083" t="s">
        <v>830</v>
      </c>
      <c r="D27" s="1084" t="s">
        <v>831</v>
      </c>
      <c r="E27" s="1085" t="s">
        <v>743</v>
      </c>
      <c r="F27" s="1086">
        <v>0</v>
      </c>
      <c r="G27" s="1086">
        <v>0</v>
      </c>
      <c r="H27" s="1086">
        <v>0</v>
      </c>
      <c r="I27" s="1086">
        <v>0</v>
      </c>
      <c r="J27" s="1086">
        <v>0</v>
      </c>
      <c r="K27" s="1086">
        <v>0</v>
      </c>
      <c r="L27" s="1086" t="s">
        <v>832</v>
      </c>
      <c r="M27" s="1091" t="s">
        <v>234</v>
      </c>
      <c r="N27" s="1091" t="s">
        <v>234</v>
      </c>
      <c r="O27" s="1089">
        <v>0</v>
      </c>
      <c r="P27" s="1089">
        <v>0</v>
      </c>
    </row>
    <row r="28" spans="1:16" ht="12" customHeight="1">
      <c r="A28" s="1604"/>
      <c r="B28" s="1604"/>
      <c r="C28" s="1083" t="s">
        <v>1086</v>
      </c>
      <c r="D28" s="1084" t="s">
        <v>1076</v>
      </c>
      <c r="E28" s="1085" t="s">
        <v>724</v>
      </c>
      <c r="F28" s="1086">
        <v>2991</v>
      </c>
      <c r="G28" s="1086">
        <v>679</v>
      </c>
      <c r="H28" s="1086">
        <v>609</v>
      </c>
      <c r="I28" s="1086">
        <v>133.72</v>
      </c>
      <c r="J28" s="1086">
        <v>31.52</v>
      </c>
      <c r="K28" s="1086">
        <v>27.85</v>
      </c>
      <c r="L28" s="1086"/>
      <c r="M28" s="1091">
        <v>913</v>
      </c>
      <c r="N28" s="1091">
        <v>892</v>
      </c>
      <c r="O28" s="1088">
        <v>174</v>
      </c>
      <c r="P28" s="1088">
        <v>8</v>
      </c>
    </row>
    <row r="29" spans="1:16" ht="12" customHeight="1">
      <c r="A29" s="1604"/>
      <c r="B29" s="1604"/>
      <c r="C29" s="1083" t="s">
        <v>833</v>
      </c>
      <c r="D29" s="1084" t="s">
        <v>834</v>
      </c>
      <c r="E29" s="1085" t="s">
        <v>724</v>
      </c>
      <c r="F29" s="1086">
        <v>90088</v>
      </c>
      <c r="G29" s="1086">
        <v>22467</v>
      </c>
      <c r="H29" s="1086">
        <v>18827</v>
      </c>
      <c r="I29" s="1086">
        <v>7981.99</v>
      </c>
      <c r="J29" s="1086">
        <v>1989.49</v>
      </c>
      <c r="K29" s="1086">
        <v>1517.95</v>
      </c>
      <c r="L29" s="1086" t="s">
        <v>783</v>
      </c>
      <c r="M29" s="1088">
        <v>16924</v>
      </c>
      <c r="N29" s="1088">
        <v>15858</v>
      </c>
      <c r="O29" s="1089">
        <v>5363</v>
      </c>
      <c r="P29" s="1089">
        <v>430</v>
      </c>
    </row>
    <row r="30" spans="1:16" ht="12" customHeight="1">
      <c r="A30" s="1604"/>
      <c r="B30" s="1604"/>
      <c r="C30" s="1083" t="s">
        <v>835</v>
      </c>
      <c r="D30" s="1084" t="s">
        <v>836</v>
      </c>
      <c r="E30" s="1085" t="s">
        <v>743</v>
      </c>
      <c r="F30" s="1086">
        <v>0</v>
      </c>
      <c r="G30" s="1086">
        <v>0</v>
      </c>
      <c r="H30" s="1086">
        <v>0</v>
      </c>
      <c r="I30" s="1086">
        <v>0</v>
      </c>
      <c r="J30" s="1086">
        <v>0</v>
      </c>
      <c r="K30" s="1086">
        <v>0</v>
      </c>
      <c r="L30" s="1086" t="s">
        <v>783</v>
      </c>
      <c r="M30" s="1091" t="s">
        <v>234</v>
      </c>
      <c r="N30" s="1091" t="s">
        <v>234</v>
      </c>
      <c r="O30" s="1089" t="s">
        <v>234</v>
      </c>
      <c r="P30" s="1089" t="s">
        <v>234</v>
      </c>
    </row>
    <row r="31" spans="1:16" ht="12" customHeight="1">
      <c r="A31" s="1604"/>
      <c r="B31" s="1605"/>
      <c r="C31" s="1092" t="s">
        <v>837</v>
      </c>
      <c r="D31" s="1092"/>
      <c r="E31" s="1093"/>
      <c r="F31" s="1093">
        <v>1294563</v>
      </c>
      <c r="G31" s="1093">
        <v>274301</v>
      </c>
      <c r="H31" s="1093">
        <v>352355</v>
      </c>
      <c r="I31" s="1093">
        <v>50438.05</v>
      </c>
      <c r="J31" s="1093">
        <v>11020.04</v>
      </c>
      <c r="K31" s="1093">
        <v>13271.400000000001</v>
      </c>
      <c r="L31" s="1093"/>
      <c r="M31" s="1093" t="s">
        <v>234</v>
      </c>
      <c r="N31" s="1093" t="s">
        <v>234</v>
      </c>
      <c r="O31" s="1093">
        <v>52243</v>
      </c>
      <c r="P31" s="1093">
        <v>2167</v>
      </c>
    </row>
    <row r="32" spans="1:16" ht="12" customHeight="1">
      <c r="A32" s="1604"/>
      <c r="B32" s="1606" t="s">
        <v>687</v>
      </c>
      <c r="C32" s="1083" t="s">
        <v>838</v>
      </c>
      <c r="D32" s="1084" t="s">
        <v>839</v>
      </c>
      <c r="E32" s="1085" t="s">
        <v>743</v>
      </c>
      <c r="F32" s="1086">
        <v>16</v>
      </c>
      <c r="G32" s="1086">
        <v>0</v>
      </c>
      <c r="H32" s="1086">
        <v>0</v>
      </c>
      <c r="I32" s="1094">
        <v>0.68</v>
      </c>
      <c r="J32" s="1095">
        <v>0</v>
      </c>
      <c r="K32" s="1095">
        <v>0</v>
      </c>
      <c r="L32" s="1086" t="s">
        <v>832</v>
      </c>
      <c r="M32" s="1091">
        <v>44190</v>
      </c>
      <c r="N32" s="1091">
        <v>43470</v>
      </c>
      <c r="O32" s="1088">
        <v>0</v>
      </c>
      <c r="P32" s="1088">
        <v>0</v>
      </c>
    </row>
    <row r="33" spans="1:16" ht="12" customHeight="1">
      <c r="A33" s="1604"/>
      <c r="B33" s="1607"/>
      <c r="C33" s="1092" t="s">
        <v>840</v>
      </c>
      <c r="D33" s="1092"/>
      <c r="E33" s="1096"/>
      <c r="F33" s="1093">
        <f t="shared" ref="F33:K33" si="0">F32</f>
        <v>16</v>
      </c>
      <c r="G33" s="1093">
        <f t="shared" si="0"/>
        <v>0</v>
      </c>
      <c r="H33" s="1093">
        <f t="shared" si="0"/>
        <v>0</v>
      </c>
      <c r="I33" s="1093">
        <f t="shared" si="0"/>
        <v>0.68</v>
      </c>
      <c r="J33" s="1093">
        <f t="shared" si="0"/>
        <v>0</v>
      </c>
      <c r="K33" s="1093">
        <f t="shared" si="0"/>
        <v>0</v>
      </c>
      <c r="L33" s="1097"/>
      <c r="M33" s="1093"/>
      <c r="N33" s="1093"/>
      <c r="O33" s="1093">
        <v>0</v>
      </c>
      <c r="P33" s="1093">
        <v>0</v>
      </c>
    </row>
    <row r="34" spans="1:16" ht="12" customHeight="1">
      <c r="A34" s="1604"/>
      <c r="B34" s="1606" t="s">
        <v>841</v>
      </c>
      <c r="C34" s="1098" t="s">
        <v>842</v>
      </c>
      <c r="D34" s="1084" t="s">
        <v>842</v>
      </c>
      <c r="E34" s="1099" t="s">
        <v>843</v>
      </c>
      <c r="F34" s="1086">
        <v>0</v>
      </c>
      <c r="G34" s="1086">
        <v>0</v>
      </c>
      <c r="H34" s="1086">
        <v>0</v>
      </c>
      <c r="I34" s="1094">
        <v>0</v>
      </c>
      <c r="J34" s="1095">
        <v>0</v>
      </c>
      <c r="K34" s="1095">
        <v>0</v>
      </c>
      <c r="L34" s="1100" t="s">
        <v>764</v>
      </c>
      <c r="M34" s="1091">
        <v>0</v>
      </c>
      <c r="N34" s="1091">
        <v>0</v>
      </c>
      <c r="O34" s="1088">
        <v>0</v>
      </c>
      <c r="P34" s="1088">
        <v>0</v>
      </c>
    </row>
    <row r="35" spans="1:16" ht="12" customHeight="1">
      <c r="A35" s="1604"/>
      <c r="B35" s="1608"/>
      <c r="C35" s="1084" t="s">
        <v>844</v>
      </c>
      <c r="D35" s="1084" t="s">
        <v>844</v>
      </c>
      <c r="E35" s="1099" t="s">
        <v>843</v>
      </c>
      <c r="F35" s="1086">
        <v>0</v>
      </c>
      <c r="G35" s="1086">
        <v>0</v>
      </c>
      <c r="H35" s="1086">
        <v>0</v>
      </c>
      <c r="I35" s="1094">
        <v>0</v>
      </c>
      <c r="J35" s="1095">
        <v>0</v>
      </c>
      <c r="K35" s="1095">
        <v>0</v>
      </c>
      <c r="L35" s="1100" t="s">
        <v>764</v>
      </c>
      <c r="M35" s="1091">
        <v>0</v>
      </c>
      <c r="N35" s="1091">
        <v>0</v>
      </c>
      <c r="O35" s="1088">
        <v>0</v>
      </c>
      <c r="P35" s="1088">
        <v>0</v>
      </c>
    </row>
    <row r="36" spans="1:16" ht="12" customHeight="1">
      <c r="A36" s="1604"/>
      <c r="B36" s="1608"/>
      <c r="C36" s="1084" t="s">
        <v>845</v>
      </c>
      <c r="D36" s="1084" t="s">
        <v>845</v>
      </c>
      <c r="E36" s="1099" t="s">
        <v>843</v>
      </c>
      <c r="F36" s="1086">
        <v>0</v>
      </c>
      <c r="G36" s="1086">
        <v>0</v>
      </c>
      <c r="H36" s="1086">
        <v>0</v>
      </c>
      <c r="I36" s="1094">
        <v>0</v>
      </c>
      <c r="J36" s="1095">
        <v>0</v>
      </c>
      <c r="K36" s="1095">
        <v>0</v>
      </c>
      <c r="L36" s="1100" t="s">
        <v>764</v>
      </c>
      <c r="M36" s="1091">
        <v>0</v>
      </c>
      <c r="N36" s="1091">
        <v>0</v>
      </c>
      <c r="O36" s="1088">
        <v>0</v>
      </c>
      <c r="P36" s="1088">
        <v>0</v>
      </c>
    </row>
    <row r="37" spans="1:16" ht="21.75" customHeight="1">
      <c r="A37" s="1604"/>
      <c r="B37" s="1607"/>
      <c r="C37" s="1092" t="s">
        <v>846</v>
      </c>
      <c r="D37" s="1092"/>
      <c r="E37" s="1096"/>
      <c r="F37" s="1093">
        <f t="shared" ref="F37:K37" si="1">SUM(F34:F36)</f>
        <v>0</v>
      </c>
      <c r="G37" s="1093">
        <f t="shared" si="1"/>
        <v>0</v>
      </c>
      <c r="H37" s="1093">
        <f t="shared" si="1"/>
        <v>0</v>
      </c>
      <c r="I37" s="1093">
        <f t="shared" si="1"/>
        <v>0</v>
      </c>
      <c r="J37" s="1093">
        <f t="shared" si="1"/>
        <v>0</v>
      </c>
      <c r="K37" s="1093">
        <f t="shared" si="1"/>
        <v>0</v>
      </c>
      <c r="L37" s="1097"/>
      <c r="M37" s="1101">
        <v>0</v>
      </c>
      <c r="N37" s="1101"/>
      <c r="O37" s="1096">
        <v>0</v>
      </c>
      <c r="P37" s="1096">
        <v>0</v>
      </c>
    </row>
    <row r="38" spans="1:16" ht="43.5" customHeight="1">
      <c r="A38" s="1605"/>
      <c r="B38" s="1102" t="s">
        <v>847</v>
      </c>
      <c r="C38" s="1092" t="s">
        <v>847</v>
      </c>
      <c r="D38" s="1092"/>
      <c r="E38" s="1093"/>
      <c r="F38" s="1093">
        <f t="shared" ref="F38:K38" si="2">F37+F33+F31</f>
        <v>1294579</v>
      </c>
      <c r="G38" s="1093">
        <f t="shared" si="2"/>
        <v>274301</v>
      </c>
      <c r="H38" s="1093">
        <f t="shared" si="2"/>
        <v>352355</v>
      </c>
      <c r="I38" s="1093">
        <f t="shared" si="2"/>
        <v>50438.73</v>
      </c>
      <c r="J38" s="1093">
        <f t="shared" si="2"/>
        <v>11020.04</v>
      </c>
      <c r="K38" s="1093">
        <f t="shared" si="2"/>
        <v>13271.400000000001</v>
      </c>
      <c r="L38" s="1093"/>
      <c r="M38" s="1103" t="s">
        <v>234</v>
      </c>
      <c r="N38" s="1103"/>
      <c r="O38" s="1093">
        <v>49629</v>
      </c>
      <c r="P38" s="1093">
        <v>2167</v>
      </c>
    </row>
    <row r="39" spans="1:16" ht="12" customHeight="1">
      <c r="A39" s="1609" t="s">
        <v>848</v>
      </c>
      <c r="B39" s="1606" t="s">
        <v>849</v>
      </c>
      <c r="C39" s="1090" t="s">
        <v>791</v>
      </c>
      <c r="D39" s="1084" t="s">
        <v>792</v>
      </c>
      <c r="E39" s="1085" t="s">
        <v>743</v>
      </c>
      <c r="F39" s="1086">
        <v>0</v>
      </c>
      <c r="G39" s="1104">
        <v>0</v>
      </c>
      <c r="H39" s="1104">
        <v>0</v>
      </c>
      <c r="I39" s="1094">
        <v>0</v>
      </c>
      <c r="J39" s="1095">
        <v>0</v>
      </c>
      <c r="K39" s="1095">
        <v>0</v>
      </c>
      <c r="L39" s="1086" t="s">
        <v>783</v>
      </c>
      <c r="M39" s="1105">
        <v>0</v>
      </c>
      <c r="N39" s="1105">
        <v>0</v>
      </c>
      <c r="O39" s="1106" t="s">
        <v>234</v>
      </c>
      <c r="P39" s="1094">
        <v>0</v>
      </c>
    </row>
    <row r="40" spans="1:16" ht="12" customHeight="1">
      <c r="A40" s="1604"/>
      <c r="B40" s="1608"/>
      <c r="C40" s="1083" t="s">
        <v>797</v>
      </c>
      <c r="D40" s="1084" t="s">
        <v>797</v>
      </c>
      <c r="E40" s="1085" t="s">
        <v>724</v>
      </c>
      <c r="F40" s="1086">
        <v>0</v>
      </c>
      <c r="G40" s="1104">
        <v>0</v>
      </c>
      <c r="H40" s="1104">
        <v>0</v>
      </c>
      <c r="I40" s="1094">
        <v>0</v>
      </c>
      <c r="J40" s="1095">
        <v>0</v>
      </c>
      <c r="K40" s="1095">
        <v>0</v>
      </c>
      <c r="L40" s="1086" t="s">
        <v>783</v>
      </c>
      <c r="M40" s="1105">
        <v>0</v>
      </c>
      <c r="N40" s="1105">
        <v>0</v>
      </c>
      <c r="O40" s="1106" t="s">
        <v>234</v>
      </c>
      <c r="P40" s="1094">
        <v>0</v>
      </c>
    </row>
    <row r="41" spans="1:16" ht="12" customHeight="1">
      <c r="A41" s="1604"/>
      <c r="B41" s="1608"/>
      <c r="C41" s="1083" t="s">
        <v>805</v>
      </c>
      <c r="D41" s="1084" t="s">
        <v>806</v>
      </c>
      <c r="E41" s="1085" t="s">
        <v>724</v>
      </c>
      <c r="F41" s="1086">
        <v>0</v>
      </c>
      <c r="G41" s="1104">
        <v>0</v>
      </c>
      <c r="H41" s="1104">
        <v>0</v>
      </c>
      <c r="I41" s="1094">
        <v>0</v>
      </c>
      <c r="J41" s="1095">
        <v>0</v>
      </c>
      <c r="K41" s="1095">
        <v>0</v>
      </c>
      <c r="L41" s="1086" t="s">
        <v>783</v>
      </c>
      <c r="M41" s="1105">
        <v>0</v>
      </c>
      <c r="N41" s="1105">
        <v>0</v>
      </c>
      <c r="O41" s="1106" t="s">
        <v>234</v>
      </c>
      <c r="P41" s="1094">
        <v>0</v>
      </c>
    </row>
    <row r="42" spans="1:16" ht="12" customHeight="1">
      <c r="A42" s="1604"/>
      <c r="B42" s="1608"/>
      <c r="C42" s="1083" t="s">
        <v>850</v>
      </c>
      <c r="D42" s="1084" t="s">
        <v>804</v>
      </c>
      <c r="E42" s="1085" t="s">
        <v>724</v>
      </c>
      <c r="F42" s="1094">
        <v>74.12</v>
      </c>
      <c r="G42" s="1104">
        <v>0.65</v>
      </c>
      <c r="H42" s="1104">
        <v>73.47</v>
      </c>
      <c r="I42" s="1094">
        <v>416.39</v>
      </c>
      <c r="J42" s="1095">
        <v>3.52</v>
      </c>
      <c r="K42" s="1095">
        <v>412.87</v>
      </c>
      <c r="L42" s="1086" t="s">
        <v>783</v>
      </c>
      <c r="M42" s="1105">
        <v>0</v>
      </c>
      <c r="N42" s="1105">
        <v>0</v>
      </c>
      <c r="O42" s="1106">
        <v>566</v>
      </c>
      <c r="P42" s="1094">
        <v>0</v>
      </c>
    </row>
    <row r="43" spans="1:16" ht="12" customHeight="1">
      <c r="A43" s="1604"/>
      <c r="B43" s="1608"/>
      <c r="C43" s="1083" t="s">
        <v>816</v>
      </c>
      <c r="D43" s="1084" t="s">
        <v>817</v>
      </c>
      <c r="E43" s="1085" t="s">
        <v>815</v>
      </c>
      <c r="F43" s="1086">
        <v>0</v>
      </c>
      <c r="G43" s="1104">
        <v>0</v>
      </c>
      <c r="H43" s="1104">
        <v>0</v>
      </c>
      <c r="I43" s="1094">
        <v>0</v>
      </c>
      <c r="J43" s="1095">
        <v>0</v>
      </c>
      <c r="K43" s="1095">
        <v>0</v>
      </c>
      <c r="L43" s="1086" t="s">
        <v>783</v>
      </c>
      <c r="M43" s="1105">
        <v>0</v>
      </c>
      <c r="N43" s="1105">
        <v>0</v>
      </c>
      <c r="O43" s="1106" t="s">
        <v>234</v>
      </c>
      <c r="P43" s="1094">
        <v>0</v>
      </c>
    </row>
    <row r="44" spans="1:16" ht="12" customHeight="1">
      <c r="A44" s="1604"/>
      <c r="B44" s="1608"/>
      <c r="C44" s="1083" t="s">
        <v>851</v>
      </c>
      <c r="D44" s="1084" t="s">
        <v>829</v>
      </c>
      <c r="E44" s="1085" t="s">
        <v>724</v>
      </c>
      <c r="F44" s="1086">
        <v>0</v>
      </c>
      <c r="G44" s="1104">
        <v>0</v>
      </c>
      <c r="H44" s="1104">
        <v>0</v>
      </c>
      <c r="I44" s="1094">
        <v>0</v>
      </c>
      <c r="J44" s="1095">
        <v>0</v>
      </c>
      <c r="K44" s="1095">
        <v>0</v>
      </c>
      <c r="L44" s="1086" t="s">
        <v>783</v>
      </c>
      <c r="M44" s="1105">
        <v>0</v>
      </c>
      <c r="N44" s="1105">
        <v>0</v>
      </c>
      <c r="O44" s="1106" t="s">
        <v>234</v>
      </c>
      <c r="P44" s="1094">
        <v>0</v>
      </c>
    </row>
    <row r="45" spans="1:16" ht="12" customHeight="1">
      <c r="A45" s="1604"/>
      <c r="B45" s="1608"/>
      <c r="C45" s="1083" t="s">
        <v>820</v>
      </c>
      <c r="D45" s="1084" t="s">
        <v>821</v>
      </c>
      <c r="E45" s="1085" t="s">
        <v>743</v>
      </c>
      <c r="F45" s="1086">
        <v>0</v>
      </c>
      <c r="G45" s="1104">
        <v>0</v>
      </c>
      <c r="H45" s="1104">
        <v>0</v>
      </c>
      <c r="I45" s="1094">
        <v>0</v>
      </c>
      <c r="J45" s="1095">
        <v>0</v>
      </c>
      <c r="K45" s="1095">
        <v>0</v>
      </c>
      <c r="L45" s="1086" t="s">
        <v>783</v>
      </c>
      <c r="M45" s="1105">
        <v>0</v>
      </c>
      <c r="N45" s="1105">
        <v>0</v>
      </c>
      <c r="O45" s="1106" t="s">
        <v>234</v>
      </c>
      <c r="P45" s="1094">
        <v>0</v>
      </c>
    </row>
    <row r="46" spans="1:16" ht="12" customHeight="1">
      <c r="A46" s="1604"/>
      <c r="B46" s="1608"/>
      <c r="C46" s="1083" t="s">
        <v>852</v>
      </c>
      <c r="D46" s="1084" t="s">
        <v>825</v>
      </c>
      <c r="E46" s="1085" t="s">
        <v>743</v>
      </c>
      <c r="F46" s="1086">
        <v>0</v>
      </c>
      <c r="G46" s="1104">
        <v>0</v>
      </c>
      <c r="H46" s="1104">
        <v>0</v>
      </c>
      <c r="I46" s="1094">
        <v>0</v>
      </c>
      <c r="J46" s="1095">
        <v>0</v>
      </c>
      <c r="K46" s="1095">
        <v>0</v>
      </c>
      <c r="L46" s="1086" t="s">
        <v>783</v>
      </c>
      <c r="M46" s="1105">
        <v>0</v>
      </c>
      <c r="N46" s="1105">
        <v>0</v>
      </c>
      <c r="O46" s="1106" t="s">
        <v>234</v>
      </c>
      <c r="P46" s="1094">
        <v>0</v>
      </c>
    </row>
    <row r="47" spans="1:16" ht="12" customHeight="1">
      <c r="A47" s="1604"/>
      <c r="B47" s="1608"/>
      <c r="C47" s="1083" t="s">
        <v>835</v>
      </c>
      <c r="D47" s="1084" t="s">
        <v>836</v>
      </c>
      <c r="E47" s="1085" t="s">
        <v>743</v>
      </c>
      <c r="F47" s="1086">
        <v>0</v>
      </c>
      <c r="G47" s="1104">
        <v>0</v>
      </c>
      <c r="H47" s="1104">
        <v>0</v>
      </c>
      <c r="I47" s="1094">
        <v>0</v>
      </c>
      <c r="J47" s="1095">
        <v>0</v>
      </c>
      <c r="K47" s="1095">
        <v>0</v>
      </c>
      <c r="L47" s="1086" t="s">
        <v>783</v>
      </c>
      <c r="M47" s="1105">
        <v>0</v>
      </c>
      <c r="N47" s="1105">
        <v>0</v>
      </c>
      <c r="O47" s="1106" t="s">
        <v>234</v>
      </c>
      <c r="P47" s="1094">
        <v>0</v>
      </c>
    </row>
    <row r="48" spans="1:16" ht="12" customHeight="1">
      <c r="A48" s="1604"/>
      <c r="B48" s="1607"/>
      <c r="C48" s="1083" t="s">
        <v>833</v>
      </c>
      <c r="D48" s="1084" t="s">
        <v>834</v>
      </c>
      <c r="E48" s="1085" t="s">
        <v>724</v>
      </c>
      <c r="F48" s="1086">
        <v>0</v>
      </c>
      <c r="G48" s="1104">
        <v>0</v>
      </c>
      <c r="H48" s="1104">
        <v>0</v>
      </c>
      <c r="I48" s="1094">
        <v>0</v>
      </c>
      <c r="J48" s="1095">
        <v>0</v>
      </c>
      <c r="K48" s="1095">
        <v>0</v>
      </c>
      <c r="L48" s="1086" t="s">
        <v>783</v>
      </c>
      <c r="M48" s="1105">
        <v>0</v>
      </c>
      <c r="N48" s="1105">
        <v>0</v>
      </c>
      <c r="O48" s="1106" t="s">
        <v>234</v>
      </c>
      <c r="P48" s="1094">
        <v>0</v>
      </c>
    </row>
    <row r="49" spans="1:16" ht="51" customHeight="1">
      <c r="A49" s="1605"/>
      <c r="B49" s="1102" t="s">
        <v>853</v>
      </c>
      <c r="C49" s="1092" t="s">
        <v>853</v>
      </c>
      <c r="D49" s="1092"/>
      <c r="E49" s="1093"/>
      <c r="F49" s="1101">
        <f t="shared" ref="F49:K49" si="3">SUM(F39:F48)</f>
        <v>74.12</v>
      </c>
      <c r="G49" s="1101">
        <f t="shared" si="3"/>
        <v>0.65</v>
      </c>
      <c r="H49" s="1101">
        <f t="shared" si="3"/>
        <v>73.47</v>
      </c>
      <c r="I49" s="1101">
        <f t="shared" si="3"/>
        <v>416.39</v>
      </c>
      <c r="J49" s="1101">
        <f t="shared" si="3"/>
        <v>3.52</v>
      </c>
      <c r="K49" s="1101">
        <f t="shared" si="3"/>
        <v>412.87</v>
      </c>
      <c r="L49" s="1093"/>
      <c r="M49" s="1101">
        <v>0</v>
      </c>
      <c r="N49" s="1101">
        <v>0</v>
      </c>
      <c r="O49" s="1101">
        <v>566</v>
      </c>
      <c r="P49" s="1101">
        <v>0</v>
      </c>
    </row>
    <row r="50" spans="1:16">
      <c r="A50" s="1107" t="s">
        <v>1410</v>
      </c>
      <c r="B50" s="1108"/>
      <c r="C50" s="1109"/>
      <c r="D50" s="1109"/>
      <c r="E50" s="1109"/>
      <c r="F50" s="1109"/>
      <c r="G50" s="1109"/>
      <c r="H50" s="1109"/>
      <c r="I50" s="1109"/>
      <c r="J50" s="1109"/>
      <c r="K50" s="1109"/>
      <c r="L50" s="1109"/>
      <c r="M50" s="1109"/>
      <c r="N50" s="1109"/>
      <c r="O50" s="1108"/>
      <c r="P50" s="1108"/>
    </row>
    <row r="51" spans="1:16">
      <c r="A51" s="1108" t="s">
        <v>1087</v>
      </c>
      <c r="B51" s="1108"/>
      <c r="C51" s="1109"/>
      <c r="D51" s="1109"/>
      <c r="E51" s="1109"/>
      <c r="F51" s="1109"/>
      <c r="G51" s="1109"/>
      <c r="H51" s="1109"/>
      <c r="I51" s="1109"/>
      <c r="J51" s="1109"/>
      <c r="K51" s="1109"/>
      <c r="L51" s="1109"/>
      <c r="M51" s="1109"/>
      <c r="N51" s="1109"/>
      <c r="O51" s="1108"/>
      <c r="P51" s="1108"/>
    </row>
    <row r="52" spans="1:16">
      <c r="A52" s="1108" t="s">
        <v>1088</v>
      </c>
      <c r="B52" s="1108"/>
      <c r="C52" s="1108"/>
      <c r="D52" s="1108"/>
      <c r="E52" s="1108"/>
      <c r="F52" s="1108"/>
      <c r="G52" s="1108"/>
      <c r="H52" s="1108"/>
      <c r="I52" s="1109"/>
      <c r="J52" s="1108"/>
      <c r="K52" s="1108"/>
      <c r="L52" s="1108"/>
      <c r="M52" s="1108"/>
      <c r="N52" s="1108"/>
      <c r="O52" s="1108"/>
      <c r="P52" s="1108"/>
    </row>
    <row r="53" spans="1:16">
      <c r="A53" s="1109" t="s">
        <v>680</v>
      </c>
      <c r="B53" s="1108"/>
      <c r="C53" s="1108"/>
      <c r="D53" s="1108"/>
      <c r="E53" s="1108"/>
      <c r="F53" s="1108"/>
      <c r="G53" s="1108"/>
      <c r="H53" s="1108"/>
      <c r="I53" s="1109"/>
      <c r="J53" s="1108"/>
      <c r="K53" s="1108"/>
      <c r="L53" s="1108"/>
      <c r="M53" s="1108"/>
      <c r="N53" s="1108"/>
      <c r="O53" s="1108"/>
      <c r="P53" s="1108"/>
    </row>
  </sheetData>
  <mergeCells count="17">
    <mergeCell ref="B4:B31"/>
    <mergeCell ref="B32:B33"/>
    <mergeCell ref="B34:B37"/>
    <mergeCell ref="A39:A49"/>
    <mergeCell ref="B39:B48"/>
    <mergeCell ref="A4:A38"/>
    <mergeCell ref="A1:P1"/>
    <mergeCell ref="A2:A3"/>
    <mergeCell ref="B2:B3"/>
    <mergeCell ref="C2:C3"/>
    <mergeCell ref="D2:D3"/>
    <mergeCell ref="E2:E3"/>
    <mergeCell ref="F2:H2"/>
    <mergeCell ref="I2:K2"/>
    <mergeCell ref="L2:L3"/>
    <mergeCell ref="M2:N2"/>
    <mergeCell ref="O2:P2"/>
  </mergeCells>
  <printOptions horizontalCentered="1"/>
  <pageMargins left="0.7" right="0.7" top="0.75" bottom="0.75" header="0.3" footer="0.3"/>
  <pageSetup paperSize="9"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0"/>
  <sheetViews>
    <sheetView zoomScaleNormal="100" workbookViewId="0">
      <pane xSplit="4" ySplit="2" topLeftCell="E3" activePane="bottomRight" state="frozen"/>
      <selection pane="topRight" activeCell="E1" sqref="E1"/>
      <selection pane="bottomLeft" activeCell="A3" sqref="A3"/>
      <selection pane="bottomRight" activeCell="E3" sqref="E3"/>
    </sheetView>
  </sheetViews>
  <sheetFormatPr defaultColWidth="9.140625" defaultRowHeight="15"/>
  <cols>
    <col min="1" max="1" width="8.5703125" style="361" customWidth="1"/>
    <col min="2" max="2" width="17.42578125" style="361" bestFit="1" customWidth="1"/>
    <col min="3" max="3" width="27.7109375" style="361" customWidth="1"/>
    <col min="4" max="4" width="12.5703125" style="361" customWidth="1"/>
    <col min="5" max="7" width="8.7109375" style="361" customWidth="1"/>
    <col min="8" max="9" width="9.140625" style="361" customWidth="1"/>
    <col min="10" max="10" width="8.7109375" style="361" customWidth="1"/>
    <col min="11" max="11" width="12.7109375" style="361" customWidth="1"/>
    <col min="12" max="13" width="8.28515625" style="361" customWidth="1"/>
    <col min="14" max="14" width="9.42578125" style="361" customWidth="1"/>
    <col min="15" max="15" width="9.85546875" style="361" customWidth="1"/>
    <col min="16" max="16384" width="9.140625" style="361"/>
  </cols>
  <sheetData>
    <row r="1" spans="1:15" s="180" customFormat="1" ht="20.25" customHeight="1">
      <c r="A1" s="1612" t="s">
        <v>1413</v>
      </c>
      <c r="B1" s="1612"/>
      <c r="C1" s="1612"/>
      <c r="D1" s="1612"/>
      <c r="E1" s="1612"/>
      <c r="F1" s="1612"/>
      <c r="G1" s="1612"/>
      <c r="H1" s="1612"/>
      <c r="I1" s="1612"/>
      <c r="J1" s="1612"/>
      <c r="K1" s="1612"/>
      <c r="L1" s="1612"/>
      <c r="M1" s="1612"/>
      <c r="N1" s="1612"/>
      <c r="O1" s="1612"/>
    </row>
    <row r="2" spans="1:15" ht="30" customHeight="1">
      <c r="A2" s="1613" t="s">
        <v>854</v>
      </c>
      <c r="B2" s="1613" t="s">
        <v>774</v>
      </c>
      <c r="C2" s="1614" t="s">
        <v>696</v>
      </c>
      <c r="D2" s="1614" t="s">
        <v>776</v>
      </c>
      <c r="E2" s="1616" t="s">
        <v>517</v>
      </c>
      <c r="F2" s="1617"/>
      <c r="G2" s="1618"/>
      <c r="H2" s="1613" t="s">
        <v>233</v>
      </c>
      <c r="I2" s="1613"/>
      <c r="J2" s="1613"/>
      <c r="K2" s="1613" t="s">
        <v>699</v>
      </c>
      <c r="L2" s="1613" t="s">
        <v>1263</v>
      </c>
      <c r="M2" s="1613"/>
      <c r="N2" s="1613" t="s">
        <v>1465</v>
      </c>
      <c r="O2" s="1613"/>
    </row>
    <row r="3" spans="1:15" ht="40.5" customHeight="1">
      <c r="A3" s="1613"/>
      <c r="B3" s="1613"/>
      <c r="C3" s="1615"/>
      <c r="D3" s="1615"/>
      <c r="E3" s="277" t="s">
        <v>1165</v>
      </c>
      <c r="F3" s="277">
        <v>45444</v>
      </c>
      <c r="G3" s="277">
        <v>45474</v>
      </c>
      <c r="H3" s="277" t="s">
        <v>1165</v>
      </c>
      <c r="I3" s="277">
        <v>45444</v>
      </c>
      <c r="J3" s="277">
        <v>45474</v>
      </c>
      <c r="K3" s="1613"/>
      <c r="L3" s="277">
        <v>45444</v>
      </c>
      <c r="M3" s="277">
        <v>45474</v>
      </c>
      <c r="N3" s="277" t="s">
        <v>516</v>
      </c>
      <c r="O3" s="277" t="s">
        <v>1264</v>
      </c>
    </row>
    <row r="4" spans="1:15" ht="12.75" customHeight="1">
      <c r="A4" s="1610" t="s">
        <v>855</v>
      </c>
      <c r="B4" s="1610" t="s">
        <v>661</v>
      </c>
      <c r="C4" s="278" t="s">
        <v>704</v>
      </c>
      <c r="D4" s="278" t="s">
        <v>856</v>
      </c>
      <c r="E4" s="744">
        <v>0</v>
      </c>
      <c r="F4" s="279" t="s">
        <v>234</v>
      </c>
      <c r="G4" s="279" t="s">
        <v>234</v>
      </c>
      <c r="H4" s="745">
        <v>0</v>
      </c>
      <c r="I4" s="745" t="s">
        <v>234</v>
      </c>
      <c r="J4" s="745" t="s">
        <v>234</v>
      </c>
      <c r="K4" s="279" t="s">
        <v>706</v>
      </c>
      <c r="L4" s="746">
        <v>71716</v>
      </c>
      <c r="M4" s="746">
        <v>69012</v>
      </c>
      <c r="N4" s="279">
        <v>0</v>
      </c>
      <c r="O4" s="279">
        <v>0</v>
      </c>
    </row>
    <row r="5" spans="1:15">
      <c r="A5" s="1619"/>
      <c r="B5" s="1622"/>
      <c r="C5" s="278" t="s">
        <v>767</v>
      </c>
      <c r="D5" s="278" t="s">
        <v>857</v>
      </c>
      <c r="E5" s="744">
        <v>0</v>
      </c>
      <c r="F5" s="279" t="s">
        <v>234</v>
      </c>
      <c r="G5" s="279" t="s">
        <v>234</v>
      </c>
      <c r="H5" s="745">
        <v>0</v>
      </c>
      <c r="I5" s="745" t="s">
        <v>234</v>
      </c>
      <c r="J5" s="745" t="s">
        <v>234</v>
      </c>
      <c r="K5" s="279" t="s">
        <v>717</v>
      </c>
      <c r="L5" s="746">
        <v>87167</v>
      </c>
      <c r="M5" s="746">
        <v>82871</v>
      </c>
      <c r="N5" s="279">
        <v>0</v>
      </c>
      <c r="O5" s="279">
        <v>0</v>
      </c>
    </row>
    <row r="6" spans="1:15">
      <c r="A6" s="1619"/>
      <c r="B6" s="1622"/>
      <c r="C6" s="278" t="s">
        <v>858</v>
      </c>
      <c r="D6" s="278" t="s">
        <v>859</v>
      </c>
      <c r="E6" s="744">
        <v>0</v>
      </c>
      <c r="F6" s="279" t="s">
        <v>234</v>
      </c>
      <c r="G6" s="279" t="s">
        <v>234</v>
      </c>
      <c r="H6" s="747">
        <v>0</v>
      </c>
      <c r="I6" s="747" t="s">
        <v>234</v>
      </c>
      <c r="J6" s="747" t="s">
        <v>234</v>
      </c>
      <c r="K6" s="279" t="s">
        <v>706</v>
      </c>
      <c r="L6" s="746">
        <v>71275</v>
      </c>
      <c r="M6" s="746">
        <v>69083</v>
      </c>
      <c r="N6" s="279">
        <v>0</v>
      </c>
      <c r="O6" s="279">
        <v>0</v>
      </c>
    </row>
    <row r="7" spans="1:15">
      <c r="A7" s="1619"/>
      <c r="B7" s="1622"/>
      <c r="C7" s="278" t="s">
        <v>860</v>
      </c>
      <c r="D7" s="278" t="s">
        <v>861</v>
      </c>
      <c r="E7" s="744">
        <v>0</v>
      </c>
      <c r="F7" s="279" t="s">
        <v>234</v>
      </c>
      <c r="G7" s="279" t="s">
        <v>234</v>
      </c>
      <c r="H7" s="745">
        <v>0</v>
      </c>
      <c r="I7" s="745" t="s">
        <v>234</v>
      </c>
      <c r="J7" s="745" t="s">
        <v>234</v>
      </c>
      <c r="K7" s="279" t="s">
        <v>717</v>
      </c>
      <c r="L7" s="746">
        <v>87130</v>
      </c>
      <c r="M7" s="746">
        <v>81988</v>
      </c>
      <c r="N7" s="279">
        <v>0</v>
      </c>
      <c r="O7" s="279">
        <v>0</v>
      </c>
    </row>
    <row r="8" spans="1:15">
      <c r="A8" s="1619"/>
      <c r="B8" s="1622"/>
      <c r="C8" s="278" t="s">
        <v>862</v>
      </c>
      <c r="D8" s="278" t="s">
        <v>863</v>
      </c>
      <c r="E8" s="744">
        <v>0</v>
      </c>
      <c r="F8" s="279" t="s">
        <v>234</v>
      </c>
      <c r="G8" s="279" t="s">
        <v>234</v>
      </c>
      <c r="H8" s="745">
        <v>0</v>
      </c>
      <c r="I8" s="745" t="s">
        <v>234</v>
      </c>
      <c r="J8" s="745" t="s">
        <v>234</v>
      </c>
      <c r="K8" s="279" t="s">
        <v>717</v>
      </c>
      <c r="L8" s="746">
        <v>87130</v>
      </c>
      <c r="M8" s="746">
        <v>81988</v>
      </c>
      <c r="N8" s="279">
        <v>0</v>
      </c>
      <c r="O8" s="279">
        <v>0</v>
      </c>
    </row>
    <row r="9" spans="1:15">
      <c r="A9" s="1619"/>
      <c r="B9" s="1611"/>
      <c r="C9" s="280" t="s">
        <v>864</v>
      </c>
      <c r="D9" s="280"/>
      <c r="E9" s="748">
        <f t="shared" ref="E9:J9" si="0">SUM(E4:E8)</f>
        <v>0</v>
      </c>
      <c r="F9" s="748">
        <f t="shared" si="0"/>
        <v>0</v>
      </c>
      <c r="G9" s="748">
        <f t="shared" si="0"/>
        <v>0</v>
      </c>
      <c r="H9" s="748">
        <f t="shared" si="0"/>
        <v>0</v>
      </c>
      <c r="I9" s="748">
        <f t="shared" si="0"/>
        <v>0</v>
      </c>
      <c r="J9" s="748">
        <f t="shared" si="0"/>
        <v>0</v>
      </c>
      <c r="K9" s="281"/>
      <c r="L9" s="748">
        <v>404418</v>
      </c>
      <c r="M9" s="748">
        <v>384942</v>
      </c>
      <c r="N9" s="379">
        <v>0</v>
      </c>
      <c r="O9" s="379">
        <v>0</v>
      </c>
    </row>
    <row r="10" spans="1:15">
      <c r="A10" s="1619"/>
      <c r="B10" s="1610" t="s">
        <v>865</v>
      </c>
      <c r="C10" s="278" t="s">
        <v>1287</v>
      </c>
      <c r="D10" s="749"/>
      <c r="E10" s="279">
        <v>0</v>
      </c>
      <c r="F10" s="279" t="s">
        <v>234</v>
      </c>
      <c r="G10" s="279" t="s">
        <v>234</v>
      </c>
      <c r="H10" s="279">
        <v>0</v>
      </c>
      <c r="I10" s="279" t="s">
        <v>234</v>
      </c>
      <c r="J10" s="279" t="s">
        <v>234</v>
      </c>
      <c r="K10" s="279" t="s">
        <v>234</v>
      </c>
      <c r="L10" s="279" t="s">
        <v>234</v>
      </c>
      <c r="M10" s="279" t="s">
        <v>234</v>
      </c>
      <c r="N10" s="279" t="s">
        <v>234</v>
      </c>
      <c r="O10" s="279" t="s">
        <v>234</v>
      </c>
    </row>
    <row r="11" spans="1:15">
      <c r="A11" s="1619"/>
      <c r="B11" s="1619"/>
      <c r="C11" s="749" t="s">
        <v>833</v>
      </c>
      <c r="D11" s="278" t="s">
        <v>743</v>
      </c>
      <c r="E11" s="744">
        <v>0</v>
      </c>
      <c r="F11" s="279" t="s">
        <v>234</v>
      </c>
      <c r="G11" s="279" t="s">
        <v>234</v>
      </c>
      <c r="H11" s="747">
        <v>0</v>
      </c>
      <c r="I11" s="747" t="s">
        <v>234</v>
      </c>
      <c r="J11" s="747" t="s">
        <v>234</v>
      </c>
      <c r="K11" s="279" t="s">
        <v>783</v>
      </c>
      <c r="L11" s="279" t="s">
        <v>234</v>
      </c>
      <c r="M11" s="279" t="s">
        <v>234</v>
      </c>
      <c r="N11" s="380">
        <v>0</v>
      </c>
      <c r="O11" s="380">
        <v>0</v>
      </c>
    </row>
    <row r="12" spans="1:15">
      <c r="A12" s="1619"/>
      <c r="B12" s="1619"/>
      <c r="C12" s="278" t="s">
        <v>1288</v>
      </c>
      <c r="D12" s="180"/>
      <c r="E12" s="744">
        <v>0</v>
      </c>
      <c r="F12" s="279" t="s">
        <v>234</v>
      </c>
      <c r="G12" s="279" t="s">
        <v>234</v>
      </c>
      <c r="H12" s="747">
        <v>0</v>
      </c>
      <c r="I12" s="747" t="s">
        <v>234</v>
      </c>
      <c r="J12" s="747" t="s">
        <v>234</v>
      </c>
      <c r="K12" s="747" t="s">
        <v>234</v>
      </c>
      <c r="L12" s="279" t="s">
        <v>234</v>
      </c>
      <c r="M12" s="279" t="s">
        <v>234</v>
      </c>
      <c r="N12" s="747" t="s">
        <v>234</v>
      </c>
      <c r="O12" s="747" t="s">
        <v>234</v>
      </c>
    </row>
    <row r="13" spans="1:15">
      <c r="A13" s="1619"/>
      <c r="B13" s="1622"/>
      <c r="C13" s="278" t="s">
        <v>866</v>
      </c>
      <c r="D13" s="278" t="s">
        <v>867</v>
      </c>
      <c r="E13" s="744">
        <v>0</v>
      </c>
      <c r="F13" s="279" t="s">
        <v>234</v>
      </c>
      <c r="G13" s="279" t="s">
        <v>234</v>
      </c>
      <c r="H13" s="747">
        <v>0</v>
      </c>
      <c r="I13" s="747" t="s">
        <v>234</v>
      </c>
      <c r="J13" s="747" t="s">
        <v>234</v>
      </c>
      <c r="K13" s="279" t="s">
        <v>717</v>
      </c>
      <c r="L13" s="751">
        <v>362.5</v>
      </c>
      <c r="M13" s="751">
        <v>372.1</v>
      </c>
      <c r="N13" s="380">
        <v>0</v>
      </c>
      <c r="O13" s="380">
        <v>0</v>
      </c>
    </row>
    <row r="14" spans="1:15">
      <c r="A14" s="1619"/>
      <c r="B14" s="1622"/>
      <c r="C14" s="278" t="s">
        <v>868</v>
      </c>
      <c r="D14" s="381" t="s">
        <v>869</v>
      </c>
      <c r="E14" s="744">
        <v>0</v>
      </c>
      <c r="F14" s="279" t="s">
        <v>234</v>
      </c>
      <c r="G14" s="279" t="s">
        <v>234</v>
      </c>
      <c r="H14" s="747">
        <v>0</v>
      </c>
      <c r="I14" s="747" t="s">
        <v>234</v>
      </c>
      <c r="J14" s="747" t="s">
        <v>234</v>
      </c>
      <c r="K14" s="279" t="s">
        <v>800</v>
      </c>
      <c r="L14" s="747" t="s">
        <v>234</v>
      </c>
      <c r="M14" s="747" t="s">
        <v>234</v>
      </c>
      <c r="N14" s="380">
        <v>0</v>
      </c>
      <c r="O14" s="380">
        <v>0</v>
      </c>
    </row>
    <row r="15" spans="1:15">
      <c r="A15" s="1619"/>
      <c r="B15" s="1611"/>
      <c r="C15" s="280" t="s">
        <v>837</v>
      </c>
      <c r="D15" s="280"/>
      <c r="E15" s="748">
        <f t="shared" ref="E15:J15" si="1">SUM(E10:E14)</f>
        <v>0</v>
      </c>
      <c r="F15" s="748">
        <f t="shared" si="1"/>
        <v>0</v>
      </c>
      <c r="G15" s="748">
        <f t="shared" si="1"/>
        <v>0</v>
      </c>
      <c r="H15" s="748">
        <f t="shared" si="1"/>
        <v>0</v>
      </c>
      <c r="I15" s="748">
        <f t="shared" si="1"/>
        <v>0</v>
      </c>
      <c r="J15" s="748">
        <f t="shared" si="1"/>
        <v>0</v>
      </c>
      <c r="K15" s="281"/>
      <c r="L15" s="748">
        <v>362.5</v>
      </c>
      <c r="M15" s="748">
        <v>372.1</v>
      </c>
      <c r="N15" s="379">
        <v>0</v>
      </c>
      <c r="O15" s="379">
        <v>0</v>
      </c>
    </row>
    <row r="16" spans="1:15">
      <c r="A16" s="1619"/>
      <c r="B16" s="1610" t="s">
        <v>676</v>
      </c>
      <c r="C16" s="752" t="s">
        <v>1265</v>
      </c>
      <c r="D16" s="278" t="s">
        <v>743</v>
      </c>
      <c r="E16" s="744">
        <v>0</v>
      </c>
      <c r="F16" s="279" t="s">
        <v>234</v>
      </c>
      <c r="G16" s="279" t="s">
        <v>234</v>
      </c>
      <c r="H16" s="747">
        <v>0</v>
      </c>
      <c r="I16" s="747" t="s">
        <v>234</v>
      </c>
      <c r="J16" s="747" t="s">
        <v>234</v>
      </c>
      <c r="K16" s="279" t="s">
        <v>832</v>
      </c>
      <c r="L16" s="744">
        <v>41470</v>
      </c>
      <c r="M16" s="746">
        <v>40780</v>
      </c>
      <c r="N16" s="279">
        <v>0</v>
      </c>
      <c r="O16" s="279">
        <v>0</v>
      </c>
    </row>
    <row r="17" spans="1:15">
      <c r="A17" s="1619"/>
      <c r="B17" s="1622"/>
      <c r="C17" s="278" t="s">
        <v>727</v>
      </c>
      <c r="D17" s="278" t="s">
        <v>728</v>
      </c>
      <c r="E17" s="753">
        <v>0</v>
      </c>
      <c r="F17" s="279" t="s">
        <v>234</v>
      </c>
      <c r="G17" s="279" t="s">
        <v>234</v>
      </c>
      <c r="H17" s="745">
        <v>0</v>
      </c>
      <c r="I17" s="745" t="s">
        <v>234</v>
      </c>
      <c r="J17" s="745" t="s">
        <v>234</v>
      </c>
      <c r="K17" s="279" t="s">
        <v>717</v>
      </c>
      <c r="L17" s="745" t="s">
        <v>234</v>
      </c>
      <c r="M17" s="745" t="s">
        <v>234</v>
      </c>
      <c r="N17" s="279">
        <v>0</v>
      </c>
      <c r="O17" s="279">
        <v>0</v>
      </c>
    </row>
    <row r="18" spans="1:15">
      <c r="A18" s="1619"/>
      <c r="B18" s="1622"/>
      <c r="C18" s="278" t="s">
        <v>723</v>
      </c>
      <c r="D18" s="278" t="s">
        <v>724</v>
      </c>
      <c r="E18" s="753">
        <v>0</v>
      </c>
      <c r="F18" s="279" t="s">
        <v>234</v>
      </c>
      <c r="G18" s="279" t="s">
        <v>234</v>
      </c>
      <c r="H18" s="745">
        <v>0</v>
      </c>
      <c r="I18" s="745" t="s">
        <v>234</v>
      </c>
      <c r="J18" s="745" t="s">
        <v>234</v>
      </c>
      <c r="K18" s="745" t="s">
        <v>234</v>
      </c>
      <c r="L18" s="745" t="s">
        <v>234</v>
      </c>
      <c r="M18" s="745" t="s">
        <v>234</v>
      </c>
      <c r="N18" s="279">
        <v>0</v>
      </c>
      <c r="O18" s="279">
        <v>0</v>
      </c>
    </row>
    <row r="19" spans="1:15">
      <c r="A19" s="1619"/>
      <c r="B19" s="1622"/>
      <c r="C19" s="278" t="s">
        <v>733</v>
      </c>
      <c r="D19" s="278" t="s">
        <v>724</v>
      </c>
      <c r="E19" s="753">
        <v>0</v>
      </c>
      <c r="F19" s="279" t="s">
        <v>234</v>
      </c>
      <c r="G19" s="279" t="s">
        <v>234</v>
      </c>
      <c r="H19" s="745">
        <v>0</v>
      </c>
      <c r="I19" s="745" t="s">
        <v>234</v>
      </c>
      <c r="J19" s="745" t="s">
        <v>234</v>
      </c>
      <c r="K19" s="745" t="s">
        <v>234</v>
      </c>
      <c r="L19" s="745" t="s">
        <v>234</v>
      </c>
      <c r="M19" s="745" t="s">
        <v>234</v>
      </c>
      <c r="N19" s="279">
        <v>0</v>
      </c>
      <c r="O19" s="279">
        <v>0</v>
      </c>
    </row>
    <row r="20" spans="1:15">
      <c r="A20" s="1619"/>
      <c r="B20" s="1611"/>
      <c r="C20" s="280" t="s">
        <v>840</v>
      </c>
      <c r="D20" s="280"/>
      <c r="E20" s="748">
        <f t="shared" ref="E20:J20" si="2">SUM(E16:E19)</f>
        <v>0</v>
      </c>
      <c r="F20" s="748">
        <f t="shared" si="2"/>
        <v>0</v>
      </c>
      <c r="G20" s="748">
        <f t="shared" si="2"/>
        <v>0</v>
      </c>
      <c r="H20" s="748">
        <f t="shared" si="2"/>
        <v>0</v>
      </c>
      <c r="I20" s="748">
        <f t="shared" si="2"/>
        <v>0</v>
      </c>
      <c r="J20" s="748">
        <f t="shared" si="2"/>
        <v>0</v>
      </c>
      <c r="K20" s="281"/>
      <c r="L20" s="748"/>
      <c r="M20" s="748"/>
      <c r="N20" s="379">
        <v>0</v>
      </c>
      <c r="O20" s="379">
        <v>0</v>
      </c>
    </row>
    <row r="21" spans="1:15">
      <c r="A21" s="1619"/>
      <c r="B21" s="1610" t="s">
        <v>663</v>
      </c>
      <c r="C21" s="278" t="s">
        <v>870</v>
      </c>
      <c r="D21" s="278"/>
      <c r="E21" s="753">
        <v>0</v>
      </c>
      <c r="F21" s="279" t="s">
        <v>234</v>
      </c>
      <c r="G21" s="279" t="s">
        <v>234</v>
      </c>
      <c r="H21" s="745">
        <v>0</v>
      </c>
      <c r="I21" s="745" t="s">
        <v>234</v>
      </c>
      <c r="J21" s="745" t="s">
        <v>234</v>
      </c>
      <c r="K21" s="279" t="s">
        <v>234</v>
      </c>
      <c r="L21" s="750">
        <v>7210</v>
      </c>
      <c r="M21" s="746">
        <v>6763</v>
      </c>
      <c r="N21" s="279">
        <v>0</v>
      </c>
      <c r="O21" s="279">
        <v>0</v>
      </c>
    </row>
    <row r="22" spans="1:15">
      <c r="A22" s="1619"/>
      <c r="B22" s="1619"/>
      <c r="C22" s="278" t="s">
        <v>887</v>
      </c>
      <c r="D22" s="278"/>
      <c r="E22" s="753">
        <v>0</v>
      </c>
      <c r="F22" s="279" t="s">
        <v>234</v>
      </c>
      <c r="G22" s="279" t="s">
        <v>234</v>
      </c>
      <c r="H22" s="745">
        <v>0</v>
      </c>
      <c r="I22" s="753" t="s">
        <v>234</v>
      </c>
      <c r="J22" s="753" t="s">
        <v>234</v>
      </c>
      <c r="K22" s="745" t="s">
        <v>234</v>
      </c>
      <c r="L22" s="750">
        <v>6818</v>
      </c>
      <c r="M22" s="746">
        <v>6548</v>
      </c>
      <c r="N22" s="279">
        <v>0</v>
      </c>
      <c r="O22" s="279">
        <v>0</v>
      </c>
    </row>
    <row r="23" spans="1:15">
      <c r="A23" s="1619"/>
      <c r="B23" s="1611"/>
      <c r="C23" s="280" t="s">
        <v>871</v>
      </c>
      <c r="D23" s="280"/>
      <c r="E23" s="748">
        <f t="shared" ref="E23:J23" si="3">SUM(E21:E22)</f>
        <v>0</v>
      </c>
      <c r="F23" s="748">
        <f t="shared" si="3"/>
        <v>0</v>
      </c>
      <c r="G23" s="748">
        <f t="shared" si="3"/>
        <v>0</v>
      </c>
      <c r="H23" s="748">
        <f t="shared" si="3"/>
        <v>0</v>
      </c>
      <c r="I23" s="748">
        <f t="shared" si="3"/>
        <v>0</v>
      </c>
      <c r="J23" s="748">
        <f t="shared" si="3"/>
        <v>0</v>
      </c>
      <c r="K23" s="755" t="s">
        <v>234</v>
      </c>
      <c r="L23" s="748">
        <v>14028</v>
      </c>
      <c r="M23" s="748">
        <v>13311</v>
      </c>
      <c r="N23" s="379">
        <v>0</v>
      </c>
      <c r="O23" s="379">
        <v>0</v>
      </c>
    </row>
    <row r="24" spans="1:15" ht="25.5">
      <c r="A24" s="1620"/>
      <c r="B24" s="754" t="s">
        <v>872</v>
      </c>
      <c r="C24" s="282"/>
      <c r="D24" s="282"/>
      <c r="E24" s="755">
        <f t="shared" ref="E24:J24" si="4">E23+E20+E15+E9</f>
        <v>0</v>
      </c>
      <c r="F24" s="755">
        <f t="shared" si="4"/>
        <v>0</v>
      </c>
      <c r="G24" s="755">
        <f t="shared" si="4"/>
        <v>0</v>
      </c>
      <c r="H24" s="755">
        <f t="shared" si="4"/>
        <v>0</v>
      </c>
      <c r="I24" s="755">
        <f t="shared" si="4"/>
        <v>0</v>
      </c>
      <c r="J24" s="755">
        <f t="shared" si="4"/>
        <v>0</v>
      </c>
      <c r="K24" s="755" t="s">
        <v>234</v>
      </c>
      <c r="L24" s="755">
        <v>460278.5</v>
      </c>
      <c r="M24" s="755">
        <v>439405.1</v>
      </c>
      <c r="N24" s="382">
        <v>0</v>
      </c>
      <c r="O24" s="382">
        <v>0</v>
      </c>
    </row>
    <row r="25" spans="1:15" ht="12.75" customHeight="1">
      <c r="A25" s="1610" t="s">
        <v>873</v>
      </c>
      <c r="B25" s="1610" t="s">
        <v>703</v>
      </c>
      <c r="C25" s="749" t="s">
        <v>704</v>
      </c>
      <c r="D25" s="278" t="s">
        <v>856</v>
      </c>
      <c r="E25" s="753">
        <v>0</v>
      </c>
      <c r="F25" s="279" t="s">
        <v>234</v>
      </c>
      <c r="G25" s="279" t="s">
        <v>234</v>
      </c>
      <c r="H25" s="745">
        <v>0</v>
      </c>
      <c r="I25" s="745" t="s">
        <v>234</v>
      </c>
      <c r="J25" s="745" t="s">
        <v>234</v>
      </c>
      <c r="K25" s="383" t="s">
        <v>706</v>
      </c>
      <c r="L25" s="750" t="s">
        <v>234</v>
      </c>
      <c r="M25" s="750" t="s">
        <v>234</v>
      </c>
      <c r="N25" s="380">
        <v>0</v>
      </c>
      <c r="O25" s="380">
        <v>0</v>
      </c>
    </row>
    <row r="26" spans="1:15">
      <c r="A26" s="1619"/>
      <c r="B26" s="1622"/>
      <c r="C26" s="278" t="s">
        <v>767</v>
      </c>
      <c r="D26" s="381" t="s">
        <v>874</v>
      </c>
      <c r="E26" s="753">
        <v>0</v>
      </c>
      <c r="F26" s="279" t="s">
        <v>234</v>
      </c>
      <c r="G26" s="279" t="s">
        <v>234</v>
      </c>
      <c r="H26" s="745">
        <v>0</v>
      </c>
      <c r="I26" s="745" t="s">
        <v>234</v>
      </c>
      <c r="J26" s="745" t="s">
        <v>234</v>
      </c>
      <c r="K26" s="383" t="s">
        <v>717</v>
      </c>
      <c r="L26" s="750" t="s">
        <v>234</v>
      </c>
      <c r="M26" s="750" t="s">
        <v>234</v>
      </c>
      <c r="N26" s="380">
        <v>0</v>
      </c>
      <c r="O26" s="380">
        <v>0</v>
      </c>
    </row>
    <row r="27" spans="1:15">
      <c r="A27" s="1619"/>
      <c r="B27" s="1622"/>
      <c r="C27" s="278" t="s">
        <v>875</v>
      </c>
      <c r="D27" s="180" t="s">
        <v>856</v>
      </c>
      <c r="E27" s="753">
        <v>0</v>
      </c>
      <c r="F27" s="279" t="s">
        <v>234</v>
      </c>
      <c r="G27" s="279" t="s">
        <v>234</v>
      </c>
      <c r="H27" s="745">
        <v>0</v>
      </c>
      <c r="I27" s="745" t="s">
        <v>234</v>
      </c>
      <c r="J27" s="745" t="s">
        <v>234</v>
      </c>
      <c r="K27" s="383" t="s">
        <v>717</v>
      </c>
      <c r="L27" s="750" t="s">
        <v>234</v>
      </c>
      <c r="M27" s="750" t="s">
        <v>234</v>
      </c>
      <c r="N27" s="380">
        <v>0</v>
      </c>
      <c r="O27" s="380">
        <v>0</v>
      </c>
    </row>
    <row r="28" spans="1:15">
      <c r="A28" s="1619"/>
      <c r="B28" s="1622"/>
      <c r="C28" s="278" t="s">
        <v>858</v>
      </c>
      <c r="D28" s="278" t="s">
        <v>859</v>
      </c>
      <c r="E28" s="744">
        <v>0</v>
      </c>
      <c r="F28" s="279" t="s">
        <v>234</v>
      </c>
      <c r="G28" s="279" t="s">
        <v>234</v>
      </c>
      <c r="H28" s="747">
        <v>0</v>
      </c>
      <c r="I28" s="747" t="s">
        <v>234</v>
      </c>
      <c r="J28" s="747" t="s">
        <v>234</v>
      </c>
      <c r="K28" s="383" t="s">
        <v>706</v>
      </c>
      <c r="L28" s="750" t="s">
        <v>234</v>
      </c>
      <c r="M28" s="750" t="s">
        <v>234</v>
      </c>
      <c r="N28" s="380">
        <v>0</v>
      </c>
      <c r="O28" s="380">
        <v>0</v>
      </c>
    </row>
    <row r="29" spans="1:15">
      <c r="A29" s="1619"/>
      <c r="B29" s="1611"/>
      <c r="C29" s="280" t="s">
        <v>864</v>
      </c>
      <c r="D29" s="280"/>
      <c r="E29" s="755">
        <f t="shared" ref="E29:J29" si="5">SUM(E25:E28)</f>
        <v>0</v>
      </c>
      <c r="F29" s="755">
        <f t="shared" si="5"/>
        <v>0</v>
      </c>
      <c r="G29" s="755">
        <f t="shared" si="5"/>
        <v>0</v>
      </c>
      <c r="H29" s="755">
        <f t="shared" si="5"/>
        <v>0</v>
      </c>
      <c r="I29" s="755">
        <f t="shared" si="5"/>
        <v>0</v>
      </c>
      <c r="J29" s="755">
        <f t="shared" si="5"/>
        <v>0</v>
      </c>
      <c r="K29" s="283"/>
      <c r="L29" s="755">
        <v>0</v>
      </c>
      <c r="M29" s="755">
        <v>0</v>
      </c>
      <c r="N29" s="382">
        <v>0</v>
      </c>
      <c r="O29" s="382">
        <v>0</v>
      </c>
    </row>
    <row r="30" spans="1:15">
      <c r="A30" s="1619"/>
      <c r="B30" s="1610" t="s">
        <v>686</v>
      </c>
      <c r="C30" s="278" t="s">
        <v>870</v>
      </c>
      <c r="D30" s="278"/>
      <c r="E30" s="753">
        <v>191</v>
      </c>
      <c r="F30" s="279">
        <v>46</v>
      </c>
      <c r="G30" s="279">
        <v>46</v>
      </c>
      <c r="H30" s="745">
        <v>13.771009999999999</v>
      </c>
      <c r="I30" s="745">
        <v>3.2512599999999998</v>
      </c>
      <c r="J30" s="745">
        <v>3.2867099999999998</v>
      </c>
      <c r="K30" s="383" t="s">
        <v>1071</v>
      </c>
      <c r="L30" s="750" t="s">
        <v>234</v>
      </c>
      <c r="M30" s="750" t="s">
        <v>234</v>
      </c>
      <c r="N30" s="279">
        <v>0</v>
      </c>
      <c r="O30" s="279">
        <v>0</v>
      </c>
    </row>
    <row r="31" spans="1:15">
      <c r="A31" s="1619"/>
      <c r="B31" s="1622"/>
      <c r="C31" s="278" t="s">
        <v>887</v>
      </c>
      <c r="D31" s="278"/>
      <c r="E31" s="753">
        <v>0</v>
      </c>
      <c r="F31" s="279" t="s">
        <v>234</v>
      </c>
      <c r="G31" s="279" t="s">
        <v>234</v>
      </c>
      <c r="H31" s="745">
        <v>0</v>
      </c>
      <c r="I31" s="745" t="s">
        <v>234</v>
      </c>
      <c r="J31" s="745" t="s">
        <v>234</v>
      </c>
      <c r="K31" s="383" t="s">
        <v>1071</v>
      </c>
      <c r="L31" s="750" t="s">
        <v>234</v>
      </c>
      <c r="M31" s="750" t="s">
        <v>234</v>
      </c>
      <c r="N31" s="279">
        <v>1.2380952380952381</v>
      </c>
      <c r="O31" s="279">
        <v>8.8322761904761904E-2</v>
      </c>
    </row>
    <row r="32" spans="1:15">
      <c r="A32" s="1619"/>
      <c r="B32" s="1622"/>
      <c r="C32" s="280" t="s">
        <v>871</v>
      </c>
      <c r="D32" s="280"/>
      <c r="E32" s="755">
        <f t="shared" ref="E32:J32" si="6">SUM(E30:E31)</f>
        <v>191</v>
      </c>
      <c r="F32" s="755">
        <f t="shared" si="6"/>
        <v>46</v>
      </c>
      <c r="G32" s="755">
        <f t="shared" si="6"/>
        <v>46</v>
      </c>
      <c r="H32" s="756">
        <f t="shared" si="6"/>
        <v>13.771009999999999</v>
      </c>
      <c r="I32" s="756">
        <f t="shared" si="6"/>
        <v>3.2512599999999998</v>
      </c>
      <c r="J32" s="756">
        <f t="shared" si="6"/>
        <v>3.2867099999999998</v>
      </c>
      <c r="K32" s="283"/>
      <c r="L32" s="755">
        <v>0</v>
      </c>
      <c r="M32" s="755">
        <v>0</v>
      </c>
      <c r="N32" s="382">
        <v>0</v>
      </c>
      <c r="O32" s="382">
        <v>0</v>
      </c>
    </row>
    <row r="33" spans="1:15">
      <c r="A33" s="1619"/>
      <c r="B33" s="1610" t="s">
        <v>676</v>
      </c>
      <c r="C33" s="278" t="s">
        <v>727</v>
      </c>
      <c r="D33" s="278" t="s">
        <v>728</v>
      </c>
      <c r="E33" s="753">
        <v>0</v>
      </c>
      <c r="F33" s="279" t="s">
        <v>234</v>
      </c>
      <c r="G33" s="279" t="s">
        <v>234</v>
      </c>
      <c r="H33" s="745">
        <v>0</v>
      </c>
      <c r="I33" s="745" t="s">
        <v>234</v>
      </c>
      <c r="J33" s="745" t="s">
        <v>234</v>
      </c>
      <c r="K33" s="383" t="s">
        <v>717</v>
      </c>
      <c r="L33" s="750" t="s">
        <v>234</v>
      </c>
      <c r="M33" s="750" t="s">
        <v>234</v>
      </c>
      <c r="N33" s="380">
        <v>0</v>
      </c>
      <c r="O33" s="380">
        <v>0</v>
      </c>
    </row>
    <row r="34" spans="1:15" ht="16.5" customHeight="1">
      <c r="A34" s="1619"/>
      <c r="B34" s="1611"/>
      <c r="C34" s="280" t="s">
        <v>840</v>
      </c>
      <c r="D34" s="280"/>
      <c r="E34" s="755">
        <f t="shared" ref="E34:H34" si="7">E33</f>
        <v>0</v>
      </c>
      <c r="F34" s="755" t="str">
        <f t="shared" si="7"/>
        <v>-</v>
      </c>
      <c r="G34" s="755" t="str">
        <f t="shared" si="7"/>
        <v>-</v>
      </c>
      <c r="H34" s="755">
        <f t="shared" si="7"/>
        <v>0</v>
      </c>
      <c r="I34" s="755">
        <v>0</v>
      </c>
      <c r="J34" s="755">
        <v>0</v>
      </c>
      <c r="K34" s="283"/>
      <c r="L34" s="755">
        <v>0</v>
      </c>
      <c r="M34" s="755">
        <v>0</v>
      </c>
      <c r="N34" s="382">
        <v>1.2380952380952381</v>
      </c>
      <c r="O34" s="382">
        <v>8.8322761904761904E-2</v>
      </c>
    </row>
    <row r="35" spans="1:15">
      <c r="A35" s="1620"/>
      <c r="B35" s="757" t="s">
        <v>876</v>
      </c>
      <c r="C35" s="282"/>
      <c r="D35" s="282"/>
      <c r="E35" s="755">
        <f t="shared" ref="E35:J35" si="8">SUM(E29,E32,E34)</f>
        <v>191</v>
      </c>
      <c r="F35" s="755">
        <f t="shared" si="8"/>
        <v>46</v>
      </c>
      <c r="G35" s="755">
        <f t="shared" si="8"/>
        <v>46</v>
      </c>
      <c r="H35" s="755">
        <f t="shared" si="8"/>
        <v>13.771009999999999</v>
      </c>
      <c r="I35" s="755">
        <f t="shared" si="8"/>
        <v>3.2512599999999998</v>
      </c>
      <c r="J35" s="755">
        <f t="shared" si="8"/>
        <v>3.2867099999999998</v>
      </c>
      <c r="K35" s="283"/>
      <c r="L35" s="758">
        <v>0</v>
      </c>
      <c r="M35" s="758">
        <v>0</v>
      </c>
      <c r="N35" s="382">
        <v>1.2380952380952381</v>
      </c>
      <c r="O35" s="382">
        <v>8.8322761904761904E-2</v>
      </c>
    </row>
    <row r="36" spans="1:15" ht="12.75" customHeight="1">
      <c r="A36" s="1610" t="s">
        <v>877</v>
      </c>
      <c r="B36" s="1610" t="s">
        <v>703</v>
      </c>
      <c r="C36" s="278" t="s">
        <v>704</v>
      </c>
      <c r="D36" s="278" t="s">
        <v>856</v>
      </c>
      <c r="E36" s="744">
        <v>0</v>
      </c>
      <c r="F36" s="744">
        <v>0</v>
      </c>
      <c r="G36" s="744">
        <v>0</v>
      </c>
      <c r="H36" s="759">
        <v>0</v>
      </c>
      <c r="I36" s="759">
        <v>0</v>
      </c>
      <c r="J36" s="759">
        <v>0</v>
      </c>
      <c r="K36" s="279" t="s">
        <v>706</v>
      </c>
      <c r="L36" s="750" t="s">
        <v>221</v>
      </c>
      <c r="M36" s="750" t="s">
        <v>221</v>
      </c>
      <c r="N36" s="760">
        <v>0</v>
      </c>
      <c r="O36" s="760">
        <v>0</v>
      </c>
    </row>
    <row r="37" spans="1:15">
      <c r="A37" s="1619"/>
      <c r="B37" s="1622"/>
      <c r="C37" s="278" t="s">
        <v>707</v>
      </c>
      <c r="D37" s="278" t="s">
        <v>859</v>
      </c>
      <c r="E37" s="744">
        <v>0</v>
      </c>
      <c r="F37" s="744">
        <v>0</v>
      </c>
      <c r="G37" s="744">
        <v>0</v>
      </c>
      <c r="H37" s="759">
        <v>0</v>
      </c>
      <c r="I37" s="759">
        <v>0</v>
      </c>
      <c r="J37" s="759">
        <v>0</v>
      </c>
      <c r="K37" s="279" t="s">
        <v>706</v>
      </c>
      <c r="L37" s="750" t="s">
        <v>221</v>
      </c>
      <c r="M37" s="750" t="s">
        <v>221</v>
      </c>
      <c r="N37" s="760">
        <v>0</v>
      </c>
      <c r="O37" s="760">
        <v>0</v>
      </c>
    </row>
    <row r="38" spans="1:15">
      <c r="A38" s="1619"/>
      <c r="B38" s="1622"/>
      <c r="C38" s="278" t="s">
        <v>878</v>
      </c>
      <c r="D38" s="278" t="s">
        <v>879</v>
      </c>
      <c r="E38" s="744">
        <v>0</v>
      </c>
      <c r="F38" s="744">
        <v>0</v>
      </c>
      <c r="G38" s="744">
        <v>0</v>
      </c>
      <c r="H38" s="759">
        <v>0</v>
      </c>
      <c r="I38" s="759">
        <v>0</v>
      </c>
      <c r="J38" s="759">
        <v>0</v>
      </c>
      <c r="K38" s="279" t="s">
        <v>880</v>
      </c>
      <c r="L38" s="750" t="s">
        <v>221</v>
      </c>
      <c r="M38" s="750" t="s">
        <v>221</v>
      </c>
      <c r="N38" s="760">
        <v>0</v>
      </c>
      <c r="O38" s="760">
        <v>0</v>
      </c>
    </row>
    <row r="39" spans="1:15">
      <c r="A39" s="1619"/>
      <c r="B39" s="1622"/>
      <c r="C39" s="278" t="s">
        <v>767</v>
      </c>
      <c r="D39" s="278" t="s">
        <v>857</v>
      </c>
      <c r="E39" s="744">
        <v>49</v>
      </c>
      <c r="F39" s="744">
        <v>10</v>
      </c>
      <c r="G39" s="744">
        <v>14</v>
      </c>
      <c r="H39" s="759">
        <v>12.941160000000004</v>
      </c>
      <c r="I39" s="759">
        <v>2.7018900000000001</v>
      </c>
      <c r="J39" s="759">
        <v>3.7438079999999996</v>
      </c>
      <c r="K39" s="279" t="s">
        <v>717</v>
      </c>
      <c r="L39" s="744" t="s">
        <v>221</v>
      </c>
      <c r="M39" s="744">
        <v>83550</v>
      </c>
      <c r="N39" s="760">
        <v>0.73913043478260865</v>
      </c>
      <c r="O39" s="760">
        <v>0.19786682608695652</v>
      </c>
    </row>
    <row r="40" spans="1:15">
      <c r="A40" s="1619"/>
      <c r="B40" s="1622"/>
      <c r="C40" s="278" t="s">
        <v>1077</v>
      </c>
      <c r="D40" s="278" t="s">
        <v>1078</v>
      </c>
      <c r="E40" s="744">
        <v>0</v>
      </c>
      <c r="F40" s="744">
        <v>0</v>
      </c>
      <c r="G40" s="744">
        <v>0</v>
      </c>
      <c r="H40" s="759">
        <v>0</v>
      </c>
      <c r="I40" s="759">
        <v>0</v>
      </c>
      <c r="J40" s="759">
        <v>0</v>
      </c>
      <c r="K40" s="761" t="s">
        <v>1078</v>
      </c>
      <c r="L40" s="750" t="s">
        <v>221</v>
      </c>
      <c r="M40" s="750" t="s">
        <v>221</v>
      </c>
      <c r="N40" s="760">
        <v>0</v>
      </c>
      <c r="O40" s="760">
        <v>0</v>
      </c>
    </row>
    <row r="41" spans="1:15">
      <c r="A41" s="1619"/>
      <c r="B41" s="1622"/>
      <c r="C41" s="278" t="s">
        <v>1079</v>
      </c>
      <c r="D41" s="278" t="s">
        <v>856</v>
      </c>
      <c r="E41" s="744">
        <v>0</v>
      </c>
      <c r="F41" s="744">
        <v>0</v>
      </c>
      <c r="G41" s="744">
        <v>0</v>
      </c>
      <c r="H41" s="759">
        <v>0</v>
      </c>
      <c r="I41" s="759">
        <v>0</v>
      </c>
      <c r="J41" s="759">
        <v>0</v>
      </c>
      <c r="K41" s="761" t="s">
        <v>856</v>
      </c>
      <c r="L41" s="750" t="s">
        <v>221</v>
      </c>
      <c r="M41" s="750" t="s">
        <v>221</v>
      </c>
      <c r="N41" s="760">
        <v>0</v>
      </c>
      <c r="O41" s="760">
        <v>0</v>
      </c>
    </row>
    <row r="42" spans="1:15">
      <c r="A42" s="1619"/>
      <c r="B42" s="1611"/>
      <c r="C42" s="280" t="s">
        <v>864</v>
      </c>
      <c r="D42" s="280"/>
      <c r="E42" s="755">
        <f t="shared" ref="E42:J42" si="9">SUM(E36:E41)</f>
        <v>49</v>
      </c>
      <c r="F42" s="755">
        <f t="shared" si="9"/>
        <v>10</v>
      </c>
      <c r="G42" s="755">
        <f t="shared" si="9"/>
        <v>14</v>
      </c>
      <c r="H42" s="755">
        <f t="shared" si="9"/>
        <v>12.941160000000004</v>
      </c>
      <c r="I42" s="755">
        <f t="shared" si="9"/>
        <v>2.7018900000000001</v>
      </c>
      <c r="J42" s="755">
        <f t="shared" si="9"/>
        <v>3.7438079999999996</v>
      </c>
      <c r="K42" s="283"/>
      <c r="L42" s="755"/>
      <c r="M42" s="755"/>
      <c r="N42" s="762">
        <v>0.73913043478260865</v>
      </c>
      <c r="O42" s="762">
        <v>0.19786682608695652</v>
      </c>
    </row>
    <row r="43" spans="1:15">
      <c r="A43" s="1619"/>
      <c r="B43" s="1610" t="s">
        <v>881</v>
      </c>
      <c r="C43" s="278" t="s">
        <v>882</v>
      </c>
      <c r="D43" s="278" t="s">
        <v>883</v>
      </c>
      <c r="E43" s="744">
        <v>0</v>
      </c>
      <c r="F43" s="744">
        <v>0</v>
      </c>
      <c r="G43" s="744">
        <v>0</v>
      </c>
      <c r="H43" s="759">
        <v>0</v>
      </c>
      <c r="I43" s="759">
        <v>0</v>
      </c>
      <c r="J43" s="759">
        <v>0</v>
      </c>
      <c r="K43" s="279" t="s">
        <v>754</v>
      </c>
      <c r="L43" s="750" t="s">
        <v>221</v>
      </c>
      <c r="M43" s="750" t="s">
        <v>221</v>
      </c>
      <c r="N43" s="760">
        <v>0</v>
      </c>
      <c r="O43" s="760">
        <v>0</v>
      </c>
    </row>
    <row r="44" spans="1:15">
      <c r="A44" s="1619"/>
      <c r="B44" s="1622"/>
      <c r="C44" s="278" t="s">
        <v>884</v>
      </c>
      <c r="D44" s="278" t="s">
        <v>885</v>
      </c>
      <c r="E44" s="744">
        <v>0</v>
      </c>
      <c r="F44" s="744">
        <v>0</v>
      </c>
      <c r="G44" s="744">
        <v>0</v>
      </c>
      <c r="H44" s="759">
        <v>0</v>
      </c>
      <c r="I44" s="759">
        <v>0</v>
      </c>
      <c r="J44" s="759">
        <v>0</v>
      </c>
      <c r="K44" s="279" t="s">
        <v>754</v>
      </c>
      <c r="L44" s="750" t="s">
        <v>221</v>
      </c>
      <c r="M44" s="750" t="s">
        <v>221</v>
      </c>
      <c r="N44" s="760">
        <v>0</v>
      </c>
      <c r="O44" s="760">
        <v>0</v>
      </c>
    </row>
    <row r="45" spans="1:15">
      <c r="A45" s="1619"/>
      <c r="B45" s="1622"/>
      <c r="C45" s="278" t="s">
        <v>886</v>
      </c>
      <c r="D45" s="278" t="s">
        <v>758</v>
      </c>
      <c r="E45" s="744">
        <v>63</v>
      </c>
      <c r="F45" s="744">
        <v>0</v>
      </c>
      <c r="G45" s="744">
        <v>31</v>
      </c>
      <c r="H45" s="759">
        <v>1.2776000000000001</v>
      </c>
      <c r="I45" s="759">
        <v>0</v>
      </c>
      <c r="J45" s="759">
        <v>0.68291250000000003</v>
      </c>
      <c r="K45" s="279" t="s">
        <v>759</v>
      </c>
      <c r="L45" s="750" t="s">
        <v>221</v>
      </c>
      <c r="M45" s="750" t="s">
        <v>221</v>
      </c>
      <c r="N45" s="760">
        <v>13.17</v>
      </c>
      <c r="O45" s="760">
        <v>0.28999999999999998</v>
      </c>
    </row>
    <row r="46" spans="1:15">
      <c r="A46" s="1619"/>
      <c r="B46" s="1622"/>
      <c r="C46" s="278" t="s">
        <v>887</v>
      </c>
      <c r="D46" s="278" t="s">
        <v>888</v>
      </c>
      <c r="E46" s="744">
        <v>478</v>
      </c>
      <c r="F46" s="744">
        <v>127</v>
      </c>
      <c r="G46" s="744">
        <v>99</v>
      </c>
      <c r="H46" s="759">
        <v>32.219809999999995</v>
      </c>
      <c r="I46" s="759">
        <v>8.2868700000000004</v>
      </c>
      <c r="J46" s="759">
        <v>6.7068600000000007</v>
      </c>
      <c r="K46" s="279" t="s">
        <v>754</v>
      </c>
      <c r="L46" s="744" t="s">
        <v>221</v>
      </c>
      <c r="M46" s="744">
        <v>6437</v>
      </c>
      <c r="N46" s="760">
        <v>24.478260869565219</v>
      </c>
      <c r="O46" s="760">
        <v>1.6527378260869567</v>
      </c>
    </row>
    <row r="47" spans="1:15">
      <c r="A47" s="1619"/>
      <c r="B47" s="1611"/>
      <c r="C47" s="280" t="s">
        <v>871</v>
      </c>
      <c r="D47" s="280"/>
      <c r="E47" s="748">
        <f t="shared" ref="E47:J47" si="10">SUM(E43:E46)</f>
        <v>541</v>
      </c>
      <c r="F47" s="748">
        <f t="shared" si="10"/>
        <v>127</v>
      </c>
      <c r="G47" s="748">
        <f t="shared" si="10"/>
        <v>130</v>
      </c>
      <c r="H47" s="748">
        <f t="shared" si="10"/>
        <v>33.497409999999995</v>
      </c>
      <c r="I47" s="748">
        <f t="shared" si="10"/>
        <v>8.2868700000000004</v>
      </c>
      <c r="J47" s="748">
        <f t="shared" si="10"/>
        <v>7.3897725000000012</v>
      </c>
      <c r="K47" s="281"/>
      <c r="L47" s="748"/>
      <c r="M47" s="748"/>
      <c r="N47" s="763">
        <v>37.65</v>
      </c>
      <c r="O47" s="763">
        <v>1.94</v>
      </c>
    </row>
    <row r="48" spans="1:15">
      <c r="A48" s="1619"/>
      <c r="B48" s="1610" t="s">
        <v>865</v>
      </c>
      <c r="C48" s="284" t="s">
        <v>889</v>
      </c>
      <c r="D48" s="278" t="s">
        <v>743</v>
      </c>
      <c r="E48" s="279">
        <v>0</v>
      </c>
      <c r="F48" s="279">
        <v>0</v>
      </c>
      <c r="G48" s="279">
        <v>0</v>
      </c>
      <c r="H48" s="764">
        <v>0</v>
      </c>
      <c r="I48" s="764">
        <v>0</v>
      </c>
      <c r="J48" s="764">
        <v>0</v>
      </c>
      <c r="K48" s="383" t="s">
        <v>890</v>
      </c>
      <c r="L48" s="279" t="s">
        <v>221</v>
      </c>
      <c r="M48" s="279" t="s">
        <v>221</v>
      </c>
      <c r="N48" s="765">
        <v>0</v>
      </c>
      <c r="O48" s="765">
        <v>0</v>
      </c>
    </row>
    <row r="49" spans="1:15">
      <c r="A49" s="1619"/>
      <c r="B49" s="1611"/>
      <c r="C49" s="280" t="s">
        <v>837</v>
      </c>
      <c r="D49" s="280"/>
      <c r="E49" s="755">
        <f t="shared" ref="E49:J49" si="11">E48</f>
        <v>0</v>
      </c>
      <c r="F49" s="755">
        <f t="shared" si="11"/>
        <v>0</v>
      </c>
      <c r="G49" s="755">
        <f t="shared" si="11"/>
        <v>0</v>
      </c>
      <c r="H49" s="755">
        <f t="shared" si="11"/>
        <v>0</v>
      </c>
      <c r="I49" s="755">
        <f t="shared" si="11"/>
        <v>0</v>
      </c>
      <c r="J49" s="755">
        <f t="shared" si="11"/>
        <v>0</v>
      </c>
      <c r="K49" s="283"/>
      <c r="L49" s="755"/>
      <c r="M49" s="755"/>
      <c r="N49" s="762">
        <v>0</v>
      </c>
      <c r="O49" s="762">
        <v>0</v>
      </c>
    </row>
    <row r="50" spans="1:15">
      <c r="A50" s="1619"/>
      <c r="B50" s="1610" t="s">
        <v>676</v>
      </c>
      <c r="C50" s="278" t="s">
        <v>727</v>
      </c>
      <c r="D50" s="278" t="s">
        <v>728</v>
      </c>
      <c r="E50" s="744">
        <v>0</v>
      </c>
      <c r="F50" s="744">
        <v>0</v>
      </c>
      <c r="G50" s="744">
        <v>0</v>
      </c>
      <c r="H50" s="759">
        <v>0</v>
      </c>
      <c r="I50" s="759">
        <v>0</v>
      </c>
      <c r="J50" s="759">
        <v>0</v>
      </c>
      <c r="K50" s="383" t="s">
        <v>717</v>
      </c>
      <c r="L50" s="750" t="s">
        <v>221</v>
      </c>
      <c r="M50" s="750" t="s">
        <v>221</v>
      </c>
      <c r="N50" s="760">
        <v>0</v>
      </c>
      <c r="O50" s="760">
        <v>0</v>
      </c>
    </row>
    <row r="51" spans="1:15">
      <c r="A51" s="1619"/>
      <c r="B51" s="1611"/>
      <c r="C51" s="280" t="s">
        <v>891</v>
      </c>
      <c r="D51" s="280"/>
      <c r="E51" s="755">
        <f t="shared" ref="E51:J51" si="12">E50</f>
        <v>0</v>
      </c>
      <c r="F51" s="755">
        <f t="shared" si="12"/>
        <v>0</v>
      </c>
      <c r="G51" s="755">
        <f t="shared" si="12"/>
        <v>0</v>
      </c>
      <c r="H51" s="755">
        <f t="shared" si="12"/>
        <v>0</v>
      </c>
      <c r="I51" s="755">
        <f t="shared" si="12"/>
        <v>0</v>
      </c>
      <c r="J51" s="755">
        <f t="shared" si="12"/>
        <v>0</v>
      </c>
      <c r="K51" s="283"/>
      <c r="L51" s="755"/>
      <c r="M51" s="755"/>
      <c r="N51" s="762">
        <v>0</v>
      </c>
      <c r="O51" s="762">
        <v>0</v>
      </c>
    </row>
    <row r="52" spans="1:15">
      <c r="A52" s="1620"/>
      <c r="B52" s="766" t="s">
        <v>892</v>
      </c>
      <c r="C52" s="485" t="s">
        <v>892</v>
      </c>
      <c r="D52" s="486"/>
      <c r="E52" s="767">
        <f t="shared" ref="E52:J52" si="13">E42+E47+E49+E51</f>
        <v>590</v>
      </c>
      <c r="F52" s="767">
        <f t="shared" si="13"/>
        <v>137</v>
      </c>
      <c r="G52" s="767">
        <f t="shared" si="13"/>
        <v>144</v>
      </c>
      <c r="H52" s="767">
        <f t="shared" si="13"/>
        <v>46.438569999999999</v>
      </c>
      <c r="I52" s="767">
        <f t="shared" si="13"/>
        <v>10.988760000000001</v>
      </c>
      <c r="J52" s="767">
        <f t="shared" si="13"/>
        <v>11.133580500000001</v>
      </c>
      <c r="K52" s="487"/>
      <c r="L52" s="767"/>
      <c r="M52" s="767"/>
      <c r="N52" s="768">
        <v>38.39</v>
      </c>
      <c r="O52" s="768">
        <v>2.14</v>
      </c>
    </row>
    <row r="53" spans="1:15" ht="15" customHeight="1">
      <c r="A53" s="1610" t="s">
        <v>893</v>
      </c>
      <c r="B53" s="1621" t="s">
        <v>670</v>
      </c>
      <c r="C53" s="278" t="s">
        <v>707</v>
      </c>
      <c r="D53" s="278" t="s">
        <v>859</v>
      </c>
      <c r="E53" s="744">
        <v>0</v>
      </c>
      <c r="F53" s="744">
        <v>0</v>
      </c>
      <c r="G53" s="744">
        <v>0</v>
      </c>
      <c r="H53" s="759">
        <v>0</v>
      </c>
      <c r="I53" s="759">
        <v>0</v>
      </c>
      <c r="J53" s="759">
        <v>0</v>
      </c>
      <c r="K53" s="383" t="s">
        <v>706</v>
      </c>
      <c r="L53" s="744" t="s">
        <v>221</v>
      </c>
      <c r="M53" s="744" t="s">
        <v>221</v>
      </c>
      <c r="N53" s="760">
        <v>0</v>
      </c>
      <c r="O53" s="760">
        <v>0</v>
      </c>
    </row>
    <row r="54" spans="1:15" ht="15" customHeight="1">
      <c r="A54" s="1619"/>
      <c r="B54" s="1611"/>
      <c r="C54" s="278" t="s">
        <v>767</v>
      </c>
      <c r="D54" s="278" t="s">
        <v>857</v>
      </c>
      <c r="E54" s="744">
        <v>14170</v>
      </c>
      <c r="F54" s="744">
        <v>1444</v>
      </c>
      <c r="G54" s="744">
        <v>23893</v>
      </c>
      <c r="H54" s="759">
        <v>3752.0416740000005</v>
      </c>
      <c r="I54" s="759">
        <v>386.18534250000033</v>
      </c>
      <c r="J54" s="759">
        <v>793.03871549999928</v>
      </c>
      <c r="K54" s="383" t="s">
        <v>717</v>
      </c>
      <c r="L54" s="744" t="s">
        <v>221</v>
      </c>
      <c r="M54" s="744" t="s">
        <v>221</v>
      </c>
      <c r="N54" s="760">
        <v>28.304347826086957</v>
      </c>
      <c r="O54" s="760">
        <v>7.5917608695652179</v>
      </c>
    </row>
    <row r="55" spans="1:15">
      <c r="A55" s="1619"/>
      <c r="B55" s="1621" t="s">
        <v>686</v>
      </c>
      <c r="C55" s="278" t="s">
        <v>886</v>
      </c>
      <c r="D55" s="278" t="s">
        <v>1081</v>
      </c>
      <c r="E55" s="744">
        <v>4944</v>
      </c>
      <c r="F55" s="744">
        <v>23</v>
      </c>
      <c r="G55" s="744">
        <v>4836</v>
      </c>
      <c r="H55" s="759">
        <v>114.35186875000011</v>
      </c>
      <c r="I55" s="759">
        <v>0.72061874999999997</v>
      </c>
      <c r="J55" s="759">
        <v>111.82396875000002</v>
      </c>
      <c r="K55" s="383" t="s">
        <v>759</v>
      </c>
      <c r="L55" s="744" t="s">
        <v>221</v>
      </c>
      <c r="M55" s="744" t="s">
        <v>221</v>
      </c>
      <c r="N55" s="760">
        <v>5.9130434782608692</v>
      </c>
      <c r="O55" s="760">
        <v>0.14326086956521739</v>
      </c>
    </row>
    <row r="56" spans="1:15" ht="12.75" customHeight="1">
      <c r="A56" s="1619"/>
      <c r="B56" s="1611"/>
      <c r="C56" s="278" t="s">
        <v>887</v>
      </c>
      <c r="D56" s="769" t="s">
        <v>1082</v>
      </c>
      <c r="E56" s="744">
        <v>5312254</v>
      </c>
      <c r="F56" s="744">
        <v>875160</v>
      </c>
      <c r="G56" s="744">
        <v>1149284</v>
      </c>
      <c r="H56" s="744">
        <v>362620.0291129995</v>
      </c>
      <c r="I56" s="744">
        <v>57076.57976699993</v>
      </c>
      <c r="J56" s="759">
        <v>78866.886131999985</v>
      </c>
      <c r="K56" s="770" t="s">
        <v>754</v>
      </c>
      <c r="L56" s="744" t="s">
        <v>221</v>
      </c>
      <c r="M56" s="744" t="s">
        <v>221</v>
      </c>
      <c r="N56" s="760">
        <v>807.13043478260875</v>
      </c>
      <c r="O56" s="760">
        <v>54.187630434782612</v>
      </c>
    </row>
    <row r="57" spans="1:15" ht="14.25" customHeight="1">
      <c r="A57" s="1620"/>
      <c r="B57" s="754" t="s">
        <v>1266</v>
      </c>
      <c r="C57" s="285" t="s">
        <v>894</v>
      </c>
      <c r="D57" s="282"/>
      <c r="E57" s="755">
        <f>SUM(E53:E56)</f>
        <v>5331368</v>
      </c>
      <c r="F57" s="755">
        <f>SUM(F53:F56)</f>
        <v>876627</v>
      </c>
      <c r="G57" s="755">
        <f>SUM(G53:G56)</f>
        <v>1178013</v>
      </c>
      <c r="H57" s="755">
        <f>SUM(H53:H56)</f>
        <v>366486.42265574948</v>
      </c>
      <c r="I57" s="755">
        <f>SUM(I53:I56)</f>
        <v>57463.485728249929</v>
      </c>
      <c r="J57" s="756">
        <v>57463.485728249929</v>
      </c>
      <c r="K57" s="283"/>
      <c r="L57" s="755"/>
      <c r="M57" s="755"/>
      <c r="N57" s="762">
        <v>841.34782608695662</v>
      </c>
      <c r="O57" s="762">
        <v>61.92265217391305</v>
      </c>
    </row>
    <row r="58" spans="1:15" ht="15.75" customHeight="1">
      <c r="A58" s="601" t="s">
        <v>1299</v>
      </c>
      <c r="B58" s="771"/>
      <c r="C58" s="772"/>
      <c r="D58" s="772"/>
      <c r="E58" s="772"/>
      <c r="F58" s="772"/>
      <c r="G58" s="772"/>
      <c r="H58" s="773"/>
      <c r="I58" s="773"/>
      <c r="J58" s="773"/>
      <c r="K58" s="773"/>
      <c r="L58" s="773"/>
      <c r="M58" s="773"/>
      <c r="N58" s="773">
        <v>0</v>
      </c>
      <c r="O58" s="773">
        <v>0</v>
      </c>
    </row>
    <row r="59" spans="1:15" ht="14.25" customHeight="1">
      <c r="A59" s="182" t="s">
        <v>895</v>
      </c>
      <c r="B59" s="774"/>
      <c r="C59" s="774"/>
      <c r="D59" s="774"/>
      <c r="E59" s="774"/>
      <c r="F59" s="774"/>
      <c r="G59" s="774"/>
      <c r="H59" s="774"/>
      <c r="I59" s="774"/>
      <c r="J59" s="180"/>
      <c r="K59" s="775"/>
      <c r="L59" s="776"/>
      <c r="M59" s="776"/>
      <c r="N59" s="776"/>
      <c r="O59" s="776"/>
    </row>
    <row r="60" spans="1:15">
      <c r="A60" s="777"/>
      <c r="B60" s="771"/>
      <c r="C60" s="180"/>
      <c r="D60" s="180"/>
      <c r="E60" s="180"/>
      <c r="F60" s="180"/>
      <c r="G60" s="180"/>
      <c r="H60" s="180"/>
      <c r="I60" s="180"/>
      <c r="J60" s="180"/>
      <c r="K60" s="180"/>
      <c r="L60" s="180"/>
      <c r="M60" s="180"/>
      <c r="N60" s="180"/>
      <c r="O60" s="180"/>
    </row>
  </sheetData>
  <mergeCells count="27">
    <mergeCell ref="B50:B51"/>
    <mergeCell ref="A53:A57"/>
    <mergeCell ref="B53:B54"/>
    <mergeCell ref="B55:B56"/>
    <mergeCell ref="A4:A24"/>
    <mergeCell ref="B4:B9"/>
    <mergeCell ref="B10:B15"/>
    <mergeCell ref="B16:B20"/>
    <mergeCell ref="B21:B23"/>
    <mergeCell ref="A25:A35"/>
    <mergeCell ref="B25:B29"/>
    <mergeCell ref="B30:B32"/>
    <mergeCell ref="B33:B34"/>
    <mergeCell ref="A36:A52"/>
    <mergeCell ref="B36:B42"/>
    <mergeCell ref="B43:B47"/>
    <mergeCell ref="B48:B49"/>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fitToHeight="0"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I45"/>
  <sheetViews>
    <sheetView zoomScaleNormal="100" workbookViewId="0">
      <pane xSplit="1" topLeftCell="B1" activePane="topRight" state="frozen"/>
      <selection sqref="A1:L1"/>
      <selection pane="topRight" activeCell="B1" sqref="B1"/>
    </sheetView>
  </sheetViews>
  <sheetFormatPr defaultRowHeight="15"/>
  <cols>
    <col min="1" max="1" width="73" bestFit="1" customWidth="1"/>
    <col min="2" max="2" width="16" bestFit="1" customWidth="1"/>
    <col min="3" max="3" width="11.42578125" bestFit="1" customWidth="1"/>
    <col min="4" max="4" width="10.85546875" customWidth="1"/>
    <col min="5" max="5" width="10.85546875" style="361" customWidth="1"/>
  </cols>
  <sheetData>
    <row r="1" spans="1:5">
      <c r="A1" s="130" t="s">
        <v>192</v>
      </c>
      <c r="B1" s="1"/>
      <c r="C1" s="1"/>
      <c r="D1" s="1"/>
    </row>
    <row r="2" spans="1:5">
      <c r="A2" s="493" t="s">
        <v>1267</v>
      </c>
      <c r="B2" s="310">
        <v>7828148</v>
      </c>
      <c r="C2" s="241"/>
    </row>
    <row r="3" spans="1:5" ht="30">
      <c r="A3" s="493" t="s">
        <v>1143</v>
      </c>
      <c r="B3" s="494">
        <v>29.7</v>
      </c>
      <c r="C3" s="241"/>
    </row>
    <row r="4" spans="1:5">
      <c r="A4" s="493" t="s">
        <v>1268</v>
      </c>
      <c r="B4" s="494">
        <v>30.8</v>
      </c>
      <c r="C4" s="241"/>
    </row>
    <row r="5" spans="1:5">
      <c r="A5" s="493" t="s">
        <v>193</v>
      </c>
      <c r="B5" s="495">
        <v>45383</v>
      </c>
      <c r="C5" s="495">
        <v>45413</v>
      </c>
      <c r="D5" s="495">
        <v>45444</v>
      </c>
      <c r="E5" s="495">
        <v>45474</v>
      </c>
    </row>
    <row r="6" spans="1:5">
      <c r="A6" s="496" t="s">
        <v>194</v>
      </c>
      <c r="B6" s="496">
        <v>4.5</v>
      </c>
      <c r="C6" s="496">
        <v>4.5</v>
      </c>
      <c r="D6" s="496">
        <v>4.5</v>
      </c>
      <c r="E6" s="496">
        <v>4.5</v>
      </c>
    </row>
    <row r="7" spans="1:5">
      <c r="A7" s="496" t="s">
        <v>195</v>
      </c>
      <c r="B7" s="496">
        <v>6.5</v>
      </c>
      <c r="C7" s="496">
        <v>6.5</v>
      </c>
      <c r="D7" s="496">
        <v>6.5</v>
      </c>
      <c r="E7" s="496">
        <v>6.5</v>
      </c>
    </row>
    <row r="8" spans="1:5" ht="17.25" customHeight="1">
      <c r="A8" s="497" t="s">
        <v>196</v>
      </c>
      <c r="B8" s="498">
        <v>253583.37</v>
      </c>
      <c r="C8" s="498">
        <v>248313.84</v>
      </c>
      <c r="D8" s="498">
        <v>253518.89</v>
      </c>
      <c r="E8" s="498">
        <f>25589778/100</f>
        <v>255897.78</v>
      </c>
    </row>
    <row r="9" spans="1:5">
      <c r="A9" s="496" t="s">
        <v>197</v>
      </c>
      <c r="B9" s="498">
        <v>209361.42</v>
      </c>
      <c r="C9" s="498">
        <v>210876</v>
      </c>
      <c r="D9" s="498">
        <v>209029.2</v>
      </c>
      <c r="E9" s="498">
        <f>21193741/100</f>
        <v>211937.41</v>
      </c>
    </row>
    <row r="10" spans="1:5" ht="15.75" customHeight="1">
      <c r="A10" s="496" t="s">
        <v>198</v>
      </c>
      <c r="B10" s="498">
        <v>166311.9</v>
      </c>
      <c r="C10" s="498">
        <v>167814</v>
      </c>
      <c r="D10" s="498">
        <v>167107.97</v>
      </c>
      <c r="E10" s="498">
        <f>16814792 /100</f>
        <v>168147.92</v>
      </c>
    </row>
    <row r="11" spans="1:5">
      <c r="A11" s="493" t="s">
        <v>199</v>
      </c>
      <c r="B11" s="499"/>
      <c r="C11" s="241"/>
    </row>
    <row r="12" spans="1:5">
      <c r="A12" s="496" t="s">
        <v>200</v>
      </c>
      <c r="B12" s="500">
        <v>6.65</v>
      </c>
      <c r="C12" s="500">
        <v>6.56</v>
      </c>
      <c r="D12" s="500">
        <v>6.67</v>
      </c>
      <c r="E12" s="500">
        <v>6.5</v>
      </c>
    </row>
    <row r="13" spans="1:5">
      <c r="A13" s="496" t="s">
        <v>201</v>
      </c>
      <c r="B13" s="500">
        <v>6.92</v>
      </c>
      <c r="C13" s="500">
        <v>6.85</v>
      </c>
      <c r="D13" s="500">
        <v>6.8</v>
      </c>
      <c r="E13" s="500">
        <v>6.72</v>
      </c>
    </row>
    <row r="14" spans="1:5">
      <c r="A14" s="501" t="s">
        <v>202</v>
      </c>
      <c r="B14" s="502" t="s">
        <v>1083</v>
      </c>
      <c r="C14" s="502" t="s">
        <v>1083</v>
      </c>
      <c r="D14" s="500" t="s">
        <v>1290</v>
      </c>
      <c r="E14" s="500" t="s">
        <v>1412</v>
      </c>
    </row>
    <row r="15" spans="1:5">
      <c r="A15" s="496" t="s">
        <v>203</v>
      </c>
      <c r="B15" s="500" t="s">
        <v>204</v>
      </c>
      <c r="C15" s="500" t="s">
        <v>204</v>
      </c>
      <c r="D15" s="500" t="s">
        <v>1291</v>
      </c>
      <c r="E15" s="500" t="s">
        <v>204</v>
      </c>
    </row>
    <row r="16" spans="1:5">
      <c r="A16" s="499" t="s">
        <v>205</v>
      </c>
      <c r="B16" s="499"/>
      <c r="C16" s="241"/>
    </row>
    <row r="17" spans="1:6">
      <c r="A17" s="496" t="s">
        <v>206</v>
      </c>
      <c r="B17" s="503">
        <v>2272962.9500000002</v>
      </c>
      <c r="C17" s="503">
        <v>2637533.6700000004</v>
      </c>
      <c r="D17" s="503">
        <v>3132227.57</v>
      </c>
      <c r="E17" s="503">
        <f>'17'!H9+'18'!H9</f>
        <v>3296724.85</v>
      </c>
    </row>
    <row r="18" spans="1:6">
      <c r="A18" s="496" t="s">
        <v>207</v>
      </c>
      <c r="B18" s="413">
        <v>40655851.939999998</v>
      </c>
      <c r="C18" s="347">
        <v>41212881.140000001</v>
      </c>
      <c r="D18" s="413">
        <v>43924743.630000003</v>
      </c>
      <c r="E18" s="413">
        <f>'17'!M9</f>
        <v>46238008.350000001</v>
      </c>
    </row>
    <row r="19" spans="1:6">
      <c r="A19" s="496" t="s">
        <v>208</v>
      </c>
      <c r="B19" s="413">
        <v>40304405.9649911</v>
      </c>
      <c r="C19" s="413">
        <v>40880529.739361502</v>
      </c>
      <c r="D19" s="413">
        <v>43573919</v>
      </c>
      <c r="E19" s="413">
        <f>'18'!M9</f>
        <v>45865877.613030799</v>
      </c>
      <c r="F19" s="42"/>
    </row>
    <row r="20" spans="1:6">
      <c r="A20" s="496" t="s">
        <v>209</v>
      </c>
      <c r="B20" s="351">
        <v>-8671</v>
      </c>
      <c r="C20" s="351">
        <v>-25586</v>
      </c>
      <c r="D20" s="351">
        <v>26565</v>
      </c>
      <c r="E20" s="351">
        <v>32365</v>
      </c>
    </row>
    <row r="21" spans="1:6">
      <c r="A21" s="499" t="s">
        <v>210</v>
      </c>
      <c r="B21" s="499"/>
      <c r="C21" s="241"/>
    </row>
    <row r="22" spans="1:6">
      <c r="A22" s="496" t="s">
        <v>211</v>
      </c>
      <c r="B22" s="504">
        <v>641590</v>
      </c>
      <c r="C22" s="504">
        <v>651510</v>
      </c>
      <c r="D22" s="504">
        <v>651997</v>
      </c>
      <c r="E22" s="504">
        <v>667386</v>
      </c>
    </row>
    <row r="23" spans="1:6">
      <c r="A23" s="496" t="s">
        <v>212</v>
      </c>
      <c r="B23" s="500">
        <v>83.34</v>
      </c>
      <c r="C23" s="500">
        <v>83.3</v>
      </c>
      <c r="D23" s="504">
        <v>83.45</v>
      </c>
      <c r="E23" s="504">
        <v>83.73</v>
      </c>
    </row>
    <row r="24" spans="1:6">
      <c r="A24" s="496" t="s">
        <v>213</v>
      </c>
      <c r="B24" s="500">
        <v>89.43</v>
      </c>
      <c r="C24" s="500">
        <v>90.12</v>
      </c>
      <c r="D24" s="504">
        <v>89.25</v>
      </c>
      <c r="E24" s="504">
        <v>90.32</v>
      </c>
    </row>
    <row r="25" spans="1:6">
      <c r="A25" s="496" t="s">
        <v>214</v>
      </c>
      <c r="B25" s="505">
        <v>1.37</v>
      </c>
      <c r="C25" s="505">
        <v>1.34</v>
      </c>
      <c r="D25" s="778">
        <v>1.26</v>
      </c>
      <c r="E25" s="778">
        <v>1.33</v>
      </c>
    </row>
    <row r="26" spans="1:6">
      <c r="A26" s="499" t="s">
        <v>215</v>
      </c>
      <c r="B26" s="499"/>
      <c r="C26" s="241"/>
    </row>
    <row r="27" spans="1:6">
      <c r="A27" s="496" t="s">
        <v>216</v>
      </c>
      <c r="B27" s="504">
        <v>1240</v>
      </c>
      <c r="C27" s="504">
        <f>232000/100</f>
        <v>2320</v>
      </c>
      <c r="D27" s="504">
        <v>3410</v>
      </c>
      <c r="E27" s="1164">
        <v>4530</v>
      </c>
    </row>
    <row r="28" spans="1:6">
      <c r="A28" s="496" t="s">
        <v>217</v>
      </c>
      <c r="B28" s="500">
        <v>1.26</v>
      </c>
      <c r="C28" s="500">
        <v>2.6104417670682833</v>
      </c>
      <c r="D28" s="500">
        <v>3.36</v>
      </c>
      <c r="E28" s="500">
        <v>2.04</v>
      </c>
    </row>
    <row r="29" spans="1:6">
      <c r="A29" s="496" t="s">
        <v>218</v>
      </c>
      <c r="B29" s="500">
        <v>4.83</v>
      </c>
      <c r="C29" s="500">
        <v>4.8</v>
      </c>
      <c r="D29" s="500">
        <v>5.08</v>
      </c>
      <c r="E29" s="500">
        <v>3.54</v>
      </c>
    </row>
    <row r="30" spans="1:6">
      <c r="A30" s="499" t="s">
        <v>219</v>
      </c>
      <c r="B30" s="241"/>
      <c r="C30" s="241"/>
    </row>
    <row r="31" spans="1:6">
      <c r="A31" s="496" t="s">
        <v>220</v>
      </c>
      <c r="B31" s="505">
        <v>147.69999999999999</v>
      </c>
      <c r="C31" s="505">
        <v>154.6</v>
      </c>
      <c r="D31" s="1623">
        <v>150</v>
      </c>
      <c r="E31" s="505" t="s">
        <v>221</v>
      </c>
      <c r="F31" s="1172"/>
    </row>
    <row r="32" spans="1:6">
      <c r="A32" s="496" t="s">
        <v>222</v>
      </c>
      <c r="B32" s="505">
        <v>130.9</v>
      </c>
      <c r="C32" s="505">
        <v>136.5</v>
      </c>
      <c r="D32" s="1623">
        <v>134.9</v>
      </c>
      <c r="E32" s="505" t="s">
        <v>221</v>
      </c>
    </row>
    <row r="33" spans="1:9">
      <c r="A33" s="496" t="s">
        <v>223</v>
      </c>
      <c r="B33" s="505">
        <v>144.19999999999999</v>
      </c>
      <c r="C33" s="505">
        <v>150.19999999999999</v>
      </c>
      <c r="D33" s="1623">
        <v>145.30000000000001</v>
      </c>
      <c r="E33" s="505" t="s">
        <v>221</v>
      </c>
    </row>
    <row r="34" spans="1:9">
      <c r="A34" s="496" t="s">
        <v>224</v>
      </c>
      <c r="B34" s="505">
        <v>212</v>
      </c>
      <c r="C34" s="505">
        <v>229.3</v>
      </c>
      <c r="D34" s="1623">
        <v>222.8</v>
      </c>
      <c r="E34" s="505" t="s">
        <v>221</v>
      </c>
    </row>
    <row r="35" spans="1:9">
      <c r="A35" s="499" t="s">
        <v>225</v>
      </c>
      <c r="B35" s="241"/>
      <c r="C35" s="241"/>
    </row>
    <row r="36" spans="1:9">
      <c r="A36" s="496" t="s">
        <v>226</v>
      </c>
      <c r="B36" s="506">
        <v>65.666389999999993</v>
      </c>
      <c r="C36" s="506">
        <v>69.194149999999993</v>
      </c>
      <c r="D36" s="988">
        <v>65.47</v>
      </c>
      <c r="E36" s="988">
        <v>62.42</v>
      </c>
    </row>
    <row r="37" spans="1:9">
      <c r="A37" s="496" t="s">
        <v>227</v>
      </c>
      <c r="B37" s="506">
        <v>70.926649999999995</v>
      </c>
      <c r="C37" s="506">
        <v>78.497910000000005</v>
      </c>
      <c r="D37" s="988">
        <v>73.47</v>
      </c>
      <c r="E37" s="988">
        <v>72.03</v>
      </c>
    </row>
    <row r="38" spans="1:9">
      <c r="A38" s="496" t="s">
        <v>228</v>
      </c>
      <c r="B38" s="505">
        <f>-B37+B36</f>
        <v>-5.2602600000000024</v>
      </c>
      <c r="C38" s="505">
        <f>-C37+C36</f>
        <v>-9.3037600000000111</v>
      </c>
      <c r="D38" s="505">
        <f>-D37+D36</f>
        <v>-8</v>
      </c>
      <c r="E38" s="505">
        <v>-9.61</v>
      </c>
    </row>
    <row r="39" spans="1:9">
      <c r="A39" s="130" t="s">
        <v>229</v>
      </c>
    </row>
    <row r="40" spans="1:9">
      <c r="A40" s="131" t="s">
        <v>1269</v>
      </c>
    </row>
    <row r="41" spans="1:9">
      <c r="A41" s="131" t="s">
        <v>1144</v>
      </c>
    </row>
    <row r="42" spans="1:9">
      <c r="A42" s="131" t="s">
        <v>1270</v>
      </c>
    </row>
    <row r="43" spans="1:9">
      <c r="A43" s="131" t="s">
        <v>230</v>
      </c>
    </row>
    <row r="44" spans="1:9">
      <c r="A44" s="131" t="s">
        <v>231</v>
      </c>
    </row>
    <row r="45" spans="1:9">
      <c r="I45" s="241"/>
    </row>
  </sheetData>
  <hyperlinks>
    <hyperlink ref="A13" location="_edn3" display="_edn3"/>
  </hyperlinks>
  <printOptions horizontalCentered="1"/>
  <pageMargins left="0.7" right="0.7" top="0.75" bottom="0.75" header="0.3" footer="0.3"/>
  <pageSetup paperSize="9" scale="7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76</vt:i4>
      </vt:variant>
      <vt:variant>
        <vt:lpstr>Named Ranges</vt:lpstr>
      </vt:variant>
      <vt:variant>
        <vt:i4>36</vt:i4>
      </vt:variant>
    </vt:vector>
  </HeadingPairs>
  <TitlesOfParts>
    <vt:vector size="112" baseType="lpstr">
      <vt:lpstr>Data Summary</vt:lpstr>
      <vt:lpstr>1</vt:lpstr>
      <vt:lpstr>2</vt:lpstr>
      <vt:lpstr>3</vt:lpstr>
      <vt:lpstr>4</vt:lpstr>
      <vt:lpstr>5</vt:lpstr>
      <vt:lpstr>6</vt:lpstr>
      <vt:lpstr>7</vt:lpstr>
      <vt:lpstr>8</vt:lpstr>
      <vt:lpstr>9</vt:lpstr>
      <vt:lpstr>10</vt:lpstr>
      <vt:lpstr>11</vt:lpstr>
      <vt:lpstr>12</vt:lpstr>
      <vt:lpstr>13(Old)</vt:lpstr>
      <vt:lpstr>13 </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 </vt:lpstr>
      <vt:lpstr>62</vt:lpstr>
      <vt:lpstr>63</vt:lpstr>
      <vt:lpstr>64</vt:lpstr>
      <vt:lpstr>65</vt:lpstr>
      <vt:lpstr>66</vt:lpstr>
      <vt:lpstr>67</vt:lpstr>
      <vt:lpstr>68</vt:lpstr>
      <vt:lpstr>69</vt:lpstr>
      <vt:lpstr>70</vt:lpstr>
      <vt:lpstr>71</vt:lpstr>
      <vt:lpstr>72</vt:lpstr>
      <vt:lpstr>73</vt:lpstr>
      <vt:lpstr>74</vt:lpstr>
      <vt:lpstr>'1'!Print_Area</vt:lpstr>
      <vt:lpstr>'10'!Print_Area</vt:lpstr>
      <vt:lpstr>'11'!Print_Area</vt:lpstr>
      <vt:lpstr>'12'!Print_Area</vt:lpstr>
      <vt:lpstr>'13(Old)'!Print_Area</vt:lpstr>
      <vt:lpstr>'14'!Print_Area</vt:lpstr>
      <vt:lpstr>'15'!Print_Area</vt:lpstr>
      <vt:lpstr>'16'!Print_Area</vt:lpstr>
      <vt:lpstr>'17'!Print_Area</vt:lpstr>
      <vt:lpstr>'18'!Print_Area</vt:lpstr>
      <vt:lpstr>'19'!Print_Area</vt:lpstr>
      <vt:lpstr>'2'!Print_Area</vt:lpstr>
      <vt:lpstr>'20'!Print_Area</vt:lpstr>
      <vt:lpstr>'21'!Print_Area</vt:lpstr>
      <vt:lpstr>'24'!Print_Area</vt:lpstr>
      <vt:lpstr>'3'!Print_Area</vt:lpstr>
      <vt:lpstr>'34'!Print_Area</vt:lpstr>
      <vt:lpstr>'35'!Print_Area</vt:lpstr>
      <vt:lpstr>'4'!Print_Area</vt:lpstr>
      <vt:lpstr>'49'!Print_Area</vt:lpstr>
      <vt:lpstr>'5'!Print_Area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'7'!Print_Area</vt:lpstr>
      <vt:lpstr>'70'!Print_Area</vt:lpstr>
      <vt:lpstr>'74'!Print_Area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2024-08-30T11:10:27Z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